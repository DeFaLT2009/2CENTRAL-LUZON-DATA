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STA. MARIA RIVER" sheetId="5" r:id="rId8"/>
    <sheet state="visible" name="PAMPANGA RIVER" sheetId="6" r:id="rId9"/>
    <sheet state="visible" name="ANGAT RIVER" sheetId="7" r:id="rId10"/>
    <sheet state="visible" name="GUAGUA RIVER" sheetId="8" r:id="rId11"/>
    <sheet state="visible" name="TALISAY RIVER" sheetId="9" r:id="rId12"/>
    <sheet state="visible" name="ATLAG RIVER" sheetId="10" r:id="rId13"/>
    <sheet state="visible" name="LUCONG RIVER" sheetId="11" r:id="rId14"/>
    <sheet state="visible" name="LABANGAN RIVER" sheetId="12" r:id="rId15"/>
    <sheet state="visible" name="HAGONOY RIVER" sheetId="13" r:id="rId16"/>
    <sheet state="visible" name="PAMPANGA RIVER (Nueva Ecija)" sheetId="14" r:id="rId17"/>
    <sheet state="visible" name="A-SF-M-S WQMA" sheetId="15" r:id="rId18"/>
    <sheet state="visible" name="MOUTH OF OBANDO" sheetId="16" r:id="rId19"/>
    <sheet state="visible" name="MOUTH OF PAMPANGA" sheetId="17" r:id="rId20"/>
    <sheet state="visible" name="MOUTH OF TALISAY" sheetId="18" r:id="rId21"/>
    <sheet state="visible" name="COAST OF BULACAN" sheetId="19" r:id="rId22"/>
    <sheet state="visible" name="COAST OF PAMPANGA" sheetId="20" r:id="rId23"/>
    <sheet state="visible" name="COAST OF BATAAN" sheetId="21" r:id="rId24"/>
    <sheet state="visible" name="SWIMMABLE BEACH (MARIVELES)" sheetId="22" r:id="rId25"/>
    <sheet state="visible" name="MARIVELES-LIMAY" sheetId="23" r:id="rId26"/>
    <sheet state="visible" name="MONTEMAR BAGAC" sheetId="24" r:id="rId27"/>
    <sheet state="visible" name="JUNESS (MORONG BAY)" sheetId="25" r:id="rId28"/>
    <sheet state="visible" name="BEACH MONITORING" sheetId="26" r:id="rId29"/>
    <sheet state="visible" name="OFFSHORE SAMPLING" sheetId="27" r:id="rId30"/>
  </sheets>
  <externalReferences>
    <externalReference r:id="rId31"/>
  </externalReferences>
  <definedNames/>
  <calcPr/>
  <extLst>
    <ext uri="GoogleSheetsCustomDataVersion2">
      <go:sheetsCustomData xmlns:go="http://customooxmlschemas.google.com/" r:id="rId32" roundtripDataChecksum="cXJIpOJoAsb46ehspsTJW+T4umzf95VK3dP5PD2Q74c="/>
    </ext>
  </extLst>
</workbook>
</file>

<file path=xl/sharedStrings.xml><?xml version="1.0" encoding="utf-8"?>
<sst xmlns="http://schemas.openxmlformats.org/spreadsheetml/2006/main" count="7558" uniqueCount="296">
  <si>
    <t>SUMMARY REPORT OF WATER QUALITY MONITORING DATA</t>
  </si>
  <si>
    <t>SUBMITTED BY THE REGIONAL OFFICES</t>
  </si>
  <si>
    <t>CY 2020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</si>
  <si>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</si>
  <si>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</si>
  <si>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</si>
  <si>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</si>
  <si>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</si>
  <si>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</si>
  <si>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</si>
  <si>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</si>
  <si>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</si>
  <si>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</si>
  <si>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</si>
  <si>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</si>
  <si>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</si>
  <si>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</si>
  <si>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</si>
  <si>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</si>
  <si>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</si>
  <si>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</si>
  <si>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</si>
  <si>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CLASS C ( 5 STATIONS )</t>
  </si>
  <si>
    <t>III</t>
  </si>
  <si>
    <t>DO (mg/L)</t>
  </si>
  <si>
    <t>Deca Homes (Mar.-Cal. Boundary Bridge)</t>
  </si>
  <si>
    <t>*</t>
  </si>
  <si>
    <t>Prenza Dam</t>
  </si>
  <si>
    <t>Expressway Bridge</t>
  </si>
  <si>
    <t>Mc Arthur Bridge</t>
  </si>
  <si>
    <t>Ibayo Bridge</t>
  </si>
  <si>
    <t>BOD (mg/L)</t>
  </si>
  <si>
    <t>TSS (mg/L)</t>
  </si>
  <si>
    <t>pH</t>
  </si>
  <si>
    <t>6.5-9.0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</si>
  <si>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</si>
  <si>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25-31</t>
  </si>
  <si>
    <t>Color (TCU)</t>
  </si>
  <si>
    <t>Fecal Coliform (MPN/100mL)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</si>
  <si>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</si>
  <si>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&lt;0.045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</si>
  <si>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</si>
  <si>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</si>
  <si>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* no data/sampling conducted</t>
  </si>
  <si>
    <t>MEYCAUAYAN RIVER</t>
  </si>
  <si>
    <t xml:space="preserve">Perez Bridge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</si>
  <si>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</si>
  <si>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</si>
  <si>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</si>
  <si>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 Brgy. Zamora   Meycauayan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</si>
  <si>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</si>
  <si>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</si>
  <si>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</si>
  <si>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OBANDO RIVER</t>
  </si>
  <si>
    <t>CLASS C ( 3 STATIONS )</t>
  </si>
  <si>
    <t xml:space="preserve">Polo Bridge   Brgy. Polo  Valenzuela City   MM </t>
  </si>
  <si>
    <t xml:space="preserve">Near Municipal Fishport &amp; P.M. </t>
  </si>
  <si>
    <t xml:space="preserve">Tawiran Bridge  Brgy. Tawiran  Obando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</si>
  <si>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</si>
  <si>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**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</si>
  <si>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</si>
  <si>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</si>
  <si>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analyses for Fecal Coliform were voided due to no laboratory personnel to continue the analyses due to the office lockdown.</t>
  </si>
  <si>
    <t>BOCAUE RIVER</t>
  </si>
  <si>
    <t xml:space="preserve">Expressway Bridge   Brgy. Turo   Bocaue   Bulacan </t>
  </si>
  <si>
    <t xml:space="preserve">McArthur Bridge  Binang 2nd   Bocaue   Bulacan </t>
  </si>
  <si>
    <t xml:space="preserve">Bridge near public Market   UBVAS   Binang 2nd   Bocaue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</si>
  <si>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</si>
  <si>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</si>
  <si>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</si>
  <si>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January </t>
  </si>
  <si>
    <t>STA. MARIA RIVER</t>
  </si>
  <si>
    <t>CLASS C ( 3  STATIONS )</t>
  </si>
  <si>
    <t xml:space="preserve">Catmon Bridge   Brgy. Catmon   Sta. Maria  Bulacan </t>
  </si>
  <si>
    <t xml:space="preserve">Poblacion Bridge   Brgy. Poblacion  Sta. Maria   Bulacan </t>
  </si>
  <si>
    <t xml:space="preserve">Sta. Clara Bridge   Brgy Sta Clara   Sta. Maria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</si>
  <si>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</si>
  <si>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</si>
  <si>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</si>
  <si>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PAMPANGA RIVER</t>
  </si>
  <si>
    <t xml:space="preserve">Expressway Bridge Brgy. San Pedro, Apalit, Pampanga </t>
  </si>
  <si>
    <t xml:space="preserve">Sulipan Bridge Brgy. Sulipan, Apalit, Pampanga </t>
  </si>
  <si>
    <t xml:space="preserve">Calumpit Bridge Brgy. Gatbuca, Calumpit, Pampanga </t>
  </si>
  <si>
    <t xml:space="preserve">Paulino Residence Sitio Kanukay, San Vicente, Macabebe, Pampanga </t>
  </si>
  <si>
    <t xml:space="preserve">Villa Lourdes Sitio Bitas, Brgy. Batasan, Macabebe,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</si>
  <si>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</si>
  <si>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</si>
  <si>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</si>
  <si>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ANGAT RIVER</t>
  </si>
  <si>
    <t xml:space="preserve">Baliwag-Bustos Bridge   Bustos  Bulacan </t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</si>
  <si>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</si>
  <si>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</si>
  <si>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</si>
  <si>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</si>
  <si>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</si>
  <si>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Juanuary</t>
  </si>
  <si>
    <t>GUAGUA RIVER</t>
  </si>
  <si>
    <t>San Pablo Bridge  Brgy. San Pablo  Guagua  Pampanga</t>
  </si>
  <si>
    <t xml:space="preserve">San Pedro Foot Bridge  Brgy. San Pedro  Guagua  Pampanga </t>
  </si>
  <si>
    <t xml:space="preserve">Plaza Burgos Bridge Brgy. Sto. Niño  Guagua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</si>
  <si>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</si>
  <si>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</si>
  <si>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</si>
  <si>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</si>
  <si>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</si>
  <si>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</si>
  <si>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</si>
  <si>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t>&lt;2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</si>
  <si>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</si>
  <si>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&gt;16,000,000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</si>
  <si>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</si>
  <si>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</si>
  <si>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ATLAG RIVER</t>
  </si>
  <si>
    <t>Bridge near Villa- Santiago Compound</t>
  </si>
  <si>
    <t>Libo Bridge</t>
  </si>
  <si>
    <t>Atlag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</si>
  <si>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</si>
  <si>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</si>
  <si>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</si>
  <si>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LUCONG RIVER</t>
  </si>
  <si>
    <t>Cut-Cut Bridge</t>
  </si>
  <si>
    <t>Santiago Bridge</t>
  </si>
  <si>
    <t>Near Green Village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</si>
  <si>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</si>
  <si>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</si>
  <si>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</si>
  <si>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LABANGAN RIVER</t>
  </si>
  <si>
    <t>Labangan Bridge</t>
  </si>
  <si>
    <t>Iba Hanging Bridge</t>
  </si>
  <si>
    <t>Iba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</si>
  <si>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</si>
  <si>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</si>
  <si>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</si>
  <si>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</si>
  <si>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</si>
  <si>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</si>
  <si>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</si>
  <si>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</si>
  <si>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</si>
  <si>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</si>
  <si>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</si>
  <si>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</si>
  <si>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</si>
  <si>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PAMPANGA RIVER (UPSTREAM NUEVA ECIJA)</t>
  </si>
  <si>
    <t>Bongabon River Irrigation System</t>
  </si>
  <si>
    <t>Vergara Bridge</t>
  </si>
  <si>
    <t>Sta. Rosa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</si>
  <si>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</si>
  <si>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</si>
  <si>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</si>
  <si>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A-SF-M-S WQMA</t>
  </si>
  <si>
    <t>CLASS C ( 7 STATIONS 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</si>
  <si>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</si>
  <si>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</si>
  <si>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</si>
  <si>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                                                                                 </t>
  </si>
  <si>
    <t>MOUTH OF OBANDO  RIVER</t>
  </si>
  <si>
    <t>CLASS SB ( 3 STATIONS )</t>
  </si>
  <si>
    <t xml:space="preserve">Obando River   Mouth of Obando River  Brgy Salambao   Obando   Bulacan </t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</si>
  <si>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</si>
  <si>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</si>
  <si>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</si>
  <si>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</si>
  <si>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26-30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</si>
  <si>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</si>
  <si>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</si>
  <si>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0.152</t>
  </si>
  <si>
    <t>0.163</t>
  </si>
  <si>
    <t>0.169</t>
  </si>
  <si>
    <t>** analyses for Fecal Coliform were voided due to no laboratory personnel to continue the analyses during the implementation of ECQ .</t>
  </si>
  <si>
    <t>MOUTH OF PAMPANGA  RIVER</t>
  </si>
  <si>
    <t xml:space="preserve">  </t>
  </si>
  <si>
    <t xml:space="preserve">300 meters away from Station 1   Brgy. Consuelo   Macabebe   Pampanga </t>
  </si>
  <si>
    <t xml:space="preserve">300 meters away from Station 2   Brgy. Consuelo   Macabebe   Pampanga </t>
  </si>
  <si>
    <t xml:space="preserve">Near Armando Aguinaldo F.P.   Brgy. Consuelo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</si>
  <si>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</si>
  <si>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</si>
  <si>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</si>
  <si>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** analyses for Fecal Coliform were voided due to no laboratory personnel to continue the analyses due to the office lockdown.                    
</t>
  </si>
  <si>
    <t>MOUTH OF TALISAY  RIVER</t>
  </si>
  <si>
    <t xml:space="preserve">Talisay River </t>
  </si>
  <si>
    <t xml:space="preserve">300 m away from Sta. 1 </t>
  </si>
  <si>
    <t xml:space="preserve">300 m away from Sta. 2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</si>
  <si>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</si>
  <si>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</si>
  <si>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</si>
  <si>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r>
      <rPr>
        <rFont val="Times New Roman"/>
        <b/>
        <color theme="1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</si>
  <si>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</si>
  <si>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>Mouth of Capiz River</t>
  </si>
  <si>
    <t>Mouth of Sta. Cruz Creek</t>
  </si>
  <si>
    <t>Mouth of Tibuguin Creek</t>
  </si>
  <si>
    <t>1,17</t>
  </si>
  <si>
    <t>Mouth of Pugad Creek</t>
  </si>
  <si>
    <t>Mouth of Dapdap Creek</t>
  </si>
  <si>
    <t>Mouth of San Roque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</si>
  <si>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</si>
  <si>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NO3-N (mg/L)</t>
  </si>
  <si>
    <t>PO4-P (mg/L)</t>
  </si>
  <si>
    <t xml:space="preserve">COAST OF PAMPANGA </t>
  </si>
  <si>
    <t>Bangkung Malapad</t>
  </si>
  <si>
    <t>Macabebe Point</t>
  </si>
  <si>
    <t>Bancal Pugad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</si>
  <si>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</si>
  <si>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</si>
  <si>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</si>
  <si>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COAST OF BATAAN  </t>
  </si>
  <si>
    <t>CLASS SB ( 7 STATIONS )</t>
  </si>
  <si>
    <t>Mouth of Almacen River</t>
  </si>
  <si>
    <t>***</t>
  </si>
  <si>
    <t>Mouth of Kaparangan River</t>
  </si>
  <si>
    <t>Mouth of Samal River</t>
  </si>
  <si>
    <t>Mouth of Calaguiman River</t>
  </si>
  <si>
    <t>Mouth of Wawa River</t>
  </si>
  <si>
    <t>Mouth of Alangan River</t>
  </si>
  <si>
    <t>Mouth of Lamao River</t>
  </si>
  <si>
    <t>Mouth of Mouth Wawa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</si>
  <si>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</si>
  <si>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&gt;1,600</t>
  </si>
  <si>
    <t>&gt;160</t>
  </si>
  <si>
    <t xml:space="preserve">** analyses for TSS, Color,Fecal Coliform, Nitrates and Phosphates were voided due to no laboratory personnel to continue the analyses due to the office lockdown.                    
</t>
  </si>
  <si>
    <t>*** no data due to water quality checker malfunction</t>
  </si>
  <si>
    <t xml:space="preserve">                   </t>
  </si>
  <si>
    <t xml:space="preserve">SWIMMABLE BEACH (MARIVELES </t>
  </si>
  <si>
    <t>CLASS SB (3 STATIONS )</t>
  </si>
  <si>
    <t>Sitio Babuyan</t>
  </si>
  <si>
    <t>Sitio Aguawan</t>
  </si>
  <si>
    <t>Villa Carmen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</si>
  <si>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</si>
  <si>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</si>
  <si>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</si>
  <si>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&lt;0.017</t>
  </si>
  <si>
    <t>&lt;0.025</t>
  </si>
  <si>
    <t>Near Yatch Club</t>
  </si>
  <si>
    <t>Near Pawikan Hatchery</t>
  </si>
  <si>
    <t>Near Trota Side Residence</t>
  </si>
  <si>
    <t>* no data</t>
  </si>
  <si>
    <t>** the sampling team was not allowed to access the sampling station/beach by the security guard in the area despite thorough explanation of purpose.</t>
  </si>
  <si>
    <t>*** the sampling team was not allowed to access the sampling stations due to heavy rain in the area</t>
  </si>
  <si>
    <t>MARIVELES &amp; LIMAY</t>
  </si>
  <si>
    <t>CLASS SB ( 4 STATIONS )</t>
  </si>
  <si>
    <t xml:space="preserve">Brgy. Wawa   Limay   Bataan </t>
  </si>
  <si>
    <t xml:space="preserve">Villa Leonor   Limay   Bataan </t>
  </si>
  <si>
    <t xml:space="preserve">Villa Carmen   Mariveles   Bataan </t>
  </si>
  <si>
    <t xml:space="preserve">Mattel   Mariveles   Bataan </t>
  </si>
  <si>
    <t>BOD mg/L</t>
  </si>
  <si>
    <t xml:space="preserve">Villa Carmen   Marchiveles   Bataan </t>
  </si>
  <si>
    <t xml:space="preserve">Mattel   Marchiveles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</si>
  <si>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</si>
  <si>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</si>
  <si>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</si>
  <si>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MONTEMAR (BAGAC BAY)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</si>
  <si>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</si>
  <si>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&lt;1.80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</si>
  <si>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</si>
  <si>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</si>
  <si>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&lt;0.014</t>
  </si>
  <si>
    <t>** Unable to gather on-site data due to malfunctioning checker</t>
  </si>
  <si>
    <t>JUNESS (MORONG BAY)</t>
  </si>
  <si>
    <t>Near Pavillo Main Area</t>
  </si>
  <si>
    <t>Near Open Hall</t>
  </si>
  <si>
    <t>Near Building Area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</si>
  <si>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</si>
  <si>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1,700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</si>
  <si>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</si>
  <si>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</si>
  <si>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&lt;.0.025</t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</si>
  <si>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</si>
  <si>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</si>
  <si>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</si>
  <si>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</si>
  <si>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</si>
  <si>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</si>
  <si>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</si>
  <si>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</si>
  <si>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</si>
  <si>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</si>
  <si>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</si>
  <si>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&gt;1600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</si>
  <si>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</si>
  <si>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</si>
  <si>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** analyses for Fecal Coliform voided due to no laboratory personnel to continue the analyses due to the Laboratory lockdown.   </t>
  </si>
  <si>
    <t>Coordinates</t>
  </si>
  <si>
    <t>1st Quarter</t>
  </si>
  <si>
    <t>2nd Quarter</t>
  </si>
  <si>
    <t>3rd Quarter</t>
  </si>
  <si>
    <t>4th Quarter</t>
  </si>
  <si>
    <t>Average</t>
  </si>
  <si>
    <t>Hong Kong ISQV</t>
  </si>
  <si>
    <t>Latitude, °N</t>
  </si>
  <si>
    <t>Longitude, °E</t>
  </si>
  <si>
    <t>OFFSHORE SEDIMENTS SAMPLING</t>
  </si>
  <si>
    <t>(9 STATIONS )</t>
  </si>
  <si>
    <t>Cadmium
(mg/Kg)</t>
  </si>
  <si>
    <t>Chromium 
(mg/Kg)</t>
  </si>
  <si>
    <t>Lead 
(mg/Kg)</t>
  </si>
  <si>
    <t>** samples were collected but no laboratory results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</si>
</sst>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* #,##0_-;\-* #,##0_-;_-* &quot;-&quot;??_-;_-@"/>
    <numFmt numFmtId="165" formatCode="0.000"/>
    <numFmt numFmtId="166" formatCode="_-* #,##0_-;\-* #,##0_-;_-* &quot;-&quot;_-;_-@"/>
    <numFmt numFmtId="167" formatCode="_-* #,##0.000_-;\-* #,##0.000_-;_-* &quot;-&quot;??_-;_-@"/>
    <numFmt numFmtId="168" formatCode="#,##0_ ;\-#,##0\ "/>
    <numFmt numFmtId="169" formatCode="_-* #,##0.00_-;\-* #,##0.00_-;_-* &quot;-&quot;??_-;_-@"/>
    <numFmt numFmtId="170" formatCode="#,##0.0"/>
    <numFmt numFmtId="171" formatCode="#,##0.000"/>
    <numFmt numFmtId="172" formatCode="_-* #,##0.000_-;\-* #,##0.000_-;_-* &quot;-&quot;_-;_-@"/>
    <numFmt numFmtId="173" formatCode="0.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Times New Roman"/>
    </font>
    <font>
      <sz val="11.0"/>
      <color rgb="FFFF0000"/>
      <name val="Calibri"/>
    </font>
    <font>
      <sz val="10.0"/>
      <color theme="1"/>
      <name val="Calibri"/>
    </font>
    <font>
      <sz val="10.0"/>
      <color theme="1"/>
      <name val="Times New Roman"/>
    </font>
    <font>
      <sz val="11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1" numFmtId="0" xfId="0" applyBorder="1" applyFill="1" applyFont="1"/>
    <xf borderId="7" fillId="3" fontId="1" numFmtId="0" xfId="0" applyAlignment="1" applyBorder="1" applyFont="1">
      <alignment horizontal="center" vertical="center"/>
    </xf>
    <xf borderId="7" fillId="3" fontId="1" numFmtId="2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left"/>
    </xf>
    <xf borderId="11" fillId="0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vertical="center"/>
    </xf>
    <xf borderId="7" fillId="4" fontId="3" numFmtId="0" xfId="0" applyBorder="1" applyFont="1"/>
    <xf borderId="7" fillId="4" fontId="3" numFmtId="2" xfId="0" applyAlignment="1" applyBorder="1" applyFont="1" applyNumberFormat="1">
      <alignment horizontal="right" shrinkToFit="0" vertical="center" wrapText="1"/>
    </xf>
    <xf borderId="7" fillId="4" fontId="3" numFmtId="2" xfId="0" applyBorder="1" applyFont="1" applyNumberFormat="1"/>
    <xf borderId="7" fillId="0" fontId="3" numFmtId="0" xfId="0" applyAlignment="1" applyBorder="1" applyFont="1">
      <alignment horizontal="center" vertical="center"/>
    </xf>
    <xf borderId="12" fillId="0" fontId="2" numFmtId="0" xfId="0" applyBorder="1" applyFont="1"/>
    <xf borderId="7" fillId="0" fontId="1" numFmtId="0" xfId="0" applyAlignment="1" applyBorder="1" applyFont="1">
      <alignment horizontal="center" vertical="center"/>
    </xf>
    <xf borderId="7" fillId="0" fontId="3" numFmtId="0" xfId="0" applyBorder="1" applyFont="1"/>
    <xf borderId="7" fillId="0" fontId="3" numFmtId="2" xfId="0" applyAlignment="1" applyBorder="1" applyFont="1" applyNumberFormat="1">
      <alignment horizontal="right" shrinkToFit="0" vertical="center" wrapText="1"/>
    </xf>
    <xf borderId="7" fillId="0" fontId="3" numFmtId="2" xfId="0" applyBorder="1" applyFont="1" applyNumberFormat="1"/>
    <xf borderId="13" fillId="0" fontId="2" numFmtId="0" xfId="0" applyBorder="1" applyFont="1"/>
    <xf borderId="7" fillId="4" fontId="3" numFmtId="1" xfId="0" applyAlignment="1" applyBorder="1" applyFont="1" applyNumberFormat="1">
      <alignment horizontal="right" shrinkToFit="0" vertical="center" wrapText="1"/>
    </xf>
    <xf borderId="7" fillId="4" fontId="3" numFmtId="1" xfId="0" applyBorder="1" applyFont="1" applyNumberFormat="1"/>
    <xf borderId="7" fillId="0" fontId="3" numFmtId="1" xfId="0" applyAlignment="1" applyBorder="1" applyFont="1" applyNumberFormat="1">
      <alignment horizontal="right" shrinkToFit="0" vertical="center" wrapText="1"/>
    </xf>
    <xf borderId="7" fillId="0" fontId="3" numFmtId="1" xfId="0" applyBorder="1" applyFont="1" applyNumberFormat="1"/>
    <xf borderId="7" fillId="4" fontId="3" numFmtId="3" xfId="0" applyAlignment="1" applyBorder="1" applyFont="1" applyNumberFormat="1">
      <alignment horizontal="right" shrinkToFit="0" vertical="center" wrapText="1"/>
    </xf>
    <xf borderId="7" fillId="4" fontId="3" numFmtId="164" xfId="0" applyAlignment="1" applyBorder="1" applyFont="1" applyNumberFormat="1">
      <alignment horizontal="right" shrinkToFit="0" vertical="center" wrapText="1"/>
    </xf>
    <xf borderId="7" fillId="4" fontId="3" numFmtId="164" xfId="0" applyBorder="1" applyFont="1" applyNumberFormat="1"/>
    <xf borderId="0" fillId="0" fontId="4" numFmtId="164" xfId="0" applyFont="1" applyNumberFormat="1"/>
    <xf borderId="7" fillId="0" fontId="3" numFmtId="3" xfId="0" applyAlignment="1" applyBorder="1" applyFont="1" applyNumberFormat="1">
      <alignment horizontal="right" shrinkToFit="0" vertical="center" wrapText="1"/>
    </xf>
    <xf borderId="7" fillId="0" fontId="3" numFmtId="164" xfId="0" applyAlignment="1" applyBorder="1" applyFont="1" applyNumberFormat="1">
      <alignment horizontal="right" shrinkToFit="0" vertical="center" wrapText="1"/>
    </xf>
    <xf borderId="7" fillId="0" fontId="3" numFmtId="164" xfId="0" applyBorder="1" applyFont="1" applyNumberFormat="1"/>
    <xf borderId="7" fillId="5" fontId="3" numFmtId="3" xfId="0" applyAlignment="1" applyBorder="1" applyFill="1" applyFont="1" applyNumberFormat="1">
      <alignment horizontal="right" shrinkToFit="0" vertical="center" wrapText="1"/>
    </xf>
    <xf borderId="7" fillId="4" fontId="3" numFmtId="165" xfId="0" applyAlignment="1" applyBorder="1" applyFont="1" applyNumberFormat="1">
      <alignment horizontal="right" shrinkToFit="0" vertical="center" wrapText="1"/>
    </xf>
    <xf borderId="7" fillId="4" fontId="3" numFmtId="165" xfId="0" applyBorder="1" applyFont="1" applyNumberFormat="1"/>
    <xf borderId="7" fillId="0" fontId="3" numFmtId="165" xfId="0" applyAlignment="1" applyBorder="1" applyFont="1" applyNumberFormat="1">
      <alignment horizontal="right" shrinkToFit="0" vertical="center" wrapText="1"/>
    </xf>
    <xf borderId="7" fillId="0" fontId="3" numFmtId="165" xfId="0" applyBorder="1" applyFont="1" applyNumberFormat="1"/>
    <xf borderId="12" fillId="0" fontId="3" numFmtId="164" xfId="0" applyBorder="1" applyFont="1" applyNumberFormat="1"/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2" fillId="0" fontId="1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vertical="center"/>
    </xf>
    <xf borderId="7" fillId="4" fontId="3" numFmtId="2" xfId="0" applyAlignment="1" applyBorder="1" applyFont="1" applyNumberFormat="1">
      <alignment horizontal="right" vertical="center"/>
    </xf>
    <xf borderId="7" fillId="4" fontId="3" numFmtId="2" xfId="0" applyAlignment="1" applyBorder="1" applyFont="1" applyNumberFormat="1">
      <alignment horizontal="right"/>
    </xf>
    <xf borderId="7" fillId="0" fontId="6" numFmtId="0" xfId="0" applyAlignment="1" applyBorder="1" applyFont="1">
      <alignment vertical="center"/>
    </xf>
    <xf borderId="7" fillId="0" fontId="3" numFmtId="2" xfId="0" applyAlignment="1" applyBorder="1" applyFont="1" applyNumberFormat="1">
      <alignment horizontal="right" vertical="center"/>
    </xf>
    <xf borderId="7" fillId="0" fontId="3" numFmtId="2" xfId="0" applyAlignment="1" applyBorder="1" applyFont="1" applyNumberFormat="1">
      <alignment horizontal="right"/>
    </xf>
    <xf borderId="7" fillId="5" fontId="3" numFmtId="2" xfId="0" applyAlignment="1" applyBorder="1" applyFont="1" applyNumberFormat="1">
      <alignment horizontal="right"/>
    </xf>
    <xf borderId="7" fillId="4" fontId="3" numFmtId="0" xfId="0" applyAlignment="1" applyBorder="1" applyFont="1">
      <alignment horizontal="right" vertical="center"/>
    </xf>
    <xf borderId="7" fillId="4" fontId="3" numFmtId="1" xfId="0" applyAlignment="1" applyBorder="1" applyFont="1" applyNumberFormat="1">
      <alignment horizontal="right" vertical="center"/>
    </xf>
    <xf borderId="7" fillId="4" fontId="3" numFmtId="1" xfId="0" applyAlignment="1" applyBorder="1" applyFont="1" applyNumberFormat="1">
      <alignment horizontal="right"/>
    </xf>
    <xf borderId="7" fillId="0" fontId="3" numFmtId="1" xfId="0" applyAlignment="1" applyBorder="1" applyFont="1" applyNumberFormat="1">
      <alignment horizontal="right" vertical="center"/>
    </xf>
    <xf borderId="7" fillId="0" fontId="3" numFmtId="1" xfId="0" applyAlignment="1" applyBorder="1" applyFont="1" applyNumberFormat="1">
      <alignment horizontal="right"/>
    </xf>
    <xf borderId="7" fillId="4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/>
    </xf>
    <xf borderId="7" fillId="5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 vertical="center"/>
    </xf>
    <xf borderId="7" fillId="4" fontId="3" numFmtId="3" xfId="0" applyAlignment="1" applyBorder="1" applyFont="1" applyNumberFormat="1">
      <alignment horizontal="right" vertical="center"/>
    </xf>
    <xf borderId="7" fillId="4" fontId="3" numFmtId="164" xfId="0" applyAlignment="1" applyBorder="1" applyFont="1" applyNumberFormat="1">
      <alignment horizontal="right" vertical="center"/>
    </xf>
    <xf borderId="7" fillId="4" fontId="3" numFmtId="3" xfId="0" applyAlignment="1" applyBorder="1" applyFont="1" applyNumberFormat="1">
      <alignment horizontal="right"/>
    </xf>
    <xf borderId="7" fillId="0" fontId="3" numFmtId="3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vertical="center"/>
    </xf>
    <xf borderId="7" fillId="0" fontId="3" numFmtId="3" xfId="0" applyAlignment="1" applyBorder="1" applyFont="1" applyNumberFormat="1">
      <alignment horizontal="right"/>
    </xf>
    <xf borderId="7" fillId="5" fontId="3" numFmtId="3" xfId="0" applyAlignment="1" applyBorder="1" applyFont="1" applyNumberFormat="1">
      <alignment horizontal="right" vertical="center"/>
    </xf>
    <xf borderId="7" fillId="5" fontId="3" numFmtId="3" xfId="0" applyAlignment="1" applyBorder="1" applyFont="1" applyNumberFormat="1">
      <alignment horizontal="right"/>
    </xf>
    <xf borderId="7" fillId="4" fontId="3" numFmtId="165" xfId="0" applyAlignment="1" applyBorder="1" applyFont="1" applyNumberFormat="1">
      <alignment horizontal="right" vertical="center"/>
    </xf>
    <xf borderId="0" fillId="0" fontId="3" numFmtId="0" xfId="0" applyFont="1"/>
    <xf borderId="7" fillId="0" fontId="3" numFmtId="165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/>
    </xf>
    <xf borderId="7" fillId="4" fontId="3" numFmtId="165" xfId="0" applyAlignment="1" applyBorder="1" applyFont="1" applyNumberFormat="1">
      <alignment horizontal="right"/>
    </xf>
    <xf borderId="7" fillId="5" fontId="3" numFmtId="165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Font="1"/>
    <xf borderId="14" fillId="4" fontId="3" numFmtId="0" xfId="0" applyAlignment="1" applyBorder="1" applyFont="1">
      <alignment horizontal="left"/>
    </xf>
    <xf borderId="14" fillId="4" fontId="1" numFmtId="0" xfId="0" applyAlignment="1" applyBorder="1" applyFont="1">
      <alignment horizontal="center" vertical="center"/>
    </xf>
    <xf borderId="14" fillId="4" fontId="6" numFmtId="0" xfId="0" applyAlignment="1" applyBorder="1" applyFont="1">
      <alignment vertical="center"/>
    </xf>
    <xf borderId="14" fillId="4" fontId="3" numFmtId="0" xfId="0" applyAlignment="1" applyBorder="1" applyFont="1">
      <alignment horizontal="right" shrinkToFit="0" vertical="center" wrapText="1"/>
    </xf>
    <xf borderId="14" fillId="4" fontId="3" numFmtId="2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14" fillId="4" fontId="3" numFmtId="1" xfId="0" applyAlignment="1" applyBorder="1" applyFont="1" applyNumberFormat="1">
      <alignment horizontal="right" shrinkToFit="0" vertical="center" wrapText="1"/>
    </xf>
    <xf borderId="14" fillId="4" fontId="3" numFmtId="3" xfId="0" applyAlignment="1" applyBorder="1" applyFont="1" applyNumberFormat="1">
      <alignment horizontal="right" shrinkToFit="0" vertical="center" wrapText="1"/>
    </xf>
    <xf borderId="14" fillId="4" fontId="3" numFmtId="164" xfId="0" applyAlignment="1" applyBorder="1" applyFont="1" applyNumberFormat="1">
      <alignment horizontal="right" shrinkToFit="0" vertical="center" wrapText="1"/>
    </xf>
    <xf borderId="0" fillId="0" fontId="5" numFmtId="164" xfId="0" applyFont="1" applyNumberFormat="1"/>
    <xf borderId="14" fillId="4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1" numFmtId="0" xfId="0" applyAlignment="1" applyBorder="1" applyFont="1">
      <alignment horizontal="center"/>
    </xf>
    <xf borderId="18" fillId="0" fontId="2" numFmtId="0" xfId="0" applyBorder="1" applyFont="1"/>
    <xf borderId="7" fillId="4" fontId="3" numFmtId="1" xfId="0" applyAlignment="1" applyBorder="1" applyFont="1" applyNumberFormat="1">
      <alignment horizontal="right" shrinkToFit="0" wrapText="1"/>
    </xf>
    <xf borderId="7" fillId="0" fontId="3" numFmtId="1" xfId="0" applyAlignment="1" applyBorder="1" applyFont="1" applyNumberFormat="1">
      <alignment horizontal="right" shrinkToFit="0" wrapText="1"/>
    </xf>
    <xf borderId="7" fillId="4" fontId="3" numFmtId="2" xfId="0" applyAlignment="1" applyBorder="1" applyFont="1" applyNumberFormat="1">
      <alignment horizontal="right" shrinkToFit="0" wrapText="1"/>
    </xf>
    <xf borderId="7" fillId="0" fontId="3" numFmtId="2" xfId="0" applyAlignment="1" applyBorder="1" applyFont="1" applyNumberFormat="1">
      <alignment horizontal="right" shrinkToFit="0" wrapText="1"/>
    </xf>
    <xf borderId="7" fillId="4" fontId="3" numFmtId="0" xfId="0" applyAlignment="1" applyBorder="1" applyFont="1">
      <alignment horizontal="right" shrinkToFit="0" wrapText="1"/>
    </xf>
    <xf borderId="7" fillId="0" fontId="3" numFmtId="0" xfId="0" applyAlignment="1" applyBorder="1" applyFont="1">
      <alignment horizontal="right" shrinkToFit="0" wrapText="1"/>
    </xf>
    <xf borderId="7" fillId="4" fontId="3" numFmtId="3" xfId="0" applyAlignment="1" applyBorder="1" applyFont="1" applyNumberFormat="1">
      <alignment horizontal="right" shrinkToFit="0" wrapText="1"/>
    </xf>
    <xf borderId="7" fillId="0" fontId="3" numFmtId="3" xfId="0" applyAlignment="1" applyBorder="1" applyFont="1" applyNumberFormat="1">
      <alignment horizontal="right" shrinkToFit="0" wrapText="1"/>
    </xf>
    <xf borderId="7" fillId="0" fontId="3" numFmtId="166" xfId="0" applyAlignment="1" applyBorder="1" applyFont="1" applyNumberFormat="1">
      <alignment horizontal="right" shrinkToFit="0" wrapText="1"/>
    </xf>
    <xf borderId="7" fillId="4" fontId="3" numFmtId="167" xfId="0" applyAlignment="1" applyBorder="1" applyFont="1" applyNumberFormat="1">
      <alignment horizontal="right" shrinkToFit="0" vertical="center" wrapText="1"/>
    </xf>
    <xf borderId="7" fillId="0" fontId="3" numFmtId="165" xfId="0" applyAlignment="1" applyBorder="1" applyFont="1" applyNumberFormat="1">
      <alignment horizontal="right" shrinkToFit="0" wrapText="1"/>
    </xf>
    <xf borderId="7" fillId="4" fontId="3" numFmtId="165" xfId="0" applyAlignment="1" applyBorder="1" applyFont="1" applyNumberFormat="1">
      <alignment horizontal="right" shrinkToFit="0" wrapText="1"/>
    </xf>
    <xf borderId="7" fillId="4" fontId="3" numFmtId="168" xfId="0" applyAlignment="1" applyBorder="1" applyFont="1" applyNumberFormat="1">
      <alignment horizontal="right" shrinkToFit="0" vertical="center" wrapText="1"/>
    </xf>
    <xf borderId="7" fillId="0" fontId="3" numFmtId="168" xfId="0" applyAlignment="1" applyBorder="1" applyFont="1" applyNumberFormat="1">
      <alignment horizontal="right" shrinkToFit="0" vertical="center" wrapText="1"/>
    </xf>
    <xf borderId="0" fillId="0" fontId="7" numFmtId="0" xfId="0" applyFont="1"/>
    <xf borderId="19" fillId="3" fontId="1" numFmtId="0" xfId="0" applyBorder="1" applyFont="1"/>
    <xf borderId="14" fillId="3" fontId="1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left" vertical="center"/>
    </xf>
    <xf borderId="7" fillId="4" fontId="3" numFmtId="169" xfId="0" applyBorder="1" applyFont="1" applyNumberFormat="1"/>
    <xf borderId="7" fillId="0" fontId="6" numFmtId="0" xfId="0" applyAlignment="1" applyBorder="1" applyFont="1">
      <alignment horizontal="left" vertical="center"/>
    </xf>
    <xf borderId="7" fillId="0" fontId="3" numFmtId="169" xfId="0" applyBorder="1" applyFont="1" applyNumberFormat="1"/>
    <xf borderId="7" fillId="4" fontId="6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right" shrinkToFit="0" vertical="center" wrapText="1"/>
    </xf>
    <xf borderId="0" fillId="0" fontId="3" numFmtId="164" xfId="0" applyFont="1" applyNumberFormat="1"/>
    <xf borderId="7" fillId="4" fontId="3" numFmtId="167" xfId="0" applyBorder="1" applyFont="1" applyNumberFormat="1"/>
    <xf borderId="7" fillId="0" fontId="3" numFmtId="167" xfId="0" applyBorder="1" applyFont="1" applyNumberFormat="1"/>
    <xf borderId="7" fillId="0" fontId="6" numFmtId="0" xfId="0" applyAlignment="1" applyBorder="1" applyFont="1">
      <alignment horizontal="left" shrinkToFit="0" vertical="center" wrapText="1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4" fillId="4" fontId="3" numFmtId="3" xfId="0" applyAlignment="1" applyBorder="1" applyFont="1" applyNumberFormat="1">
      <alignment horizontal="right" shrinkToFit="0" wrapText="1"/>
    </xf>
    <xf borderId="14" fillId="4" fontId="3" numFmtId="4" xfId="0" applyAlignment="1" applyBorder="1" applyFont="1" applyNumberFormat="1">
      <alignment horizontal="right" shrinkToFit="0" wrapText="1"/>
    </xf>
    <xf borderId="14" fillId="4" fontId="3" numFmtId="169" xfId="0" applyAlignment="1" applyBorder="1" applyFont="1" applyNumberFormat="1">
      <alignment horizontal="right" shrinkToFit="0" wrapText="1"/>
    </xf>
    <xf borderId="7" fillId="0" fontId="3" numFmtId="4" xfId="0" applyAlignment="1" applyBorder="1" applyFont="1" applyNumberFormat="1">
      <alignment horizontal="right" shrinkToFit="0" wrapText="1"/>
    </xf>
    <xf borderId="14" fillId="4" fontId="3" numFmtId="170" xfId="0" applyAlignment="1" applyBorder="1" applyFont="1" applyNumberFormat="1">
      <alignment horizontal="right" shrinkToFit="0" wrapText="1"/>
    </xf>
    <xf borderId="7" fillId="0" fontId="3" numFmtId="170" xfId="0" applyAlignment="1" applyBorder="1" applyFont="1" applyNumberFormat="1">
      <alignment horizontal="right" shrinkToFit="0" wrapText="1"/>
    </xf>
    <xf borderId="14" fillId="4" fontId="3" numFmtId="171" xfId="0" applyAlignment="1" applyBorder="1" applyFont="1" applyNumberFormat="1">
      <alignment horizontal="right" shrinkToFit="0" wrapText="1"/>
    </xf>
    <xf borderId="7" fillId="0" fontId="3" numFmtId="171" xfId="0" applyAlignment="1" applyBorder="1" applyFont="1" applyNumberFormat="1">
      <alignment horizontal="right" shrinkToFit="0" wrapText="1"/>
    </xf>
    <xf borderId="20" fillId="3" fontId="1" numFmtId="0" xfId="0" applyBorder="1" applyFont="1"/>
    <xf borderId="21" fillId="4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4" fontId="3" numFmtId="166" xfId="0" applyAlignment="1" applyBorder="1" applyFont="1" applyNumberFormat="1">
      <alignment horizontal="right" shrinkToFit="0" vertical="center" wrapText="1"/>
    </xf>
    <xf borderId="7" fillId="0" fontId="3" numFmtId="166" xfId="0" applyAlignment="1" applyBorder="1" applyFont="1" applyNumberFormat="1">
      <alignment horizontal="right" shrinkToFit="0" vertical="center" wrapText="1"/>
    </xf>
    <xf borderId="7" fillId="4" fontId="3" numFmtId="172" xfId="0" applyAlignment="1" applyBorder="1" applyFont="1" applyNumberFormat="1">
      <alignment horizontal="right" shrinkToFit="0" vertical="center" wrapText="1"/>
    </xf>
    <xf borderId="7" fillId="0" fontId="3" numFmtId="172" xfId="0" applyAlignment="1" applyBorder="1" applyFont="1" applyNumberFormat="1">
      <alignment horizontal="right" shrinkToFit="0" vertical="center" wrapText="1"/>
    </xf>
    <xf borderId="7" fillId="4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5" fontId="3" numFmtId="2" xfId="0" applyAlignment="1" applyBorder="1" applyFont="1" applyNumberFormat="1">
      <alignment horizontal="right" shrinkToFit="0" vertical="center" wrapText="1"/>
    </xf>
    <xf borderId="7" fillId="5" fontId="3" numFmtId="0" xfId="0" applyAlignment="1" applyBorder="1" applyFont="1">
      <alignment horizontal="right" shrinkToFit="0" vertical="center" wrapText="1"/>
    </xf>
    <xf borderId="7" fillId="5" fontId="3" numFmtId="165" xfId="0" applyAlignment="1" applyBorder="1" applyFont="1" applyNumberFormat="1">
      <alignment horizontal="right" shrinkToFit="0" vertical="center" wrapText="1"/>
    </xf>
    <xf borderId="7" fillId="5" fontId="3" numFmtId="1" xfId="0" applyAlignment="1" applyBorder="1" applyFont="1" applyNumberFormat="1">
      <alignment horizontal="right" shrinkToFit="0" vertical="center" wrapText="1"/>
    </xf>
    <xf borderId="7" fillId="5" fontId="3" numFmtId="164" xfId="0" applyAlignment="1" applyBorder="1" applyFont="1" applyNumberFormat="1">
      <alignment horizontal="right" shrinkToFit="0" vertical="center" wrapText="1"/>
    </xf>
    <xf borderId="7" fillId="4" fontId="3" numFmtId="4" xfId="0" applyAlignment="1" applyBorder="1" applyFont="1" applyNumberFormat="1">
      <alignment horizontal="right" shrinkToFit="0" vertical="center" wrapText="1"/>
    </xf>
    <xf borderId="7" fillId="5" fontId="3" numFmtId="4" xfId="0" applyAlignment="1" applyBorder="1" applyFont="1" applyNumberFormat="1">
      <alignment horizontal="right" shrinkToFit="0" vertical="center" wrapText="1"/>
    </xf>
    <xf borderId="7" fillId="4" fontId="3" numFmtId="168" xfId="0" applyBorder="1" applyFont="1" applyNumberFormat="1"/>
    <xf borderId="7" fillId="0" fontId="3" numFmtId="168" xfId="0" applyBorder="1" applyFont="1" applyNumberFormat="1"/>
    <xf borderId="8" fillId="0" fontId="3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6" fillId="0" fontId="3" numFmtId="0" xfId="0" applyBorder="1" applyFont="1"/>
    <xf borderId="0" fillId="0" fontId="3" numFmtId="168" xfId="0" applyFont="1" applyNumberFormat="1"/>
    <xf borderId="7" fillId="4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center"/>
    </xf>
    <xf borderId="14" fillId="4" fontId="3" numFmtId="0" xfId="0" applyBorder="1" applyFont="1"/>
    <xf borderId="14" fillId="4" fontId="3" numFmtId="173" xfId="0" applyAlignment="1" applyBorder="1" applyFont="1" applyNumberFormat="1">
      <alignment horizontal="right" shrinkToFit="0" vertical="center" wrapText="1"/>
    </xf>
    <xf borderId="7" fillId="0" fontId="3" numFmtId="173" xfId="0" applyAlignment="1" applyBorder="1" applyFont="1" applyNumberFormat="1">
      <alignment horizontal="right" shrinkToFit="0" vertical="center" wrapText="1"/>
    </xf>
    <xf borderId="14" fillId="4" fontId="3" numFmtId="169" xfId="0" applyAlignment="1" applyBorder="1" applyFont="1" applyNumberFormat="1">
      <alignment horizontal="right" shrinkToFit="0" vertical="center" wrapText="1"/>
    </xf>
    <xf borderId="7" fillId="0" fontId="3" numFmtId="169" xfId="0" applyAlignment="1" applyBorder="1" applyFont="1" applyNumberFormat="1">
      <alignment horizontal="right" shrinkToFit="0" vertical="center" wrapText="1"/>
    </xf>
    <xf borderId="11" fillId="0" fontId="3" numFmtId="0" xfId="0" applyAlignment="1" applyBorder="1" applyFont="1">
      <alignment horizontal="right" shrinkToFit="0" vertical="center" wrapText="1"/>
    </xf>
    <xf borderId="7" fillId="4" fontId="3" numFmtId="164" xfId="0" applyAlignment="1" applyBorder="1" applyFont="1" applyNumberFormat="1">
      <alignment horizontal="right"/>
    </xf>
    <xf borderId="7" fillId="0" fontId="3" numFmtId="164" xfId="0" applyAlignment="1" applyBorder="1" applyFont="1" applyNumberFormat="1">
      <alignment horizontal="right"/>
    </xf>
    <xf borderId="7" fillId="4" fontId="3" numFmtId="0" xfId="0" applyAlignment="1" applyBorder="1" applyFont="1">
      <alignment shrinkToFit="0" vertical="center" wrapText="1"/>
    </xf>
    <xf borderId="7" fillId="0" fontId="8" numFmtId="0" xfId="0" applyBorder="1" applyFont="1"/>
    <xf borderId="12" fillId="0" fontId="1" numFmtId="0" xfId="0" applyAlignment="1" applyBorder="1" applyFont="1">
      <alignment horizontal="center" vertical="center"/>
    </xf>
    <xf borderId="23" fillId="4" fontId="3" numFmtId="0" xfId="0" applyBorder="1" applyFont="1"/>
    <xf borderId="7" fillId="0" fontId="3" numFmtId="3" xfId="0" applyBorder="1" applyFont="1" applyNumberFormat="1"/>
    <xf borderId="7" fillId="0" fontId="3" numFmtId="0" xfId="0" applyAlignment="1" applyBorder="1" applyFont="1">
      <alignment horizontal="left" shrinkToFit="0" vertical="center" wrapText="1"/>
    </xf>
    <xf borderId="7" fillId="4" fontId="3" numFmtId="173" xfId="0" applyAlignment="1" applyBorder="1" applyFont="1" applyNumberFormat="1">
      <alignment horizontal="right" shrinkToFit="0" vertical="center" wrapText="1"/>
    </xf>
    <xf borderId="7" fillId="5" fontId="3" numFmtId="0" xfId="0" applyAlignment="1" applyBorder="1" applyFont="1">
      <alignment horizontal="left"/>
    </xf>
    <xf borderId="7" fillId="5" fontId="1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left" shrinkToFit="0" vertical="center" wrapText="1"/>
    </xf>
    <xf borderId="7" fillId="5" fontId="3" numFmtId="49" xfId="0" applyAlignment="1" applyBorder="1" applyFont="1" applyNumberFormat="1">
      <alignment horizontal="right" shrinkToFit="0" vertical="center" wrapText="1"/>
    </xf>
    <xf borderId="0" fillId="0" fontId="3" numFmtId="2" xfId="0" applyAlignment="1" applyFont="1" applyNumberFormat="1">
      <alignment horizontal="right"/>
    </xf>
    <xf borderId="7" fillId="5" fontId="3" numFmtId="169" xfId="0" applyAlignment="1" applyBorder="1" applyFont="1" applyNumberFormat="1">
      <alignment horizontal="right" shrinkToFit="0" vertical="center" wrapText="1"/>
    </xf>
    <xf borderId="7" fillId="4" fontId="3" numFmtId="49" xfId="0" applyAlignment="1" applyBorder="1" applyFont="1" applyNumberFormat="1">
      <alignment horizontal="right" shrinkToFit="0" vertical="center" wrapText="1"/>
    </xf>
    <xf borderId="7" fillId="5" fontId="3" numFmtId="168" xfId="0" applyAlignment="1" applyBorder="1" applyFont="1" applyNumberFormat="1">
      <alignment horizontal="right" shrinkToFit="0" vertical="center" wrapText="1"/>
    </xf>
    <xf borderId="7" fillId="5" fontId="3" numFmtId="167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/>
    </xf>
    <xf borderId="24" fillId="3" fontId="1" numFmtId="0" xfId="0" applyBorder="1" applyFont="1"/>
    <xf borderId="25" fillId="3" fontId="1" numFmtId="0" xfId="0" applyAlignment="1" applyBorder="1" applyFont="1">
      <alignment horizontal="center" vertical="center"/>
    </xf>
    <xf borderId="26" fillId="4" fontId="6" numFmtId="0" xfId="0" applyAlignment="1" applyBorder="1" applyFont="1">
      <alignment vertical="center"/>
    </xf>
    <xf borderId="14" fillId="4" fontId="3" numFmtId="2" xfId="0" applyBorder="1" applyFont="1" applyNumberFormat="1"/>
    <xf borderId="8" fillId="0" fontId="6" numFmtId="0" xfId="0" applyAlignment="1" applyBorder="1" applyFont="1">
      <alignment vertical="center"/>
    </xf>
    <xf borderId="13" fillId="0" fontId="3" numFmtId="2" xfId="0" applyBorder="1" applyFont="1" applyNumberFormat="1"/>
    <xf borderId="21" fillId="4" fontId="6" numFmtId="0" xfId="0" applyAlignment="1" applyBorder="1" applyFont="1">
      <alignment vertical="center"/>
    </xf>
    <xf borderId="14" fillId="4" fontId="3" numFmtId="1" xfId="0" applyBorder="1" applyFont="1" applyNumberFormat="1"/>
    <xf borderId="13" fillId="0" fontId="3" numFmtId="1" xfId="0" applyBorder="1" applyFont="1" applyNumberFormat="1"/>
    <xf borderId="14" fillId="4" fontId="3" numFmtId="168" xfId="0" applyBorder="1" applyFont="1" applyNumberFormat="1"/>
    <xf borderId="13" fillId="0" fontId="3" numFmtId="168" xfId="0" applyBorder="1" applyFont="1" applyNumberFormat="1"/>
    <xf borderId="14" fillId="4" fontId="3" numFmtId="165" xfId="0" applyBorder="1" applyFont="1" applyNumberFormat="1"/>
    <xf borderId="7" fillId="0" fontId="3" numFmtId="49" xfId="0" applyAlignment="1" applyBorder="1" applyFont="1" applyNumberFormat="1">
      <alignment horizontal="right" shrinkToFit="0" vertical="center" wrapText="1"/>
    </xf>
    <xf borderId="13" fillId="0" fontId="3" numFmtId="165" xfId="0" applyBorder="1" applyFont="1" applyNumberFormat="1"/>
    <xf borderId="7" fillId="4" fontId="3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4" fontId="3" numFmtId="0" xfId="0" applyAlignment="1" applyBorder="1" applyFont="1">
      <alignment vertical="center"/>
    </xf>
    <xf borderId="7" fillId="0" fontId="3" numFmtId="2" xfId="0" applyAlignment="1" applyBorder="1" applyFont="1" applyNumberFormat="1">
      <alignment vertical="center"/>
    </xf>
    <xf borderId="7" fillId="4" fontId="3" numFmtId="171" xfId="0" applyAlignment="1" applyBorder="1" applyFont="1" applyNumberFormat="1">
      <alignment horizontal="right" shrinkToFit="0" vertical="center" wrapText="1"/>
    </xf>
    <xf borderId="14" fillId="4" fontId="3" numFmtId="164" xfId="0" applyBorder="1" applyFont="1" applyNumberFormat="1"/>
    <xf borderId="7" fillId="5" fontId="3" numFmtId="171" xfId="0" applyAlignment="1" applyBorder="1" applyFont="1" applyNumberFormat="1">
      <alignment horizontal="right" shrinkToFit="0" vertical="center" wrapText="1"/>
    </xf>
    <xf borderId="13" fillId="0" fontId="3" numFmtId="164" xfId="0" applyBorder="1" applyFont="1" applyNumberFormat="1"/>
    <xf borderId="21" fillId="4" fontId="3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14" fillId="4" fontId="6" numFmtId="0" xfId="0" applyAlignment="1" applyBorder="1" applyFont="1">
      <alignment shrinkToFit="0" vertical="center" wrapText="1"/>
    </xf>
    <xf borderId="21" fillId="4" fontId="6" numFmtId="165" xfId="0" applyAlignment="1" applyBorder="1" applyFont="1" applyNumberFormat="1">
      <alignment horizontal="right" shrinkToFit="0" vertical="center" wrapText="1"/>
    </xf>
    <xf borderId="8" fillId="0" fontId="6" numFmtId="165" xfId="0" applyAlignment="1" applyBorder="1" applyFont="1" applyNumberFormat="1">
      <alignment horizontal="right" shrinkToFit="0" vertical="center" wrapText="1"/>
    </xf>
    <xf borderId="13" fillId="0" fontId="3" numFmtId="0" xfId="0" applyAlignment="1" applyBorder="1" applyFont="1">
      <alignment horizontal="right" shrinkToFit="0" vertical="center" wrapText="1"/>
    </xf>
    <xf borderId="13" fillId="0" fontId="3" numFmtId="0" xfId="0" applyBorder="1" applyFont="1"/>
    <xf borderId="0" fillId="0" fontId="4" numFmtId="168" xfId="0" applyFont="1" applyNumberFormat="1"/>
    <xf borderId="13" fillId="0" fontId="3" numFmtId="165" xfId="0" applyAlignment="1" applyBorder="1" applyFont="1" applyNumberFormat="1">
      <alignment horizontal="right" shrinkToFit="0" vertical="center" wrapText="1"/>
    </xf>
    <xf borderId="12" fillId="0" fontId="3" numFmtId="165" xfId="0" applyBorder="1" applyFont="1" applyNumberFormat="1"/>
    <xf borderId="13" fillId="0" fontId="3" numFmtId="2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7" fillId="0" fontId="9" numFmtId="3" xfId="0" applyBorder="1" applyFont="1" applyNumberFormat="1"/>
    <xf borderId="16" fillId="0" fontId="1" numFmtId="0" xfId="0" applyAlignment="1" applyBorder="1" applyFont="1">
      <alignment horizontal="center" shrinkToFit="0" vertical="center" wrapText="1"/>
    </xf>
    <xf borderId="27" fillId="5" fontId="1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10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vertical="center"/>
    </xf>
    <xf borderId="0" fillId="0" fontId="4" numFmtId="0" xfId="0" applyFont="1"/>
    <xf borderId="21" fillId="3" fontId="1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center"/>
    </xf>
    <xf borderId="14" fillId="4" fontId="3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left" vertical="center"/>
    </xf>
    <xf borderId="13" fillId="0" fontId="3" numFmtId="3" xfId="0" applyAlignment="1" applyBorder="1" applyFont="1" applyNumberFormat="1">
      <alignment horizontal="right" shrinkToFit="0" vertical="center" wrapText="1"/>
    </xf>
    <xf borderId="7" fillId="4" fontId="3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4" fillId="4" fontId="6" numFmtId="0" xfId="0" applyAlignment="1" applyBorder="1" applyFont="1">
      <alignment horizontal="left" shrinkToFit="0" vertical="center" wrapText="1"/>
    </xf>
    <xf borderId="0" fillId="0" fontId="3" numFmtId="2" xfId="0" applyFont="1" applyNumberFormat="1"/>
    <xf borderId="7" fillId="4" fontId="6" numFmtId="0" xfId="0" applyAlignment="1" applyBorder="1" applyFont="1">
      <alignment horizontal="left" shrinkToFit="0" vertical="center" wrapText="1"/>
    </xf>
    <xf borderId="11" fillId="0" fontId="3" numFmtId="1" xfId="0" applyAlignment="1" applyBorder="1" applyFont="1" applyNumberFormat="1">
      <alignment horizontal="right" shrinkToFit="0" vertical="center" wrapText="1"/>
    </xf>
    <xf borderId="13" fillId="0" fontId="3" numFmtId="168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25" fillId="3" fontId="1" numFmtId="0" xfId="0" applyBorder="1" applyFont="1"/>
    <xf borderId="14" fillId="4" fontId="3" numFmtId="0" xfId="0" applyAlignment="1" applyBorder="1" applyFont="1">
      <alignment horizontal="left" shrinkToFit="0" vertical="center" wrapText="1"/>
    </xf>
    <xf borderId="14" fillId="4" fontId="3" numFmtId="49" xfId="0" applyAlignment="1" applyBorder="1" applyFont="1" applyNumberFormat="1">
      <alignment horizontal="right" shrinkToFit="0" vertical="center" wrapText="1"/>
    </xf>
    <xf borderId="21" fillId="4" fontId="3" numFmtId="165" xfId="0" applyAlignment="1" applyBorder="1" applyFont="1" applyNumberFormat="1">
      <alignment horizontal="right" shrinkToFit="0" vertical="center" wrapText="1"/>
    </xf>
    <xf borderId="8" fillId="0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28" fillId="3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anila%20Bay/Desktop/Water%20Reports/REPORTS%20FOR%20RIVERS%20AND%20RIVER%20MOUTHS%202018/WQMS%20and%20Lab%20Reports/WQMS%20Results%20for%20River%20Mouths%20and%20Rivers/Rivers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8.71"/>
    <col customWidth="1" min="4" max="4" width="37.0"/>
    <col customWidth="1" min="5" max="11" width="10.71"/>
    <col customWidth="1" min="12" max="12" width="12.86"/>
    <col customWidth="1" min="13" max="13" width="14.0"/>
    <col customWidth="1" min="14" max="14" width="12.71"/>
    <col customWidth="1" min="15" max="15" width="20.14"/>
    <col customWidth="1" min="16" max="16" width="10.7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" t="s">
        <v>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4" t="s">
        <v>23</v>
      </c>
      <c r="B7" s="15" t="s">
        <v>24</v>
      </c>
      <c r="C7" s="16">
        <v>1.0</v>
      </c>
      <c r="D7" s="17" t="s">
        <v>25</v>
      </c>
      <c r="E7" s="18" t="s">
        <v>26</v>
      </c>
      <c r="F7" s="18">
        <v>2.82</v>
      </c>
      <c r="G7" s="18">
        <v>4.15</v>
      </c>
      <c r="H7" s="18" t="s">
        <v>26</v>
      </c>
      <c r="I7" s="18" t="s">
        <v>26</v>
      </c>
      <c r="J7" s="18">
        <v>4.1</v>
      </c>
      <c r="K7" s="18" t="s">
        <v>26</v>
      </c>
      <c r="L7" s="18">
        <v>3.45</v>
      </c>
      <c r="M7" s="18">
        <v>2.67</v>
      </c>
      <c r="N7" s="18">
        <v>4.07</v>
      </c>
      <c r="O7" s="18">
        <v>4.37</v>
      </c>
      <c r="P7" s="18">
        <v>3.57</v>
      </c>
      <c r="Q7" s="19">
        <f t="shared" ref="Q7:Q36" si="1">AVERAGE(E7,F7,G7,H7,I7,J7,K7,L7,M7,N7,O7,P7)</f>
        <v>3.65</v>
      </c>
      <c r="R7" s="17">
        <v>5.0</v>
      </c>
    </row>
    <row r="8">
      <c r="A8" s="20"/>
      <c r="B8" s="21"/>
      <c r="C8" s="22">
        <v>2.0</v>
      </c>
      <c r="D8" s="23" t="s">
        <v>27</v>
      </c>
      <c r="E8" s="24" t="s">
        <v>26</v>
      </c>
      <c r="F8" s="24">
        <v>2.16</v>
      </c>
      <c r="G8" s="24">
        <v>4.4</v>
      </c>
      <c r="H8" s="24" t="s">
        <v>26</v>
      </c>
      <c r="I8" s="24" t="s">
        <v>26</v>
      </c>
      <c r="J8" s="24">
        <v>3.85</v>
      </c>
      <c r="K8" s="24" t="s">
        <v>26</v>
      </c>
      <c r="L8" s="24">
        <v>0.81</v>
      </c>
      <c r="M8" s="24">
        <v>2.26</v>
      </c>
      <c r="N8" s="24">
        <v>4.28</v>
      </c>
      <c r="O8" s="24">
        <v>4.59</v>
      </c>
      <c r="P8" s="24">
        <v>3.26</v>
      </c>
      <c r="Q8" s="25">
        <f t="shared" si="1"/>
        <v>3.20125</v>
      </c>
      <c r="R8" s="23">
        <v>5.0</v>
      </c>
    </row>
    <row r="9">
      <c r="A9" s="20"/>
      <c r="B9" s="21"/>
      <c r="C9" s="22">
        <v>3.0</v>
      </c>
      <c r="D9" s="23" t="s">
        <v>28</v>
      </c>
      <c r="E9" s="24" t="s">
        <v>26</v>
      </c>
      <c r="F9" s="24">
        <v>0.76</v>
      </c>
      <c r="G9" s="24">
        <v>0.38</v>
      </c>
      <c r="H9" s="24" t="s">
        <v>26</v>
      </c>
      <c r="I9" s="24" t="s">
        <v>26</v>
      </c>
      <c r="J9" s="24">
        <v>1.5</v>
      </c>
      <c r="K9" s="24" t="s">
        <v>26</v>
      </c>
      <c r="L9" s="24">
        <v>0.81</v>
      </c>
      <c r="M9" s="24">
        <v>0.61</v>
      </c>
      <c r="N9" s="24">
        <v>0.9</v>
      </c>
      <c r="O9" s="24">
        <v>3.65</v>
      </c>
      <c r="P9" s="24">
        <v>2.62</v>
      </c>
      <c r="Q9" s="25">
        <f t="shared" si="1"/>
        <v>1.40375</v>
      </c>
      <c r="R9" s="23">
        <v>5.0</v>
      </c>
    </row>
    <row r="10">
      <c r="A10" s="20"/>
      <c r="B10" s="21"/>
      <c r="C10" s="22">
        <v>4.0</v>
      </c>
      <c r="D10" s="23" t="s">
        <v>29</v>
      </c>
      <c r="E10" s="24" t="s">
        <v>26</v>
      </c>
      <c r="F10" s="24">
        <v>0.07</v>
      </c>
      <c r="G10" s="24">
        <v>0.21</v>
      </c>
      <c r="H10" s="24" t="s">
        <v>26</v>
      </c>
      <c r="I10" s="24" t="s">
        <v>26</v>
      </c>
      <c r="J10" s="24">
        <v>1.09</v>
      </c>
      <c r="K10" s="24" t="s">
        <v>26</v>
      </c>
      <c r="L10" s="24">
        <v>0.2</v>
      </c>
      <c r="M10" s="24">
        <v>0.37</v>
      </c>
      <c r="N10" s="24">
        <v>1.03</v>
      </c>
      <c r="O10" s="24">
        <v>3.58</v>
      </c>
      <c r="P10" s="24">
        <v>2.46</v>
      </c>
      <c r="Q10" s="25">
        <f t="shared" si="1"/>
        <v>1.12625</v>
      </c>
      <c r="R10" s="23">
        <v>5.0</v>
      </c>
    </row>
    <row r="11">
      <c r="A11" s="20"/>
      <c r="B11" s="26"/>
      <c r="C11" s="22">
        <v>5.0</v>
      </c>
      <c r="D11" s="23" t="s">
        <v>30</v>
      </c>
      <c r="E11" s="24" t="s">
        <v>26</v>
      </c>
      <c r="F11" s="24">
        <v>0.49</v>
      </c>
      <c r="G11" s="24">
        <v>0.2</v>
      </c>
      <c r="H11" s="24" t="s">
        <v>26</v>
      </c>
      <c r="I11" s="24" t="s">
        <v>26</v>
      </c>
      <c r="J11" s="24">
        <v>0.95</v>
      </c>
      <c r="K11" s="24" t="s">
        <v>26</v>
      </c>
      <c r="L11" s="24">
        <v>0.18</v>
      </c>
      <c r="M11" s="24">
        <v>0.28</v>
      </c>
      <c r="N11" s="24">
        <v>1.48</v>
      </c>
      <c r="O11" s="24">
        <v>4.18</v>
      </c>
      <c r="P11" s="24">
        <v>2.6</v>
      </c>
      <c r="Q11" s="25">
        <f t="shared" si="1"/>
        <v>1.295</v>
      </c>
      <c r="R11" s="23">
        <v>5.0</v>
      </c>
    </row>
    <row r="12">
      <c r="A12" s="20"/>
      <c r="B12" s="15" t="s">
        <v>31</v>
      </c>
      <c r="C12" s="16">
        <v>1.0</v>
      </c>
      <c r="D12" s="17" t="s">
        <v>25</v>
      </c>
      <c r="E12" s="27">
        <v>41.0</v>
      </c>
      <c r="F12" s="27">
        <v>36.0</v>
      </c>
      <c r="G12" s="27">
        <v>50.0</v>
      </c>
      <c r="H12" s="18" t="s">
        <v>26</v>
      </c>
      <c r="I12" s="18" t="s">
        <v>26</v>
      </c>
      <c r="J12" s="27">
        <v>10.0</v>
      </c>
      <c r="K12" s="18" t="s">
        <v>26</v>
      </c>
      <c r="L12" s="27">
        <v>12.0</v>
      </c>
      <c r="M12" s="27">
        <v>44.0</v>
      </c>
      <c r="N12" s="27">
        <v>14.0</v>
      </c>
      <c r="O12" s="27">
        <v>6.0</v>
      </c>
      <c r="P12" s="27">
        <v>11.0</v>
      </c>
      <c r="Q12" s="28">
        <f t="shared" si="1"/>
        <v>24.88888889</v>
      </c>
      <c r="R12" s="17">
        <v>7.0</v>
      </c>
    </row>
    <row r="13">
      <c r="A13" s="20"/>
      <c r="B13" s="21"/>
      <c r="C13" s="22">
        <v>2.0</v>
      </c>
      <c r="D13" s="23" t="s">
        <v>27</v>
      </c>
      <c r="E13" s="29">
        <v>60.0</v>
      </c>
      <c r="F13" s="29">
        <v>26.0</v>
      </c>
      <c r="G13" s="29">
        <v>61.0</v>
      </c>
      <c r="H13" s="24" t="s">
        <v>26</v>
      </c>
      <c r="I13" s="24" t="s">
        <v>26</v>
      </c>
      <c r="J13" s="29">
        <v>163.0</v>
      </c>
      <c r="K13" s="24" t="s">
        <v>26</v>
      </c>
      <c r="L13" s="29">
        <v>23.0</v>
      </c>
      <c r="M13" s="29">
        <v>48.0</v>
      </c>
      <c r="N13" s="29">
        <v>18.0</v>
      </c>
      <c r="O13" s="29">
        <v>7.0</v>
      </c>
      <c r="P13" s="29">
        <v>12.0</v>
      </c>
      <c r="Q13" s="30">
        <f t="shared" si="1"/>
        <v>46.44444444</v>
      </c>
      <c r="R13" s="23">
        <v>7.0</v>
      </c>
    </row>
    <row r="14">
      <c r="A14" s="20"/>
      <c r="B14" s="21"/>
      <c r="C14" s="22">
        <v>3.0</v>
      </c>
      <c r="D14" s="23" t="s">
        <v>28</v>
      </c>
      <c r="E14" s="29">
        <v>50.0</v>
      </c>
      <c r="F14" s="29">
        <v>53.0</v>
      </c>
      <c r="G14" s="29">
        <v>34.0</v>
      </c>
      <c r="H14" s="24" t="s">
        <v>26</v>
      </c>
      <c r="I14" s="24" t="s">
        <v>26</v>
      </c>
      <c r="J14" s="29">
        <v>11.0</v>
      </c>
      <c r="K14" s="24" t="s">
        <v>26</v>
      </c>
      <c r="L14" s="29">
        <v>17.0</v>
      </c>
      <c r="M14" s="29">
        <v>44.0</v>
      </c>
      <c r="N14" s="29">
        <v>17.0</v>
      </c>
      <c r="O14" s="29">
        <v>9.0</v>
      </c>
      <c r="P14" s="29">
        <v>29.0</v>
      </c>
      <c r="Q14" s="30">
        <f t="shared" si="1"/>
        <v>29.33333333</v>
      </c>
      <c r="R14" s="23">
        <v>7.0</v>
      </c>
    </row>
    <row r="15">
      <c r="A15" s="20"/>
      <c r="B15" s="21"/>
      <c r="C15" s="22">
        <v>4.0</v>
      </c>
      <c r="D15" s="23" t="s">
        <v>29</v>
      </c>
      <c r="E15" s="29">
        <v>43.0</v>
      </c>
      <c r="F15" s="29">
        <v>69.0</v>
      </c>
      <c r="G15" s="29">
        <v>25.0</v>
      </c>
      <c r="H15" s="24" t="s">
        <v>26</v>
      </c>
      <c r="I15" s="24" t="s">
        <v>26</v>
      </c>
      <c r="J15" s="29">
        <v>31.0</v>
      </c>
      <c r="K15" s="24" t="s">
        <v>26</v>
      </c>
      <c r="L15" s="29">
        <v>17.0</v>
      </c>
      <c r="M15" s="29">
        <v>40.0</v>
      </c>
      <c r="N15" s="29">
        <v>59.0</v>
      </c>
      <c r="O15" s="29">
        <v>12.0</v>
      </c>
      <c r="P15" s="29">
        <v>66.0</v>
      </c>
      <c r="Q15" s="30">
        <f t="shared" si="1"/>
        <v>40.22222222</v>
      </c>
      <c r="R15" s="23">
        <v>7.0</v>
      </c>
    </row>
    <row r="16">
      <c r="A16" s="20"/>
      <c r="B16" s="26"/>
      <c r="C16" s="22">
        <v>5.0</v>
      </c>
      <c r="D16" s="23" t="s">
        <v>30</v>
      </c>
      <c r="E16" s="29">
        <v>33.0</v>
      </c>
      <c r="F16" s="29">
        <v>37.0</v>
      </c>
      <c r="G16" s="29">
        <v>57.0</v>
      </c>
      <c r="H16" s="24" t="s">
        <v>26</v>
      </c>
      <c r="I16" s="24" t="s">
        <v>26</v>
      </c>
      <c r="J16" s="29">
        <v>29.0</v>
      </c>
      <c r="K16" s="24" t="s">
        <v>26</v>
      </c>
      <c r="L16" s="29">
        <v>20.0</v>
      </c>
      <c r="M16" s="29">
        <v>86.0</v>
      </c>
      <c r="N16" s="29">
        <v>165.0</v>
      </c>
      <c r="O16" s="29">
        <v>12.0</v>
      </c>
      <c r="P16" s="29">
        <v>29.0</v>
      </c>
      <c r="Q16" s="30">
        <f t="shared" si="1"/>
        <v>52</v>
      </c>
      <c r="R16" s="23">
        <v>7.0</v>
      </c>
    </row>
    <row r="17">
      <c r="A17" s="20"/>
      <c r="B17" s="15" t="s">
        <v>32</v>
      </c>
      <c r="C17" s="16">
        <v>1.0</v>
      </c>
      <c r="D17" s="17" t="s">
        <v>25</v>
      </c>
      <c r="E17" s="27">
        <v>20.0</v>
      </c>
      <c r="F17" s="27">
        <v>25.0</v>
      </c>
      <c r="G17" s="27">
        <v>19.0</v>
      </c>
      <c r="H17" s="18" t="s">
        <v>26</v>
      </c>
      <c r="I17" s="18" t="s">
        <v>26</v>
      </c>
      <c r="J17" s="27">
        <v>68.0</v>
      </c>
      <c r="K17" s="18" t="s">
        <v>26</v>
      </c>
      <c r="L17" s="27">
        <v>12.0</v>
      </c>
      <c r="M17" s="27">
        <v>22.0</v>
      </c>
      <c r="N17" s="27">
        <v>10.0</v>
      </c>
      <c r="O17" s="27">
        <v>14.0</v>
      </c>
      <c r="P17" s="27">
        <v>14.0</v>
      </c>
      <c r="Q17" s="28">
        <f t="shared" si="1"/>
        <v>22.66666667</v>
      </c>
      <c r="R17" s="17">
        <v>80.0</v>
      </c>
    </row>
    <row r="18">
      <c r="A18" s="20"/>
      <c r="B18" s="21"/>
      <c r="C18" s="22">
        <v>2.0</v>
      </c>
      <c r="D18" s="23" t="s">
        <v>27</v>
      </c>
      <c r="E18" s="29">
        <v>19.0</v>
      </c>
      <c r="F18" s="29">
        <v>12.0</v>
      </c>
      <c r="G18" s="29">
        <v>28.0</v>
      </c>
      <c r="H18" s="24" t="s">
        <v>26</v>
      </c>
      <c r="I18" s="24" t="s">
        <v>26</v>
      </c>
      <c r="J18" s="29">
        <v>21.0</v>
      </c>
      <c r="K18" s="24" t="s">
        <v>26</v>
      </c>
      <c r="L18" s="29">
        <v>23.0</v>
      </c>
      <c r="M18" s="29">
        <v>21.0</v>
      </c>
      <c r="N18" s="29">
        <v>13.0</v>
      </c>
      <c r="O18" s="29">
        <v>16.0</v>
      </c>
      <c r="P18" s="29">
        <v>12.0</v>
      </c>
      <c r="Q18" s="30">
        <f t="shared" si="1"/>
        <v>18.33333333</v>
      </c>
      <c r="R18" s="23">
        <v>80.0</v>
      </c>
    </row>
    <row r="19">
      <c r="A19" s="20"/>
      <c r="B19" s="21"/>
      <c r="C19" s="22">
        <v>3.0</v>
      </c>
      <c r="D19" s="23" t="s">
        <v>28</v>
      </c>
      <c r="E19" s="29">
        <v>16.0</v>
      </c>
      <c r="F19" s="29">
        <v>54.0</v>
      </c>
      <c r="G19" s="29">
        <v>13.0</v>
      </c>
      <c r="H19" s="24" t="s">
        <v>26</v>
      </c>
      <c r="I19" s="24" t="s">
        <v>26</v>
      </c>
      <c r="J19" s="29">
        <v>23.0</v>
      </c>
      <c r="K19" s="24" t="s">
        <v>26</v>
      </c>
      <c r="L19" s="29">
        <v>17.0</v>
      </c>
      <c r="M19" s="29">
        <v>23.0</v>
      </c>
      <c r="N19" s="29">
        <v>17.0</v>
      </c>
      <c r="O19" s="29">
        <v>27.0</v>
      </c>
      <c r="P19" s="29">
        <v>14.0</v>
      </c>
      <c r="Q19" s="30">
        <f t="shared" si="1"/>
        <v>22.66666667</v>
      </c>
      <c r="R19" s="23">
        <v>80.0</v>
      </c>
    </row>
    <row r="20">
      <c r="A20" s="20"/>
      <c r="B20" s="21"/>
      <c r="C20" s="22">
        <v>4.0</v>
      </c>
      <c r="D20" s="23" t="s">
        <v>29</v>
      </c>
      <c r="E20" s="29">
        <v>24.0</v>
      </c>
      <c r="F20" s="29">
        <v>25.0</v>
      </c>
      <c r="G20" s="29">
        <v>49.0</v>
      </c>
      <c r="H20" s="24" t="s">
        <v>26</v>
      </c>
      <c r="I20" s="24" t="s">
        <v>26</v>
      </c>
      <c r="J20" s="29">
        <v>25.0</v>
      </c>
      <c r="K20" s="24" t="s">
        <v>26</v>
      </c>
      <c r="L20" s="29">
        <v>17.0</v>
      </c>
      <c r="M20" s="29">
        <v>35.0</v>
      </c>
      <c r="N20" s="29">
        <v>12.0</v>
      </c>
      <c r="O20" s="29">
        <v>30.0</v>
      </c>
      <c r="P20" s="29">
        <v>21.0</v>
      </c>
      <c r="Q20" s="30">
        <f t="shared" si="1"/>
        <v>26.44444444</v>
      </c>
      <c r="R20" s="23">
        <v>80.0</v>
      </c>
    </row>
    <row r="21" ht="15.75" customHeight="1">
      <c r="A21" s="20"/>
      <c r="B21" s="26"/>
      <c r="C21" s="22">
        <v>5.0</v>
      </c>
      <c r="D21" s="23" t="s">
        <v>30</v>
      </c>
      <c r="E21" s="29">
        <v>23.0</v>
      </c>
      <c r="F21" s="29">
        <v>29.0</v>
      </c>
      <c r="G21" s="29">
        <v>28.0</v>
      </c>
      <c r="H21" s="24" t="s">
        <v>26</v>
      </c>
      <c r="I21" s="24" t="s">
        <v>26</v>
      </c>
      <c r="J21" s="29">
        <v>37.0</v>
      </c>
      <c r="K21" s="24" t="s">
        <v>26</v>
      </c>
      <c r="L21" s="29">
        <v>20.0</v>
      </c>
      <c r="M21" s="29">
        <v>37.0</v>
      </c>
      <c r="N21" s="29">
        <v>10.0</v>
      </c>
      <c r="O21" s="29">
        <v>31.0</v>
      </c>
      <c r="P21" s="29">
        <v>21.0</v>
      </c>
      <c r="Q21" s="30">
        <f t="shared" si="1"/>
        <v>26.22222222</v>
      </c>
      <c r="R21" s="23">
        <v>80.0</v>
      </c>
    </row>
    <row r="22" ht="15.75" customHeight="1">
      <c r="A22" s="20"/>
      <c r="B22" s="15" t="s">
        <v>33</v>
      </c>
      <c r="C22" s="16">
        <v>1.0</v>
      </c>
      <c r="D22" s="17" t="s">
        <v>25</v>
      </c>
      <c r="E22" s="18" t="s">
        <v>26</v>
      </c>
      <c r="F22" s="18">
        <v>7.94</v>
      </c>
      <c r="G22" s="18">
        <v>7.78</v>
      </c>
      <c r="H22" s="18" t="s">
        <v>26</v>
      </c>
      <c r="I22" s="18" t="s">
        <v>26</v>
      </c>
      <c r="J22" s="18">
        <v>8.3</v>
      </c>
      <c r="K22" s="18" t="s">
        <v>26</v>
      </c>
      <c r="L22" s="18">
        <v>8.19</v>
      </c>
      <c r="M22" s="18">
        <v>7.99</v>
      </c>
      <c r="N22" s="18">
        <v>7.88</v>
      </c>
      <c r="O22" s="18">
        <v>7.93</v>
      </c>
      <c r="P22" s="18">
        <v>7.83</v>
      </c>
      <c r="Q22" s="19">
        <f t="shared" si="1"/>
        <v>7.98</v>
      </c>
      <c r="R22" s="18" t="s">
        <v>34</v>
      </c>
    </row>
    <row r="23" ht="15.75" customHeight="1">
      <c r="A23" s="20"/>
      <c r="B23" s="21"/>
      <c r="C23" s="22">
        <v>2.0</v>
      </c>
      <c r="D23" s="23" t="s">
        <v>27</v>
      </c>
      <c r="E23" s="24" t="s">
        <v>26</v>
      </c>
      <c r="F23" s="24">
        <v>7.79</v>
      </c>
      <c r="G23" s="24">
        <v>7.8</v>
      </c>
      <c r="H23" s="24" t="s">
        <v>26</v>
      </c>
      <c r="I23" s="24" t="s">
        <v>26</v>
      </c>
      <c r="J23" s="24">
        <v>8.06</v>
      </c>
      <c r="K23" s="24" t="s">
        <v>26</v>
      </c>
      <c r="L23" s="24">
        <v>8.23</v>
      </c>
      <c r="M23" s="24">
        <v>7.9</v>
      </c>
      <c r="N23" s="24">
        <v>7.86</v>
      </c>
      <c r="O23" s="24">
        <v>8.05</v>
      </c>
      <c r="P23" s="24">
        <v>7.78</v>
      </c>
      <c r="Q23" s="25">
        <f t="shared" si="1"/>
        <v>7.93375</v>
      </c>
      <c r="R23" s="24" t="s">
        <v>34</v>
      </c>
    </row>
    <row r="24" ht="15.75" customHeight="1">
      <c r="A24" s="20"/>
      <c r="B24" s="21"/>
      <c r="C24" s="22">
        <v>3.0</v>
      </c>
      <c r="D24" s="23" t="s">
        <v>28</v>
      </c>
      <c r="E24" s="24" t="s">
        <v>26</v>
      </c>
      <c r="F24" s="24">
        <v>7.42</v>
      </c>
      <c r="G24" s="24">
        <v>7.65</v>
      </c>
      <c r="H24" s="24" t="s">
        <v>26</v>
      </c>
      <c r="I24" s="24" t="s">
        <v>26</v>
      </c>
      <c r="J24" s="24">
        <v>7.96</v>
      </c>
      <c r="K24" s="24" t="s">
        <v>26</v>
      </c>
      <c r="L24" s="24">
        <v>8.23</v>
      </c>
      <c r="M24" s="24">
        <v>7.98</v>
      </c>
      <c r="N24" s="24">
        <v>7.83</v>
      </c>
      <c r="O24" s="24">
        <v>7.73</v>
      </c>
      <c r="P24" s="24">
        <v>7.86</v>
      </c>
      <c r="Q24" s="25">
        <f t="shared" si="1"/>
        <v>7.8325</v>
      </c>
      <c r="R24" s="24" t="s">
        <v>34</v>
      </c>
    </row>
    <row r="25" ht="15.75" customHeight="1">
      <c r="A25" s="20"/>
      <c r="B25" s="21"/>
      <c r="C25" s="22">
        <v>4.0</v>
      </c>
      <c r="D25" s="23" t="s">
        <v>29</v>
      </c>
      <c r="E25" s="24" t="s">
        <v>26</v>
      </c>
      <c r="F25" s="24">
        <v>7.38</v>
      </c>
      <c r="G25" s="24">
        <v>7.5</v>
      </c>
      <c r="H25" s="24" t="s">
        <v>26</v>
      </c>
      <c r="I25" s="24" t="s">
        <v>26</v>
      </c>
      <c r="J25" s="24">
        <v>7.81</v>
      </c>
      <c r="K25" s="24" t="s">
        <v>26</v>
      </c>
      <c r="L25" s="24">
        <v>8.08</v>
      </c>
      <c r="M25" s="24">
        <v>7.64</v>
      </c>
      <c r="N25" s="24">
        <v>7.7</v>
      </c>
      <c r="O25" s="24">
        <v>7.58</v>
      </c>
      <c r="P25" s="24">
        <v>7.69</v>
      </c>
      <c r="Q25" s="25">
        <f t="shared" si="1"/>
        <v>7.6725</v>
      </c>
      <c r="R25" s="24" t="s">
        <v>34</v>
      </c>
    </row>
    <row r="26" ht="15.75" customHeight="1">
      <c r="A26" s="20"/>
      <c r="B26" s="26"/>
      <c r="C26" s="22">
        <v>5.0</v>
      </c>
      <c r="D26" s="23" t="s">
        <v>30</v>
      </c>
      <c r="E26" s="24" t="s">
        <v>26</v>
      </c>
      <c r="F26" s="24">
        <v>7.31</v>
      </c>
      <c r="G26" s="24">
        <v>7.56</v>
      </c>
      <c r="H26" s="24" t="s">
        <v>26</v>
      </c>
      <c r="I26" s="24" t="s">
        <v>26</v>
      </c>
      <c r="J26" s="24">
        <v>7.74</v>
      </c>
      <c r="K26" s="24" t="s">
        <v>26</v>
      </c>
      <c r="L26" s="24">
        <v>8.2</v>
      </c>
      <c r="M26" s="24">
        <v>7.24</v>
      </c>
      <c r="N26" s="24">
        <v>7.53</v>
      </c>
      <c r="O26" s="24">
        <v>7.06</v>
      </c>
      <c r="P26" s="24">
        <v>7.92</v>
      </c>
      <c r="Q26" s="25">
        <f t="shared" si="1"/>
        <v>7.57</v>
      </c>
      <c r="R26" s="24" t="s">
        <v>34</v>
      </c>
    </row>
    <row r="27" ht="15.75" customHeight="1">
      <c r="A27" s="20"/>
      <c r="B27" s="15" t="s">
        <v>35</v>
      </c>
      <c r="C27" s="16">
        <v>1.0</v>
      </c>
      <c r="D27" s="17" t="s">
        <v>25</v>
      </c>
      <c r="E27" s="18" t="s">
        <v>26</v>
      </c>
      <c r="F27" s="18">
        <v>25.2</v>
      </c>
      <c r="G27" s="18">
        <v>30.6</v>
      </c>
      <c r="H27" s="18" t="s">
        <v>26</v>
      </c>
      <c r="I27" s="18" t="s">
        <v>26</v>
      </c>
      <c r="J27" s="18">
        <v>27.03</v>
      </c>
      <c r="K27" s="18" t="s">
        <v>26</v>
      </c>
      <c r="L27" s="18">
        <v>28.5</v>
      </c>
      <c r="M27" s="18">
        <v>30.7</v>
      </c>
      <c r="N27" s="18">
        <v>27.4</v>
      </c>
      <c r="O27" s="18">
        <v>26.53</v>
      </c>
      <c r="P27" s="18">
        <v>26.73</v>
      </c>
      <c r="Q27" s="19">
        <f t="shared" si="1"/>
        <v>27.83625</v>
      </c>
      <c r="R27" s="18" t="s">
        <v>36</v>
      </c>
    </row>
    <row r="28" ht="15.75" customHeight="1">
      <c r="A28" s="20"/>
      <c r="B28" s="21"/>
      <c r="C28" s="22">
        <v>2.0</v>
      </c>
      <c r="D28" s="23" t="s">
        <v>27</v>
      </c>
      <c r="E28" s="24" t="s">
        <v>26</v>
      </c>
      <c r="F28" s="24">
        <v>26.8</v>
      </c>
      <c r="G28" s="24">
        <v>30.1</v>
      </c>
      <c r="H28" s="24" t="s">
        <v>26</v>
      </c>
      <c r="I28" s="24" t="s">
        <v>26</v>
      </c>
      <c r="J28" s="24">
        <v>28.8</v>
      </c>
      <c r="K28" s="24" t="s">
        <v>26</v>
      </c>
      <c r="L28" s="24">
        <v>28.5</v>
      </c>
      <c r="M28" s="24">
        <v>30.03</v>
      </c>
      <c r="N28" s="24">
        <v>27.43</v>
      </c>
      <c r="O28" s="24">
        <v>25.96</v>
      </c>
      <c r="P28" s="24">
        <v>27.08</v>
      </c>
      <c r="Q28" s="25">
        <f t="shared" si="1"/>
        <v>28.0875</v>
      </c>
      <c r="R28" s="24" t="s">
        <v>36</v>
      </c>
    </row>
    <row r="29" ht="15.75" customHeight="1">
      <c r="A29" s="20"/>
      <c r="B29" s="21"/>
      <c r="C29" s="22">
        <v>3.0</v>
      </c>
      <c r="D29" s="23" t="s">
        <v>28</v>
      </c>
      <c r="E29" s="24" t="s">
        <v>26</v>
      </c>
      <c r="F29" s="24">
        <v>28.0</v>
      </c>
      <c r="G29" s="24">
        <v>29.8</v>
      </c>
      <c r="H29" s="24" t="s">
        <v>26</v>
      </c>
      <c r="I29" s="24" t="s">
        <v>26</v>
      </c>
      <c r="J29" s="24">
        <v>27.9</v>
      </c>
      <c r="K29" s="24" t="s">
        <v>26</v>
      </c>
      <c r="L29" s="24">
        <v>28.54</v>
      </c>
      <c r="M29" s="24">
        <v>29.45</v>
      </c>
      <c r="N29" s="24">
        <v>27.53</v>
      </c>
      <c r="O29" s="24">
        <v>26.09</v>
      </c>
      <c r="P29" s="24">
        <v>27.05</v>
      </c>
      <c r="Q29" s="25">
        <f t="shared" si="1"/>
        <v>28.045</v>
      </c>
      <c r="R29" s="24" t="s">
        <v>36</v>
      </c>
    </row>
    <row r="30" ht="15.75" customHeight="1">
      <c r="A30" s="20"/>
      <c r="B30" s="21"/>
      <c r="C30" s="22">
        <v>4.0</v>
      </c>
      <c r="D30" s="23" t="s">
        <v>29</v>
      </c>
      <c r="E30" s="24" t="s">
        <v>26</v>
      </c>
      <c r="F30" s="24">
        <v>27.7</v>
      </c>
      <c r="G30" s="24">
        <v>30.1</v>
      </c>
      <c r="H30" s="24" t="s">
        <v>26</v>
      </c>
      <c r="I30" s="24" t="s">
        <v>26</v>
      </c>
      <c r="J30" s="24">
        <v>29.38</v>
      </c>
      <c r="K30" s="24" t="s">
        <v>26</v>
      </c>
      <c r="L30" s="24">
        <v>28.95</v>
      </c>
      <c r="M30" s="24">
        <v>30.03</v>
      </c>
      <c r="N30" s="24">
        <v>27.8</v>
      </c>
      <c r="O30" s="24">
        <v>25.8</v>
      </c>
      <c r="P30" s="24">
        <v>27.13</v>
      </c>
      <c r="Q30" s="25">
        <f t="shared" si="1"/>
        <v>28.36125</v>
      </c>
      <c r="R30" s="24" t="s">
        <v>36</v>
      </c>
    </row>
    <row r="31" ht="15.75" customHeight="1">
      <c r="A31" s="20"/>
      <c r="B31" s="26"/>
      <c r="C31" s="22">
        <v>5.0</v>
      </c>
      <c r="D31" s="23" t="s">
        <v>30</v>
      </c>
      <c r="E31" s="24" t="s">
        <v>26</v>
      </c>
      <c r="F31" s="24">
        <v>28.3</v>
      </c>
      <c r="G31" s="24">
        <v>29.7</v>
      </c>
      <c r="H31" s="24" t="s">
        <v>26</v>
      </c>
      <c r="I31" s="24" t="s">
        <v>26</v>
      </c>
      <c r="J31" s="24">
        <v>29.75</v>
      </c>
      <c r="K31" s="24" t="s">
        <v>26</v>
      </c>
      <c r="L31" s="24">
        <v>29.0</v>
      </c>
      <c r="M31" s="24">
        <v>31.15</v>
      </c>
      <c r="N31" s="24">
        <v>27.95</v>
      </c>
      <c r="O31" s="24">
        <v>26.63</v>
      </c>
      <c r="P31" s="24">
        <v>27.3</v>
      </c>
      <c r="Q31" s="25">
        <f t="shared" si="1"/>
        <v>28.7225</v>
      </c>
      <c r="R31" s="24" t="s">
        <v>36</v>
      </c>
    </row>
    <row r="32" ht="15.75" customHeight="1">
      <c r="A32" s="20"/>
      <c r="B32" s="15" t="s">
        <v>37</v>
      </c>
      <c r="C32" s="16">
        <v>1.0</v>
      </c>
      <c r="D32" s="17" t="s">
        <v>25</v>
      </c>
      <c r="E32" s="27">
        <v>30.0</v>
      </c>
      <c r="F32" s="27">
        <v>25.0</v>
      </c>
      <c r="G32" s="27">
        <v>50.0</v>
      </c>
      <c r="H32" s="18" t="s">
        <v>26</v>
      </c>
      <c r="I32" s="18" t="s">
        <v>26</v>
      </c>
      <c r="J32" s="27">
        <v>20.0</v>
      </c>
      <c r="K32" s="18" t="s">
        <v>26</v>
      </c>
      <c r="L32" s="27">
        <v>20.0</v>
      </c>
      <c r="M32" s="27">
        <v>30.0</v>
      </c>
      <c r="N32" s="27">
        <v>20.0</v>
      </c>
      <c r="O32" s="27">
        <v>20.0</v>
      </c>
      <c r="P32" s="27">
        <v>30.0</v>
      </c>
      <c r="Q32" s="28">
        <f t="shared" si="1"/>
        <v>27.22222222</v>
      </c>
      <c r="R32" s="17">
        <v>75.0</v>
      </c>
    </row>
    <row r="33" ht="15.75" customHeight="1">
      <c r="A33" s="20"/>
      <c r="B33" s="21"/>
      <c r="C33" s="22">
        <v>2.0</v>
      </c>
      <c r="D33" s="23" t="s">
        <v>27</v>
      </c>
      <c r="E33" s="29">
        <v>25.0</v>
      </c>
      <c r="F33" s="29">
        <v>25.0</v>
      </c>
      <c r="G33" s="29">
        <v>40.0</v>
      </c>
      <c r="H33" s="24" t="s">
        <v>26</v>
      </c>
      <c r="I33" s="24" t="s">
        <v>26</v>
      </c>
      <c r="J33" s="29">
        <v>30.0</v>
      </c>
      <c r="K33" s="24" t="s">
        <v>26</v>
      </c>
      <c r="L33" s="29">
        <v>25.0</v>
      </c>
      <c r="M33" s="29">
        <v>20.0</v>
      </c>
      <c r="N33" s="29">
        <v>20.0</v>
      </c>
      <c r="O33" s="29">
        <v>20.0</v>
      </c>
      <c r="P33" s="29">
        <v>30.0</v>
      </c>
      <c r="Q33" s="30">
        <f t="shared" si="1"/>
        <v>26.11111111</v>
      </c>
      <c r="R33" s="23">
        <v>75.0</v>
      </c>
    </row>
    <row r="34" ht="15.75" customHeight="1">
      <c r="A34" s="20"/>
      <c r="B34" s="21"/>
      <c r="C34" s="22">
        <v>3.0</v>
      </c>
      <c r="D34" s="23" t="s">
        <v>28</v>
      </c>
      <c r="E34" s="29">
        <v>40.0</v>
      </c>
      <c r="F34" s="29">
        <v>40.0</v>
      </c>
      <c r="G34" s="29">
        <v>40.0</v>
      </c>
      <c r="H34" s="24" t="s">
        <v>26</v>
      </c>
      <c r="I34" s="24" t="s">
        <v>26</v>
      </c>
      <c r="J34" s="29">
        <v>30.0</v>
      </c>
      <c r="K34" s="24" t="s">
        <v>26</v>
      </c>
      <c r="L34" s="29">
        <v>25.0</v>
      </c>
      <c r="M34" s="29">
        <v>30.0</v>
      </c>
      <c r="N34" s="29">
        <v>20.0</v>
      </c>
      <c r="O34" s="29">
        <v>30.0</v>
      </c>
      <c r="P34" s="29">
        <v>30.0</v>
      </c>
      <c r="Q34" s="30">
        <f t="shared" si="1"/>
        <v>31.66666667</v>
      </c>
      <c r="R34" s="23">
        <v>75.0</v>
      </c>
    </row>
    <row r="35" ht="15.75" customHeight="1">
      <c r="A35" s="20"/>
      <c r="B35" s="21"/>
      <c r="C35" s="22">
        <v>4.0</v>
      </c>
      <c r="D35" s="23" t="s">
        <v>29</v>
      </c>
      <c r="E35" s="29">
        <v>40.0</v>
      </c>
      <c r="F35" s="29">
        <v>40.0</v>
      </c>
      <c r="G35" s="29">
        <v>25.0</v>
      </c>
      <c r="H35" s="24" t="s">
        <v>26</v>
      </c>
      <c r="I35" s="24" t="s">
        <v>26</v>
      </c>
      <c r="J35" s="29">
        <v>40.0</v>
      </c>
      <c r="K35" s="24" t="s">
        <v>26</v>
      </c>
      <c r="L35" s="29">
        <v>25.0</v>
      </c>
      <c r="M35" s="29">
        <v>30.0</v>
      </c>
      <c r="N35" s="29">
        <v>20.0</v>
      </c>
      <c r="O35" s="29">
        <v>30.0</v>
      </c>
      <c r="P35" s="29">
        <v>30.0</v>
      </c>
      <c r="Q35" s="30">
        <f t="shared" si="1"/>
        <v>31.11111111</v>
      </c>
      <c r="R35" s="23">
        <v>75.0</v>
      </c>
    </row>
    <row r="36" ht="15.75" customHeight="1">
      <c r="A36" s="20"/>
      <c r="B36" s="26"/>
      <c r="C36" s="22">
        <v>5.0</v>
      </c>
      <c r="D36" s="23" t="s">
        <v>30</v>
      </c>
      <c r="E36" s="29">
        <v>40.0</v>
      </c>
      <c r="F36" s="29">
        <v>40.0</v>
      </c>
      <c r="G36" s="29">
        <v>25.0</v>
      </c>
      <c r="H36" s="24" t="s">
        <v>26</v>
      </c>
      <c r="I36" s="24" t="s">
        <v>26</v>
      </c>
      <c r="J36" s="29">
        <v>40.0</v>
      </c>
      <c r="K36" s="24" t="s">
        <v>26</v>
      </c>
      <c r="L36" s="29">
        <v>30.0</v>
      </c>
      <c r="M36" s="29">
        <v>40.0</v>
      </c>
      <c r="N36" s="29">
        <v>20.0</v>
      </c>
      <c r="O36" s="29">
        <v>30.0</v>
      </c>
      <c r="P36" s="29">
        <v>30.0</v>
      </c>
      <c r="Q36" s="30">
        <f t="shared" si="1"/>
        <v>32.77777778</v>
      </c>
      <c r="R36" s="23">
        <v>75.0</v>
      </c>
    </row>
    <row r="37" ht="15.75" customHeight="1">
      <c r="A37" s="20"/>
      <c r="B37" s="15" t="s">
        <v>38</v>
      </c>
      <c r="C37" s="16">
        <v>1.0</v>
      </c>
      <c r="D37" s="17" t="s">
        <v>25</v>
      </c>
      <c r="E37" s="31">
        <v>3.5E7</v>
      </c>
      <c r="F37" s="32">
        <v>1700000.0</v>
      </c>
      <c r="G37" s="31">
        <v>2200000.0</v>
      </c>
      <c r="H37" s="18" t="s">
        <v>26</v>
      </c>
      <c r="I37" s="18" t="s">
        <v>26</v>
      </c>
      <c r="J37" s="32">
        <v>2400000.0</v>
      </c>
      <c r="K37" s="18" t="s">
        <v>26</v>
      </c>
      <c r="L37" s="32">
        <v>1100000.0</v>
      </c>
      <c r="M37" s="32">
        <v>7000000.0</v>
      </c>
      <c r="N37" s="32">
        <v>130000.0</v>
      </c>
      <c r="O37" s="32">
        <v>490000.0</v>
      </c>
      <c r="P37" s="32">
        <v>2.4E7</v>
      </c>
      <c r="Q37" s="33">
        <f t="shared" ref="Q37:Q41" si="2">GEOMEAN(E37,F37,G37,H37,I37,J37,K37,L37,M37,N37,O37,P37)</f>
        <v>2491400.731</v>
      </c>
      <c r="R37" s="17">
        <v>200.0</v>
      </c>
      <c r="S37" s="34">
        <f>geomean(Q37:Q41)</f>
        <v>1699710.634</v>
      </c>
    </row>
    <row r="38" ht="15.75" customHeight="1">
      <c r="A38" s="20"/>
      <c r="B38" s="21"/>
      <c r="C38" s="22">
        <v>2.0</v>
      </c>
      <c r="D38" s="23" t="s">
        <v>27</v>
      </c>
      <c r="E38" s="35">
        <v>2.4E7</v>
      </c>
      <c r="F38" s="36">
        <v>1100000.0</v>
      </c>
      <c r="G38" s="35">
        <v>5400000.0</v>
      </c>
      <c r="H38" s="24" t="s">
        <v>26</v>
      </c>
      <c r="I38" s="24" t="s">
        <v>26</v>
      </c>
      <c r="J38" s="36">
        <v>3500000.0</v>
      </c>
      <c r="K38" s="24" t="s">
        <v>26</v>
      </c>
      <c r="L38" s="36">
        <v>330000.0</v>
      </c>
      <c r="M38" s="36">
        <v>2400000.0</v>
      </c>
      <c r="N38" s="36">
        <v>110000.0</v>
      </c>
      <c r="O38" s="36">
        <v>130000.0</v>
      </c>
      <c r="P38" s="36">
        <v>1.6E7</v>
      </c>
      <c r="Q38" s="37">
        <f t="shared" si="2"/>
        <v>1649532.096</v>
      </c>
      <c r="R38" s="23">
        <v>200.0</v>
      </c>
    </row>
    <row r="39" ht="15.75" customHeight="1">
      <c r="A39" s="20"/>
      <c r="B39" s="21"/>
      <c r="C39" s="22">
        <v>3.0</v>
      </c>
      <c r="D39" s="23" t="s">
        <v>28</v>
      </c>
      <c r="E39" s="35">
        <v>2400000.0</v>
      </c>
      <c r="F39" s="36">
        <v>9200000.0</v>
      </c>
      <c r="G39" s="38">
        <v>700000.0</v>
      </c>
      <c r="H39" s="24" t="s">
        <v>26</v>
      </c>
      <c r="I39" s="24" t="s">
        <v>26</v>
      </c>
      <c r="J39" s="36">
        <v>230000.0</v>
      </c>
      <c r="K39" s="24" t="s">
        <v>26</v>
      </c>
      <c r="L39" s="36">
        <v>130000.0</v>
      </c>
      <c r="M39" s="36">
        <v>1400000.0</v>
      </c>
      <c r="N39" s="36">
        <v>490000.0</v>
      </c>
      <c r="O39" s="36">
        <v>78000.0</v>
      </c>
      <c r="P39" s="36">
        <v>1.7E7</v>
      </c>
      <c r="Q39" s="37">
        <f t="shared" si="2"/>
        <v>908200.5714</v>
      </c>
      <c r="R39" s="23">
        <v>200.0</v>
      </c>
    </row>
    <row r="40" ht="15.75" customHeight="1">
      <c r="A40" s="20"/>
      <c r="B40" s="21"/>
      <c r="C40" s="22">
        <v>4.0</v>
      </c>
      <c r="D40" s="23" t="s">
        <v>29</v>
      </c>
      <c r="E40" s="35">
        <v>3300000.0</v>
      </c>
      <c r="F40" s="36">
        <v>1.1E7</v>
      </c>
      <c r="G40" s="35">
        <v>790000.0</v>
      </c>
      <c r="H40" s="24" t="s">
        <v>26</v>
      </c>
      <c r="I40" s="24" t="s">
        <v>26</v>
      </c>
      <c r="J40" s="36">
        <v>330000.0</v>
      </c>
      <c r="K40" s="24" t="s">
        <v>26</v>
      </c>
      <c r="L40" s="36">
        <v>700000.0</v>
      </c>
      <c r="M40" s="36">
        <v>7000000.0</v>
      </c>
      <c r="N40" s="36">
        <v>700000.0</v>
      </c>
      <c r="O40" s="36">
        <v>68000.0</v>
      </c>
      <c r="P40" s="36">
        <v>2.4E7</v>
      </c>
      <c r="Q40" s="37">
        <f t="shared" si="2"/>
        <v>1554398.744</v>
      </c>
      <c r="R40" s="23">
        <v>200.0</v>
      </c>
    </row>
    <row r="41" ht="15.75" customHeight="1">
      <c r="A41" s="20"/>
      <c r="B41" s="26"/>
      <c r="C41" s="22">
        <v>5.0</v>
      </c>
      <c r="D41" s="23" t="s">
        <v>30</v>
      </c>
      <c r="E41" s="35">
        <v>3300000.0</v>
      </c>
      <c r="F41" s="36">
        <v>3500000.0</v>
      </c>
      <c r="G41" s="35">
        <v>5400000.0</v>
      </c>
      <c r="H41" s="24" t="s">
        <v>26</v>
      </c>
      <c r="I41" s="24" t="s">
        <v>26</v>
      </c>
      <c r="J41" s="36">
        <v>790000.0</v>
      </c>
      <c r="K41" s="24" t="s">
        <v>26</v>
      </c>
      <c r="L41" s="36">
        <v>1300000.0</v>
      </c>
      <c r="M41" s="36">
        <v>9200000.0</v>
      </c>
      <c r="N41" s="36">
        <v>1300000.0</v>
      </c>
      <c r="O41" s="36">
        <v>170000.0</v>
      </c>
      <c r="P41" s="36">
        <v>2.4E7</v>
      </c>
      <c r="Q41" s="37">
        <f t="shared" si="2"/>
        <v>2445267.593</v>
      </c>
      <c r="R41" s="23">
        <v>200.0</v>
      </c>
    </row>
    <row r="42" ht="15.75" customHeight="1">
      <c r="A42" s="20"/>
      <c r="B42" s="15" t="s">
        <v>39</v>
      </c>
      <c r="C42" s="16">
        <v>1.0</v>
      </c>
      <c r="D42" s="17" t="s">
        <v>25</v>
      </c>
      <c r="E42" s="39">
        <v>0.09</v>
      </c>
      <c r="F42" s="18" t="s">
        <v>40</v>
      </c>
      <c r="G42" s="39">
        <v>0.057</v>
      </c>
      <c r="H42" s="18" t="s">
        <v>26</v>
      </c>
      <c r="I42" s="18" t="s">
        <v>26</v>
      </c>
      <c r="J42" s="39">
        <v>0.401</v>
      </c>
      <c r="K42" s="18" t="s">
        <v>26</v>
      </c>
      <c r="L42" s="39">
        <v>0.272</v>
      </c>
      <c r="M42" s="39" t="s">
        <v>40</v>
      </c>
      <c r="N42" s="39">
        <v>0.33</v>
      </c>
      <c r="O42" s="39">
        <v>1.784</v>
      </c>
      <c r="P42" s="18" t="s">
        <v>40</v>
      </c>
      <c r="Q42" s="40">
        <f t="shared" ref="Q42:Q46" si="3">AVERAGE(E42,F42,G42,H42,I42,J42,K42,L42,0.045,N42,O42,P42)</f>
        <v>0.4255714286</v>
      </c>
      <c r="R42" s="17">
        <v>7.0</v>
      </c>
    </row>
    <row r="43" ht="15.75" customHeight="1">
      <c r="A43" s="20"/>
      <c r="B43" s="21"/>
      <c r="C43" s="22">
        <v>2.0</v>
      </c>
      <c r="D43" s="23" t="s">
        <v>27</v>
      </c>
      <c r="E43" s="41">
        <v>0.113</v>
      </c>
      <c r="F43" s="24" t="s">
        <v>40</v>
      </c>
      <c r="G43" s="41">
        <v>0.065</v>
      </c>
      <c r="H43" s="24" t="s">
        <v>26</v>
      </c>
      <c r="I43" s="24" t="s">
        <v>26</v>
      </c>
      <c r="J43" s="41">
        <v>0.339</v>
      </c>
      <c r="K43" s="24" t="s">
        <v>26</v>
      </c>
      <c r="L43" s="41">
        <v>0.178</v>
      </c>
      <c r="M43" s="41" t="s">
        <v>40</v>
      </c>
      <c r="N43" s="41">
        <v>0.507</v>
      </c>
      <c r="O43" s="41">
        <v>1.408</v>
      </c>
      <c r="P43" s="24" t="s">
        <v>40</v>
      </c>
      <c r="Q43" s="42">
        <f t="shared" si="3"/>
        <v>0.3792857143</v>
      </c>
      <c r="R43" s="23">
        <v>7.0</v>
      </c>
    </row>
    <row r="44" ht="15.75" customHeight="1">
      <c r="A44" s="20"/>
      <c r="B44" s="21"/>
      <c r="C44" s="22">
        <v>3.0</v>
      </c>
      <c r="D44" s="23" t="s">
        <v>28</v>
      </c>
      <c r="E44" s="41">
        <v>0.132</v>
      </c>
      <c r="F44" s="24" t="s">
        <v>40</v>
      </c>
      <c r="G44" s="41">
        <v>0.099</v>
      </c>
      <c r="H44" s="24" t="s">
        <v>26</v>
      </c>
      <c r="I44" s="24" t="s">
        <v>26</v>
      </c>
      <c r="J44" s="41">
        <v>0.652</v>
      </c>
      <c r="K44" s="24" t="s">
        <v>26</v>
      </c>
      <c r="L44" s="41">
        <v>0.142</v>
      </c>
      <c r="M44" s="41" t="s">
        <v>40</v>
      </c>
      <c r="N44" s="41">
        <v>0.107</v>
      </c>
      <c r="O44" s="41">
        <v>1.83</v>
      </c>
      <c r="P44" s="24" t="s">
        <v>40</v>
      </c>
      <c r="Q44" s="42">
        <f t="shared" si="3"/>
        <v>0.4295714286</v>
      </c>
      <c r="R44" s="23">
        <v>7.0</v>
      </c>
    </row>
    <row r="45" ht="15.75" customHeight="1">
      <c r="A45" s="20"/>
      <c r="B45" s="21"/>
      <c r="C45" s="22">
        <v>4.0</v>
      </c>
      <c r="D45" s="23" t="s">
        <v>29</v>
      </c>
      <c r="E45" s="41">
        <v>0.139</v>
      </c>
      <c r="F45" s="41">
        <v>0.06</v>
      </c>
      <c r="G45" s="41">
        <v>0.097</v>
      </c>
      <c r="H45" s="24" t="s">
        <v>26</v>
      </c>
      <c r="I45" s="24" t="s">
        <v>26</v>
      </c>
      <c r="J45" s="41">
        <v>0.683</v>
      </c>
      <c r="K45" s="24" t="s">
        <v>26</v>
      </c>
      <c r="L45" s="41">
        <v>0.168</v>
      </c>
      <c r="M45" s="41" t="s">
        <v>40</v>
      </c>
      <c r="N45" s="41" t="s">
        <v>40</v>
      </c>
      <c r="O45" s="41">
        <v>2.255</v>
      </c>
      <c r="P45" s="24" t="s">
        <v>40</v>
      </c>
      <c r="Q45" s="42">
        <f t="shared" si="3"/>
        <v>0.4924285714</v>
      </c>
      <c r="R45" s="23">
        <v>7.0</v>
      </c>
    </row>
    <row r="46" ht="15.75" customHeight="1">
      <c r="A46" s="20"/>
      <c r="B46" s="26"/>
      <c r="C46" s="22">
        <v>5.0</v>
      </c>
      <c r="D46" s="23" t="s">
        <v>30</v>
      </c>
      <c r="E46" s="41">
        <v>0.206</v>
      </c>
      <c r="F46" s="24" t="s">
        <v>40</v>
      </c>
      <c r="G46" s="41">
        <v>0.14</v>
      </c>
      <c r="H46" s="24" t="s">
        <v>26</v>
      </c>
      <c r="I46" s="24" t="s">
        <v>26</v>
      </c>
      <c r="J46" s="41">
        <v>0.662</v>
      </c>
      <c r="K46" s="24" t="s">
        <v>26</v>
      </c>
      <c r="L46" s="41">
        <v>0.141</v>
      </c>
      <c r="M46" s="41" t="s">
        <v>40</v>
      </c>
      <c r="N46" s="41" t="s">
        <v>40</v>
      </c>
      <c r="O46" s="41">
        <v>2.311</v>
      </c>
      <c r="P46" s="24" t="s">
        <v>40</v>
      </c>
      <c r="Q46" s="42">
        <f t="shared" si="3"/>
        <v>0.5841666667</v>
      </c>
      <c r="R46" s="23">
        <v>7.0</v>
      </c>
    </row>
    <row r="47" ht="15.75" customHeight="1">
      <c r="A47" s="20"/>
      <c r="B47" s="15" t="s">
        <v>41</v>
      </c>
      <c r="C47" s="16">
        <v>1.0</v>
      </c>
      <c r="D47" s="17" t="s">
        <v>25</v>
      </c>
      <c r="E47" s="39">
        <v>2.213</v>
      </c>
      <c r="F47" s="39">
        <v>2.47</v>
      </c>
      <c r="G47" s="39">
        <v>2.98</v>
      </c>
      <c r="H47" s="18" t="s">
        <v>26</v>
      </c>
      <c r="I47" s="18" t="s">
        <v>26</v>
      </c>
      <c r="J47" s="39">
        <v>0.826</v>
      </c>
      <c r="K47" s="18" t="s">
        <v>26</v>
      </c>
      <c r="L47" s="39">
        <v>1.28</v>
      </c>
      <c r="M47" s="39">
        <v>1.471</v>
      </c>
      <c r="N47" s="39">
        <v>1.084</v>
      </c>
      <c r="O47" s="39">
        <v>0.644</v>
      </c>
      <c r="P47" s="39">
        <v>1.564</v>
      </c>
      <c r="Q47" s="40">
        <f t="shared" ref="Q47:Q56" si="4">AVERAGE(E47,F47,G47,H47,I47,J47,K47,L47,M47,N47,O47,P47)</f>
        <v>1.614666667</v>
      </c>
      <c r="R47" s="17">
        <v>0.5</v>
      </c>
    </row>
    <row r="48" ht="15.75" customHeight="1">
      <c r="A48" s="20"/>
      <c r="B48" s="21"/>
      <c r="C48" s="22">
        <v>2.0</v>
      </c>
      <c r="D48" s="23" t="s">
        <v>27</v>
      </c>
      <c r="E48" s="41">
        <v>2.277</v>
      </c>
      <c r="F48" s="41">
        <v>2.5</v>
      </c>
      <c r="G48" s="41">
        <v>3.32</v>
      </c>
      <c r="H48" s="24" t="s">
        <v>26</v>
      </c>
      <c r="I48" s="24" t="s">
        <v>26</v>
      </c>
      <c r="J48" s="41">
        <v>0.744</v>
      </c>
      <c r="K48" s="24" t="s">
        <v>26</v>
      </c>
      <c r="L48" s="41">
        <v>1.6</v>
      </c>
      <c r="M48" s="41">
        <v>1.794</v>
      </c>
      <c r="N48" s="41">
        <v>1.062</v>
      </c>
      <c r="O48" s="41">
        <v>0.565</v>
      </c>
      <c r="P48" s="41">
        <v>1.556</v>
      </c>
      <c r="Q48" s="42">
        <f t="shared" si="4"/>
        <v>1.713111111</v>
      </c>
      <c r="R48" s="23">
        <v>0.5</v>
      </c>
    </row>
    <row r="49" ht="15.75" customHeight="1">
      <c r="A49" s="20"/>
      <c r="B49" s="21"/>
      <c r="C49" s="22">
        <v>3.0</v>
      </c>
      <c r="D49" s="23" t="s">
        <v>28</v>
      </c>
      <c r="E49" s="41">
        <v>3.156</v>
      </c>
      <c r="F49" s="41">
        <v>3.17</v>
      </c>
      <c r="G49" s="41">
        <v>3.46</v>
      </c>
      <c r="H49" s="24" t="s">
        <v>26</v>
      </c>
      <c r="I49" s="24" t="s">
        <v>26</v>
      </c>
      <c r="J49" s="41">
        <v>1.381</v>
      </c>
      <c r="K49" s="24" t="s">
        <v>26</v>
      </c>
      <c r="L49" s="41">
        <v>1.48</v>
      </c>
      <c r="M49" s="41">
        <v>2.009</v>
      </c>
      <c r="N49" s="41">
        <v>1.591</v>
      </c>
      <c r="O49" s="41">
        <v>0.668</v>
      </c>
      <c r="P49" s="41">
        <v>1.406</v>
      </c>
      <c r="Q49" s="42">
        <f t="shared" si="4"/>
        <v>2.035666667</v>
      </c>
      <c r="R49" s="23">
        <v>0.5</v>
      </c>
    </row>
    <row r="50" ht="15.75" customHeight="1">
      <c r="A50" s="20"/>
      <c r="B50" s="21"/>
      <c r="C50" s="22">
        <v>4.0</v>
      </c>
      <c r="D50" s="23" t="s">
        <v>29</v>
      </c>
      <c r="E50" s="41">
        <v>3.175</v>
      </c>
      <c r="F50" s="41">
        <v>3.15</v>
      </c>
      <c r="G50" s="41">
        <v>2.18</v>
      </c>
      <c r="H50" s="24" t="s">
        <v>26</v>
      </c>
      <c r="I50" s="24" t="s">
        <v>26</v>
      </c>
      <c r="J50" s="41">
        <v>1.892</v>
      </c>
      <c r="K50" s="24" t="s">
        <v>26</v>
      </c>
      <c r="L50" s="41">
        <v>1.54</v>
      </c>
      <c r="M50" s="41">
        <v>2.22</v>
      </c>
      <c r="N50" s="41">
        <v>1.358</v>
      </c>
      <c r="O50" s="41">
        <v>0.782</v>
      </c>
      <c r="P50" s="41">
        <v>1.419</v>
      </c>
      <c r="Q50" s="42">
        <f t="shared" si="4"/>
        <v>1.968444444</v>
      </c>
      <c r="R50" s="23">
        <v>0.5</v>
      </c>
    </row>
    <row r="51" ht="15.75" customHeight="1">
      <c r="A51" s="20"/>
      <c r="B51" s="26"/>
      <c r="C51" s="22">
        <v>5.0</v>
      </c>
      <c r="D51" s="23" t="s">
        <v>30</v>
      </c>
      <c r="E51" s="41">
        <v>3.202</v>
      </c>
      <c r="F51" s="41">
        <v>3.0</v>
      </c>
      <c r="G51" s="41">
        <v>2.23</v>
      </c>
      <c r="H51" s="24" t="s">
        <v>26</v>
      </c>
      <c r="I51" s="24" t="s">
        <v>26</v>
      </c>
      <c r="J51" s="41">
        <v>1.837</v>
      </c>
      <c r="K51" s="24" t="s">
        <v>26</v>
      </c>
      <c r="L51" s="41">
        <v>1.374</v>
      </c>
      <c r="M51" s="41">
        <v>2.036</v>
      </c>
      <c r="N51" s="41">
        <v>1.009</v>
      </c>
      <c r="O51" s="41">
        <v>0.668</v>
      </c>
      <c r="P51" s="41">
        <v>1.435</v>
      </c>
      <c r="Q51" s="42">
        <f t="shared" si="4"/>
        <v>1.865666667</v>
      </c>
      <c r="R51" s="23">
        <v>0.5</v>
      </c>
    </row>
    <row r="52" ht="15.75" customHeight="1">
      <c r="A52" s="20"/>
      <c r="B52" s="15" t="s">
        <v>42</v>
      </c>
      <c r="C52" s="16">
        <v>1.0</v>
      </c>
      <c r="D52" s="17" t="s">
        <v>25</v>
      </c>
      <c r="E52" s="27">
        <v>38.0</v>
      </c>
      <c r="F52" s="32">
        <v>43.0</v>
      </c>
      <c r="G52" s="27">
        <v>41.0</v>
      </c>
      <c r="H52" s="18" t="s">
        <v>26</v>
      </c>
      <c r="I52" s="18" t="s">
        <v>26</v>
      </c>
      <c r="J52" s="27">
        <v>33.0</v>
      </c>
      <c r="K52" s="18" t="s">
        <v>26</v>
      </c>
      <c r="L52" s="27">
        <v>35.0</v>
      </c>
      <c r="M52" s="27">
        <v>36.0</v>
      </c>
      <c r="N52" s="27">
        <v>33.0</v>
      </c>
      <c r="O52" s="27">
        <v>21.0</v>
      </c>
      <c r="P52" s="27">
        <v>38.0</v>
      </c>
      <c r="Q52" s="33">
        <f t="shared" si="4"/>
        <v>35.33333333</v>
      </c>
      <c r="R52" s="17">
        <v>350.0</v>
      </c>
    </row>
    <row r="53" ht="15.75" customHeight="1">
      <c r="A53" s="20"/>
      <c r="B53" s="21"/>
      <c r="C53" s="22">
        <v>2.0</v>
      </c>
      <c r="D53" s="23" t="s">
        <v>27</v>
      </c>
      <c r="E53" s="29">
        <v>38.0</v>
      </c>
      <c r="F53" s="36">
        <v>42.0</v>
      </c>
      <c r="G53" s="29">
        <v>41.0</v>
      </c>
      <c r="H53" s="24" t="s">
        <v>26</v>
      </c>
      <c r="I53" s="24" t="s">
        <v>26</v>
      </c>
      <c r="J53" s="29">
        <v>30.0</v>
      </c>
      <c r="K53" s="24" t="s">
        <v>26</v>
      </c>
      <c r="L53" s="29">
        <v>35.0</v>
      </c>
      <c r="M53" s="29">
        <v>35.0</v>
      </c>
      <c r="N53" s="29">
        <v>40.0</v>
      </c>
      <c r="O53" s="29">
        <v>21.0</v>
      </c>
      <c r="P53" s="29">
        <v>37.0</v>
      </c>
      <c r="Q53" s="37">
        <f t="shared" si="4"/>
        <v>35.44444444</v>
      </c>
      <c r="R53" s="23">
        <v>350.0</v>
      </c>
    </row>
    <row r="54" ht="15.75" customHeight="1">
      <c r="A54" s="20"/>
      <c r="B54" s="21"/>
      <c r="C54" s="22">
        <v>3.0</v>
      </c>
      <c r="D54" s="23" t="s">
        <v>28</v>
      </c>
      <c r="E54" s="29">
        <v>591.0</v>
      </c>
      <c r="F54" s="36">
        <v>1922.0</v>
      </c>
      <c r="G54" s="29">
        <v>110.0</v>
      </c>
      <c r="H54" s="24" t="s">
        <v>26</v>
      </c>
      <c r="I54" s="24" t="s">
        <v>26</v>
      </c>
      <c r="J54" s="29">
        <v>38.0</v>
      </c>
      <c r="K54" s="24" t="s">
        <v>26</v>
      </c>
      <c r="L54" s="29">
        <v>54.0</v>
      </c>
      <c r="M54" s="29">
        <v>51.0</v>
      </c>
      <c r="N54" s="29">
        <v>43.0</v>
      </c>
      <c r="O54" s="29">
        <v>20.0</v>
      </c>
      <c r="P54" s="29">
        <v>396.0</v>
      </c>
      <c r="Q54" s="37">
        <f t="shared" si="4"/>
        <v>358.3333333</v>
      </c>
      <c r="R54" s="23">
        <v>350.0</v>
      </c>
    </row>
    <row r="55" ht="15.75" customHeight="1">
      <c r="A55" s="20"/>
      <c r="B55" s="21"/>
      <c r="C55" s="22">
        <v>4.0</v>
      </c>
      <c r="D55" s="23" t="s">
        <v>29</v>
      </c>
      <c r="E55" s="29">
        <v>577.0</v>
      </c>
      <c r="F55" s="36">
        <v>1874.0</v>
      </c>
      <c r="G55" s="29">
        <v>715.0</v>
      </c>
      <c r="H55" s="24" t="s">
        <v>26</v>
      </c>
      <c r="I55" s="24" t="s">
        <v>26</v>
      </c>
      <c r="J55" s="29">
        <v>33.0</v>
      </c>
      <c r="K55" s="24" t="s">
        <v>26</v>
      </c>
      <c r="L55" s="29">
        <v>86.0</v>
      </c>
      <c r="M55" s="29">
        <v>182.0</v>
      </c>
      <c r="N55" s="29">
        <v>47.0</v>
      </c>
      <c r="O55" s="29">
        <v>21.0</v>
      </c>
      <c r="P55" s="29">
        <v>377.0</v>
      </c>
      <c r="Q55" s="37">
        <f t="shared" si="4"/>
        <v>434.6666667</v>
      </c>
      <c r="R55" s="23">
        <v>350.0</v>
      </c>
    </row>
    <row r="56" ht="15.75" customHeight="1">
      <c r="A56" s="20"/>
      <c r="B56" s="26"/>
      <c r="C56" s="22">
        <v>5.0</v>
      </c>
      <c r="D56" s="23" t="s">
        <v>30</v>
      </c>
      <c r="E56" s="29">
        <v>586.0</v>
      </c>
      <c r="F56" s="36">
        <v>3172.0</v>
      </c>
      <c r="G56" s="29">
        <v>816.0</v>
      </c>
      <c r="H56" s="24" t="s">
        <v>26</v>
      </c>
      <c r="I56" s="24" t="s">
        <v>26</v>
      </c>
      <c r="J56" s="29">
        <v>42.0</v>
      </c>
      <c r="K56" s="24" t="s">
        <v>26</v>
      </c>
      <c r="L56" s="29">
        <v>166.0</v>
      </c>
      <c r="M56" s="29">
        <v>299.0</v>
      </c>
      <c r="N56" s="29">
        <v>54.0</v>
      </c>
      <c r="O56" s="29">
        <v>19.0</v>
      </c>
      <c r="P56" s="29">
        <v>377.0</v>
      </c>
      <c r="Q56" s="37">
        <f t="shared" si="4"/>
        <v>614.5555556</v>
      </c>
      <c r="R56" s="23">
        <v>350.0</v>
      </c>
    </row>
    <row r="57" ht="15.75" customHeight="1">
      <c r="Q57" s="43">
        <f>GEOMEAN(Q37:Q41)</f>
        <v>1699710.634</v>
      </c>
    </row>
    <row r="58" ht="15.75" customHeight="1">
      <c r="A58" s="44" t="s">
        <v>43</v>
      </c>
    </row>
    <row r="59" ht="15.75" customHeight="1"/>
    <row r="60" ht="15.75" customHeight="1">
      <c r="A60" s="4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61.29"/>
    <col customWidth="1" min="5" max="10" width="10.71"/>
    <col customWidth="1" min="11" max="11" width="14.71"/>
    <col customWidth="1" min="12" max="12" width="12.29"/>
    <col customWidth="1" min="13" max="13" width="14.43"/>
    <col customWidth="1" min="14" max="14" width="11.29"/>
    <col customWidth="1" min="15" max="15" width="12.29"/>
    <col customWidth="1" min="16" max="16" width="12.57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14" t="s">
        <v>23</v>
      </c>
      <c r="B7" s="46" t="s">
        <v>24</v>
      </c>
      <c r="C7" s="16">
        <v>1.0</v>
      </c>
      <c r="D7" s="47" t="s">
        <v>45</v>
      </c>
      <c r="E7" s="48">
        <v>0.0</v>
      </c>
      <c r="F7" s="48">
        <v>0.0</v>
      </c>
      <c r="G7" s="49">
        <v>0.77</v>
      </c>
      <c r="H7" s="18" t="s">
        <v>26</v>
      </c>
      <c r="I7" s="18" t="s">
        <v>26</v>
      </c>
      <c r="J7" s="48">
        <v>0.35</v>
      </c>
      <c r="K7" s="18" t="s">
        <v>26</v>
      </c>
      <c r="L7" s="48">
        <v>0.21</v>
      </c>
      <c r="M7" s="48">
        <v>0.18</v>
      </c>
      <c r="N7" s="48">
        <v>2.35</v>
      </c>
      <c r="O7" s="48">
        <v>1.69</v>
      </c>
      <c r="P7" s="48">
        <v>3.86</v>
      </c>
      <c r="Q7" s="19">
        <f t="shared" ref="Q7:Q36" si="1">AVERAGE(E7,F7,G7,H7,I7,J7,K7,L7,M7,N7,O7,P7)</f>
        <v>1.045555556</v>
      </c>
      <c r="R7" s="17">
        <v>5.0</v>
      </c>
    </row>
    <row r="8">
      <c r="A8" s="20"/>
      <c r="B8" s="21"/>
      <c r="C8" s="22">
        <v>2.0</v>
      </c>
      <c r="D8" s="50" t="s">
        <v>46</v>
      </c>
      <c r="E8" s="51">
        <v>0.0</v>
      </c>
      <c r="F8" s="51">
        <v>0.19</v>
      </c>
      <c r="G8" s="52">
        <v>0.27</v>
      </c>
      <c r="H8" s="24" t="s">
        <v>26</v>
      </c>
      <c r="I8" s="24" t="s">
        <v>26</v>
      </c>
      <c r="J8" s="51">
        <v>0.38</v>
      </c>
      <c r="K8" s="24" t="s">
        <v>26</v>
      </c>
      <c r="L8" s="51">
        <v>0.08</v>
      </c>
      <c r="M8" s="51">
        <v>0.12</v>
      </c>
      <c r="N8" s="51">
        <v>0.55</v>
      </c>
      <c r="O8" s="51">
        <v>1.58</v>
      </c>
      <c r="P8" s="51">
        <v>1.83</v>
      </c>
      <c r="Q8" s="25">
        <f t="shared" si="1"/>
        <v>0.5555555556</v>
      </c>
      <c r="R8" s="23">
        <v>5.0</v>
      </c>
    </row>
    <row r="9">
      <c r="A9" s="20"/>
      <c r="B9" s="21"/>
      <c r="C9" s="22">
        <v>3.0</v>
      </c>
      <c r="D9" s="50" t="s">
        <v>47</v>
      </c>
      <c r="E9" s="51">
        <v>0.0</v>
      </c>
      <c r="F9" s="51">
        <v>0.0</v>
      </c>
      <c r="G9" s="52">
        <v>0.57</v>
      </c>
      <c r="H9" s="24" t="s">
        <v>26</v>
      </c>
      <c r="I9" s="24" t="s">
        <v>26</v>
      </c>
      <c r="J9" s="51">
        <v>0.25</v>
      </c>
      <c r="K9" s="24" t="s">
        <v>26</v>
      </c>
      <c r="L9" s="51">
        <v>0.1</v>
      </c>
      <c r="M9" s="51">
        <v>0.49</v>
      </c>
      <c r="N9" s="51">
        <v>2.11</v>
      </c>
      <c r="O9" s="51">
        <v>1.07</v>
      </c>
      <c r="P9" s="51">
        <v>2.14</v>
      </c>
      <c r="Q9" s="25">
        <f t="shared" si="1"/>
        <v>0.7477777778</v>
      </c>
      <c r="R9" s="23">
        <v>5.0</v>
      </c>
    </row>
    <row r="10">
      <c r="A10" s="20"/>
      <c r="B10" s="21"/>
      <c r="C10" s="22">
        <v>4.0</v>
      </c>
      <c r="D10" s="50" t="s">
        <v>48</v>
      </c>
      <c r="E10" s="51">
        <v>0.0</v>
      </c>
      <c r="F10" s="51">
        <v>0.11</v>
      </c>
      <c r="G10" s="52">
        <v>0.05</v>
      </c>
      <c r="H10" s="24" t="s">
        <v>26</v>
      </c>
      <c r="I10" s="24" t="s">
        <v>26</v>
      </c>
      <c r="J10" s="51">
        <v>0.23</v>
      </c>
      <c r="K10" s="24" t="s">
        <v>26</v>
      </c>
      <c r="L10" s="51">
        <v>0.45</v>
      </c>
      <c r="M10" s="51">
        <v>0.25</v>
      </c>
      <c r="N10" s="51">
        <v>1.02</v>
      </c>
      <c r="O10" s="51">
        <v>1.2</v>
      </c>
      <c r="P10" s="51">
        <v>1.87</v>
      </c>
      <c r="Q10" s="25">
        <f t="shared" si="1"/>
        <v>0.5755555556</v>
      </c>
      <c r="R10" s="23">
        <v>5.0</v>
      </c>
    </row>
    <row r="11">
      <c r="A11" s="20"/>
      <c r="B11" s="26"/>
      <c r="C11" s="22">
        <v>5.0</v>
      </c>
      <c r="D11" s="50" t="s">
        <v>49</v>
      </c>
      <c r="E11" s="51">
        <v>0.0</v>
      </c>
      <c r="F11" s="51">
        <v>0.0</v>
      </c>
      <c r="G11" s="53">
        <v>0.72</v>
      </c>
      <c r="H11" s="24" t="s">
        <v>26</v>
      </c>
      <c r="I11" s="24" t="s">
        <v>26</v>
      </c>
      <c r="J11" s="51">
        <v>2.8</v>
      </c>
      <c r="K11" s="24" t="s">
        <v>26</v>
      </c>
      <c r="L11" s="51">
        <v>2.21</v>
      </c>
      <c r="M11" s="51">
        <v>0.66</v>
      </c>
      <c r="N11" s="51">
        <v>0.9</v>
      </c>
      <c r="O11" s="51">
        <v>1.08</v>
      </c>
      <c r="P11" s="51">
        <v>1.4</v>
      </c>
      <c r="Q11" s="25">
        <f t="shared" si="1"/>
        <v>1.085555556</v>
      </c>
      <c r="R11" s="23">
        <v>5.0</v>
      </c>
    </row>
    <row r="12">
      <c r="A12" s="20"/>
      <c r="B12" s="15" t="s">
        <v>31</v>
      </c>
      <c r="C12" s="16">
        <v>1.0</v>
      </c>
      <c r="D12" s="47" t="s">
        <v>45</v>
      </c>
      <c r="E12" s="54">
        <v>85.0</v>
      </c>
      <c r="F12" s="55">
        <v>88.0</v>
      </c>
      <c r="G12" s="56">
        <v>75.0</v>
      </c>
      <c r="H12" s="18" t="s">
        <v>26</v>
      </c>
      <c r="I12" s="18" t="s">
        <v>26</v>
      </c>
      <c r="J12" s="55">
        <v>37.0</v>
      </c>
      <c r="K12" s="18" t="s">
        <v>26</v>
      </c>
      <c r="L12" s="27">
        <v>3.0</v>
      </c>
      <c r="M12" s="55">
        <v>74.0</v>
      </c>
      <c r="N12" s="55">
        <v>14.0</v>
      </c>
      <c r="O12" s="55">
        <v>84.0</v>
      </c>
      <c r="P12" s="55">
        <v>20.0</v>
      </c>
      <c r="Q12" s="28">
        <f t="shared" si="1"/>
        <v>53.33333333</v>
      </c>
      <c r="R12" s="17">
        <v>7.0</v>
      </c>
    </row>
    <row r="13">
      <c r="A13" s="20"/>
      <c r="B13" s="21"/>
      <c r="C13" s="22">
        <v>2.0</v>
      </c>
      <c r="D13" s="50" t="s">
        <v>46</v>
      </c>
      <c r="E13" s="57">
        <v>95.0</v>
      </c>
      <c r="F13" s="57">
        <v>104.0</v>
      </c>
      <c r="G13" s="58">
        <v>82.0</v>
      </c>
      <c r="H13" s="24" t="s">
        <v>26</v>
      </c>
      <c r="I13" s="24" t="s">
        <v>26</v>
      </c>
      <c r="J13" s="57">
        <v>114.0</v>
      </c>
      <c r="K13" s="24" t="s">
        <v>26</v>
      </c>
      <c r="L13" s="29">
        <v>19.0</v>
      </c>
      <c r="M13" s="57">
        <v>18.0</v>
      </c>
      <c r="N13" s="57">
        <v>77.0</v>
      </c>
      <c r="O13" s="57">
        <v>59.0</v>
      </c>
      <c r="P13" s="57">
        <v>57.0</v>
      </c>
      <c r="Q13" s="30">
        <f t="shared" si="1"/>
        <v>69.44444444</v>
      </c>
      <c r="R13" s="23">
        <v>7.0</v>
      </c>
    </row>
    <row r="14">
      <c r="A14" s="20"/>
      <c r="B14" s="21"/>
      <c r="C14" s="22">
        <v>3.0</v>
      </c>
      <c r="D14" s="50" t="s">
        <v>47</v>
      </c>
      <c r="E14" s="57">
        <v>64.0</v>
      </c>
      <c r="F14" s="57">
        <v>106.0</v>
      </c>
      <c r="G14" s="58">
        <v>159.0</v>
      </c>
      <c r="H14" s="24" t="s">
        <v>26</v>
      </c>
      <c r="I14" s="24" t="s">
        <v>26</v>
      </c>
      <c r="J14" s="57">
        <v>86.0</v>
      </c>
      <c r="K14" s="24" t="s">
        <v>26</v>
      </c>
      <c r="L14" s="29">
        <v>23.0</v>
      </c>
      <c r="M14" s="57">
        <v>16.0</v>
      </c>
      <c r="N14" s="57">
        <v>49.0</v>
      </c>
      <c r="O14" s="57">
        <v>120.0</v>
      </c>
      <c r="P14" s="57">
        <v>61.0</v>
      </c>
      <c r="Q14" s="30">
        <f t="shared" si="1"/>
        <v>76</v>
      </c>
      <c r="R14" s="23">
        <v>7.0</v>
      </c>
    </row>
    <row r="15">
      <c r="A15" s="20"/>
      <c r="B15" s="21"/>
      <c r="C15" s="22">
        <v>4.0</v>
      </c>
      <c r="D15" s="50" t="s">
        <v>48</v>
      </c>
      <c r="E15" s="57">
        <v>85.0</v>
      </c>
      <c r="F15" s="57">
        <v>94.0</v>
      </c>
      <c r="G15" s="58">
        <v>156.0</v>
      </c>
      <c r="H15" s="24" t="s">
        <v>26</v>
      </c>
      <c r="I15" s="24" t="s">
        <v>26</v>
      </c>
      <c r="J15" s="57">
        <v>33.0</v>
      </c>
      <c r="K15" s="24" t="s">
        <v>26</v>
      </c>
      <c r="L15" s="29">
        <v>14.0</v>
      </c>
      <c r="M15" s="57">
        <v>14.0</v>
      </c>
      <c r="N15" s="57">
        <v>136.0</v>
      </c>
      <c r="O15" s="57">
        <v>38.0</v>
      </c>
      <c r="P15" s="57">
        <v>55.0</v>
      </c>
      <c r="Q15" s="30">
        <f t="shared" si="1"/>
        <v>69.44444444</v>
      </c>
      <c r="R15" s="23">
        <v>7.0</v>
      </c>
    </row>
    <row r="16">
      <c r="A16" s="20"/>
      <c r="B16" s="26"/>
      <c r="C16" s="22">
        <v>5.0</v>
      </c>
      <c r="D16" s="50" t="s">
        <v>49</v>
      </c>
      <c r="E16" s="57">
        <v>58.0</v>
      </c>
      <c r="F16" s="57">
        <v>63.0</v>
      </c>
      <c r="G16" s="58">
        <v>70.0</v>
      </c>
      <c r="H16" s="24" t="s">
        <v>26</v>
      </c>
      <c r="I16" s="24" t="s">
        <v>26</v>
      </c>
      <c r="J16" s="57">
        <v>21.0</v>
      </c>
      <c r="K16" s="24" t="s">
        <v>26</v>
      </c>
      <c r="L16" s="29">
        <v>26.0</v>
      </c>
      <c r="M16" s="57">
        <v>22.0</v>
      </c>
      <c r="N16" s="57">
        <v>91.0</v>
      </c>
      <c r="O16" s="57">
        <v>20.0</v>
      </c>
      <c r="P16" s="57">
        <v>66.0</v>
      </c>
      <c r="Q16" s="30">
        <f t="shared" si="1"/>
        <v>48.55555556</v>
      </c>
      <c r="R16" s="23">
        <v>7.0</v>
      </c>
    </row>
    <row r="17">
      <c r="A17" s="20"/>
      <c r="B17" s="15" t="s">
        <v>32</v>
      </c>
      <c r="C17" s="16">
        <v>1.0</v>
      </c>
      <c r="D17" s="47" t="s">
        <v>45</v>
      </c>
      <c r="E17" s="54">
        <v>37.0</v>
      </c>
      <c r="F17" s="55">
        <v>33.0</v>
      </c>
      <c r="G17" s="59">
        <v>60.0</v>
      </c>
      <c r="H17" s="18" t="s">
        <v>26</v>
      </c>
      <c r="I17" s="18" t="s">
        <v>26</v>
      </c>
      <c r="J17" s="55">
        <v>8.0</v>
      </c>
      <c r="K17" s="18" t="s">
        <v>26</v>
      </c>
      <c r="L17" s="27">
        <v>3.0</v>
      </c>
      <c r="M17" s="55">
        <v>32.0</v>
      </c>
      <c r="N17" s="55">
        <v>29.0</v>
      </c>
      <c r="O17" s="55">
        <v>32.0</v>
      </c>
      <c r="P17" s="55">
        <v>8.0</v>
      </c>
      <c r="Q17" s="28">
        <f t="shared" si="1"/>
        <v>26.88888889</v>
      </c>
      <c r="R17" s="17">
        <v>80.0</v>
      </c>
    </row>
    <row r="18">
      <c r="A18" s="20"/>
      <c r="B18" s="21"/>
      <c r="C18" s="22">
        <v>2.0</v>
      </c>
      <c r="D18" s="50" t="s">
        <v>46</v>
      </c>
      <c r="E18" s="57">
        <v>27.0</v>
      </c>
      <c r="F18" s="57">
        <v>37.0</v>
      </c>
      <c r="G18" s="60">
        <v>58.0</v>
      </c>
      <c r="H18" s="24" t="s">
        <v>26</v>
      </c>
      <c r="I18" s="24" t="s">
        <v>26</v>
      </c>
      <c r="J18" s="57">
        <v>47.0</v>
      </c>
      <c r="K18" s="24" t="s">
        <v>26</v>
      </c>
      <c r="L18" s="29">
        <v>19.0</v>
      </c>
      <c r="M18" s="57">
        <v>24.0</v>
      </c>
      <c r="N18" s="57">
        <v>19.0</v>
      </c>
      <c r="O18" s="57">
        <v>36.0</v>
      </c>
      <c r="P18" s="57">
        <v>21.0</v>
      </c>
      <c r="Q18" s="30">
        <f t="shared" si="1"/>
        <v>32</v>
      </c>
      <c r="R18" s="23">
        <v>80.0</v>
      </c>
    </row>
    <row r="19">
      <c r="A19" s="20"/>
      <c r="B19" s="21"/>
      <c r="C19" s="22">
        <v>3.0</v>
      </c>
      <c r="D19" s="50" t="s">
        <v>47</v>
      </c>
      <c r="E19" s="57">
        <v>28.0</v>
      </c>
      <c r="F19" s="57">
        <v>40.0</v>
      </c>
      <c r="G19" s="60">
        <v>204.0</v>
      </c>
      <c r="H19" s="24" t="s">
        <v>26</v>
      </c>
      <c r="I19" s="24" t="s">
        <v>26</v>
      </c>
      <c r="J19" s="57">
        <v>20.0</v>
      </c>
      <c r="K19" s="24" t="s">
        <v>26</v>
      </c>
      <c r="L19" s="29">
        <v>23.0</v>
      </c>
      <c r="M19" s="57">
        <v>34.0</v>
      </c>
      <c r="N19" s="57">
        <v>11.0</v>
      </c>
      <c r="O19" s="57">
        <v>15.0</v>
      </c>
      <c r="P19" s="57">
        <v>21.0</v>
      </c>
      <c r="Q19" s="30">
        <f t="shared" si="1"/>
        <v>44</v>
      </c>
      <c r="R19" s="23">
        <v>80.0</v>
      </c>
    </row>
    <row r="20">
      <c r="A20" s="20"/>
      <c r="B20" s="21"/>
      <c r="C20" s="22">
        <v>4.0</v>
      </c>
      <c r="D20" s="50" t="s">
        <v>48</v>
      </c>
      <c r="E20" s="57">
        <v>28.0</v>
      </c>
      <c r="F20" s="57">
        <v>35.0</v>
      </c>
      <c r="G20" s="58">
        <v>41.0</v>
      </c>
      <c r="H20" s="24" t="s">
        <v>26</v>
      </c>
      <c r="I20" s="24" t="s">
        <v>26</v>
      </c>
      <c r="J20" s="57">
        <v>31.0</v>
      </c>
      <c r="K20" s="24" t="s">
        <v>26</v>
      </c>
      <c r="L20" s="29">
        <v>14.0</v>
      </c>
      <c r="M20" s="57">
        <v>29.0</v>
      </c>
      <c r="N20" s="57">
        <v>58.0</v>
      </c>
      <c r="O20" s="57">
        <v>27.0</v>
      </c>
      <c r="P20" s="57">
        <v>21.0</v>
      </c>
      <c r="Q20" s="30">
        <f t="shared" si="1"/>
        <v>31.55555556</v>
      </c>
      <c r="R20" s="23">
        <v>80.0</v>
      </c>
    </row>
    <row r="21" ht="15.75" customHeight="1">
      <c r="A21" s="20"/>
      <c r="B21" s="26"/>
      <c r="C21" s="22">
        <v>5.0</v>
      </c>
      <c r="D21" s="50" t="s">
        <v>49</v>
      </c>
      <c r="E21" s="57">
        <v>20.0</v>
      </c>
      <c r="F21" s="57">
        <v>23.0</v>
      </c>
      <c r="G21" s="61">
        <v>42.0</v>
      </c>
      <c r="H21" s="24" t="s">
        <v>26</v>
      </c>
      <c r="I21" s="24" t="s">
        <v>26</v>
      </c>
      <c r="J21" s="57">
        <v>33.0</v>
      </c>
      <c r="K21" s="24" t="s">
        <v>26</v>
      </c>
      <c r="L21" s="29">
        <v>26.0</v>
      </c>
      <c r="M21" s="57">
        <v>25.0</v>
      </c>
      <c r="N21" s="57">
        <v>26.0</v>
      </c>
      <c r="O21" s="57">
        <v>14.0</v>
      </c>
      <c r="P21" s="57">
        <v>24.0</v>
      </c>
      <c r="Q21" s="30">
        <f t="shared" si="1"/>
        <v>25.88888889</v>
      </c>
      <c r="R21" s="23">
        <v>80.0</v>
      </c>
    </row>
    <row r="22" ht="15.75" customHeight="1">
      <c r="A22" s="20"/>
      <c r="B22" s="15" t="s">
        <v>33</v>
      </c>
      <c r="C22" s="16">
        <v>1.0</v>
      </c>
      <c r="D22" s="47" t="s">
        <v>45</v>
      </c>
      <c r="E22" s="54">
        <v>7.81</v>
      </c>
      <c r="F22" s="48">
        <v>8.0</v>
      </c>
      <c r="G22" s="49">
        <v>7.78</v>
      </c>
      <c r="H22" s="18" t="s">
        <v>26</v>
      </c>
      <c r="I22" s="18" t="s">
        <v>26</v>
      </c>
      <c r="J22" s="48">
        <v>7.64</v>
      </c>
      <c r="K22" s="18" t="s">
        <v>26</v>
      </c>
      <c r="L22" s="48">
        <v>7.71</v>
      </c>
      <c r="M22" s="48">
        <v>7.31</v>
      </c>
      <c r="N22" s="48">
        <v>7.73</v>
      </c>
      <c r="O22" s="48">
        <v>7.93</v>
      </c>
      <c r="P22" s="48">
        <v>7.95</v>
      </c>
      <c r="Q22" s="19">
        <f t="shared" si="1"/>
        <v>7.762222222</v>
      </c>
      <c r="R22" s="18" t="s">
        <v>34</v>
      </c>
    </row>
    <row r="23" ht="15.75" customHeight="1">
      <c r="A23" s="20"/>
      <c r="B23" s="21"/>
      <c r="C23" s="22">
        <v>2.0</v>
      </c>
      <c r="D23" s="50" t="s">
        <v>46</v>
      </c>
      <c r="E23" s="51">
        <v>7.35</v>
      </c>
      <c r="F23" s="51">
        <v>7.32</v>
      </c>
      <c r="G23" s="52">
        <v>7.21</v>
      </c>
      <c r="H23" s="24" t="s">
        <v>26</v>
      </c>
      <c r="I23" s="24" t="s">
        <v>26</v>
      </c>
      <c r="J23" s="51">
        <v>7.66</v>
      </c>
      <c r="K23" s="24" t="s">
        <v>26</v>
      </c>
      <c r="L23" s="51">
        <v>7.87</v>
      </c>
      <c r="M23" s="51">
        <v>7.28</v>
      </c>
      <c r="N23" s="51">
        <v>8.5</v>
      </c>
      <c r="O23" s="51">
        <v>7.89</v>
      </c>
      <c r="P23" s="51">
        <v>7.66</v>
      </c>
      <c r="Q23" s="25">
        <f t="shared" si="1"/>
        <v>7.637777778</v>
      </c>
      <c r="R23" s="24" t="s">
        <v>34</v>
      </c>
    </row>
    <row r="24" ht="15.75" customHeight="1">
      <c r="A24" s="20"/>
      <c r="B24" s="21"/>
      <c r="C24" s="22">
        <v>3.0</v>
      </c>
      <c r="D24" s="50" t="s">
        <v>47</v>
      </c>
      <c r="E24" s="62">
        <v>7.36</v>
      </c>
      <c r="F24" s="51">
        <v>7.49</v>
      </c>
      <c r="G24" s="52">
        <v>7.22</v>
      </c>
      <c r="H24" s="24" t="s">
        <v>26</v>
      </c>
      <c r="I24" s="24" t="s">
        <v>26</v>
      </c>
      <c r="J24" s="51">
        <v>7.81</v>
      </c>
      <c r="K24" s="24" t="s">
        <v>26</v>
      </c>
      <c r="L24" s="51">
        <v>8.07</v>
      </c>
      <c r="M24" s="51">
        <v>7.57</v>
      </c>
      <c r="N24" s="51">
        <v>7.74</v>
      </c>
      <c r="O24" s="51">
        <v>7.96</v>
      </c>
      <c r="P24" s="51">
        <v>7.76</v>
      </c>
      <c r="Q24" s="25">
        <f t="shared" si="1"/>
        <v>7.664444444</v>
      </c>
      <c r="R24" s="24" t="s">
        <v>34</v>
      </c>
    </row>
    <row r="25" ht="15.75" customHeight="1">
      <c r="A25" s="20"/>
      <c r="B25" s="21"/>
      <c r="C25" s="22">
        <v>4.0</v>
      </c>
      <c r="D25" s="50" t="s">
        <v>48</v>
      </c>
      <c r="E25" s="62">
        <v>7.21</v>
      </c>
      <c r="F25" s="51">
        <v>7.8</v>
      </c>
      <c r="G25" s="52">
        <v>7.16</v>
      </c>
      <c r="H25" s="24" t="s">
        <v>26</v>
      </c>
      <c r="I25" s="24" t="s">
        <v>26</v>
      </c>
      <c r="J25" s="51">
        <v>7.58</v>
      </c>
      <c r="K25" s="24" t="s">
        <v>26</v>
      </c>
      <c r="L25" s="51">
        <v>7.4</v>
      </c>
      <c r="M25" s="51">
        <v>7.35</v>
      </c>
      <c r="N25" s="51">
        <v>7.83</v>
      </c>
      <c r="O25" s="51">
        <v>7.65</v>
      </c>
      <c r="P25" s="51">
        <v>7.8</v>
      </c>
      <c r="Q25" s="25">
        <f t="shared" si="1"/>
        <v>7.531111111</v>
      </c>
      <c r="R25" s="24" t="s">
        <v>34</v>
      </c>
    </row>
    <row r="26" ht="15.75" customHeight="1">
      <c r="A26" s="20"/>
      <c r="B26" s="26"/>
      <c r="C26" s="22">
        <v>5.0</v>
      </c>
      <c r="D26" s="50" t="s">
        <v>49</v>
      </c>
      <c r="E26" s="62">
        <v>7.34</v>
      </c>
      <c r="F26" s="51">
        <v>8.11</v>
      </c>
      <c r="G26" s="53">
        <v>7.15</v>
      </c>
      <c r="H26" s="24" t="s">
        <v>26</v>
      </c>
      <c r="I26" s="24" t="s">
        <v>26</v>
      </c>
      <c r="J26" s="51">
        <v>7.65</v>
      </c>
      <c r="K26" s="24" t="s">
        <v>26</v>
      </c>
      <c r="L26" s="51">
        <v>8.07</v>
      </c>
      <c r="M26" s="51">
        <v>8.03</v>
      </c>
      <c r="N26" s="51">
        <v>7.99</v>
      </c>
      <c r="O26" s="51">
        <v>7.38</v>
      </c>
      <c r="P26" s="51">
        <v>7.45</v>
      </c>
      <c r="Q26" s="25">
        <f t="shared" si="1"/>
        <v>7.685555556</v>
      </c>
      <c r="R26" s="24" t="s">
        <v>34</v>
      </c>
    </row>
    <row r="27" ht="15.75" customHeight="1">
      <c r="A27" s="20"/>
      <c r="B27" s="15" t="s">
        <v>50</v>
      </c>
      <c r="C27" s="16">
        <v>1.0</v>
      </c>
      <c r="D27" s="47" t="s">
        <v>45</v>
      </c>
      <c r="E27" s="49" t="s">
        <v>26</v>
      </c>
      <c r="F27" s="48">
        <v>25.4</v>
      </c>
      <c r="G27" s="49">
        <v>30.9</v>
      </c>
      <c r="H27" s="18" t="s">
        <v>26</v>
      </c>
      <c r="I27" s="18" t="s">
        <v>26</v>
      </c>
      <c r="J27" s="48">
        <v>30.1</v>
      </c>
      <c r="K27" s="18" t="s">
        <v>26</v>
      </c>
      <c r="L27" s="48">
        <v>29.25</v>
      </c>
      <c r="M27" s="48">
        <v>30.38</v>
      </c>
      <c r="N27" s="48">
        <v>29.9</v>
      </c>
      <c r="O27" s="48">
        <v>26.49</v>
      </c>
      <c r="P27" s="48">
        <v>26.4</v>
      </c>
      <c r="Q27" s="19">
        <f t="shared" si="1"/>
        <v>28.6025</v>
      </c>
      <c r="R27" s="18" t="s">
        <v>36</v>
      </c>
    </row>
    <row r="28" ht="15.75" customHeight="1">
      <c r="A28" s="20"/>
      <c r="B28" s="21"/>
      <c r="C28" s="22">
        <v>2.0</v>
      </c>
      <c r="D28" s="50" t="s">
        <v>46</v>
      </c>
      <c r="E28" s="52" t="s">
        <v>26</v>
      </c>
      <c r="F28" s="51">
        <v>29.1</v>
      </c>
      <c r="G28" s="52">
        <v>33.9</v>
      </c>
      <c r="H28" s="24" t="s">
        <v>26</v>
      </c>
      <c r="I28" s="24" t="s">
        <v>26</v>
      </c>
      <c r="J28" s="51">
        <v>29.7</v>
      </c>
      <c r="K28" s="24" t="s">
        <v>26</v>
      </c>
      <c r="L28" s="51">
        <v>29.0</v>
      </c>
      <c r="M28" s="51">
        <v>30.55</v>
      </c>
      <c r="N28" s="51">
        <v>32.0</v>
      </c>
      <c r="O28" s="51">
        <v>26.2</v>
      </c>
      <c r="P28" s="51">
        <v>26.18</v>
      </c>
      <c r="Q28" s="25">
        <f t="shared" si="1"/>
        <v>29.57875</v>
      </c>
      <c r="R28" s="24" t="s">
        <v>36</v>
      </c>
    </row>
    <row r="29" ht="15.75" customHeight="1">
      <c r="A29" s="20"/>
      <c r="B29" s="21"/>
      <c r="C29" s="22">
        <v>3.0</v>
      </c>
      <c r="D29" s="50" t="s">
        <v>47</v>
      </c>
      <c r="E29" s="52" t="s">
        <v>26</v>
      </c>
      <c r="F29" s="51">
        <v>28.5</v>
      </c>
      <c r="G29" s="52">
        <v>29.9</v>
      </c>
      <c r="H29" s="24" t="s">
        <v>26</v>
      </c>
      <c r="I29" s="24" t="s">
        <v>26</v>
      </c>
      <c r="J29" s="51">
        <v>29.25</v>
      </c>
      <c r="K29" s="24" t="s">
        <v>26</v>
      </c>
      <c r="L29" s="51">
        <v>28.1</v>
      </c>
      <c r="M29" s="51">
        <v>30.15</v>
      </c>
      <c r="N29" s="51">
        <v>29.9</v>
      </c>
      <c r="O29" s="51">
        <v>26.37</v>
      </c>
      <c r="P29" s="51">
        <v>26.5</v>
      </c>
      <c r="Q29" s="25">
        <f t="shared" si="1"/>
        <v>28.58375</v>
      </c>
      <c r="R29" s="24" t="s">
        <v>36</v>
      </c>
    </row>
    <row r="30" ht="15.75" customHeight="1">
      <c r="A30" s="20"/>
      <c r="B30" s="21"/>
      <c r="C30" s="22">
        <v>4.0</v>
      </c>
      <c r="D30" s="50" t="s">
        <v>48</v>
      </c>
      <c r="E30" s="52" t="s">
        <v>26</v>
      </c>
      <c r="F30" s="51">
        <v>28.8</v>
      </c>
      <c r="G30" s="52">
        <v>30.4</v>
      </c>
      <c r="H30" s="24" t="s">
        <v>26</v>
      </c>
      <c r="I30" s="24" t="s">
        <v>26</v>
      </c>
      <c r="J30" s="51">
        <v>30.15</v>
      </c>
      <c r="K30" s="24" t="s">
        <v>26</v>
      </c>
      <c r="L30" s="51">
        <v>28.7</v>
      </c>
      <c r="M30" s="51">
        <v>30.18</v>
      </c>
      <c r="N30" s="51">
        <v>30.1</v>
      </c>
      <c r="O30" s="51">
        <v>26.7</v>
      </c>
      <c r="P30" s="51">
        <v>26.45</v>
      </c>
      <c r="Q30" s="25">
        <f t="shared" si="1"/>
        <v>28.935</v>
      </c>
      <c r="R30" s="24" t="s">
        <v>36</v>
      </c>
    </row>
    <row r="31" ht="15.75" customHeight="1">
      <c r="A31" s="20"/>
      <c r="B31" s="26"/>
      <c r="C31" s="22">
        <v>5.0</v>
      </c>
      <c r="D31" s="50" t="s">
        <v>49</v>
      </c>
      <c r="E31" s="52" t="s">
        <v>26</v>
      </c>
      <c r="F31" s="51">
        <v>27.59</v>
      </c>
      <c r="G31" s="53">
        <v>31.1</v>
      </c>
      <c r="H31" s="24" t="s">
        <v>26</v>
      </c>
      <c r="I31" s="24" t="s">
        <v>26</v>
      </c>
      <c r="J31" s="51">
        <v>29.8</v>
      </c>
      <c r="K31" s="24" t="s">
        <v>26</v>
      </c>
      <c r="L31" s="51">
        <v>28.4</v>
      </c>
      <c r="M31" s="51">
        <v>29.9</v>
      </c>
      <c r="N31" s="51">
        <v>30.5</v>
      </c>
      <c r="O31" s="51">
        <v>26.88</v>
      </c>
      <c r="P31" s="51">
        <v>26.4</v>
      </c>
      <c r="Q31" s="25">
        <f t="shared" si="1"/>
        <v>28.82125</v>
      </c>
      <c r="R31" s="24" t="s">
        <v>36</v>
      </c>
    </row>
    <row r="32" ht="15.75" customHeight="1">
      <c r="A32" s="20"/>
      <c r="B32" s="15" t="s">
        <v>37</v>
      </c>
      <c r="C32" s="16">
        <v>1.0</v>
      </c>
      <c r="D32" s="47" t="s">
        <v>45</v>
      </c>
      <c r="E32" s="54">
        <v>50.0</v>
      </c>
      <c r="F32" s="55">
        <v>50.0</v>
      </c>
      <c r="G32" s="59">
        <v>75.0</v>
      </c>
      <c r="H32" s="18" t="s">
        <v>26</v>
      </c>
      <c r="I32" s="18" t="s">
        <v>26</v>
      </c>
      <c r="J32" s="55">
        <v>30.0</v>
      </c>
      <c r="K32" s="18" t="s">
        <v>26</v>
      </c>
      <c r="L32" s="27">
        <v>30.0</v>
      </c>
      <c r="M32" s="55">
        <v>50.0</v>
      </c>
      <c r="N32" s="55">
        <v>30.0</v>
      </c>
      <c r="O32" s="55">
        <v>50.0</v>
      </c>
      <c r="P32" s="55">
        <v>40.0</v>
      </c>
      <c r="Q32" s="28">
        <f t="shared" si="1"/>
        <v>45</v>
      </c>
      <c r="R32" s="17">
        <v>75.0</v>
      </c>
    </row>
    <row r="33" ht="15.75" customHeight="1">
      <c r="A33" s="20"/>
      <c r="B33" s="21"/>
      <c r="C33" s="22">
        <v>2.0</v>
      </c>
      <c r="D33" s="50" t="s">
        <v>46</v>
      </c>
      <c r="E33" s="57">
        <v>75.0</v>
      </c>
      <c r="F33" s="57">
        <v>50.0</v>
      </c>
      <c r="G33" s="60">
        <v>50.0</v>
      </c>
      <c r="H33" s="24" t="s">
        <v>26</v>
      </c>
      <c r="I33" s="24" t="s">
        <v>26</v>
      </c>
      <c r="J33" s="57">
        <v>60.0</v>
      </c>
      <c r="K33" s="24" t="s">
        <v>26</v>
      </c>
      <c r="L33" s="29">
        <v>40.0</v>
      </c>
      <c r="M33" s="57">
        <v>30.0</v>
      </c>
      <c r="N33" s="57">
        <v>30.0</v>
      </c>
      <c r="O33" s="57">
        <v>50.0</v>
      </c>
      <c r="P33" s="57">
        <v>75.0</v>
      </c>
      <c r="Q33" s="30">
        <f t="shared" si="1"/>
        <v>51.11111111</v>
      </c>
      <c r="R33" s="23">
        <v>75.0</v>
      </c>
    </row>
    <row r="34" ht="15.75" customHeight="1">
      <c r="A34" s="20"/>
      <c r="B34" s="21"/>
      <c r="C34" s="22">
        <v>3.0</v>
      </c>
      <c r="D34" s="50" t="s">
        <v>47</v>
      </c>
      <c r="E34" s="57">
        <v>50.0</v>
      </c>
      <c r="F34" s="57">
        <v>50.0</v>
      </c>
      <c r="G34" s="60">
        <v>50.0</v>
      </c>
      <c r="H34" s="24" t="s">
        <v>26</v>
      </c>
      <c r="I34" s="24" t="s">
        <v>26</v>
      </c>
      <c r="J34" s="57">
        <v>40.0</v>
      </c>
      <c r="K34" s="24" t="s">
        <v>26</v>
      </c>
      <c r="L34" s="29">
        <v>40.0</v>
      </c>
      <c r="M34" s="57">
        <v>30.0</v>
      </c>
      <c r="N34" s="57">
        <v>30.0</v>
      </c>
      <c r="O34" s="57">
        <v>30.0</v>
      </c>
      <c r="P34" s="57">
        <v>75.0</v>
      </c>
      <c r="Q34" s="30">
        <f t="shared" si="1"/>
        <v>43.88888889</v>
      </c>
      <c r="R34" s="23">
        <v>75.0</v>
      </c>
    </row>
    <row r="35" ht="15.75" customHeight="1">
      <c r="A35" s="20"/>
      <c r="B35" s="21"/>
      <c r="C35" s="22">
        <v>4.0</v>
      </c>
      <c r="D35" s="50" t="s">
        <v>48</v>
      </c>
      <c r="E35" s="57">
        <v>75.0</v>
      </c>
      <c r="F35" s="57">
        <v>50.0</v>
      </c>
      <c r="G35" s="58">
        <v>100.0</v>
      </c>
      <c r="H35" s="24" t="s">
        <v>26</v>
      </c>
      <c r="I35" s="24" t="s">
        <v>26</v>
      </c>
      <c r="J35" s="57">
        <v>30.0</v>
      </c>
      <c r="K35" s="24" t="s">
        <v>26</v>
      </c>
      <c r="L35" s="29">
        <v>30.0</v>
      </c>
      <c r="M35" s="57">
        <v>30.0</v>
      </c>
      <c r="N35" s="57">
        <v>50.0</v>
      </c>
      <c r="O35" s="57">
        <v>40.0</v>
      </c>
      <c r="P35" s="57">
        <v>75.0</v>
      </c>
      <c r="Q35" s="30">
        <f t="shared" si="1"/>
        <v>53.33333333</v>
      </c>
      <c r="R35" s="23">
        <v>75.0</v>
      </c>
    </row>
    <row r="36" ht="15.75" customHeight="1">
      <c r="A36" s="20"/>
      <c r="B36" s="26"/>
      <c r="C36" s="22">
        <v>5.0</v>
      </c>
      <c r="D36" s="50" t="s">
        <v>49</v>
      </c>
      <c r="E36" s="57">
        <v>65.0</v>
      </c>
      <c r="F36" s="57">
        <v>50.0</v>
      </c>
      <c r="G36" s="61">
        <v>100.0</v>
      </c>
      <c r="H36" s="24" t="s">
        <v>26</v>
      </c>
      <c r="I36" s="24" t="s">
        <v>26</v>
      </c>
      <c r="J36" s="57">
        <v>30.0</v>
      </c>
      <c r="K36" s="24" t="s">
        <v>26</v>
      </c>
      <c r="L36" s="29">
        <v>30.0</v>
      </c>
      <c r="M36" s="57">
        <v>30.0</v>
      </c>
      <c r="N36" s="57">
        <v>50.0</v>
      </c>
      <c r="O36" s="57">
        <v>40.0</v>
      </c>
      <c r="P36" s="57">
        <v>75.0</v>
      </c>
      <c r="Q36" s="30">
        <f t="shared" si="1"/>
        <v>52.22222222</v>
      </c>
      <c r="R36" s="23">
        <v>75.0</v>
      </c>
    </row>
    <row r="37" ht="15.75" customHeight="1">
      <c r="A37" s="20"/>
      <c r="B37" s="15" t="s">
        <v>38</v>
      </c>
      <c r="C37" s="16">
        <v>1.0</v>
      </c>
      <c r="D37" s="47" t="s">
        <v>45</v>
      </c>
      <c r="E37" s="63">
        <v>1.7E7</v>
      </c>
      <c r="F37" s="64">
        <v>9200000.0</v>
      </c>
      <c r="G37" s="65">
        <v>5400000.0</v>
      </c>
      <c r="H37" s="18" t="s">
        <v>26</v>
      </c>
      <c r="I37" s="18" t="s">
        <v>26</v>
      </c>
      <c r="J37" s="64">
        <v>3500000.0</v>
      </c>
      <c r="K37" s="18" t="s">
        <v>26</v>
      </c>
      <c r="L37" s="32">
        <v>490000.0</v>
      </c>
      <c r="M37" s="64">
        <v>3.5E7</v>
      </c>
      <c r="N37" s="64">
        <v>790000.0</v>
      </c>
      <c r="O37" s="64">
        <v>3500000.0</v>
      </c>
      <c r="P37" s="64">
        <v>5400000.0</v>
      </c>
      <c r="Q37" s="33">
        <f t="shared" ref="Q37:Q41" si="2">GEOMEAN(E37,F37,G37,H37,I37,J37,K37,L37,M37,N37,O37,P37)</f>
        <v>4500159.974</v>
      </c>
      <c r="R37" s="17">
        <v>200.0</v>
      </c>
      <c r="S37" s="34">
        <f>geomean(Q37:Q41)</f>
        <v>5865370.711</v>
      </c>
    </row>
    <row r="38" ht="15.75" customHeight="1">
      <c r="A38" s="20"/>
      <c r="B38" s="21"/>
      <c r="C38" s="22">
        <v>2.0</v>
      </c>
      <c r="D38" s="50" t="s">
        <v>46</v>
      </c>
      <c r="E38" s="66">
        <v>4200000.0</v>
      </c>
      <c r="F38" s="67">
        <v>1.6E7</v>
      </c>
      <c r="G38" s="68">
        <v>2.4E7</v>
      </c>
      <c r="H38" s="24" t="s">
        <v>26</v>
      </c>
      <c r="I38" s="24" t="s">
        <v>26</v>
      </c>
      <c r="J38" s="67">
        <v>1.3E7</v>
      </c>
      <c r="K38" s="24" t="s">
        <v>26</v>
      </c>
      <c r="L38" s="36">
        <v>1.3E7</v>
      </c>
      <c r="M38" s="67">
        <v>790000.0</v>
      </c>
      <c r="N38" s="67">
        <v>1700000.0</v>
      </c>
      <c r="O38" s="67">
        <v>4600000.0</v>
      </c>
      <c r="P38" s="67">
        <v>1.6E7</v>
      </c>
      <c r="Q38" s="37">
        <f t="shared" si="2"/>
        <v>6692715.107</v>
      </c>
      <c r="R38" s="23">
        <v>200.0</v>
      </c>
    </row>
    <row r="39" ht="15.75" customHeight="1">
      <c r="A39" s="20"/>
      <c r="B39" s="21"/>
      <c r="C39" s="22">
        <v>3.0</v>
      </c>
      <c r="D39" s="50" t="s">
        <v>47</v>
      </c>
      <c r="E39" s="66">
        <v>2800000.0</v>
      </c>
      <c r="F39" s="67">
        <v>9200000.0</v>
      </c>
      <c r="G39" s="68">
        <v>9.2E7</v>
      </c>
      <c r="H39" s="24" t="s">
        <v>26</v>
      </c>
      <c r="I39" s="24" t="s">
        <v>26</v>
      </c>
      <c r="J39" s="67">
        <v>9200000.0</v>
      </c>
      <c r="K39" s="24" t="s">
        <v>26</v>
      </c>
      <c r="L39" s="36">
        <v>1.6E8</v>
      </c>
      <c r="M39" s="67">
        <v>5400000.0</v>
      </c>
      <c r="N39" s="67">
        <v>1.1E7</v>
      </c>
      <c r="O39" s="67">
        <v>1.7E7</v>
      </c>
      <c r="P39" s="67">
        <v>3500000.0</v>
      </c>
      <c r="Q39" s="37">
        <f t="shared" si="2"/>
        <v>13219532.62</v>
      </c>
      <c r="R39" s="23">
        <v>200.0</v>
      </c>
    </row>
    <row r="40" ht="15.75" customHeight="1">
      <c r="A40" s="20"/>
      <c r="B40" s="21"/>
      <c r="C40" s="22">
        <v>4.0</v>
      </c>
      <c r="D40" s="50" t="s">
        <v>48</v>
      </c>
      <c r="E40" s="66">
        <v>3500000.0</v>
      </c>
      <c r="F40" s="67">
        <v>3500000.0</v>
      </c>
      <c r="G40" s="68">
        <v>5400000.0</v>
      </c>
      <c r="H40" s="24" t="s">
        <v>26</v>
      </c>
      <c r="I40" s="24" t="s">
        <v>26</v>
      </c>
      <c r="J40" s="67">
        <v>1300000.0</v>
      </c>
      <c r="K40" s="24" t="s">
        <v>26</v>
      </c>
      <c r="L40" s="36">
        <v>3300000.0</v>
      </c>
      <c r="M40" s="67">
        <v>700000.0</v>
      </c>
      <c r="N40" s="67">
        <v>1.1E7</v>
      </c>
      <c r="O40" s="67">
        <v>2.2E7</v>
      </c>
      <c r="P40" s="67">
        <v>1.6E7</v>
      </c>
      <c r="Q40" s="37">
        <f t="shared" si="2"/>
        <v>4508190.724</v>
      </c>
      <c r="R40" s="23">
        <v>200.0</v>
      </c>
    </row>
    <row r="41" ht="15.75" customHeight="1">
      <c r="A41" s="20"/>
      <c r="B41" s="26"/>
      <c r="C41" s="22">
        <v>5.0</v>
      </c>
      <c r="D41" s="50" t="s">
        <v>49</v>
      </c>
      <c r="E41" s="69">
        <v>9200000.0</v>
      </c>
      <c r="F41" s="67">
        <v>2400000.0</v>
      </c>
      <c r="G41" s="70">
        <v>1.6E7</v>
      </c>
      <c r="H41" s="24" t="s">
        <v>26</v>
      </c>
      <c r="I41" s="24" t="s">
        <v>26</v>
      </c>
      <c r="J41" s="67">
        <v>700000.0</v>
      </c>
      <c r="K41" s="24" t="s">
        <v>26</v>
      </c>
      <c r="L41" s="36">
        <v>1700000.0</v>
      </c>
      <c r="M41" s="67">
        <v>1300000.0</v>
      </c>
      <c r="N41" s="67">
        <v>7000000.0</v>
      </c>
      <c r="O41" s="67">
        <v>4600000.0</v>
      </c>
      <c r="P41" s="67">
        <v>1.1E7</v>
      </c>
      <c r="Q41" s="37">
        <f t="shared" si="2"/>
        <v>3867485.179</v>
      </c>
      <c r="R41" s="23">
        <v>200.0</v>
      </c>
    </row>
    <row r="42" ht="15.75" customHeight="1">
      <c r="A42" s="20"/>
      <c r="B42" s="15" t="s">
        <v>51</v>
      </c>
      <c r="C42" s="16">
        <v>1.0</v>
      </c>
      <c r="D42" s="47" t="s">
        <v>45</v>
      </c>
      <c r="E42" s="54">
        <v>0.224</v>
      </c>
      <c r="F42" s="71">
        <v>0.246</v>
      </c>
      <c r="G42" s="59">
        <v>0.217</v>
      </c>
      <c r="H42" s="18" t="s">
        <v>26</v>
      </c>
      <c r="I42" s="18" t="s">
        <v>26</v>
      </c>
      <c r="J42" s="71">
        <v>0.434</v>
      </c>
      <c r="K42" s="18" t="s">
        <v>26</v>
      </c>
      <c r="L42" s="39">
        <v>0.207</v>
      </c>
      <c r="M42" s="71" t="s">
        <v>40</v>
      </c>
      <c r="N42" s="71">
        <v>0.147</v>
      </c>
      <c r="O42" s="71">
        <v>0.221</v>
      </c>
      <c r="P42" s="71">
        <v>0.238</v>
      </c>
      <c r="Q42" s="40">
        <f t="shared" ref="Q42:Q46" si="3">AVERAGE(E42,F42,G42,H42,I42,J42,K42,L42,0.045,N42,O42,P42)</f>
        <v>0.2198888889</v>
      </c>
      <c r="R42" s="17">
        <v>7.0</v>
      </c>
    </row>
    <row r="43" ht="15.75" customHeight="1">
      <c r="A43" s="20"/>
      <c r="B43" s="21"/>
      <c r="C43" s="22">
        <v>2.0</v>
      </c>
      <c r="D43" s="50" t="s">
        <v>46</v>
      </c>
      <c r="E43" s="72">
        <v>0.259</v>
      </c>
      <c r="F43" s="73">
        <v>0.331</v>
      </c>
      <c r="G43" s="74">
        <v>0.08</v>
      </c>
      <c r="H43" s="24" t="s">
        <v>26</v>
      </c>
      <c r="I43" s="24" t="s">
        <v>26</v>
      </c>
      <c r="J43" s="73">
        <v>0.233</v>
      </c>
      <c r="K43" s="24" t="s">
        <v>26</v>
      </c>
      <c r="L43" s="41">
        <v>0.32</v>
      </c>
      <c r="M43" s="73" t="s">
        <v>40</v>
      </c>
      <c r="N43" s="73">
        <v>0.134</v>
      </c>
      <c r="O43" s="73">
        <v>0.184</v>
      </c>
      <c r="P43" s="73">
        <v>0.277</v>
      </c>
      <c r="Q43" s="42">
        <f t="shared" si="3"/>
        <v>0.207</v>
      </c>
      <c r="R43" s="23">
        <v>7.0</v>
      </c>
    </row>
    <row r="44" ht="15.75" customHeight="1">
      <c r="A44" s="20"/>
      <c r="B44" s="21"/>
      <c r="C44" s="22">
        <v>3.0</v>
      </c>
      <c r="D44" s="50" t="s">
        <v>47</v>
      </c>
      <c r="E44" s="73">
        <v>0.19</v>
      </c>
      <c r="F44" s="73">
        <v>0.221</v>
      </c>
      <c r="G44" s="60">
        <v>0.297</v>
      </c>
      <c r="H44" s="24" t="s">
        <v>26</v>
      </c>
      <c r="I44" s="24" t="s">
        <v>26</v>
      </c>
      <c r="J44" s="73">
        <v>0.155</v>
      </c>
      <c r="K44" s="24" t="s">
        <v>26</v>
      </c>
      <c r="L44" s="41">
        <v>0.081</v>
      </c>
      <c r="M44" s="73" t="s">
        <v>40</v>
      </c>
      <c r="N44" s="73">
        <v>0.339</v>
      </c>
      <c r="O44" s="73">
        <v>0.291</v>
      </c>
      <c r="P44" s="73">
        <v>0.272</v>
      </c>
      <c r="Q44" s="42">
        <f t="shared" si="3"/>
        <v>0.2101111111</v>
      </c>
      <c r="R44" s="23">
        <v>7.0</v>
      </c>
    </row>
    <row r="45" ht="15.75" customHeight="1">
      <c r="A45" s="20"/>
      <c r="B45" s="21"/>
      <c r="C45" s="22">
        <v>4.0</v>
      </c>
      <c r="D45" s="50" t="s">
        <v>48</v>
      </c>
      <c r="E45" s="73">
        <v>0.222</v>
      </c>
      <c r="F45" s="73">
        <v>0.357</v>
      </c>
      <c r="G45" s="74">
        <v>0.129</v>
      </c>
      <c r="H45" s="24" t="s">
        <v>26</v>
      </c>
      <c r="I45" s="24" t="s">
        <v>26</v>
      </c>
      <c r="J45" s="73">
        <v>0.188</v>
      </c>
      <c r="K45" s="24" t="s">
        <v>26</v>
      </c>
      <c r="L45" s="41">
        <v>0.205</v>
      </c>
      <c r="M45" s="73" t="s">
        <v>40</v>
      </c>
      <c r="N45" s="73">
        <v>0.143</v>
      </c>
      <c r="O45" s="73" t="s">
        <v>40</v>
      </c>
      <c r="P45" s="73">
        <v>0.305</v>
      </c>
      <c r="Q45" s="42">
        <f t="shared" si="3"/>
        <v>0.19925</v>
      </c>
      <c r="R45" s="23">
        <v>7.0</v>
      </c>
    </row>
    <row r="46" ht="15.75" customHeight="1">
      <c r="A46" s="20"/>
      <c r="B46" s="26"/>
      <c r="C46" s="22">
        <v>5.0</v>
      </c>
      <c r="D46" s="50" t="s">
        <v>49</v>
      </c>
      <c r="E46" s="73">
        <v>0.138</v>
      </c>
      <c r="F46" s="73">
        <v>0.127</v>
      </c>
      <c r="G46" s="61">
        <v>0.195</v>
      </c>
      <c r="H46" s="24" t="s">
        <v>26</v>
      </c>
      <c r="I46" s="24" t="s">
        <v>26</v>
      </c>
      <c r="J46" s="73">
        <v>0.164</v>
      </c>
      <c r="K46" s="24" t="s">
        <v>26</v>
      </c>
      <c r="L46" s="41">
        <v>0.121</v>
      </c>
      <c r="M46" s="73" t="s">
        <v>40</v>
      </c>
      <c r="N46" s="73">
        <v>0.425</v>
      </c>
      <c r="O46" s="73">
        <v>0.318</v>
      </c>
      <c r="P46" s="73">
        <v>0.231</v>
      </c>
      <c r="Q46" s="42">
        <f t="shared" si="3"/>
        <v>0.196</v>
      </c>
      <c r="R46" s="23">
        <v>7.0</v>
      </c>
    </row>
    <row r="47" ht="15.75" customHeight="1">
      <c r="A47" s="20"/>
      <c r="B47" s="15" t="s">
        <v>52</v>
      </c>
      <c r="C47" s="16">
        <v>1.0</v>
      </c>
      <c r="D47" s="47" t="s">
        <v>45</v>
      </c>
      <c r="E47" s="54">
        <v>3.935</v>
      </c>
      <c r="F47" s="71">
        <v>2.42</v>
      </c>
      <c r="G47" s="75">
        <v>5.64</v>
      </c>
      <c r="H47" s="18" t="s">
        <v>26</v>
      </c>
      <c r="I47" s="18" t="s">
        <v>26</v>
      </c>
      <c r="J47" s="71">
        <v>1.164</v>
      </c>
      <c r="K47" s="18" t="s">
        <v>26</v>
      </c>
      <c r="L47" s="39">
        <v>1.573</v>
      </c>
      <c r="M47" s="71">
        <v>3.455</v>
      </c>
      <c r="N47" s="71">
        <v>1.002</v>
      </c>
      <c r="O47" s="71">
        <v>1.029</v>
      </c>
      <c r="P47" s="71">
        <v>2.078</v>
      </c>
      <c r="Q47" s="40">
        <f t="shared" ref="Q47:Q56" si="4">AVERAGE(E47,F47,G47,H47,I47,J47,K47,L47,M47,N47,O47,P47)</f>
        <v>2.477333333</v>
      </c>
      <c r="R47" s="17">
        <v>0.5</v>
      </c>
    </row>
    <row r="48" ht="15.75" customHeight="1">
      <c r="A48" s="20"/>
      <c r="B48" s="21"/>
      <c r="C48" s="22">
        <v>2.0</v>
      </c>
      <c r="D48" s="50" t="s">
        <v>46</v>
      </c>
      <c r="E48" s="73">
        <v>2.111</v>
      </c>
      <c r="F48" s="73">
        <v>2.67</v>
      </c>
      <c r="G48" s="74">
        <v>3.15</v>
      </c>
      <c r="H48" s="24" t="s">
        <v>26</v>
      </c>
      <c r="I48" s="24" t="s">
        <v>26</v>
      </c>
      <c r="J48" s="73">
        <v>0.853</v>
      </c>
      <c r="K48" s="24" t="s">
        <v>26</v>
      </c>
      <c r="L48" s="41">
        <v>1.386</v>
      </c>
      <c r="M48" s="73">
        <v>1.64</v>
      </c>
      <c r="N48" s="73">
        <v>1.079</v>
      </c>
      <c r="O48" s="73">
        <v>1.307</v>
      </c>
      <c r="P48" s="73">
        <v>1.73</v>
      </c>
      <c r="Q48" s="42">
        <f t="shared" si="4"/>
        <v>1.769555556</v>
      </c>
      <c r="R48" s="23">
        <v>0.5</v>
      </c>
    </row>
    <row r="49" ht="15.75" customHeight="1">
      <c r="A49" s="20"/>
      <c r="B49" s="21"/>
      <c r="C49" s="22">
        <v>3.0</v>
      </c>
      <c r="D49" s="50" t="s">
        <v>47</v>
      </c>
      <c r="E49" s="73">
        <v>2.087</v>
      </c>
      <c r="F49" s="73">
        <v>2.72</v>
      </c>
      <c r="G49" s="74">
        <v>2.05</v>
      </c>
      <c r="H49" s="24" t="s">
        <v>26</v>
      </c>
      <c r="I49" s="24" t="s">
        <v>26</v>
      </c>
      <c r="J49" s="73">
        <v>0.773</v>
      </c>
      <c r="K49" s="24" t="s">
        <v>26</v>
      </c>
      <c r="L49" s="41">
        <v>0.422</v>
      </c>
      <c r="M49" s="73">
        <v>1.518</v>
      </c>
      <c r="N49" s="73">
        <v>0.619</v>
      </c>
      <c r="O49" s="73">
        <v>0.799</v>
      </c>
      <c r="P49" s="73">
        <v>1.704</v>
      </c>
      <c r="Q49" s="42">
        <f t="shared" si="4"/>
        <v>1.410222222</v>
      </c>
      <c r="R49" s="23">
        <v>0.5</v>
      </c>
    </row>
    <row r="50" ht="15.75" customHeight="1">
      <c r="A50" s="20"/>
      <c r="B50" s="21"/>
      <c r="C50" s="22">
        <v>4.0</v>
      </c>
      <c r="D50" s="50" t="s">
        <v>48</v>
      </c>
      <c r="E50" s="73">
        <v>2.222</v>
      </c>
      <c r="F50" s="73">
        <v>2.72</v>
      </c>
      <c r="G50" s="74">
        <v>2.73</v>
      </c>
      <c r="H50" s="24" t="s">
        <v>26</v>
      </c>
      <c r="I50" s="24" t="s">
        <v>26</v>
      </c>
      <c r="J50" s="73">
        <v>1.367</v>
      </c>
      <c r="K50" s="24" t="s">
        <v>26</v>
      </c>
      <c r="L50" s="41">
        <v>1.151</v>
      </c>
      <c r="M50" s="73">
        <v>1.346</v>
      </c>
      <c r="N50" s="73">
        <v>1.976</v>
      </c>
      <c r="O50" s="73">
        <v>0.447</v>
      </c>
      <c r="P50" s="73">
        <v>1.611</v>
      </c>
      <c r="Q50" s="42">
        <f t="shared" si="4"/>
        <v>1.73</v>
      </c>
      <c r="R50" s="23">
        <v>0.5</v>
      </c>
    </row>
    <row r="51" ht="15.75" customHeight="1">
      <c r="A51" s="20"/>
      <c r="B51" s="26"/>
      <c r="C51" s="22">
        <v>5.0</v>
      </c>
      <c r="D51" s="50" t="s">
        <v>49</v>
      </c>
      <c r="E51" s="73">
        <v>2.149</v>
      </c>
      <c r="F51" s="73">
        <v>4.86</v>
      </c>
      <c r="G51" s="76">
        <v>2.75</v>
      </c>
      <c r="H51" s="24" t="s">
        <v>26</v>
      </c>
      <c r="I51" s="24" t="s">
        <v>26</v>
      </c>
      <c r="J51" s="73">
        <v>1.143</v>
      </c>
      <c r="K51" s="24" t="s">
        <v>26</v>
      </c>
      <c r="L51" s="41">
        <v>1.039</v>
      </c>
      <c r="M51" s="73">
        <v>1.517</v>
      </c>
      <c r="N51" s="73">
        <v>3.018</v>
      </c>
      <c r="O51" s="73">
        <v>2.051</v>
      </c>
      <c r="P51" s="73">
        <v>1.626</v>
      </c>
      <c r="Q51" s="42">
        <f t="shared" si="4"/>
        <v>2.239222222</v>
      </c>
      <c r="R51" s="23">
        <v>0.5</v>
      </c>
    </row>
    <row r="52" ht="15.75" customHeight="1">
      <c r="A52" s="20"/>
      <c r="B52" s="15" t="s">
        <v>42</v>
      </c>
      <c r="C52" s="16">
        <v>1.0</v>
      </c>
      <c r="D52" s="47" t="s">
        <v>45</v>
      </c>
      <c r="E52" s="63">
        <v>74.0</v>
      </c>
      <c r="F52" s="64">
        <v>106.0</v>
      </c>
      <c r="G52" s="63">
        <v>277.0</v>
      </c>
      <c r="H52" s="18" t="s">
        <v>26</v>
      </c>
      <c r="I52" s="18" t="s">
        <v>26</v>
      </c>
      <c r="J52" s="64">
        <v>57.0</v>
      </c>
      <c r="K52" s="18" t="s">
        <v>26</v>
      </c>
      <c r="L52" s="32">
        <v>49.0</v>
      </c>
      <c r="M52" s="55">
        <v>75.0</v>
      </c>
      <c r="N52" s="64">
        <v>2203.0</v>
      </c>
      <c r="O52" s="64">
        <v>57.0</v>
      </c>
      <c r="P52" s="55">
        <v>52.0</v>
      </c>
      <c r="Q52" s="33">
        <f t="shared" si="4"/>
        <v>327.7777778</v>
      </c>
      <c r="R52" s="17">
        <v>350.0</v>
      </c>
    </row>
    <row r="53" ht="15.75" customHeight="1">
      <c r="A53" s="20"/>
      <c r="B53" s="21"/>
      <c r="C53" s="22">
        <v>2.0</v>
      </c>
      <c r="D53" s="50" t="s">
        <v>46</v>
      </c>
      <c r="E53" s="66">
        <v>2836.0</v>
      </c>
      <c r="F53" s="67">
        <v>769.0</v>
      </c>
      <c r="G53" s="66">
        <v>91.0</v>
      </c>
      <c r="H53" s="24" t="s">
        <v>26</v>
      </c>
      <c r="I53" s="24" t="s">
        <v>26</v>
      </c>
      <c r="J53" s="67">
        <v>85.0</v>
      </c>
      <c r="K53" s="24" t="s">
        <v>26</v>
      </c>
      <c r="L53" s="36">
        <v>68.0</v>
      </c>
      <c r="M53" s="67">
        <v>4158.0</v>
      </c>
      <c r="N53" s="67">
        <v>1421.0</v>
      </c>
      <c r="O53" s="67">
        <v>60.0</v>
      </c>
      <c r="P53" s="57">
        <v>679.0</v>
      </c>
      <c r="Q53" s="37">
        <f t="shared" si="4"/>
        <v>1129.666667</v>
      </c>
      <c r="R53" s="23">
        <v>350.0</v>
      </c>
    </row>
    <row r="54" ht="15.75" customHeight="1">
      <c r="A54" s="20"/>
      <c r="B54" s="21"/>
      <c r="C54" s="22">
        <v>3.0</v>
      </c>
      <c r="D54" s="50" t="s">
        <v>47</v>
      </c>
      <c r="E54" s="66">
        <v>2743.0</v>
      </c>
      <c r="F54" s="67">
        <v>769.0</v>
      </c>
      <c r="G54" s="66">
        <v>153.0</v>
      </c>
      <c r="H54" s="24" t="s">
        <v>26</v>
      </c>
      <c r="I54" s="24" t="s">
        <v>26</v>
      </c>
      <c r="J54" s="67">
        <v>47.0</v>
      </c>
      <c r="K54" s="24" t="s">
        <v>26</v>
      </c>
      <c r="L54" s="36">
        <v>35.0</v>
      </c>
      <c r="M54" s="67">
        <v>4905.0</v>
      </c>
      <c r="N54" s="57">
        <v>38.0</v>
      </c>
      <c r="O54" s="67">
        <v>35.0</v>
      </c>
      <c r="P54" s="57">
        <v>660.0</v>
      </c>
      <c r="Q54" s="37">
        <f t="shared" si="4"/>
        <v>1042.777778</v>
      </c>
      <c r="R54" s="23">
        <v>350.0</v>
      </c>
    </row>
    <row r="55" ht="15.75" customHeight="1">
      <c r="A55" s="20"/>
      <c r="B55" s="21"/>
      <c r="C55" s="22">
        <v>4.0</v>
      </c>
      <c r="D55" s="50" t="s">
        <v>48</v>
      </c>
      <c r="E55" s="66">
        <v>2092.0</v>
      </c>
      <c r="F55" s="67">
        <v>721.0</v>
      </c>
      <c r="G55" s="66">
        <v>3887.0</v>
      </c>
      <c r="H55" s="24" t="s">
        <v>26</v>
      </c>
      <c r="I55" s="24" t="s">
        <v>26</v>
      </c>
      <c r="J55" s="67">
        <v>2405.0</v>
      </c>
      <c r="K55" s="24" t="s">
        <v>26</v>
      </c>
      <c r="L55" s="36">
        <v>2920.0</v>
      </c>
      <c r="M55" s="67">
        <v>5979.0</v>
      </c>
      <c r="N55" s="57">
        <v>92.0</v>
      </c>
      <c r="O55" s="67">
        <v>49.0</v>
      </c>
      <c r="P55" s="57">
        <v>627.0</v>
      </c>
      <c r="Q55" s="37">
        <f t="shared" si="4"/>
        <v>2085.777778</v>
      </c>
      <c r="R55" s="23">
        <v>350.0</v>
      </c>
    </row>
    <row r="56" ht="15.75" customHeight="1">
      <c r="A56" s="20"/>
      <c r="B56" s="26"/>
      <c r="C56" s="22">
        <v>5.0</v>
      </c>
      <c r="D56" s="50" t="s">
        <v>49</v>
      </c>
      <c r="E56" s="66">
        <v>3906.0</v>
      </c>
      <c r="F56" s="67">
        <v>1682.0</v>
      </c>
      <c r="G56" s="69">
        <v>3863.0</v>
      </c>
      <c r="H56" s="24" t="s">
        <v>26</v>
      </c>
      <c r="I56" s="24" t="s">
        <v>26</v>
      </c>
      <c r="J56" s="67">
        <v>4291.0</v>
      </c>
      <c r="K56" s="24" t="s">
        <v>26</v>
      </c>
      <c r="L56" s="36">
        <v>4508.0</v>
      </c>
      <c r="M56" s="67">
        <v>4765.0</v>
      </c>
      <c r="N56" s="57">
        <v>66.0</v>
      </c>
      <c r="O56" s="67">
        <v>65.0</v>
      </c>
      <c r="P56" s="57">
        <v>726.0</v>
      </c>
      <c r="Q56" s="37">
        <f t="shared" si="4"/>
        <v>2652.444444</v>
      </c>
      <c r="R56" s="23">
        <v>350.0</v>
      </c>
    </row>
    <row r="57" ht="15.75" customHeight="1">
      <c r="F57" s="77"/>
      <c r="G57" s="77"/>
      <c r="I57" s="77"/>
      <c r="K57" s="78"/>
      <c r="O57" s="79"/>
      <c r="Q57" s="43">
        <f>GEOMEAN(Q37:Q41)</f>
        <v>5865370.711</v>
      </c>
    </row>
    <row r="58" ht="15.75" customHeight="1">
      <c r="A58" s="44" t="s">
        <v>43</v>
      </c>
      <c r="F58" s="77"/>
      <c r="G58" s="77"/>
      <c r="I58" s="77"/>
      <c r="K58" s="78"/>
      <c r="O58" s="79"/>
    </row>
    <row r="59" ht="15.75" customHeight="1">
      <c r="F59" s="77"/>
      <c r="G59" s="77"/>
      <c r="I59" s="77"/>
      <c r="K59" s="78"/>
    </row>
    <row r="60" ht="15.75" customHeight="1">
      <c r="A60" s="44"/>
      <c r="K60" s="78"/>
    </row>
    <row r="61" ht="15.75" customHeight="1">
      <c r="K61" s="78"/>
    </row>
    <row r="62" ht="15.75" customHeight="1">
      <c r="K62" s="78"/>
    </row>
    <row r="63" ht="15.75" customHeight="1">
      <c r="K63" s="78"/>
    </row>
    <row r="64" ht="15.75" customHeight="1">
      <c r="K64" s="78"/>
    </row>
    <row r="65" ht="15.75" customHeight="1">
      <c r="K65" s="78"/>
    </row>
    <row r="66" ht="15.75" customHeight="1">
      <c r="K66" s="78"/>
    </row>
    <row r="67" ht="15.75" customHeight="1">
      <c r="K67" s="78"/>
    </row>
    <row r="68" ht="15.75" customHeight="1">
      <c r="K68" s="78"/>
    </row>
    <row r="69" ht="15.75" customHeight="1">
      <c r="K69" s="78"/>
    </row>
    <row r="70" ht="15.75" customHeight="1">
      <c r="K70" s="78"/>
    </row>
    <row r="71" ht="15.75" customHeight="1">
      <c r="K71" s="78"/>
    </row>
    <row r="72" ht="15.75" customHeight="1">
      <c r="K72" s="78"/>
    </row>
    <row r="73" ht="15.75" customHeight="1">
      <c r="K73" s="78"/>
    </row>
    <row r="74" ht="15.75" customHeight="1">
      <c r="K74" s="78"/>
    </row>
    <row r="75" ht="15.75" customHeight="1">
      <c r="K75" s="78"/>
    </row>
    <row r="76" ht="15.75" customHeight="1">
      <c r="K76" s="78"/>
    </row>
    <row r="77" ht="15.75" customHeight="1">
      <c r="K77" s="78"/>
    </row>
    <row r="78" ht="15.75" customHeight="1">
      <c r="K78" s="78"/>
    </row>
    <row r="79" ht="15.75" customHeight="1">
      <c r="K79" s="78"/>
    </row>
    <row r="80" ht="15.75" customHeight="1">
      <c r="K80" s="78"/>
    </row>
    <row r="81" ht="15.75" customHeight="1">
      <c r="K81" s="78"/>
    </row>
    <row r="82" ht="15.75" customHeight="1">
      <c r="K82" s="78"/>
    </row>
    <row r="83" ht="15.75" customHeight="1">
      <c r="K83" s="78"/>
    </row>
    <row r="84" ht="15.75" customHeight="1">
      <c r="K84" s="78"/>
    </row>
    <row r="85" ht="15.75" customHeight="1">
      <c r="K85" s="78"/>
    </row>
    <row r="86" ht="15.75" customHeight="1">
      <c r="K86" s="78"/>
    </row>
    <row r="87" ht="15.75" customHeight="1">
      <c r="K87" s="78"/>
    </row>
    <row r="88" ht="15.75" customHeight="1">
      <c r="K88" s="78"/>
    </row>
    <row r="89" ht="15.75" customHeight="1">
      <c r="K89" s="78"/>
    </row>
    <row r="90" ht="15.75" customHeight="1">
      <c r="K90" s="78"/>
    </row>
    <row r="91" ht="15.75" customHeight="1">
      <c r="K91" s="78"/>
    </row>
    <row r="92" ht="15.75" customHeight="1">
      <c r="K92" s="78"/>
    </row>
    <row r="93" ht="15.75" customHeight="1">
      <c r="K93" s="78"/>
    </row>
    <row r="94" ht="15.75" customHeight="1">
      <c r="K94" s="78"/>
    </row>
    <row r="95" ht="15.75" customHeight="1">
      <c r="K95" s="78"/>
    </row>
    <row r="96" ht="15.75" customHeight="1">
      <c r="K96" s="78"/>
    </row>
    <row r="97" ht="15.75" customHeight="1">
      <c r="K97" s="78"/>
    </row>
    <row r="98" ht="15.75" customHeight="1">
      <c r="K98" s="78"/>
    </row>
    <row r="99" ht="15.75" customHeight="1">
      <c r="K99" s="78"/>
    </row>
    <row r="100" ht="15.75" customHeight="1">
      <c r="K100" s="78"/>
    </row>
    <row r="101" ht="15.75" customHeight="1">
      <c r="K101" s="78"/>
    </row>
    <row r="102" ht="15.75" customHeight="1">
      <c r="K102" s="78"/>
    </row>
    <row r="103" ht="15.75" customHeight="1">
      <c r="K103" s="78"/>
    </row>
    <row r="104" ht="15.75" customHeight="1">
      <c r="K104" s="78"/>
    </row>
    <row r="105" ht="15.75" customHeight="1">
      <c r="K105" s="78"/>
    </row>
    <row r="106" ht="15.75" customHeight="1">
      <c r="K106" s="78"/>
    </row>
    <row r="107" ht="15.75" customHeight="1">
      <c r="K107" s="78"/>
    </row>
    <row r="108" ht="15.75" customHeight="1">
      <c r="K108" s="78"/>
    </row>
    <row r="109" ht="15.75" customHeight="1">
      <c r="K109" s="78"/>
    </row>
    <row r="110" ht="15.75" customHeight="1">
      <c r="K110" s="78"/>
    </row>
    <row r="111" ht="15.75" customHeight="1">
      <c r="K111" s="78"/>
    </row>
    <row r="112" ht="15.75" customHeight="1">
      <c r="K112" s="78"/>
    </row>
    <row r="113" ht="15.75" customHeight="1">
      <c r="K113" s="78"/>
    </row>
    <row r="114" ht="15.75" customHeight="1">
      <c r="K114" s="78"/>
    </row>
    <row r="115" ht="15.75" customHeight="1">
      <c r="K115" s="78"/>
    </row>
    <row r="116" ht="15.75" customHeight="1">
      <c r="K116" s="78"/>
    </row>
    <row r="117" ht="15.75" customHeight="1">
      <c r="K117" s="78"/>
    </row>
    <row r="118" ht="15.75" customHeight="1">
      <c r="K118" s="78"/>
    </row>
    <row r="119" ht="15.75" customHeight="1">
      <c r="K119" s="78"/>
    </row>
    <row r="120" ht="15.75" customHeight="1">
      <c r="K120" s="78"/>
    </row>
    <row r="121" ht="15.75" customHeight="1">
      <c r="K121" s="78"/>
    </row>
    <row r="122" ht="15.75" customHeight="1">
      <c r="K122" s="78"/>
    </row>
    <row r="123" ht="15.75" customHeight="1">
      <c r="K123" s="78"/>
    </row>
    <row r="124" ht="15.75" customHeight="1">
      <c r="K124" s="78"/>
    </row>
    <row r="125" ht="15.75" customHeight="1">
      <c r="K125" s="78"/>
    </row>
    <row r="126" ht="15.75" customHeight="1">
      <c r="K126" s="78"/>
    </row>
    <row r="127" ht="15.75" customHeight="1">
      <c r="K127" s="78"/>
    </row>
    <row r="128" ht="15.75" customHeight="1">
      <c r="K128" s="78"/>
    </row>
    <row r="129" ht="15.75" customHeight="1">
      <c r="K129" s="78"/>
    </row>
    <row r="130" ht="15.75" customHeight="1">
      <c r="K130" s="78"/>
    </row>
    <row r="131" ht="15.75" customHeight="1">
      <c r="K131" s="78"/>
    </row>
    <row r="132" ht="15.75" customHeight="1">
      <c r="K132" s="78"/>
    </row>
    <row r="133" ht="15.75" customHeight="1">
      <c r="K133" s="78"/>
    </row>
    <row r="134" ht="15.75" customHeight="1">
      <c r="K134" s="78"/>
    </row>
    <row r="135" ht="15.75" customHeight="1">
      <c r="K135" s="78"/>
    </row>
    <row r="136" ht="15.75" customHeight="1">
      <c r="K136" s="78"/>
    </row>
    <row r="137" ht="15.75" customHeight="1">
      <c r="K137" s="78"/>
    </row>
    <row r="138" ht="15.75" customHeight="1">
      <c r="K138" s="78"/>
    </row>
    <row r="139" ht="15.75" customHeight="1">
      <c r="K139" s="78"/>
    </row>
    <row r="140" ht="15.75" customHeight="1">
      <c r="K140" s="78"/>
    </row>
    <row r="141" ht="15.75" customHeight="1">
      <c r="K141" s="78"/>
    </row>
    <row r="142" ht="15.75" customHeight="1">
      <c r="K142" s="78"/>
    </row>
    <row r="143" ht="15.75" customHeight="1">
      <c r="K143" s="78"/>
    </row>
    <row r="144" ht="15.75" customHeight="1">
      <c r="K144" s="78"/>
    </row>
    <row r="145" ht="15.75" customHeight="1">
      <c r="K145" s="78"/>
    </row>
    <row r="146" ht="15.75" customHeight="1">
      <c r="K146" s="78"/>
    </row>
    <row r="147" ht="15.75" customHeight="1">
      <c r="K147" s="78"/>
    </row>
    <row r="148" ht="15.75" customHeight="1">
      <c r="K148" s="78"/>
    </row>
    <row r="149" ht="15.75" customHeight="1">
      <c r="K149" s="78"/>
    </row>
    <row r="150" ht="15.75" customHeight="1">
      <c r="K150" s="78"/>
    </row>
    <row r="151" ht="15.75" customHeight="1">
      <c r="K151" s="78"/>
    </row>
    <row r="152" ht="15.75" customHeight="1">
      <c r="K152" s="78"/>
    </row>
    <row r="153" ht="15.75" customHeight="1">
      <c r="K153" s="78"/>
    </row>
    <row r="154" ht="15.75" customHeight="1">
      <c r="K154" s="78"/>
    </row>
    <row r="155" ht="15.75" customHeight="1">
      <c r="K155" s="78"/>
    </row>
    <row r="156" ht="15.75" customHeight="1">
      <c r="K156" s="78"/>
    </row>
    <row r="157" ht="15.75" customHeight="1">
      <c r="K157" s="78"/>
    </row>
    <row r="158" ht="15.75" customHeight="1">
      <c r="K158" s="78"/>
    </row>
    <row r="159" ht="15.75" customHeight="1">
      <c r="K159" s="78"/>
    </row>
    <row r="160" ht="15.75" customHeight="1">
      <c r="K160" s="78"/>
    </row>
    <row r="161" ht="15.75" customHeight="1">
      <c r="K161" s="78"/>
    </row>
    <row r="162" ht="15.75" customHeight="1">
      <c r="K162" s="78"/>
    </row>
    <row r="163" ht="15.75" customHeight="1">
      <c r="K163" s="78"/>
    </row>
    <row r="164" ht="15.75" customHeight="1">
      <c r="K164" s="78"/>
    </row>
    <row r="165" ht="15.75" customHeight="1">
      <c r="K165" s="78"/>
    </row>
    <row r="166" ht="15.75" customHeight="1">
      <c r="K166" s="78"/>
    </row>
    <row r="167" ht="15.75" customHeight="1">
      <c r="K167" s="78"/>
    </row>
    <row r="168" ht="15.75" customHeight="1">
      <c r="K168" s="78"/>
    </row>
    <row r="169" ht="15.75" customHeight="1">
      <c r="K169" s="78"/>
    </row>
    <row r="170" ht="15.75" customHeight="1">
      <c r="K170" s="78"/>
    </row>
    <row r="171" ht="15.75" customHeight="1">
      <c r="K171" s="78"/>
    </row>
    <row r="172" ht="15.75" customHeight="1">
      <c r="K172" s="78"/>
    </row>
    <row r="173" ht="15.75" customHeight="1">
      <c r="K173" s="78"/>
    </row>
    <row r="174" ht="15.75" customHeight="1">
      <c r="K174" s="78"/>
    </row>
    <row r="175" ht="15.75" customHeight="1">
      <c r="K175" s="78"/>
    </row>
    <row r="176" ht="15.75" customHeight="1">
      <c r="K176" s="78"/>
    </row>
    <row r="177" ht="15.75" customHeight="1">
      <c r="K177" s="78"/>
    </row>
    <row r="178" ht="15.75" customHeight="1">
      <c r="K178" s="78"/>
    </row>
    <row r="179" ht="15.75" customHeight="1">
      <c r="K179" s="78"/>
    </row>
    <row r="180" ht="15.75" customHeight="1">
      <c r="K180" s="78"/>
    </row>
    <row r="181" ht="15.75" customHeight="1">
      <c r="K181" s="78"/>
    </row>
    <row r="182" ht="15.75" customHeight="1">
      <c r="K182" s="78"/>
    </row>
    <row r="183" ht="15.75" customHeight="1">
      <c r="K183" s="78"/>
    </row>
    <row r="184" ht="15.75" customHeight="1">
      <c r="K184" s="78"/>
    </row>
    <row r="185" ht="15.75" customHeight="1">
      <c r="K185" s="78"/>
    </row>
    <row r="186" ht="15.75" customHeight="1">
      <c r="K186" s="78"/>
    </row>
    <row r="187" ht="15.75" customHeight="1">
      <c r="K187" s="78"/>
    </row>
    <row r="188" ht="15.75" customHeight="1">
      <c r="K188" s="78"/>
    </row>
    <row r="189" ht="15.75" customHeight="1">
      <c r="K189" s="78"/>
    </row>
    <row r="190" ht="15.75" customHeight="1">
      <c r="K190" s="78"/>
    </row>
    <row r="191" ht="15.75" customHeight="1">
      <c r="K191" s="78"/>
    </row>
    <row r="192" ht="15.75" customHeight="1">
      <c r="K192" s="78"/>
    </row>
    <row r="193" ht="15.75" customHeight="1">
      <c r="K193" s="78"/>
    </row>
    <row r="194" ht="15.75" customHeight="1">
      <c r="K194" s="78"/>
    </row>
    <row r="195" ht="15.75" customHeight="1">
      <c r="K195" s="78"/>
    </row>
    <row r="196" ht="15.75" customHeight="1">
      <c r="K196" s="78"/>
    </row>
    <row r="197" ht="15.75" customHeight="1">
      <c r="K197" s="78"/>
    </row>
    <row r="198" ht="15.75" customHeight="1">
      <c r="K198" s="78"/>
    </row>
    <row r="199" ht="15.75" customHeight="1">
      <c r="K199" s="78"/>
    </row>
    <row r="200" ht="15.75" customHeight="1">
      <c r="K200" s="78"/>
    </row>
    <row r="201" ht="15.75" customHeight="1">
      <c r="K201" s="78"/>
    </row>
    <row r="202" ht="15.75" customHeight="1">
      <c r="K202" s="78"/>
    </row>
    <row r="203" ht="15.75" customHeight="1">
      <c r="K203" s="78"/>
    </row>
    <row r="204" ht="15.75" customHeight="1">
      <c r="K204" s="78"/>
    </row>
    <row r="205" ht="15.75" customHeight="1">
      <c r="K205" s="78"/>
    </row>
    <row r="206" ht="15.75" customHeight="1">
      <c r="K206" s="78"/>
    </row>
    <row r="207" ht="15.75" customHeight="1">
      <c r="K207" s="78"/>
    </row>
    <row r="208" ht="15.75" customHeight="1">
      <c r="K208" s="78"/>
    </row>
    <row r="209" ht="15.75" customHeight="1">
      <c r="K209" s="78"/>
    </row>
    <row r="210" ht="15.75" customHeight="1">
      <c r="K210" s="78"/>
    </row>
    <row r="211" ht="15.75" customHeight="1">
      <c r="K211" s="78"/>
    </row>
    <row r="212" ht="15.75" customHeight="1">
      <c r="K212" s="78"/>
    </row>
    <row r="213" ht="15.75" customHeight="1">
      <c r="K213" s="78"/>
    </row>
    <row r="214" ht="15.75" customHeight="1">
      <c r="K214" s="78"/>
    </row>
    <row r="215" ht="15.75" customHeight="1">
      <c r="K215" s="78"/>
    </row>
    <row r="216" ht="15.75" customHeight="1">
      <c r="K216" s="78"/>
    </row>
    <row r="217" ht="15.75" customHeight="1">
      <c r="K217" s="78"/>
    </row>
    <row r="218" ht="15.75" customHeight="1">
      <c r="K218" s="78"/>
    </row>
    <row r="219" ht="15.75" customHeight="1">
      <c r="K219" s="78"/>
    </row>
    <row r="220" ht="15.75" customHeight="1">
      <c r="K220" s="78"/>
    </row>
    <row r="221" ht="15.75" customHeight="1">
      <c r="K221" s="78"/>
    </row>
    <row r="222" ht="15.75" customHeight="1">
      <c r="K222" s="78"/>
    </row>
    <row r="223" ht="15.75" customHeight="1">
      <c r="K223" s="78"/>
    </row>
    <row r="224" ht="15.75" customHeight="1">
      <c r="K224" s="78"/>
    </row>
    <row r="225" ht="15.75" customHeight="1">
      <c r="K225" s="78"/>
    </row>
    <row r="226" ht="15.75" customHeight="1">
      <c r="K226" s="78"/>
    </row>
    <row r="227" ht="15.75" customHeight="1">
      <c r="K227" s="78"/>
    </row>
    <row r="228" ht="15.75" customHeight="1">
      <c r="K228" s="78"/>
    </row>
    <row r="229" ht="15.75" customHeight="1">
      <c r="K229" s="78"/>
    </row>
    <row r="230" ht="15.75" customHeight="1">
      <c r="K230" s="78"/>
    </row>
    <row r="231" ht="15.75" customHeight="1">
      <c r="K231" s="78"/>
    </row>
    <row r="232" ht="15.75" customHeight="1">
      <c r="K232" s="78"/>
    </row>
    <row r="233" ht="15.75" customHeight="1">
      <c r="K233" s="78"/>
    </row>
    <row r="234" ht="15.75" customHeight="1">
      <c r="K234" s="78"/>
    </row>
    <row r="235" ht="15.75" customHeight="1">
      <c r="K235" s="78"/>
    </row>
    <row r="236" ht="15.75" customHeight="1">
      <c r="K236" s="78"/>
    </row>
    <row r="237" ht="15.75" customHeight="1">
      <c r="K237" s="78"/>
    </row>
    <row r="238" ht="15.75" customHeight="1">
      <c r="K238" s="78"/>
    </row>
    <row r="239" ht="15.75" customHeight="1">
      <c r="K239" s="78"/>
    </row>
    <row r="240" ht="15.75" customHeight="1">
      <c r="K240" s="78"/>
    </row>
    <row r="241" ht="15.75" customHeight="1">
      <c r="K241" s="78"/>
    </row>
    <row r="242" ht="15.75" customHeight="1">
      <c r="K242" s="78"/>
    </row>
    <row r="243" ht="15.75" customHeight="1">
      <c r="K243" s="78"/>
    </row>
    <row r="244" ht="15.75" customHeight="1">
      <c r="K244" s="78"/>
    </row>
    <row r="245" ht="15.75" customHeight="1">
      <c r="K245" s="78"/>
    </row>
    <row r="246" ht="15.75" customHeight="1">
      <c r="K246" s="78"/>
    </row>
    <row r="247" ht="15.75" customHeight="1">
      <c r="K247" s="78"/>
    </row>
    <row r="248" ht="15.75" customHeight="1">
      <c r="K248" s="78"/>
    </row>
    <row r="249" ht="15.75" customHeight="1">
      <c r="K249" s="78"/>
    </row>
    <row r="250" ht="15.75" customHeight="1">
      <c r="K250" s="78"/>
    </row>
    <row r="251" ht="15.75" customHeight="1">
      <c r="K251" s="78"/>
    </row>
    <row r="252" ht="15.75" customHeight="1">
      <c r="K252" s="78"/>
    </row>
    <row r="253" ht="15.75" customHeight="1">
      <c r="K253" s="78"/>
    </row>
    <row r="254" ht="15.75" customHeight="1">
      <c r="K254" s="78"/>
    </row>
    <row r="255" ht="15.75" customHeight="1">
      <c r="K255" s="78"/>
    </row>
    <row r="256" ht="15.75" customHeight="1">
      <c r="K256" s="78"/>
    </row>
    <row r="257" ht="15.75" customHeight="1">
      <c r="K257" s="78"/>
    </row>
    <row r="258" ht="15.75" customHeight="1">
      <c r="K258" s="78"/>
    </row>
    <row r="259" ht="15.75" customHeight="1">
      <c r="K259" s="78"/>
    </row>
    <row r="260" ht="15.75" customHeight="1">
      <c r="K260" s="78"/>
    </row>
    <row r="261" ht="15.75" customHeight="1">
      <c r="K261" s="78"/>
    </row>
    <row r="262" ht="15.75" customHeight="1">
      <c r="K262" s="78"/>
    </row>
    <row r="263" ht="15.75" customHeight="1">
      <c r="K263" s="78"/>
    </row>
    <row r="264" ht="15.75" customHeight="1">
      <c r="K264" s="78"/>
    </row>
    <row r="265" ht="15.75" customHeight="1">
      <c r="K265" s="78"/>
    </row>
    <row r="266" ht="15.75" customHeight="1">
      <c r="K266" s="78"/>
    </row>
    <row r="267" ht="15.75" customHeight="1">
      <c r="K267" s="78"/>
    </row>
    <row r="268" ht="15.75" customHeight="1">
      <c r="K268" s="78"/>
    </row>
    <row r="269" ht="15.75" customHeight="1">
      <c r="K269" s="78"/>
    </row>
    <row r="270" ht="15.75" customHeight="1">
      <c r="K270" s="78"/>
    </row>
    <row r="271" ht="15.75" customHeight="1">
      <c r="K271" s="78"/>
    </row>
    <row r="272" ht="15.75" customHeight="1">
      <c r="K272" s="78"/>
    </row>
    <row r="273" ht="15.75" customHeight="1">
      <c r="K273" s="78"/>
    </row>
    <row r="274" ht="15.75" customHeight="1">
      <c r="K274" s="78"/>
    </row>
    <row r="275" ht="15.75" customHeight="1">
      <c r="K275" s="78"/>
    </row>
    <row r="276" ht="15.75" customHeight="1">
      <c r="K276" s="78"/>
    </row>
    <row r="277" ht="15.75" customHeight="1">
      <c r="K277" s="78"/>
    </row>
    <row r="278" ht="15.75" customHeight="1">
      <c r="K278" s="78"/>
    </row>
    <row r="279" ht="15.75" customHeight="1">
      <c r="K279" s="78"/>
    </row>
    <row r="280" ht="15.75" customHeight="1">
      <c r="K280" s="78"/>
    </row>
    <row r="281" ht="15.75" customHeight="1">
      <c r="K281" s="78"/>
    </row>
    <row r="282" ht="15.75" customHeight="1">
      <c r="K282" s="78"/>
    </row>
    <row r="283" ht="15.75" customHeight="1">
      <c r="K283" s="78"/>
    </row>
    <row r="284" ht="15.75" customHeight="1">
      <c r="K284" s="78"/>
    </row>
    <row r="285" ht="15.75" customHeight="1">
      <c r="K285" s="78"/>
    </row>
    <row r="286" ht="15.75" customHeight="1">
      <c r="K286" s="78"/>
    </row>
    <row r="287" ht="15.75" customHeight="1">
      <c r="K287" s="78"/>
    </row>
    <row r="288" ht="15.75" customHeight="1">
      <c r="K288" s="78"/>
    </row>
    <row r="289" ht="15.75" customHeight="1">
      <c r="K289" s="78"/>
    </row>
    <row r="290" ht="15.75" customHeight="1">
      <c r="K290" s="78"/>
    </row>
    <row r="291" ht="15.75" customHeight="1">
      <c r="K291" s="78"/>
    </row>
    <row r="292" ht="15.75" customHeight="1">
      <c r="K292" s="78"/>
    </row>
    <row r="293" ht="15.75" customHeight="1">
      <c r="K293" s="78"/>
    </row>
    <row r="294" ht="15.75" customHeight="1">
      <c r="K294" s="78"/>
    </row>
    <row r="295" ht="15.75" customHeight="1">
      <c r="K295" s="78"/>
    </row>
    <row r="296" ht="15.75" customHeight="1">
      <c r="K296" s="78"/>
    </row>
    <row r="297" ht="15.75" customHeight="1">
      <c r="K297" s="78"/>
    </row>
    <row r="298" ht="15.75" customHeight="1">
      <c r="K298" s="78"/>
    </row>
    <row r="299" ht="15.75" customHeight="1">
      <c r="K299" s="78"/>
    </row>
    <row r="300" ht="15.75" customHeight="1">
      <c r="K300" s="78"/>
    </row>
    <row r="301" ht="15.75" customHeight="1">
      <c r="K301" s="78"/>
    </row>
    <row r="302" ht="15.75" customHeight="1">
      <c r="K302" s="78"/>
    </row>
    <row r="303" ht="15.75" customHeight="1">
      <c r="K303" s="78"/>
    </row>
    <row r="304" ht="15.75" customHeight="1">
      <c r="K304" s="78"/>
    </row>
    <row r="305" ht="15.75" customHeight="1">
      <c r="K305" s="78"/>
    </row>
    <row r="306" ht="15.75" customHeight="1">
      <c r="K306" s="78"/>
    </row>
    <row r="307" ht="15.75" customHeight="1">
      <c r="K307" s="78"/>
    </row>
    <row r="308" ht="15.75" customHeight="1">
      <c r="K308" s="78"/>
    </row>
    <row r="309" ht="15.75" customHeight="1">
      <c r="K309" s="78"/>
    </row>
    <row r="310" ht="15.75" customHeight="1">
      <c r="K310" s="78"/>
    </row>
    <row r="311" ht="15.75" customHeight="1">
      <c r="K311" s="78"/>
    </row>
    <row r="312" ht="15.75" customHeight="1">
      <c r="K312" s="78"/>
    </row>
    <row r="313" ht="15.75" customHeight="1">
      <c r="K313" s="78"/>
    </row>
    <row r="314" ht="15.75" customHeight="1">
      <c r="K314" s="78"/>
    </row>
    <row r="315" ht="15.75" customHeight="1">
      <c r="K315" s="78"/>
    </row>
    <row r="316" ht="15.75" customHeight="1">
      <c r="K316" s="78"/>
    </row>
    <row r="317" ht="15.75" customHeight="1">
      <c r="K317" s="78"/>
    </row>
    <row r="318" ht="15.75" customHeight="1">
      <c r="K318" s="78"/>
    </row>
    <row r="319" ht="15.75" customHeight="1">
      <c r="K319" s="78"/>
    </row>
    <row r="320" ht="15.75" customHeight="1">
      <c r="K320" s="78"/>
    </row>
    <row r="321" ht="15.75" customHeight="1">
      <c r="K321" s="78"/>
    </row>
    <row r="322" ht="15.75" customHeight="1">
      <c r="K322" s="78"/>
    </row>
    <row r="323" ht="15.75" customHeight="1">
      <c r="K323" s="78"/>
    </row>
    <row r="324" ht="15.75" customHeight="1">
      <c r="K324" s="78"/>
    </row>
    <row r="325" ht="15.75" customHeight="1">
      <c r="K325" s="78"/>
    </row>
    <row r="326" ht="15.75" customHeight="1">
      <c r="K326" s="78"/>
    </row>
    <row r="327" ht="15.75" customHeight="1">
      <c r="K327" s="78"/>
    </row>
    <row r="328" ht="15.75" customHeight="1">
      <c r="K328" s="78"/>
    </row>
    <row r="329" ht="15.75" customHeight="1">
      <c r="K329" s="78"/>
    </row>
    <row r="330" ht="15.75" customHeight="1">
      <c r="K330" s="78"/>
    </row>
    <row r="331" ht="15.75" customHeight="1">
      <c r="K331" s="78"/>
    </row>
    <row r="332" ht="15.75" customHeight="1">
      <c r="K332" s="78"/>
    </row>
    <row r="333" ht="15.75" customHeight="1">
      <c r="K333" s="78"/>
    </row>
    <row r="334" ht="15.75" customHeight="1">
      <c r="K334" s="78"/>
    </row>
    <row r="335" ht="15.75" customHeight="1">
      <c r="K335" s="78"/>
    </row>
    <row r="336" ht="15.75" customHeight="1">
      <c r="K336" s="78"/>
    </row>
    <row r="337" ht="15.75" customHeight="1">
      <c r="K337" s="78"/>
    </row>
    <row r="338" ht="15.75" customHeight="1">
      <c r="K338" s="78"/>
    </row>
    <row r="339" ht="15.75" customHeight="1">
      <c r="K339" s="78"/>
    </row>
    <row r="340" ht="15.75" customHeight="1">
      <c r="K340" s="78"/>
    </row>
    <row r="341" ht="15.75" customHeight="1">
      <c r="K341" s="78"/>
    </row>
    <row r="342" ht="15.75" customHeight="1">
      <c r="K342" s="78"/>
    </row>
    <row r="343" ht="15.75" customHeight="1">
      <c r="K343" s="78"/>
    </row>
    <row r="344" ht="15.75" customHeight="1">
      <c r="K344" s="78"/>
    </row>
    <row r="345" ht="15.75" customHeight="1">
      <c r="K345" s="78"/>
    </row>
    <row r="346" ht="15.75" customHeight="1">
      <c r="K346" s="78"/>
    </row>
    <row r="347" ht="15.75" customHeight="1">
      <c r="K347" s="78"/>
    </row>
    <row r="348" ht="15.75" customHeight="1">
      <c r="K348" s="78"/>
    </row>
    <row r="349" ht="15.75" customHeight="1">
      <c r="K349" s="78"/>
    </row>
    <row r="350" ht="15.75" customHeight="1">
      <c r="K350" s="78"/>
    </row>
    <row r="351" ht="15.75" customHeight="1">
      <c r="K351" s="78"/>
    </row>
    <row r="352" ht="15.75" customHeight="1">
      <c r="K352" s="78"/>
    </row>
    <row r="353" ht="15.75" customHeight="1">
      <c r="K353" s="78"/>
    </row>
    <row r="354" ht="15.75" customHeight="1">
      <c r="K354" s="78"/>
    </row>
    <row r="355" ht="15.75" customHeight="1">
      <c r="K355" s="78"/>
    </row>
    <row r="356" ht="15.75" customHeight="1">
      <c r="K356" s="78"/>
    </row>
    <row r="357" ht="15.75" customHeight="1">
      <c r="K357" s="78"/>
    </row>
    <row r="358" ht="15.75" customHeight="1">
      <c r="K358" s="78"/>
    </row>
    <row r="359" ht="15.75" customHeight="1">
      <c r="K359" s="78"/>
    </row>
    <row r="360" ht="15.75" customHeight="1">
      <c r="K360" s="78"/>
    </row>
    <row r="361" ht="15.75" customHeight="1">
      <c r="K361" s="78"/>
    </row>
    <row r="362" ht="15.75" customHeight="1">
      <c r="K362" s="78"/>
    </row>
    <row r="363" ht="15.75" customHeight="1">
      <c r="K363" s="78"/>
    </row>
    <row r="364" ht="15.75" customHeight="1">
      <c r="K364" s="78"/>
    </row>
    <row r="365" ht="15.75" customHeight="1">
      <c r="K365" s="78"/>
    </row>
    <row r="366" ht="15.75" customHeight="1">
      <c r="K366" s="78"/>
    </row>
    <row r="367" ht="15.75" customHeight="1">
      <c r="K367" s="78"/>
    </row>
    <row r="368" ht="15.75" customHeight="1">
      <c r="K368" s="78"/>
    </row>
    <row r="369" ht="15.75" customHeight="1">
      <c r="K369" s="78"/>
    </row>
    <row r="370" ht="15.75" customHeight="1">
      <c r="K370" s="78"/>
    </row>
    <row r="371" ht="15.75" customHeight="1">
      <c r="K371" s="78"/>
    </row>
    <row r="372" ht="15.75" customHeight="1">
      <c r="K372" s="78"/>
    </row>
    <row r="373" ht="15.75" customHeight="1">
      <c r="K373" s="78"/>
    </row>
    <row r="374" ht="15.75" customHeight="1">
      <c r="K374" s="78"/>
    </row>
    <row r="375" ht="15.75" customHeight="1">
      <c r="K375" s="78"/>
    </row>
    <row r="376" ht="15.75" customHeight="1">
      <c r="K376" s="78"/>
    </row>
    <row r="377" ht="15.75" customHeight="1">
      <c r="K377" s="78"/>
    </row>
    <row r="378" ht="15.75" customHeight="1">
      <c r="K378" s="78"/>
    </row>
    <row r="379" ht="15.75" customHeight="1">
      <c r="K379" s="78"/>
    </row>
    <row r="380" ht="15.75" customHeight="1">
      <c r="K380" s="78"/>
    </row>
    <row r="381" ht="15.75" customHeight="1">
      <c r="K381" s="78"/>
    </row>
    <row r="382" ht="15.75" customHeight="1">
      <c r="K382" s="78"/>
    </row>
    <row r="383" ht="15.75" customHeight="1">
      <c r="K383" s="78"/>
    </row>
    <row r="384" ht="15.75" customHeight="1">
      <c r="K384" s="78"/>
    </row>
    <row r="385" ht="15.75" customHeight="1">
      <c r="K385" s="78"/>
    </row>
    <row r="386" ht="15.75" customHeight="1">
      <c r="K386" s="78"/>
    </row>
    <row r="387" ht="15.75" customHeight="1">
      <c r="K387" s="78"/>
    </row>
    <row r="388" ht="15.75" customHeight="1">
      <c r="K388" s="78"/>
    </row>
    <row r="389" ht="15.75" customHeight="1">
      <c r="K389" s="78"/>
    </row>
    <row r="390" ht="15.75" customHeight="1">
      <c r="K390" s="78"/>
    </row>
    <row r="391" ht="15.75" customHeight="1">
      <c r="K391" s="78"/>
    </row>
    <row r="392" ht="15.75" customHeight="1">
      <c r="K392" s="78"/>
    </row>
    <row r="393" ht="15.75" customHeight="1">
      <c r="K393" s="78"/>
    </row>
    <row r="394" ht="15.75" customHeight="1">
      <c r="K394" s="78"/>
    </row>
    <row r="395" ht="15.75" customHeight="1">
      <c r="K395" s="78"/>
    </row>
    <row r="396" ht="15.75" customHeight="1">
      <c r="K396" s="78"/>
    </row>
    <row r="397" ht="15.75" customHeight="1">
      <c r="K397" s="78"/>
    </row>
    <row r="398" ht="15.75" customHeight="1">
      <c r="K398" s="78"/>
    </row>
    <row r="399" ht="15.75" customHeight="1">
      <c r="K399" s="78"/>
    </row>
    <row r="400" ht="15.75" customHeight="1">
      <c r="K400" s="78"/>
    </row>
    <row r="401" ht="15.75" customHeight="1">
      <c r="K401" s="78"/>
    </row>
    <row r="402" ht="15.75" customHeight="1">
      <c r="K402" s="78"/>
    </row>
    <row r="403" ht="15.75" customHeight="1">
      <c r="K403" s="78"/>
    </row>
    <row r="404" ht="15.75" customHeight="1">
      <c r="K404" s="78"/>
    </row>
    <row r="405" ht="15.75" customHeight="1">
      <c r="K405" s="78"/>
    </row>
    <row r="406" ht="15.75" customHeight="1">
      <c r="K406" s="78"/>
    </row>
    <row r="407" ht="15.75" customHeight="1">
      <c r="K407" s="78"/>
    </row>
    <row r="408" ht="15.75" customHeight="1">
      <c r="K408" s="78"/>
    </row>
    <row r="409" ht="15.75" customHeight="1">
      <c r="K409" s="78"/>
    </row>
    <row r="410" ht="15.75" customHeight="1">
      <c r="K410" s="78"/>
    </row>
    <row r="411" ht="15.75" customHeight="1">
      <c r="K411" s="78"/>
    </row>
    <row r="412" ht="15.75" customHeight="1">
      <c r="K412" s="78"/>
    </row>
    <row r="413" ht="15.75" customHeight="1">
      <c r="K413" s="78"/>
    </row>
    <row r="414" ht="15.75" customHeight="1">
      <c r="K414" s="78"/>
    </row>
    <row r="415" ht="15.75" customHeight="1">
      <c r="K415" s="78"/>
    </row>
    <row r="416" ht="15.75" customHeight="1">
      <c r="K416" s="78"/>
    </row>
    <row r="417" ht="15.75" customHeight="1">
      <c r="K417" s="78"/>
    </row>
    <row r="418" ht="15.75" customHeight="1">
      <c r="K418" s="78"/>
    </row>
    <row r="419" ht="15.75" customHeight="1">
      <c r="K419" s="78"/>
    </row>
    <row r="420" ht="15.75" customHeight="1">
      <c r="K420" s="78"/>
    </row>
    <row r="421" ht="15.75" customHeight="1">
      <c r="K421" s="78"/>
    </row>
    <row r="422" ht="15.75" customHeight="1">
      <c r="K422" s="78"/>
    </row>
    <row r="423" ht="15.75" customHeight="1">
      <c r="K423" s="78"/>
    </row>
    <row r="424" ht="15.75" customHeight="1">
      <c r="K424" s="78"/>
    </row>
    <row r="425" ht="15.75" customHeight="1">
      <c r="K425" s="78"/>
    </row>
    <row r="426" ht="15.75" customHeight="1">
      <c r="K426" s="78"/>
    </row>
    <row r="427" ht="15.75" customHeight="1">
      <c r="K427" s="78"/>
    </row>
    <row r="428" ht="15.75" customHeight="1">
      <c r="K428" s="78"/>
    </row>
    <row r="429" ht="15.75" customHeight="1">
      <c r="K429" s="78"/>
    </row>
    <row r="430" ht="15.75" customHeight="1">
      <c r="K430" s="78"/>
    </row>
    <row r="431" ht="15.75" customHeight="1">
      <c r="K431" s="78"/>
    </row>
    <row r="432" ht="15.75" customHeight="1">
      <c r="K432" s="78"/>
    </row>
    <row r="433" ht="15.75" customHeight="1">
      <c r="K433" s="78"/>
    </row>
    <row r="434" ht="15.75" customHeight="1">
      <c r="K434" s="78"/>
    </row>
    <row r="435" ht="15.75" customHeight="1">
      <c r="K435" s="78"/>
    </row>
    <row r="436" ht="15.75" customHeight="1">
      <c r="K436" s="78"/>
    </row>
    <row r="437" ht="15.75" customHeight="1">
      <c r="K437" s="78"/>
    </row>
    <row r="438" ht="15.75" customHeight="1">
      <c r="K438" s="78"/>
    </row>
    <row r="439" ht="15.75" customHeight="1">
      <c r="K439" s="78"/>
    </row>
    <row r="440" ht="15.75" customHeight="1">
      <c r="K440" s="78"/>
    </row>
    <row r="441" ht="15.75" customHeight="1">
      <c r="K441" s="78"/>
    </row>
    <row r="442" ht="15.75" customHeight="1">
      <c r="K442" s="78"/>
    </row>
    <row r="443" ht="15.75" customHeight="1">
      <c r="K443" s="78"/>
    </row>
    <row r="444" ht="15.75" customHeight="1">
      <c r="K444" s="78"/>
    </row>
    <row r="445" ht="15.75" customHeight="1">
      <c r="K445" s="78"/>
    </row>
    <row r="446" ht="15.75" customHeight="1">
      <c r="K446" s="78"/>
    </row>
    <row r="447" ht="15.75" customHeight="1">
      <c r="K447" s="78"/>
    </row>
    <row r="448" ht="15.75" customHeight="1">
      <c r="K448" s="78"/>
    </row>
    <row r="449" ht="15.75" customHeight="1">
      <c r="K449" s="78"/>
    </row>
    <row r="450" ht="15.75" customHeight="1">
      <c r="K450" s="78"/>
    </row>
    <row r="451" ht="15.75" customHeight="1">
      <c r="K451" s="78"/>
    </row>
    <row r="452" ht="15.75" customHeight="1">
      <c r="K452" s="78"/>
    </row>
    <row r="453" ht="15.75" customHeight="1">
      <c r="K453" s="78"/>
    </row>
    <row r="454" ht="15.75" customHeight="1">
      <c r="K454" s="78"/>
    </row>
    <row r="455" ht="15.75" customHeight="1">
      <c r="K455" s="78"/>
    </row>
    <row r="456" ht="15.75" customHeight="1">
      <c r="K456" s="78"/>
    </row>
    <row r="457" ht="15.75" customHeight="1">
      <c r="K457" s="78"/>
    </row>
    <row r="458" ht="15.75" customHeight="1">
      <c r="K458" s="78"/>
    </row>
    <row r="459" ht="15.75" customHeight="1">
      <c r="K459" s="78"/>
    </row>
    <row r="460" ht="15.75" customHeight="1">
      <c r="K460" s="78"/>
    </row>
    <row r="461" ht="15.75" customHeight="1">
      <c r="K461" s="78"/>
    </row>
    <row r="462" ht="15.75" customHeight="1">
      <c r="K462" s="78"/>
    </row>
    <row r="463" ht="15.75" customHeight="1">
      <c r="K463" s="78"/>
    </row>
    <row r="464" ht="15.75" customHeight="1">
      <c r="K464" s="78"/>
    </row>
    <row r="465" ht="15.75" customHeight="1">
      <c r="K465" s="78"/>
    </row>
    <row r="466" ht="15.75" customHeight="1">
      <c r="K466" s="78"/>
    </row>
    <row r="467" ht="15.75" customHeight="1">
      <c r="K467" s="78"/>
    </row>
    <row r="468" ht="15.75" customHeight="1">
      <c r="K468" s="78"/>
    </row>
    <row r="469" ht="15.75" customHeight="1">
      <c r="K469" s="78"/>
    </row>
    <row r="470" ht="15.75" customHeight="1">
      <c r="K470" s="78"/>
    </row>
    <row r="471" ht="15.75" customHeight="1">
      <c r="K471" s="78"/>
    </row>
    <row r="472" ht="15.75" customHeight="1">
      <c r="K472" s="78"/>
    </row>
    <row r="473" ht="15.75" customHeight="1">
      <c r="K473" s="78"/>
    </row>
    <row r="474" ht="15.75" customHeight="1">
      <c r="K474" s="78"/>
    </row>
    <row r="475" ht="15.75" customHeight="1">
      <c r="K475" s="78"/>
    </row>
    <row r="476" ht="15.75" customHeight="1">
      <c r="K476" s="78"/>
    </row>
    <row r="477" ht="15.75" customHeight="1">
      <c r="K477" s="78"/>
    </row>
    <row r="478" ht="15.75" customHeight="1">
      <c r="K478" s="78"/>
    </row>
    <row r="479" ht="15.75" customHeight="1">
      <c r="K479" s="78"/>
    </row>
    <row r="480" ht="15.75" customHeight="1">
      <c r="K480" s="78"/>
    </row>
    <row r="481" ht="15.75" customHeight="1">
      <c r="K481" s="78"/>
    </row>
    <row r="482" ht="15.75" customHeight="1">
      <c r="K482" s="78"/>
    </row>
    <row r="483" ht="15.75" customHeight="1">
      <c r="K483" s="78"/>
    </row>
    <row r="484" ht="15.75" customHeight="1">
      <c r="K484" s="78"/>
    </row>
    <row r="485" ht="15.75" customHeight="1">
      <c r="K485" s="78"/>
    </row>
    <row r="486" ht="15.75" customHeight="1">
      <c r="K486" s="78"/>
    </row>
    <row r="487" ht="15.75" customHeight="1">
      <c r="K487" s="78"/>
    </row>
    <row r="488" ht="15.75" customHeight="1">
      <c r="K488" s="78"/>
    </row>
    <row r="489" ht="15.75" customHeight="1">
      <c r="K489" s="78"/>
    </row>
    <row r="490" ht="15.75" customHeight="1">
      <c r="K490" s="78"/>
    </row>
    <row r="491" ht="15.75" customHeight="1">
      <c r="K491" s="78"/>
    </row>
    <row r="492" ht="15.75" customHeight="1">
      <c r="K492" s="78"/>
    </row>
    <row r="493" ht="15.75" customHeight="1">
      <c r="K493" s="78"/>
    </row>
    <row r="494" ht="15.75" customHeight="1">
      <c r="K494" s="78"/>
    </row>
    <row r="495" ht="15.75" customHeight="1">
      <c r="K495" s="78"/>
    </row>
    <row r="496" ht="15.75" customHeight="1">
      <c r="K496" s="78"/>
    </row>
    <row r="497" ht="15.75" customHeight="1">
      <c r="K497" s="78"/>
    </row>
    <row r="498" ht="15.75" customHeight="1">
      <c r="K498" s="78"/>
    </row>
    <row r="499" ht="15.75" customHeight="1">
      <c r="K499" s="78"/>
    </row>
    <row r="500" ht="15.75" customHeight="1">
      <c r="K500" s="78"/>
    </row>
    <row r="501" ht="15.75" customHeight="1">
      <c r="K501" s="78"/>
    </row>
    <row r="502" ht="15.75" customHeight="1">
      <c r="K502" s="78"/>
    </row>
    <row r="503" ht="15.75" customHeight="1">
      <c r="K503" s="78"/>
    </row>
    <row r="504" ht="15.75" customHeight="1">
      <c r="K504" s="78"/>
    </row>
    <row r="505" ht="15.75" customHeight="1">
      <c r="K505" s="78"/>
    </row>
    <row r="506" ht="15.75" customHeight="1">
      <c r="K506" s="78"/>
    </row>
    <row r="507" ht="15.75" customHeight="1">
      <c r="K507" s="78"/>
    </row>
    <row r="508" ht="15.75" customHeight="1">
      <c r="K508" s="78"/>
    </row>
    <row r="509" ht="15.75" customHeight="1">
      <c r="K509" s="78"/>
    </row>
    <row r="510" ht="15.75" customHeight="1">
      <c r="K510" s="78"/>
    </row>
    <row r="511" ht="15.75" customHeight="1">
      <c r="K511" s="78"/>
    </row>
    <row r="512" ht="15.75" customHeight="1">
      <c r="K512" s="78"/>
    </row>
    <row r="513" ht="15.75" customHeight="1">
      <c r="K513" s="78"/>
    </row>
    <row r="514" ht="15.75" customHeight="1">
      <c r="K514" s="78"/>
    </row>
    <row r="515" ht="15.75" customHeight="1">
      <c r="K515" s="78"/>
    </row>
    <row r="516" ht="15.75" customHeight="1">
      <c r="K516" s="78"/>
    </row>
    <row r="517" ht="15.75" customHeight="1">
      <c r="K517" s="78"/>
    </row>
    <row r="518" ht="15.75" customHeight="1">
      <c r="K518" s="78"/>
    </row>
    <row r="519" ht="15.75" customHeight="1">
      <c r="K519" s="78"/>
    </row>
    <row r="520" ht="15.75" customHeight="1">
      <c r="K520" s="78"/>
    </row>
    <row r="521" ht="15.75" customHeight="1">
      <c r="K521" s="78"/>
    </row>
    <row r="522" ht="15.75" customHeight="1">
      <c r="K522" s="78"/>
    </row>
    <row r="523" ht="15.75" customHeight="1">
      <c r="K523" s="78"/>
    </row>
    <row r="524" ht="15.75" customHeight="1">
      <c r="K524" s="78"/>
    </row>
    <row r="525" ht="15.75" customHeight="1">
      <c r="K525" s="78"/>
    </row>
    <row r="526" ht="15.75" customHeight="1">
      <c r="K526" s="78"/>
    </row>
    <row r="527" ht="15.75" customHeight="1">
      <c r="K527" s="78"/>
    </row>
    <row r="528" ht="15.75" customHeight="1">
      <c r="K528" s="78"/>
    </row>
    <row r="529" ht="15.75" customHeight="1">
      <c r="K529" s="78"/>
    </row>
    <row r="530" ht="15.75" customHeight="1">
      <c r="K530" s="78"/>
    </row>
    <row r="531" ht="15.75" customHeight="1">
      <c r="K531" s="78"/>
    </row>
    <row r="532" ht="15.75" customHeight="1">
      <c r="K532" s="78"/>
    </row>
    <row r="533" ht="15.75" customHeight="1">
      <c r="K533" s="78"/>
    </row>
    <row r="534" ht="15.75" customHeight="1">
      <c r="K534" s="78"/>
    </row>
    <row r="535" ht="15.75" customHeight="1">
      <c r="K535" s="78"/>
    </row>
    <row r="536" ht="15.75" customHeight="1">
      <c r="K536" s="78"/>
    </row>
    <row r="537" ht="15.75" customHeight="1">
      <c r="K537" s="78"/>
    </row>
    <row r="538" ht="15.75" customHeight="1">
      <c r="K538" s="78"/>
    </row>
    <row r="539" ht="15.75" customHeight="1">
      <c r="K539" s="78"/>
    </row>
    <row r="540" ht="15.75" customHeight="1">
      <c r="K540" s="78"/>
    </row>
    <row r="541" ht="15.75" customHeight="1">
      <c r="K541" s="78"/>
    </row>
    <row r="542" ht="15.75" customHeight="1">
      <c r="K542" s="78"/>
    </row>
    <row r="543" ht="15.75" customHeight="1">
      <c r="K543" s="78"/>
    </row>
    <row r="544" ht="15.75" customHeight="1">
      <c r="K544" s="78"/>
    </row>
    <row r="545" ht="15.75" customHeight="1">
      <c r="K545" s="78"/>
    </row>
    <row r="546" ht="15.75" customHeight="1">
      <c r="K546" s="78"/>
    </row>
    <row r="547" ht="15.75" customHeight="1">
      <c r="K547" s="78"/>
    </row>
    <row r="548" ht="15.75" customHeight="1">
      <c r="K548" s="78"/>
    </row>
    <row r="549" ht="15.75" customHeight="1">
      <c r="K549" s="78"/>
    </row>
    <row r="550" ht="15.75" customHeight="1">
      <c r="K550" s="78"/>
    </row>
    <row r="551" ht="15.75" customHeight="1">
      <c r="K551" s="78"/>
    </row>
    <row r="552" ht="15.75" customHeight="1">
      <c r="K552" s="78"/>
    </row>
    <row r="553" ht="15.75" customHeight="1">
      <c r="K553" s="78"/>
    </row>
    <row r="554" ht="15.75" customHeight="1">
      <c r="K554" s="78"/>
    </row>
    <row r="555" ht="15.75" customHeight="1">
      <c r="K555" s="78"/>
    </row>
    <row r="556" ht="15.75" customHeight="1">
      <c r="K556" s="78"/>
    </row>
    <row r="557" ht="15.75" customHeight="1">
      <c r="K557" s="78"/>
    </row>
    <row r="558" ht="15.75" customHeight="1">
      <c r="K558" s="78"/>
    </row>
    <row r="559" ht="15.75" customHeight="1">
      <c r="K559" s="78"/>
    </row>
    <row r="560" ht="15.75" customHeight="1">
      <c r="K560" s="78"/>
    </row>
    <row r="561" ht="15.75" customHeight="1">
      <c r="K561" s="78"/>
    </row>
    <row r="562" ht="15.75" customHeight="1">
      <c r="K562" s="78"/>
    </row>
    <row r="563" ht="15.75" customHeight="1">
      <c r="K563" s="78"/>
    </row>
    <row r="564" ht="15.75" customHeight="1">
      <c r="K564" s="78"/>
    </row>
    <row r="565" ht="15.75" customHeight="1">
      <c r="K565" s="78"/>
    </row>
    <row r="566" ht="15.75" customHeight="1">
      <c r="K566" s="78"/>
    </row>
    <row r="567" ht="15.75" customHeight="1">
      <c r="K567" s="78"/>
    </row>
    <row r="568" ht="15.75" customHeight="1">
      <c r="K568" s="78"/>
    </row>
    <row r="569" ht="15.75" customHeight="1">
      <c r="K569" s="78"/>
    </row>
    <row r="570" ht="15.75" customHeight="1">
      <c r="K570" s="78"/>
    </row>
    <row r="571" ht="15.75" customHeight="1">
      <c r="K571" s="78"/>
    </row>
    <row r="572" ht="15.75" customHeight="1">
      <c r="K572" s="78"/>
    </row>
    <row r="573" ht="15.75" customHeight="1">
      <c r="K573" s="78"/>
    </row>
    <row r="574" ht="15.75" customHeight="1">
      <c r="K574" s="78"/>
    </row>
    <row r="575" ht="15.75" customHeight="1">
      <c r="K575" s="78"/>
    </row>
    <row r="576" ht="15.75" customHeight="1">
      <c r="K576" s="78"/>
    </row>
    <row r="577" ht="15.75" customHeight="1">
      <c r="K577" s="78"/>
    </row>
    <row r="578" ht="15.75" customHeight="1">
      <c r="K578" s="78"/>
    </row>
    <row r="579" ht="15.75" customHeight="1">
      <c r="K579" s="78"/>
    </row>
    <row r="580" ht="15.75" customHeight="1">
      <c r="K580" s="78"/>
    </row>
    <row r="581" ht="15.75" customHeight="1">
      <c r="K581" s="78"/>
    </row>
    <row r="582" ht="15.75" customHeight="1">
      <c r="K582" s="78"/>
    </row>
    <row r="583" ht="15.75" customHeight="1">
      <c r="K583" s="78"/>
    </row>
    <row r="584" ht="15.75" customHeight="1">
      <c r="K584" s="78"/>
    </row>
    <row r="585" ht="15.75" customHeight="1">
      <c r="K585" s="78"/>
    </row>
    <row r="586" ht="15.75" customHeight="1">
      <c r="K586" s="78"/>
    </row>
    <row r="587" ht="15.75" customHeight="1">
      <c r="K587" s="78"/>
    </row>
    <row r="588" ht="15.75" customHeight="1">
      <c r="K588" s="78"/>
    </row>
    <row r="589" ht="15.75" customHeight="1">
      <c r="K589" s="78"/>
    </row>
    <row r="590" ht="15.75" customHeight="1">
      <c r="K590" s="78"/>
    </row>
    <row r="591" ht="15.75" customHeight="1">
      <c r="K591" s="78"/>
    </row>
    <row r="592" ht="15.75" customHeight="1">
      <c r="K592" s="78"/>
    </row>
    <row r="593" ht="15.75" customHeight="1">
      <c r="K593" s="78"/>
    </row>
    <row r="594" ht="15.75" customHeight="1">
      <c r="K594" s="78"/>
    </row>
    <row r="595" ht="15.75" customHeight="1">
      <c r="K595" s="78"/>
    </row>
    <row r="596" ht="15.75" customHeight="1">
      <c r="K596" s="78"/>
    </row>
    <row r="597" ht="15.75" customHeight="1">
      <c r="K597" s="78"/>
    </row>
    <row r="598" ht="15.75" customHeight="1">
      <c r="K598" s="78"/>
    </row>
    <row r="599" ht="15.75" customHeight="1">
      <c r="K599" s="78"/>
    </row>
    <row r="600" ht="15.75" customHeight="1">
      <c r="K600" s="78"/>
    </row>
    <row r="601" ht="15.75" customHeight="1">
      <c r="K601" s="78"/>
    </row>
    <row r="602" ht="15.75" customHeight="1">
      <c r="K602" s="78"/>
    </row>
    <row r="603" ht="15.75" customHeight="1">
      <c r="K603" s="78"/>
    </row>
    <row r="604" ht="15.75" customHeight="1">
      <c r="K604" s="78"/>
    </row>
    <row r="605" ht="15.75" customHeight="1">
      <c r="K605" s="78"/>
    </row>
    <row r="606" ht="15.75" customHeight="1">
      <c r="K606" s="78"/>
    </row>
    <row r="607" ht="15.75" customHeight="1">
      <c r="K607" s="78"/>
    </row>
    <row r="608" ht="15.75" customHeight="1">
      <c r="K608" s="78"/>
    </row>
    <row r="609" ht="15.75" customHeight="1">
      <c r="K609" s="78"/>
    </row>
    <row r="610" ht="15.75" customHeight="1">
      <c r="K610" s="78"/>
    </row>
    <row r="611" ht="15.75" customHeight="1">
      <c r="K611" s="78"/>
    </row>
    <row r="612" ht="15.75" customHeight="1">
      <c r="K612" s="78"/>
    </row>
    <row r="613" ht="15.75" customHeight="1">
      <c r="K613" s="78"/>
    </row>
    <row r="614" ht="15.75" customHeight="1">
      <c r="K614" s="78"/>
    </row>
    <row r="615" ht="15.75" customHeight="1">
      <c r="K615" s="78"/>
    </row>
    <row r="616" ht="15.75" customHeight="1">
      <c r="K616" s="78"/>
    </row>
    <row r="617" ht="15.75" customHeight="1">
      <c r="K617" s="78"/>
    </row>
    <row r="618" ht="15.75" customHeight="1">
      <c r="K618" s="78"/>
    </row>
    <row r="619" ht="15.75" customHeight="1">
      <c r="K619" s="78"/>
    </row>
    <row r="620" ht="15.75" customHeight="1">
      <c r="K620" s="78"/>
    </row>
    <row r="621" ht="15.75" customHeight="1">
      <c r="K621" s="78"/>
    </row>
    <row r="622" ht="15.75" customHeight="1">
      <c r="K622" s="78"/>
    </row>
    <row r="623" ht="15.75" customHeight="1">
      <c r="K623" s="78"/>
    </row>
    <row r="624" ht="15.75" customHeight="1">
      <c r="K624" s="78"/>
    </row>
    <row r="625" ht="15.75" customHeight="1">
      <c r="K625" s="78"/>
    </row>
    <row r="626" ht="15.75" customHeight="1">
      <c r="K626" s="78"/>
    </row>
    <row r="627" ht="15.75" customHeight="1">
      <c r="K627" s="78"/>
    </row>
    <row r="628" ht="15.75" customHeight="1">
      <c r="K628" s="78"/>
    </row>
    <row r="629" ht="15.75" customHeight="1">
      <c r="K629" s="78"/>
    </row>
    <row r="630" ht="15.75" customHeight="1">
      <c r="K630" s="78"/>
    </row>
    <row r="631" ht="15.75" customHeight="1">
      <c r="K631" s="78"/>
    </row>
    <row r="632" ht="15.75" customHeight="1">
      <c r="K632" s="78"/>
    </row>
    <row r="633" ht="15.75" customHeight="1">
      <c r="K633" s="78"/>
    </row>
    <row r="634" ht="15.75" customHeight="1">
      <c r="K634" s="78"/>
    </row>
    <row r="635" ht="15.75" customHeight="1">
      <c r="K635" s="78"/>
    </row>
    <row r="636" ht="15.75" customHeight="1">
      <c r="K636" s="78"/>
    </row>
    <row r="637" ht="15.75" customHeight="1">
      <c r="K637" s="78"/>
    </row>
    <row r="638" ht="15.75" customHeight="1">
      <c r="K638" s="78"/>
    </row>
    <row r="639" ht="15.75" customHeight="1">
      <c r="K639" s="78"/>
    </row>
    <row r="640" ht="15.75" customHeight="1">
      <c r="K640" s="78"/>
    </row>
    <row r="641" ht="15.75" customHeight="1">
      <c r="K641" s="78"/>
    </row>
    <row r="642" ht="15.75" customHeight="1">
      <c r="K642" s="78"/>
    </row>
    <row r="643" ht="15.75" customHeight="1">
      <c r="K643" s="78"/>
    </row>
    <row r="644" ht="15.75" customHeight="1">
      <c r="K644" s="78"/>
    </row>
    <row r="645" ht="15.75" customHeight="1">
      <c r="K645" s="78"/>
    </row>
    <row r="646" ht="15.75" customHeight="1">
      <c r="K646" s="78"/>
    </row>
    <row r="647" ht="15.75" customHeight="1">
      <c r="K647" s="78"/>
    </row>
    <row r="648" ht="15.75" customHeight="1">
      <c r="K648" s="78"/>
    </row>
    <row r="649" ht="15.75" customHeight="1">
      <c r="K649" s="78"/>
    </row>
    <row r="650" ht="15.75" customHeight="1">
      <c r="K650" s="78"/>
    </row>
    <row r="651" ht="15.75" customHeight="1">
      <c r="K651" s="78"/>
    </row>
    <row r="652" ht="15.75" customHeight="1">
      <c r="K652" s="78"/>
    </row>
    <row r="653" ht="15.75" customHeight="1">
      <c r="K653" s="78"/>
    </row>
    <row r="654" ht="15.75" customHeight="1">
      <c r="K654" s="78"/>
    </row>
    <row r="655" ht="15.75" customHeight="1">
      <c r="K655" s="78"/>
    </row>
    <row r="656" ht="15.75" customHeight="1">
      <c r="K656" s="78"/>
    </row>
    <row r="657" ht="15.75" customHeight="1">
      <c r="K657" s="78"/>
    </row>
    <row r="658" ht="15.75" customHeight="1">
      <c r="K658" s="78"/>
    </row>
    <row r="659" ht="15.75" customHeight="1">
      <c r="K659" s="78"/>
    </row>
    <row r="660" ht="15.75" customHeight="1">
      <c r="K660" s="78"/>
    </row>
    <row r="661" ht="15.75" customHeight="1">
      <c r="K661" s="78"/>
    </row>
    <row r="662" ht="15.75" customHeight="1">
      <c r="K662" s="78"/>
    </row>
    <row r="663" ht="15.75" customHeight="1">
      <c r="K663" s="78"/>
    </row>
    <row r="664" ht="15.75" customHeight="1">
      <c r="K664" s="78"/>
    </row>
    <row r="665" ht="15.75" customHeight="1">
      <c r="K665" s="78"/>
    </row>
    <row r="666" ht="15.75" customHeight="1">
      <c r="K666" s="78"/>
    </row>
    <row r="667" ht="15.75" customHeight="1">
      <c r="K667" s="78"/>
    </row>
    <row r="668" ht="15.75" customHeight="1">
      <c r="K668" s="78"/>
    </row>
    <row r="669" ht="15.75" customHeight="1">
      <c r="K669" s="78"/>
    </row>
    <row r="670" ht="15.75" customHeight="1">
      <c r="K670" s="78"/>
    </row>
    <row r="671" ht="15.75" customHeight="1">
      <c r="K671" s="78"/>
    </row>
    <row r="672" ht="15.75" customHeight="1">
      <c r="K672" s="78"/>
    </row>
    <row r="673" ht="15.75" customHeight="1">
      <c r="K673" s="78"/>
    </row>
    <row r="674" ht="15.75" customHeight="1">
      <c r="K674" s="78"/>
    </row>
    <row r="675" ht="15.75" customHeight="1">
      <c r="K675" s="78"/>
    </row>
    <row r="676" ht="15.75" customHeight="1">
      <c r="K676" s="78"/>
    </row>
    <row r="677" ht="15.75" customHeight="1">
      <c r="K677" s="78"/>
    </row>
    <row r="678" ht="15.75" customHeight="1">
      <c r="K678" s="78"/>
    </row>
    <row r="679" ht="15.75" customHeight="1">
      <c r="K679" s="78"/>
    </row>
    <row r="680" ht="15.75" customHeight="1">
      <c r="K680" s="78"/>
    </row>
    <row r="681" ht="15.75" customHeight="1">
      <c r="K681" s="78"/>
    </row>
    <row r="682" ht="15.75" customHeight="1">
      <c r="K682" s="78"/>
    </row>
    <row r="683" ht="15.75" customHeight="1">
      <c r="K683" s="78"/>
    </row>
    <row r="684" ht="15.75" customHeight="1">
      <c r="K684" s="78"/>
    </row>
    <row r="685" ht="15.75" customHeight="1">
      <c r="K685" s="78"/>
    </row>
    <row r="686" ht="15.75" customHeight="1">
      <c r="K686" s="78"/>
    </row>
    <row r="687" ht="15.75" customHeight="1">
      <c r="K687" s="78"/>
    </row>
    <row r="688" ht="15.75" customHeight="1">
      <c r="K688" s="78"/>
    </row>
    <row r="689" ht="15.75" customHeight="1">
      <c r="K689" s="78"/>
    </row>
    <row r="690" ht="15.75" customHeight="1">
      <c r="K690" s="78"/>
    </row>
    <row r="691" ht="15.75" customHeight="1">
      <c r="K691" s="78"/>
    </row>
    <row r="692" ht="15.75" customHeight="1">
      <c r="K692" s="78"/>
    </row>
    <row r="693" ht="15.75" customHeight="1">
      <c r="K693" s="78"/>
    </row>
    <row r="694" ht="15.75" customHeight="1">
      <c r="K694" s="78"/>
    </row>
    <row r="695" ht="15.75" customHeight="1">
      <c r="K695" s="78"/>
    </row>
    <row r="696" ht="15.75" customHeight="1">
      <c r="K696" s="78"/>
    </row>
    <row r="697" ht="15.75" customHeight="1">
      <c r="K697" s="78"/>
    </row>
    <row r="698" ht="15.75" customHeight="1">
      <c r="K698" s="78"/>
    </row>
    <row r="699" ht="15.75" customHeight="1">
      <c r="K699" s="78"/>
    </row>
    <row r="700" ht="15.75" customHeight="1">
      <c r="K700" s="78"/>
    </row>
    <row r="701" ht="15.75" customHeight="1">
      <c r="K701" s="78"/>
    </row>
    <row r="702" ht="15.75" customHeight="1">
      <c r="K702" s="78"/>
    </row>
    <row r="703" ht="15.75" customHeight="1">
      <c r="K703" s="78"/>
    </row>
    <row r="704" ht="15.75" customHeight="1">
      <c r="K704" s="78"/>
    </row>
    <row r="705" ht="15.75" customHeight="1">
      <c r="K705" s="78"/>
    </row>
    <row r="706" ht="15.75" customHeight="1">
      <c r="K706" s="78"/>
    </row>
    <row r="707" ht="15.75" customHeight="1">
      <c r="K707" s="78"/>
    </row>
    <row r="708" ht="15.75" customHeight="1">
      <c r="K708" s="78"/>
    </row>
    <row r="709" ht="15.75" customHeight="1">
      <c r="K709" s="78"/>
    </row>
    <row r="710" ht="15.75" customHeight="1">
      <c r="K710" s="78"/>
    </row>
    <row r="711" ht="15.75" customHeight="1">
      <c r="K711" s="78"/>
    </row>
    <row r="712" ht="15.75" customHeight="1">
      <c r="K712" s="78"/>
    </row>
    <row r="713" ht="15.75" customHeight="1">
      <c r="K713" s="78"/>
    </row>
    <row r="714" ht="15.75" customHeight="1">
      <c r="K714" s="78"/>
    </row>
    <row r="715" ht="15.75" customHeight="1">
      <c r="K715" s="78"/>
    </row>
    <row r="716" ht="15.75" customHeight="1">
      <c r="K716" s="78"/>
    </row>
    <row r="717" ht="15.75" customHeight="1">
      <c r="K717" s="78"/>
    </row>
    <row r="718" ht="15.75" customHeight="1">
      <c r="K718" s="78"/>
    </row>
    <row r="719" ht="15.75" customHeight="1">
      <c r="K719" s="78"/>
    </row>
    <row r="720" ht="15.75" customHeight="1">
      <c r="K720" s="78"/>
    </row>
    <row r="721" ht="15.75" customHeight="1">
      <c r="K721" s="78"/>
    </row>
    <row r="722" ht="15.75" customHeight="1">
      <c r="K722" s="78"/>
    </row>
    <row r="723" ht="15.75" customHeight="1">
      <c r="K723" s="78"/>
    </row>
    <row r="724" ht="15.75" customHeight="1">
      <c r="K724" s="78"/>
    </row>
    <row r="725" ht="15.75" customHeight="1">
      <c r="K725" s="78"/>
    </row>
    <row r="726" ht="15.75" customHeight="1">
      <c r="K726" s="78"/>
    </row>
    <row r="727" ht="15.75" customHeight="1">
      <c r="K727" s="78"/>
    </row>
    <row r="728" ht="15.75" customHeight="1">
      <c r="K728" s="78"/>
    </row>
    <row r="729" ht="15.75" customHeight="1">
      <c r="K729" s="78"/>
    </row>
    <row r="730" ht="15.75" customHeight="1">
      <c r="K730" s="78"/>
    </row>
    <row r="731" ht="15.75" customHeight="1">
      <c r="K731" s="78"/>
    </row>
    <row r="732" ht="15.75" customHeight="1">
      <c r="K732" s="78"/>
    </row>
    <row r="733" ht="15.75" customHeight="1">
      <c r="K733" s="78"/>
    </row>
    <row r="734" ht="15.75" customHeight="1">
      <c r="K734" s="78"/>
    </row>
    <row r="735" ht="15.75" customHeight="1">
      <c r="K735" s="78"/>
    </row>
    <row r="736" ht="15.75" customHeight="1">
      <c r="K736" s="78"/>
    </row>
    <row r="737" ht="15.75" customHeight="1">
      <c r="K737" s="78"/>
    </row>
    <row r="738" ht="15.75" customHeight="1">
      <c r="K738" s="78"/>
    </row>
    <row r="739" ht="15.75" customHeight="1">
      <c r="K739" s="78"/>
    </row>
    <row r="740" ht="15.75" customHeight="1">
      <c r="K740" s="78"/>
    </row>
    <row r="741" ht="15.75" customHeight="1">
      <c r="K741" s="78"/>
    </row>
    <row r="742" ht="15.75" customHeight="1">
      <c r="K742" s="78"/>
    </row>
    <row r="743" ht="15.75" customHeight="1">
      <c r="K743" s="78"/>
    </row>
    <row r="744" ht="15.75" customHeight="1">
      <c r="K744" s="78"/>
    </row>
    <row r="745" ht="15.75" customHeight="1">
      <c r="K745" s="78"/>
    </row>
    <row r="746" ht="15.75" customHeight="1">
      <c r="K746" s="78"/>
    </row>
    <row r="747" ht="15.75" customHeight="1">
      <c r="K747" s="78"/>
    </row>
    <row r="748" ht="15.75" customHeight="1">
      <c r="K748" s="78"/>
    </row>
    <row r="749" ht="15.75" customHeight="1">
      <c r="K749" s="78"/>
    </row>
    <row r="750" ht="15.75" customHeight="1">
      <c r="K750" s="78"/>
    </row>
    <row r="751" ht="15.75" customHeight="1">
      <c r="K751" s="78"/>
    </row>
    <row r="752" ht="15.75" customHeight="1">
      <c r="K752" s="78"/>
    </row>
    <row r="753" ht="15.75" customHeight="1">
      <c r="K753" s="78"/>
    </row>
    <row r="754" ht="15.75" customHeight="1">
      <c r="K754" s="78"/>
    </row>
    <row r="755" ht="15.75" customHeight="1">
      <c r="K755" s="78"/>
    </row>
    <row r="756" ht="15.75" customHeight="1">
      <c r="K756" s="78"/>
    </row>
    <row r="757" ht="15.75" customHeight="1">
      <c r="K757" s="78"/>
    </row>
    <row r="758" ht="15.75" customHeight="1">
      <c r="K758" s="78"/>
    </row>
    <row r="759" ht="15.75" customHeight="1">
      <c r="K759" s="78"/>
    </row>
    <row r="760" ht="15.75" customHeight="1">
      <c r="K760" s="78"/>
    </row>
    <row r="761" ht="15.75" customHeight="1">
      <c r="K761" s="78"/>
    </row>
    <row r="762" ht="15.75" customHeight="1">
      <c r="K762" s="78"/>
    </row>
    <row r="763" ht="15.75" customHeight="1">
      <c r="K763" s="78"/>
    </row>
    <row r="764" ht="15.75" customHeight="1">
      <c r="K764" s="78"/>
    </row>
    <row r="765" ht="15.75" customHeight="1">
      <c r="K765" s="78"/>
    </row>
    <row r="766" ht="15.75" customHeight="1">
      <c r="K766" s="78"/>
    </row>
    <row r="767" ht="15.75" customHeight="1">
      <c r="K767" s="78"/>
    </row>
    <row r="768" ht="15.75" customHeight="1">
      <c r="K768" s="78"/>
    </row>
    <row r="769" ht="15.75" customHeight="1">
      <c r="K769" s="78"/>
    </row>
    <row r="770" ht="15.75" customHeight="1">
      <c r="K770" s="78"/>
    </row>
    <row r="771" ht="15.75" customHeight="1">
      <c r="K771" s="78"/>
    </row>
    <row r="772" ht="15.75" customHeight="1">
      <c r="K772" s="78"/>
    </row>
    <row r="773" ht="15.75" customHeight="1">
      <c r="K773" s="78"/>
    </row>
    <row r="774" ht="15.75" customHeight="1">
      <c r="K774" s="78"/>
    </row>
    <row r="775" ht="15.75" customHeight="1">
      <c r="K775" s="78"/>
    </row>
    <row r="776" ht="15.75" customHeight="1">
      <c r="K776" s="78"/>
    </row>
    <row r="777" ht="15.75" customHeight="1">
      <c r="K777" s="78"/>
    </row>
    <row r="778" ht="15.75" customHeight="1">
      <c r="K778" s="78"/>
    </row>
    <row r="779" ht="15.75" customHeight="1">
      <c r="K779" s="78"/>
    </row>
    <row r="780" ht="15.75" customHeight="1">
      <c r="K780" s="78"/>
    </row>
    <row r="781" ht="15.75" customHeight="1">
      <c r="K781" s="78"/>
    </row>
    <row r="782" ht="15.75" customHeight="1">
      <c r="K782" s="78"/>
    </row>
    <row r="783" ht="15.75" customHeight="1">
      <c r="K783" s="78"/>
    </row>
    <row r="784" ht="15.75" customHeight="1">
      <c r="K784" s="78"/>
    </row>
    <row r="785" ht="15.75" customHeight="1">
      <c r="K785" s="78"/>
    </row>
    <row r="786" ht="15.75" customHeight="1">
      <c r="K786" s="78"/>
    </row>
    <row r="787" ht="15.75" customHeight="1">
      <c r="K787" s="78"/>
    </row>
    <row r="788" ht="15.75" customHeight="1">
      <c r="K788" s="78"/>
    </row>
    <row r="789" ht="15.75" customHeight="1">
      <c r="K789" s="78"/>
    </row>
    <row r="790" ht="15.75" customHeight="1">
      <c r="K790" s="78"/>
    </row>
    <row r="791" ht="15.75" customHeight="1">
      <c r="K791" s="78"/>
    </row>
    <row r="792" ht="15.75" customHeight="1">
      <c r="K792" s="78"/>
    </row>
    <row r="793" ht="15.75" customHeight="1">
      <c r="K793" s="78"/>
    </row>
    <row r="794" ht="15.75" customHeight="1">
      <c r="K794" s="78"/>
    </row>
    <row r="795" ht="15.75" customHeight="1">
      <c r="K795" s="78"/>
    </row>
    <row r="796" ht="15.75" customHeight="1">
      <c r="K796" s="78"/>
    </row>
    <row r="797" ht="15.75" customHeight="1">
      <c r="K797" s="78"/>
    </row>
    <row r="798" ht="15.75" customHeight="1">
      <c r="K798" s="78"/>
    </row>
    <row r="799" ht="15.75" customHeight="1">
      <c r="K799" s="78"/>
    </row>
    <row r="800" ht="15.75" customHeight="1">
      <c r="K800" s="78"/>
    </row>
    <row r="801" ht="15.75" customHeight="1">
      <c r="K801" s="78"/>
    </row>
    <row r="802" ht="15.75" customHeight="1">
      <c r="K802" s="78"/>
    </row>
    <row r="803" ht="15.75" customHeight="1">
      <c r="K803" s="78"/>
    </row>
    <row r="804" ht="15.75" customHeight="1">
      <c r="K804" s="78"/>
    </row>
    <row r="805" ht="15.75" customHeight="1">
      <c r="K805" s="78"/>
    </row>
    <row r="806" ht="15.75" customHeight="1">
      <c r="K806" s="78"/>
    </row>
    <row r="807" ht="15.75" customHeight="1">
      <c r="K807" s="78"/>
    </row>
    <row r="808" ht="15.75" customHeight="1">
      <c r="K808" s="78"/>
    </row>
    <row r="809" ht="15.75" customHeight="1">
      <c r="K809" s="78"/>
    </row>
    <row r="810" ht="15.75" customHeight="1">
      <c r="K810" s="78"/>
    </row>
    <row r="811" ht="15.75" customHeight="1">
      <c r="K811" s="78"/>
    </row>
    <row r="812" ht="15.75" customHeight="1">
      <c r="K812" s="78"/>
    </row>
    <row r="813" ht="15.75" customHeight="1">
      <c r="K813" s="78"/>
    </row>
    <row r="814" ht="15.75" customHeight="1">
      <c r="K814" s="78"/>
    </row>
    <row r="815" ht="15.75" customHeight="1">
      <c r="K815" s="78"/>
    </row>
    <row r="816" ht="15.75" customHeight="1">
      <c r="K816" s="78"/>
    </row>
    <row r="817" ht="15.75" customHeight="1">
      <c r="K817" s="78"/>
    </row>
    <row r="818" ht="15.75" customHeight="1">
      <c r="K818" s="78"/>
    </row>
    <row r="819" ht="15.75" customHeight="1">
      <c r="K819" s="78"/>
    </row>
    <row r="820" ht="15.75" customHeight="1">
      <c r="K820" s="78"/>
    </row>
    <row r="821" ht="15.75" customHeight="1">
      <c r="K821" s="78"/>
    </row>
    <row r="822" ht="15.75" customHeight="1">
      <c r="K822" s="78"/>
    </row>
    <row r="823" ht="15.75" customHeight="1">
      <c r="K823" s="78"/>
    </row>
    <row r="824" ht="15.75" customHeight="1">
      <c r="K824" s="78"/>
    </row>
    <row r="825" ht="15.75" customHeight="1">
      <c r="K825" s="78"/>
    </row>
    <row r="826" ht="15.75" customHeight="1">
      <c r="K826" s="78"/>
    </row>
    <row r="827" ht="15.75" customHeight="1">
      <c r="K827" s="78"/>
    </row>
    <row r="828" ht="15.75" customHeight="1">
      <c r="K828" s="78"/>
    </row>
    <row r="829" ht="15.75" customHeight="1">
      <c r="K829" s="78"/>
    </row>
    <row r="830" ht="15.75" customHeight="1">
      <c r="K830" s="78"/>
    </row>
    <row r="831" ht="15.75" customHeight="1">
      <c r="K831" s="78"/>
    </row>
    <row r="832" ht="15.75" customHeight="1">
      <c r="K832" s="78"/>
    </row>
    <row r="833" ht="15.75" customHeight="1">
      <c r="K833" s="78"/>
    </row>
    <row r="834" ht="15.75" customHeight="1">
      <c r="K834" s="78"/>
    </row>
    <row r="835" ht="15.75" customHeight="1">
      <c r="K835" s="78"/>
    </row>
    <row r="836" ht="15.75" customHeight="1">
      <c r="K836" s="78"/>
    </row>
    <row r="837" ht="15.75" customHeight="1">
      <c r="K837" s="78"/>
    </row>
    <row r="838" ht="15.75" customHeight="1">
      <c r="K838" s="78"/>
    </row>
    <row r="839" ht="15.75" customHeight="1">
      <c r="K839" s="78"/>
    </row>
    <row r="840" ht="15.75" customHeight="1">
      <c r="K840" s="78"/>
    </row>
    <row r="841" ht="15.75" customHeight="1">
      <c r="K841" s="78"/>
    </row>
    <row r="842" ht="15.75" customHeight="1">
      <c r="K842" s="78"/>
    </row>
    <row r="843" ht="15.75" customHeight="1">
      <c r="K843" s="78"/>
    </row>
    <row r="844" ht="15.75" customHeight="1">
      <c r="K844" s="78"/>
    </row>
    <row r="845" ht="15.75" customHeight="1">
      <c r="K845" s="78"/>
    </row>
    <row r="846" ht="15.75" customHeight="1">
      <c r="K846" s="78"/>
    </row>
    <row r="847" ht="15.75" customHeight="1">
      <c r="K847" s="78"/>
    </row>
    <row r="848" ht="15.75" customHeight="1">
      <c r="K848" s="78"/>
    </row>
    <row r="849" ht="15.75" customHeight="1">
      <c r="K849" s="78"/>
    </row>
    <row r="850" ht="15.75" customHeight="1">
      <c r="K850" s="78"/>
    </row>
    <row r="851" ht="15.75" customHeight="1">
      <c r="K851" s="78"/>
    </row>
    <row r="852" ht="15.75" customHeight="1">
      <c r="K852" s="78"/>
    </row>
    <row r="853" ht="15.75" customHeight="1">
      <c r="K853" s="78"/>
    </row>
    <row r="854" ht="15.75" customHeight="1">
      <c r="K854" s="78"/>
    </row>
    <row r="855" ht="15.75" customHeight="1">
      <c r="K855" s="78"/>
    </row>
    <row r="856" ht="15.75" customHeight="1">
      <c r="K856" s="78"/>
    </row>
    <row r="857" ht="15.75" customHeight="1">
      <c r="K857" s="78"/>
    </row>
    <row r="858" ht="15.75" customHeight="1">
      <c r="K858" s="78"/>
    </row>
    <row r="859" ht="15.75" customHeight="1">
      <c r="K859" s="78"/>
    </row>
    <row r="860" ht="15.75" customHeight="1">
      <c r="K860" s="78"/>
    </row>
    <row r="861" ht="15.75" customHeight="1">
      <c r="K861" s="78"/>
    </row>
    <row r="862" ht="15.75" customHeight="1">
      <c r="K862" s="78"/>
    </row>
    <row r="863" ht="15.75" customHeight="1">
      <c r="K863" s="78"/>
    </row>
    <row r="864" ht="15.75" customHeight="1">
      <c r="K864" s="78"/>
    </row>
    <row r="865" ht="15.75" customHeight="1">
      <c r="K865" s="78"/>
    </row>
    <row r="866" ht="15.75" customHeight="1">
      <c r="K866" s="78"/>
    </row>
    <row r="867" ht="15.75" customHeight="1">
      <c r="K867" s="78"/>
    </row>
    <row r="868" ht="15.75" customHeight="1">
      <c r="K868" s="78"/>
    </row>
    <row r="869" ht="15.75" customHeight="1">
      <c r="K869" s="78"/>
    </row>
    <row r="870" ht="15.75" customHeight="1">
      <c r="K870" s="78"/>
    </row>
    <row r="871" ht="15.75" customHeight="1">
      <c r="K871" s="78"/>
    </row>
    <row r="872" ht="15.75" customHeight="1">
      <c r="K872" s="78"/>
    </row>
    <row r="873" ht="15.75" customHeight="1">
      <c r="K873" s="78"/>
    </row>
    <row r="874" ht="15.75" customHeight="1">
      <c r="K874" s="78"/>
    </row>
    <row r="875" ht="15.75" customHeight="1">
      <c r="K875" s="78"/>
    </row>
    <row r="876" ht="15.75" customHeight="1">
      <c r="K876" s="78"/>
    </row>
    <row r="877" ht="15.75" customHeight="1">
      <c r="K877" s="78"/>
    </row>
    <row r="878" ht="15.75" customHeight="1">
      <c r="K878" s="78"/>
    </row>
    <row r="879" ht="15.75" customHeight="1">
      <c r="K879" s="78"/>
    </row>
    <row r="880" ht="15.75" customHeight="1">
      <c r="K880" s="78"/>
    </row>
    <row r="881" ht="15.75" customHeight="1">
      <c r="K881" s="78"/>
    </row>
    <row r="882" ht="15.75" customHeight="1">
      <c r="K882" s="78"/>
    </row>
    <row r="883" ht="15.75" customHeight="1">
      <c r="K883" s="78"/>
    </row>
    <row r="884" ht="15.75" customHeight="1">
      <c r="K884" s="78"/>
    </row>
    <row r="885" ht="15.75" customHeight="1">
      <c r="K885" s="78"/>
    </row>
    <row r="886" ht="15.75" customHeight="1">
      <c r="K886" s="78"/>
    </row>
    <row r="887" ht="15.75" customHeight="1">
      <c r="K887" s="78"/>
    </row>
    <row r="888" ht="15.75" customHeight="1">
      <c r="K888" s="78"/>
    </row>
    <row r="889" ht="15.75" customHeight="1">
      <c r="K889" s="78"/>
    </row>
    <row r="890" ht="15.75" customHeight="1">
      <c r="K890" s="78"/>
    </row>
    <row r="891" ht="15.75" customHeight="1">
      <c r="K891" s="78"/>
    </row>
    <row r="892" ht="15.75" customHeight="1">
      <c r="K892" s="78"/>
    </row>
    <row r="893" ht="15.75" customHeight="1">
      <c r="K893" s="78"/>
    </row>
    <row r="894" ht="15.75" customHeight="1">
      <c r="K894" s="78"/>
    </row>
    <row r="895" ht="15.75" customHeight="1">
      <c r="K895" s="78"/>
    </row>
    <row r="896" ht="15.75" customHeight="1">
      <c r="K896" s="78"/>
    </row>
    <row r="897" ht="15.75" customHeight="1">
      <c r="K897" s="78"/>
    </row>
    <row r="898" ht="15.75" customHeight="1">
      <c r="K898" s="78"/>
    </row>
    <row r="899" ht="15.75" customHeight="1">
      <c r="K899" s="78"/>
    </row>
    <row r="900" ht="15.75" customHeight="1">
      <c r="K900" s="78"/>
    </row>
    <row r="901" ht="15.75" customHeight="1">
      <c r="K901" s="78"/>
    </row>
    <row r="902" ht="15.75" customHeight="1">
      <c r="K902" s="78"/>
    </row>
    <row r="903" ht="15.75" customHeight="1">
      <c r="K903" s="78"/>
    </row>
    <row r="904" ht="15.75" customHeight="1">
      <c r="K904" s="78"/>
    </row>
    <row r="905" ht="15.75" customHeight="1">
      <c r="K905" s="78"/>
    </row>
    <row r="906" ht="15.75" customHeight="1">
      <c r="K906" s="78"/>
    </row>
    <row r="907" ht="15.75" customHeight="1">
      <c r="K907" s="78"/>
    </row>
    <row r="908" ht="15.75" customHeight="1">
      <c r="K908" s="78"/>
    </row>
    <row r="909" ht="15.75" customHeight="1">
      <c r="K909" s="78"/>
    </row>
    <row r="910" ht="15.75" customHeight="1">
      <c r="K910" s="78"/>
    </row>
    <row r="911" ht="15.75" customHeight="1">
      <c r="K911" s="78"/>
    </row>
    <row r="912" ht="15.75" customHeight="1">
      <c r="K912" s="78"/>
    </row>
    <row r="913" ht="15.75" customHeight="1">
      <c r="K913" s="78"/>
    </row>
    <row r="914" ht="15.75" customHeight="1">
      <c r="K914" s="78"/>
    </row>
    <row r="915" ht="15.75" customHeight="1">
      <c r="K915" s="78"/>
    </row>
    <row r="916" ht="15.75" customHeight="1">
      <c r="K916" s="78"/>
    </row>
    <row r="917" ht="15.75" customHeight="1">
      <c r="K917" s="78"/>
    </row>
    <row r="918" ht="15.75" customHeight="1">
      <c r="K918" s="78"/>
    </row>
    <row r="919" ht="15.75" customHeight="1">
      <c r="K919" s="78"/>
    </row>
    <row r="920" ht="15.75" customHeight="1">
      <c r="K920" s="78"/>
    </row>
    <row r="921" ht="15.75" customHeight="1">
      <c r="K921" s="78"/>
    </row>
    <row r="922" ht="15.75" customHeight="1">
      <c r="K922" s="78"/>
    </row>
    <row r="923" ht="15.75" customHeight="1">
      <c r="K923" s="78"/>
    </row>
    <row r="924" ht="15.75" customHeight="1">
      <c r="K924" s="78"/>
    </row>
    <row r="925" ht="15.75" customHeight="1">
      <c r="K925" s="78"/>
    </row>
    <row r="926" ht="15.75" customHeight="1">
      <c r="K926" s="78"/>
    </row>
    <row r="927" ht="15.75" customHeight="1">
      <c r="K927" s="78"/>
    </row>
    <row r="928" ht="15.75" customHeight="1">
      <c r="K928" s="78"/>
    </row>
    <row r="929" ht="15.75" customHeight="1">
      <c r="K929" s="78"/>
    </row>
    <row r="930" ht="15.75" customHeight="1">
      <c r="K930" s="78"/>
    </row>
    <row r="931" ht="15.75" customHeight="1">
      <c r="K931" s="78"/>
    </row>
    <row r="932" ht="15.75" customHeight="1">
      <c r="K932" s="78"/>
    </row>
    <row r="933" ht="15.75" customHeight="1">
      <c r="K933" s="78"/>
    </row>
    <row r="934" ht="15.75" customHeight="1">
      <c r="K934" s="78"/>
    </row>
    <row r="935" ht="15.75" customHeight="1">
      <c r="K935" s="78"/>
    </row>
    <row r="936" ht="15.75" customHeight="1">
      <c r="K936" s="78"/>
    </row>
    <row r="937" ht="15.75" customHeight="1">
      <c r="K937" s="78"/>
    </row>
    <row r="938" ht="15.75" customHeight="1">
      <c r="K938" s="78"/>
    </row>
    <row r="939" ht="15.75" customHeight="1">
      <c r="K939" s="78"/>
    </row>
    <row r="940" ht="15.75" customHeight="1">
      <c r="K940" s="78"/>
    </row>
    <row r="941" ht="15.75" customHeight="1">
      <c r="K941" s="78"/>
    </row>
    <row r="942" ht="15.75" customHeight="1">
      <c r="K942" s="78"/>
    </row>
    <row r="943" ht="15.75" customHeight="1">
      <c r="K943" s="78"/>
    </row>
    <row r="944" ht="15.75" customHeight="1">
      <c r="K944" s="78"/>
    </row>
    <row r="945" ht="15.75" customHeight="1">
      <c r="K945" s="78"/>
    </row>
    <row r="946" ht="15.75" customHeight="1">
      <c r="K946" s="78"/>
    </row>
    <row r="947" ht="15.75" customHeight="1">
      <c r="K947" s="78"/>
    </row>
    <row r="948" ht="15.75" customHeight="1">
      <c r="K948" s="78"/>
    </row>
    <row r="949" ht="15.75" customHeight="1">
      <c r="K949" s="78"/>
    </row>
    <row r="950" ht="15.75" customHeight="1">
      <c r="K950" s="78"/>
    </row>
    <row r="951" ht="15.75" customHeight="1">
      <c r="K951" s="78"/>
    </row>
    <row r="952" ht="15.75" customHeight="1">
      <c r="K952" s="78"/>
    </row>
    <row r="953" ht="15.75" customHeight="1">
      <c r="K953" s="78"/>
    </row>
    <row r="954" ht="15.75" customHeight="1">
      <c r="K954" s="78"/>
    </row>
    <row r="955" ht="15.75" customHeight="1">
      <c r="K955" s="78"/>
    </row>
    <row r="956" ht="15.75" customHeight="1">
      <c r="K956" s="78"/>
    </row>
    <row r="957" ht="15.75" customHeight="1">
      <c r="K957" s="78"/>
    </row>
    <row r="958" ht="15.75" customHeight="1">
      <c r="K958" s="78"/>
    </row>
    <row r="959" ht="15.75" customHeight="1">
      <c r="K959" s="78"/>
    </row>
    <row r="960" ht="15.75" customHeight="1">
      <c r="K960" s="78"/>
    </row>
    <row r="961" ht="15.75" customHeight="1">
      <c r="K961" s="78"/>
    </row>
    <row r="962" ht="15.75" customHeight="1">
      <c r="K962" s="78"/>
    </row>
    <row r="963" ht="15.75" customHeight="1">
      <c r="K963" s="78"/>
    </row>
    <row r="964" ht="15.75" customHeight="1">
      <c r="K964" s="78"/>
    </row>
    <row r="965" ht="15.75" customHeight="1">
      <c r="K965" s="78"/>
    </row>
    <row r="966" ht="15.75" customHeight="1">
      <c r="K966" s="78"/>
    </row>
    <row r="967" ht="15.75" customHeight="1">
      <c r="K967" s="78"/>
    </row>
    <row r="968" ht="15.75" customHeight="1">
      <c r="K968" s="78"/>
    </row>
    <row r="969" ht="15.75" customHeight="1">
      <c r="K969" s="78"/>
    </row>
    <row r="970" ht="15.75" customHeight="1">
      <c r="K970" s="78"/>
    </row>
    <row r="971" ht="15.75" customHeight="1">
      <c r="K971" s="78"/>
    </row>
    <row r="972" ht="15.75" customHeight="1">
      <c r="K972" s="78"/>
    </row>
    <row r="973" ht="15.75" customHeight="1">
      <c r="K973" s="78"/>
    </row>
    <row r="974" ht="15.75" customHeight="1">
      <c r="K974" s="78"/>
    </row>
    <row r="975" ht="15.75" customHeight="1">
      <c r="K975" s="78"/>
    </row>
    <row r="976" ht="15.75" customHeight="1">
      <c r="K976" s="78"/>
    </row>
    <row r="977" ht="15.75" customHeight="1">
      <c r="K977" s="78"/>
    </row>
    <row r="978" ht="15.75" customHeight="1">
      <c r="K978" s="78"/>
    </row>
    <row r="979" ht="15.75" customHeight="1">
      <c r="K979" s="78"/>
    </row>
    <row r="980" ht="15.75" customHeight="1">
      <c r="K980" s="78"/>
    </row>
    <row r="981" ht="15.75" customHeight="1">
      <c r="K981" s="78"/>
    </row>
    <row r="982" ht="15.75" customHeight="1">
      <c r="K982" s="78"/>
    </row>
    <row r="983" ht="15.75" customHeight="1">
      <c r="K983" s="78"/>
    </row>
    <row r="984" ht="15.75" customHeight="1">
      <c r="K984" s="78"/>
    </row>
    <row r="985" ht="15.75" customHeight="1">
      <c r="K985" s="78"/>
    </row>
    <row r="986" ht="15.75" customHeight="1">
      <c r="K986" s="78"/>
    </row>
    <row r="987" ht="15.75" customHeight="1">
      <c r="K987" s="78"/>
    </row>
    <row r="988" ht="15.75" customHeight="1">
      <c r="K988" s="78"/>
    </row>
    <row r="989" ht="15.75" customHeight="1">
      <c r="K989" s="78"/>
    </row>
    <row r="990" ht="15.75" customHeight="1">
      <c r="K990" s="78"/>
    </row>
    <row r="991" ht="15.75" customHeight="1">
      <c r="K991" s="78"/>
    </row>
    <row r="992" ht="15.75" customHeight="1">
      <c r="K992" s="78"/>
    </row>
    <row r="993" ht="15.75" customHeight="1">
      <c r="K993" s="78"/>
    </row>
    <row r="994" ht="15.75" customHeight="1">
      <c r="K994" s="78"/>
    </row>
    <row r="995" ht="15.75" customHeight="1">
      <c r="K995" s="78"/>
    </row>
    <row r="996" ht="15.75" customHeight="1">
      <c r="K996" s="78"/>
    </row>
    <row r="997" ht="15.75" customHeight="1">
      <c r="K997" s="78"/>
    </row>
    <row r="998" ht="15.75" customHeight="1">
      <c r="K998" s="78"/>
    </row>
    <row r="999" ht="15.75" customHeight="1">
      <c r="K999" s="78"/>
    </row>
    <row r="1000" ht="15.75" customHeight="1">
      <c r="K1000" s="78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8.71"/>
    <col customWidth="1" min="4" max="4" width="45.57"/>
    <col customWidth="1" min="5" max="11" width="10.71"/>
    <col customWidth="1" min="12" max="12" width="11.43"/>
    <col customWidth="1" min="13" max="13" width="11.14"/>
    <col customWidth="1" min="14" max="14" width="9.29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10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0" t="s">
        <v>23</v>
      </c>
      <c r="B7" s="46" t="s">
        <v>24</v>
      </c>
      <c r="C7" s="81">
        <v>1.0</v>
      </c>
      <c r="D7" s="82" t="s">
        <v>55</v>
      </c>
      <c r="E7" s="83" t="s">
        <v>26</v>
      </c>
      <c r="F7" s="83">
        <v>6.11</v>
      </c>
      <c r="G7" s="83" t="s">
        <v>26</v>
      </c>
      <c r="H7" s="83" t="s">
        <v>26</v>
      </c>
      <c r="I7" s="83" t="s">
        <v>26</v>
      </c>
      <c r="J7" s="83" t="s">
        <v>26</v>
      </c>
      <c r="K7" s="84">
        <v>5.1</v>
      </c>
      <c r="L7" s="83">
        <v>0.55</v>
      </c>
      <c r="M7" s="84">
        <v>1.05</v>
      </c>
      <c r="N7" s="83">
        <v>1.29</v>
      </c>
      <c r="O7" s="83">
        <v>3.28</v>
      </c>
      <c r="P7" s="83">
        <v>4.11</v>
      </c>
      <c r="Q7" s="49">
        <f t="shared" ref="Q7:Q24" si="1">AVERAGE(E7,F7,G7,H7,I7,J7,K7,L7,M7,N7,O7,P7)</f>
        <v>3.07</v>
      </c>
      <c r="R7" s="17">
        <v>5.0</v>
      </c>
    </row>
    <row r="8">
      <c r="A8" s="20"/>
      <c r="B8" s="21"/>
      <c r="C8" s="22">
        <v>2.0</v>
      </c>
      <c r="D8" s="50" t="s">
        <v>56</v>
      </c>
      <c r="E8" s="24" t="s">
        <v>26</v>
      </c>
      <c r="F8" s="24">
        <v>1.56</v>
      </c>
      <c r="G8" s="24" t="s">
        <v>26</v>
      </c>
      <c r="H8" s="24" t="s">
        <v>26</v>
      </c>
      <c r="I8" s="24" t="s">
        <v>26</v>
      </c>
      <c r="J8" s="24" t="s">
        <v>26</v>
      </c>
      <c r="K8" s="24">
        <v>2.09</v>
      </c>
      <c r="L8" s="24">
        <v>0.48</v>
      </c>
      <c r="M8" s="24">
        <v>1.53</v>
      </c>
      <c r="N8" s="24">
        <v>1.2</v>
      </c>
      <c r="O8" s="24">
        <v>2.26</v>
      </c>
      <c r="P8" s="24">
        <v>3.15</v>
      </c>
      <c r="Q8" s="52">
        <f t="shared" si="1"/>
        <v>1.752857143</v>
      </c>
      <c r="R8" s="23">
        <v>5.0</v>
      </c>
    </row>
    <row r="9">
      <c r="A9" s="20"/>
      <c r="B9" s="26"/>
      <c r="C9" s="22">
        <v>3.0</v>
      </c>
      <c r="D9" s="50" t="s">
        <v>57</v>
      </c>
      <c r="E9" s="85" t="s">
        <v>26</v>
      </c>
      <c r="F9" s="85">
        <v>2.16</v>
      </c>
      <c r="G9" s="85" t="s">
        <v>26</v>
      </c>
      <c r="H9" s="85" t="s">
        <v>26</v>
      </c>
      <c r="I9" s="85" t="s">
        <v>26</v>
      </c>
      <c r="J9" s="85" t="s">
        <v>26</v>
      </c>
      <c r="K9" s="85">
        <v>3.27</v>
      </c>
      <c r="L9" s="85">
        <v>1.76</v>
      </c>
      <c r="M9" s="85">
        <v>1.83</v>
      </c>
      <c r="N9" s="85">
        <v>1.17</v>
      </c>
      <c r="O9" s="85">
        <v>3.52</v>
      </c>
      <c r="P9" s="85">
        <v>4.82</v>
      </c>
      <c r="Q9" s="52">
        <f t="shared" si="1"/>
        <v>2.647142857</v>
      </c>
      <c r="R9" s="23">
        <v>5.0</v>
      </c>
    </row>
    <row r="10">
      <c r="A10" s="20"/>
      <c r="B10" s="15" t="s">
        <v>31</v>
      </c>
      <c r="C10" s="16">
        <v>1.0</v>
      </c>
      <c r="D10" s="47" t="s">
        <v>55</v>
      </c>
      <c r="E10" s="83">
        <v>27.0</v>
      </c>
      <c r="F10" s="86">
        <v>27.0</v>
      </c>
      <c r="G10" s="83" t="s">
        <v>26</v>
      </c>
      <c r="H10" s="83" t="s">
        <v>26</v>
      </c>
      <c r="I10" s="83" t="s">
        <v>26</v>
      </c>
      <c r="J10" s="83" t="s">
        <v>26</v>
      </c>
      <c r="K10" s="83">
        <v>10.0</v>
      </c>
      <c r="L10" s="86">
        <v>94.0</v>
      </c>
      <c r="M10" s="83">
        <v>27.0</v>
      </c>
      <c r="N10" s="83">
        <v>34.0</v>
      </c>
      <c r="O10" s="83">
        <v>112.0</v>
      </c>
      <c r="P10" s="83">
        <v>21.0</v>
      </c>
      <c r="Q10" s="28">
        <f t="shared" si="1"/>
        <v>44</v>
      </c>
      <c r="R10" s="17">
        <v>7.0</v>
      </c>
    </row>
    <row r="11">
      <c r="A11" s="20"/>
      <c r="B11" s="21"/>
      <c r="C11" s="22">
        <v>2.0</v>
      </c>
      <c r="D11" s="50" t="s">
        <v>56</v>
      </c>
      <c r="E11" s="29">
        <v>12.0</v>
      </c>
      <c r="F11" s="29">
        <v>16.0</v>
      </c>
      <c r="G11" s="24" t="s">
        <v>26</v>
      </c>
      <c r="H11" s="24" t="s">
        <v>26</v>
      </c>
      <c r="I11" s="24" t="s">
        <v>26</v>
      </c>
      <c r="J11" s="24" t="s">
        <v>26</v>
      </c>
      <c r="K11" s="29">
        <v>35.0</v>
      </c>
      <c r="L11" s="29">
        <v>7.0</v>
      </c>
      <c r="M11" s="29">
        <v>8.0</v>
      </c>
      <c r="N11" s="29">
        <v>24.0</v>
      </c>
      <c r="O11" s="29">
        <v>82.0</v>
      </c>
      <c r="P11" s="29">
        <v>24.0</v>
      </c>
      <c r="Q11" s="30">
        <f t="shared" si="1"/>
        <v>26</v>
      </c>
      <c r="R11" s="23">
        <v>7.0</v>
      </c>
    </row>
    <row r="12">
      <c r="A12" s="20"/>
      <c r="B12" s="26"/>
      <c r="C12" s="22">
        <v>3.0</v>
      </c>
      <c r="D12" s="50" t="s">
        <v>57</v>
      </c>
      <c r="E12" s="85">
        <v>34.0</v>
      </c>
      <c r="F12" s="29">
        <v>24.0</v>
      </c>
      <c r="G12" s="85" t="s">
        <v>26</v>
      </c>
      <c r="H12" s="85" t="s">
        <v>26</v>
      </c>
      <c r="I12" s="85" t="s">
        <v>26</v>
      </c>
      <c r="J12" s="85" t="s">
        <v>26</v>
      </c>
      <c r="K12" s="85">
        <v>17.0</v>
      </c>
      <c r="L12" s="29">
        <v>39.0</v>
      </c>
      <c r="M12" s="85">
        <v>4.0</v>
      </c>
      <c r="N12" s="85">
        <v>16.0</v>
      </c>
      <c r="O12" s="85">
        <v>97.0</v>
      </c>
      <c r="P12" s="85">
        <v>16.0</v>
      </c>
      <c r="Q12" s="30">
        <f t="shared" si="1"/>
        <v>30.875</v>
      </c>
      <c r="R12" s="23">
        <v>7.0</v>
      </c>
    </row>
    <row r="13">
      <c r="A13" s="20"/>
      <c r="B13" s="15" t="s">
        <v>32</v>
      </c>
      <c r="C13" s="16">
        <v>1.0</v>
      </c>
      <c r="D13" s="47" t="s">
        <v>55</v>
      </c>
      <c r="E13" s="83">
        <v>10.0</v>
      </c>
      <c r="F13" s="86">
        <v>21.0</v>
      </c>
      <c r="G13" s="83" t="s">
        <v>26</v>
      </c>
      <c r="H13" s="83" t="s">
        <v>26</v>
      </c>
      <c r="I13" s="83" t="s">
        <v>26</v>
      </c>
      <c r="J13" s="83" t="s">
        <v>26</v>
      </c>
      <c r="K13" s="83">
        <v>30.0</v>
      </c>
      <c r="L13" s="86">
        <v>13.0</v>
      </c>
      <c r="M13" s="83">
        <v>13.0</v>
      </c>
      <c r="N13" s="83">
        <v>21.0</v>
      </c>
      <c r="O13" s="83">
        <v>18.0</v>
      </c>
      <c r="P13" s="83">
        <v>9.0</v>
      </c>
      <c r="Q13" s="28">
        <f t="shared" si="1"/>
        <v>16.875</v>
      </c>
      <c r="R13" s="17">
        <v>80.0</v>
      </c>
    </row>
    <row r="14">
      <c r="A14" s="20"/>
      <c r="B14" s="21"/>
      <c r="C14" s="22">
        <v>2.0</v>
      </c>
      <c r="D14" s="50" t="s">
        <v>56</v>
      </c>
      <c r="E14" s="29">
        <v>47.0</v>
      </c>
      <c r="F14" s="29">
        <v>41.0</v>
      </c>
      <c r="G14" s="24" t="s">
        <v>26</v>
      </c>
      <c r="H14" s="24" t="s">
        <v>26</v>
      </c>
      <c r="I14" s="24" t="s">
        <v>26</v>
      </c>
      <c r="J14" s="24" t="s">
        <v>26</v>
      </c>
      <c r="K14" s="29">
        <v>36.0</v>
      </c>
      <c r="L14" s="29">
        <v>23.0</v>
      </c>
      <c r="M14" s="29">
        <v>28.0</v>
      </c>
      <c r="N14" s="29">
        <v>20.0</v>
      </c>
      <c r="O14" s="29">
        <v>19.0</v>
      </c>
      <c r="P14" s="29">
        <v>19.0</v>
      </c>
      <c r="Q14" s="30">
        <f t="shared" si="1"/>
        <v>29.125</v>
      </c>
      <c r="R14" s="23">
        <v>80.0</v>
      </c>
    </row>
    <row r="15">
      <c r="A15" s="20"/>
      <c r="B15" s="26"/>
      <c r="C15" s="22">
        <v>3.0</v>
      </c>
      <c r="D15" s="50" t="s">
        <v>57</v>
      </c>
      <c r="E15" s="85">
        <v>38.0</v>
      </c>
      <c r="F15" s="29">
        <v>45.0</v>
      </c>
      <c r="G15" s="85" t="s">
        <v>26</v>
      </c>
      <c r="H15" s="85" t="s">
        <v>26</v>
      </c>
      <c r="I15" s="85" t="s">
        <v>26</v>
      </c>
      <c r="J15" s="85" t="s">
        <v>26</v>
      </c>
      <c r="K15" s="85">
        <v>33.0</v>
      </c>
      <c r="L15" s="29">
        <v>9.0</v>
      </c>
      <c r="M15" s="85">
        <v>22.0</v>
      </c>
      <c r="N15" s="85">
        <v>33.0</v>
      </c>
      <c r="O15" s="85">
        <v>15.0</v>
      </c>
      <c r="P15" s="85">
        <v>21.0</v>
      </c>
      <c r="Q15" s="30">
        <f t="shared" si="1"/>
        <v>27</v>
      </c>
      <c r="R15" s="23">
        <v>80.0</v>
      </c>
    </row>
    <row r="16">
      <c r="A16" s="20"/>
      <c r="B16" s="15" t="s">
        <v>33</v>
      </c>
      <c r="C16" s="16">
        <v>1.0</v>
      </c>
      <c r="D16" s="47" t="s">
        <v>55</v>
      </c>
      <c r="E16" s="83" t="s">
        <v>26</v>
      </c>
      <c r="F16" s="83">
        <v>8.05</v>
      </c>
      <c r="G16" s="83" t="s">
        <v>26</v>
      </c>
      <c r="H16" s="83" t="s">
        <v>26</v>
      </c>
      <c r="I16" s="83" t="s">
        <v>26</v>
      </c>
      <c r="J16" s="83" t="s">
        <v>26</v>
      </c>
      <c r="K16" s="84">
        <v>8.5</v>
      </c>
      <c r="L16" s="83">
        <v>8.08</v>
      </c>
      <c r="M16" s="83">
        <v>8.23</v>
      </c>
      <c r="N16" s="84">
        <v>8.04</v>
      </c>
      <c r="O16" s="83">
        <v>7.22</v>
      </c>
      <c r="P16" s="83">
        <v>7.85</v>
      </c>
      <c r="Q16" s="49">
        <f t="shared" si="1"/>
        <v>7.995714286</v>
      </c>
      <c r="R16" s="18" t="s">
        <v>34</v>
      </c>
    </row>
    <row r="17">
      <c r="A17" s="20"/>
      <c r="B17" s="21"/>
      <c r="C17" s="22">
        <v>2.0</v>
      </c>
      <c r="D17" s="50" t="s">
        <v>56</v>
      </c>
      <c r="E17" s="24" t="s">
        <v>26</v>
      </c>
      <c r="F17" s="24">
        <v>7.46</v>
      </c>
      <c r="G17" s="24" t="s">
        <v>26</v>
      </c>
      <c r="H17" s="24" t="s">
        <v>26</v>
      </c>
      <c r="I17" s="24" t="s">
        <v>26</v>
      </c>
      <c r="J17" s="24" t="s">
        <v>26</v>
      </c>
      <c r="K17" s="24">
        <v>7.74</v>
      </c>
      <c r="L17" s="24">
        <v>7.72</v>
      </c>
      <c r="M17" s="24">
        <v>7.87</v>
      </c>
      <c r="N17" s="24">
        <v>7.55</v>
      </c>
      <c r="O17" s="24">
        <v>6.87</v>
      </c>
      <c r="P17" s="24">
        <v>7.79</v>
      </c>
      <c r="Q17" s="52">
        <f t="shared" si="1"/>
        <v>7.571428571</v>
      </c>
      <c r="R17" s="24" t="s">
        <v>34</v>
      </c>
    </row>
    <row r="18">
      <c r="A18" s="20"/>
      <c r="B18" s="26"/>
      <c r="C18" s="22">
        <v>3.0</v>
      </c>
      <c r="D18" s="50" t="s">
        <v>57</v>
      </c>
      <c r="E18" s="85" t="s">
        <v>26</v>
      </c>
      <c r="F18" s="85">
        <v>7.41</v>
      </c>
      <c r="G18" s="85" t="s">
        <v>26</v>
      </c>
      <c r="H18" s="85" t="s">
        <v>26</v>
      </c>
      <c r="I18" s="85" t="s">
        <v>26</v>
      </c>
      <c r="J18" s="85" t="s">
        <v>26</v>
      </c>
      <c r="K18" s="85">
        <v>7.72</v>
      </c>
      <c r="L18" s="85">
        <v>7.75</v>
      </c>
      <c r="M18" s="24">
        <v>7.31</v>
      </c>
      <c r="N18" s="85">
        <v>7.95</v>
      </c>
      <c r="O18" s="85">
        <v>6.85</v>
      </c>
      <c r="P18" s="85">
        <v>8.01</v>
      </c>
      <c r="Q18" s="52">
        <f t="shared" si="1"/>
        <v>7.571428571</v>
      </c>
      <c r="R18" s="24" t="s">
        <v>34</v>
      </c>
    </row>
    <row r="19">
      <c r="A19" s="20"/>
      <c r="B19" s="15" t="s">
        <v>58</v>
      </c>
      <c r="C19" s="16">
        <v>1.0</v>
      </c>
      <c r="D19" s="47" t="s">
        <v>55</v>
      </c>
      <c r="E19" s="83" t="s">
        <v>26</v>
      </c>
      <c r="F19" s="83">
        <v>27.05</v>
      </c>
      <c r="G19" s="83" t="s">
        <v>26</v>
      </c>
      <c r="H19" s="83" t="s">
        <v>26</v>
      </c>
      <c r="I19" s="83" t="s">
        <v>26</v>
      </c>
      <c r="J19" s="83" t="s">
        <v>26</v>
      </c>
      <c r="K19" s="84">
        <v>31.2</v>
      </c>
      <c r="L19" s="84">
        <v>28.6</v>
      </c>
      <c r="M19" s="84">
        <v>29.1</v>
      </c>
      <c r="N19" s="84">
        <v>28.83</v>
      </c>
      <c r="O19" s="84">
        <v>28.43</v>
      </c>
      <c r="P19" s="84">
        <v>27.3</v>
      </c>
      <c r="Q19" s="49">
        <f t="shared" si="1"/>
        <v>28.64428571</v>
      </c>
      <c r="R19" s="18" t="s">
        <v>36</v>
      </c>
    </row>
    <row r="20">
      <c r="A20" s="20"/>
      <c r="B20" s="21"/>
      <c r="C20" s="22">
        <v>2.0</v>
      </c>
      <c r="D20" s="50" t="s">
        <v>56</v>
      </c>
      <c r="E20" s="24" t="s">
        <v>26</v>
      </c>
      <c r="F20" s="24">
        <v>27.9</v>
      </c>
      <c r="G20" s="24" t="s">
        <v>26</v>
      </c>
      <c r="H20" s="24" t="s">
        <v>26</v>
      </c>
      <c r="I20" s="24" t="s">
        <v>26</v>
      </c>
      <c r="J20" s="24" t="s">
        <v>26</v>
      </c>
      <c r="K20" s="24">
        <v>30.6</v>
      </c>
      <c r="L20" s="24">
        <v>28.5</v>
      </c>
      <c r="M20" s="24">
        <v>29.2</v>
      </c>
      <c r="N20" s="24">
        <v>28.38</v>
      </c>
      <c r="O20" s="24">
        <v>28.02</v>
      </c>
      <c r="P20" s="24">
        <v>27.5</v>
      </c>
      <c r="Q20" s="52">
        <f t="shared" si="1"/>
        <v>28.58571429</v>
      </c>
      <c r="R20" s="24" t="s">
        <v>36</v>
      </c>
    </row>
    <row r="21" ht="15.75" customHeight="1">
      <c r="A21" s="20"/>
      <c r="B21" s="26"/>
      <c r="C21" s="22">
        <v>3.0</v>
      </c>
      <c r="D21" s="50" t="s">
        <v>57</v>
      </c>
      <c r="E21" s="85" t="s">
        <v>26</v>
      </c>
      <c r="F21" s="85">
        <v>27.81</v>
      </c>
      <c r="G21" s="85" t="s">
        <v>26</v>
      </c>
      <c r="H21" s="85" t="s">
        <v>26</v>
      </c>
      <c r="I21" s="85" t="s">
        <v>26</v>
      </c>
      <c r="J21" s="85" t="s">
        <v>26</v>
      </c>
      <c r="K21" s="24">
        <v>31.0</v>
      </c>
      <c r="L21" s="85">
        <v>28.58</v>
      </c>
      <c r="M21" s="24">
        <v>28.6</v>
      </c>
      <c r="N21" s="24">
        <v>28.53</v>
      </c>
      <c r="O21" s="24">
        <v>27.55</v>
      </c>
      <c r="P21" s="24">
        <v>28.3</v>
      </c>
      <c r="Q21" s="52">
        <f t="shared" si="1"/>
        <v>28.62428571</v>
      </c>
      <c r="R21" s="24" t="s">
        <v>36</v>
      </c>
    </row>
    <row r="22" ht="15.75" customHeight="1">
      <c r="A22" s="20"/>
      <c r="B22" s="15" t="s">
        <v>37</v>
      </c>
      <c r="C22" s="16">
        <v>1.0</v>
      </c>
      <c r="D22" s="47" t="s">
        <v>55</v>
      </c>
      <c r="E22" s="83">
        <v>40.0</v>
      </c>
      <c r="F22" s="83">
        <v>30.0</v>
      </c>
      <c r="G22" s="83" t="s">
        <v>26</v>
      </c>
      <c r="H22" s="83" t="s">
        <v>26</v>
      </c>
      <c r="I22" s="83" t="s">
        <v>26</v>
      </c>
      <c r="J22" s="83" t="s">
        <v>26</v>
      </c>
      <c r="K22" s="83">
        <v>30.0</v>
      </c>
      <c r="L22" s="86">
        <v>30.0</v>
      </c>
      <c r="M22" s="83">
        <v>40.0</v>
      </c>
      <c r="N22" s="83">
        <v>40.0</v>
      </c>
      <c r="O22" s="83">
        <v>30.0</v>
      </c>
      <c r="P22" s="83">
        <v>40.0</v>
      </c>
      <c r="Q22" s="28">
        <f t="shared" si="1"/>
        <v>35</v>
      </c>
      <c r="R22" s="17">
        <v>75.0</v>
      </c>
    </row>
    <row r="23" ht="15.75" customHeight="1">
      <c r="A23" s="20"/>
      <c r="B23" s="21"/>
      <c r="C23" s="22">
        <v>2.0</v>
      </c>
      <c r="D23" s="50" t="s">
        <v>56</v>
      </c>
      <c r="E23" s="29">
        <v>20.0</v>
      </c>
      <c r="F23" s="29">
        <v>20.0</v>
      </c>
      <c r="G23" s="24" t="s">
        <v>26</v>
      </c>
      <c r="H23" s="24" t="s">
        <v>26</v>
      </c>
      <c r="I23" s="24" t="s">
        <v>26</v>
      </c>
      <c r="J23" s="24" t="s">
        <v>26</v>
      </c>
      <c r="K23" s="29">
        <v>15.0</v>
      </c>
      <c r="L23" s="29">
        <v>30.0</v>
      </c>
      <c r="M23" s="29">
        <v>15.0</v>
      </c>
      <c r="N23" s="29">
        <v>30.0</v>
      </c>
      <c r="O23" s="29">
        <v>30.0</v>
      </c>
      <c r="P23" s="29">
        <v>30.0</v>
      </c>
      <c r="Q23" s="30">
        <f t="shared" si="1"/>
        <v>23.75</v>
      </c>
      <c r="R23" s="23">
        <v>75.0</v>
      </c>
    </row>
    <row r="24" ht="15.75" customHeight="1">
      <c r="A24" s="20"/>
      <c r="B24" s="26"/>
      <c r="C24" s="22">
        <v>3.0</v>
      </c>
      <c r="D24" s="50" t="s">
        <v>57</v>
      </c>
      <c r="E24" s="85">
        <v>20.0</v>
      </c>
      <c r="F24" s="85">
        <v>20.0</v>
      </c>
      <c r="G24" s="85" t="s">
        <v>26</v>
      </c>
      <c r="H24" s="85" t="s">
        <v>26</v>
      </c>
      <c r="I24" s="85" t="s">
        <v>26</v>
      </c>
      <c r="J24" s="85" t="s">
        <v>26</v>
      </c>
      <c r="K24" s="85">
        <v>40.0</v>
      </c>
      <c r="L24" s="29">
        <v>25.0</v>
      </c>
      <c r="M24" s="85">
        <v>15.0</v>
      </c>
      <c r="N24" s="85">
        <v>30.0</v>
      </c>
      <c r="O24" s="85">
        <v>50.0</v>
      </c>
      <c r="P24" s="85">
        <v>25.0</v>
      </c>
      <c r="Q24" s="30">
        <f t="shared" si="1"/>
        <v>28.125</v>
      </c>
      <c r="R24" s="23">
        <v>75.0</v>
      </c>
    </row>
    <row r="25" ht="15.75" customHeight="1">
      <c r="A25" s="20"/>
      <c r="B25" s="15" t="s">
        <v>38</v>
      </c>
      <c r="C25" s="16">
        <v>1.0</v>
      </c>
      <c r="D25" s="47" t="s">
        <v>55</v>
      </c>
      <c r="E25" s="87">
        <v>130000.0</v>
      </c>
      <c r="F25" s="87">
        <v>230000.0</v>
      </c>
      <c r="G25" s="83" t="s">
        <v>26</v>
      </c>
      <c r="H25" s="83" t="s">
        <v>26</v>
      </c>
      <c r="I25" s="83" t="s">
        <v>26</v>
      </c>
      <c r="J25" s="83" t="s">
        <v>26</v>
      </c>
      <c r="K25" s="87" t="s">
        <v>59</v>
      </c>
      <c r="L25" s="88">
        <v>460000.0</v>
      </c>
      <c r="M25" s="87">
        <v>790000.0</v>
      </c>
      <c r="N25" s="88">
        <v>240000.0</v>
      </c>
      <c r="O25" s="87">
        <v>460000.0</v>
      </c>
      <c r="P25" s="87">
        <v>79000.0</v>
      </c>
      <c r="Q25" s="33">
        <f t="shared" ref="Q25:Q27" si="2">GEOMEAN(E25,F25,G25,H25,I25,J25,K25,L25,M25,N25,O25,P25)</f>
        <v>266217.1559</v>
      </c>
      <c r="R25" s="17">
        <v>200.0</v>
      </c>
      <c r="S25" s="89">
        <f>AVERAGE(Q25:Q27)</f>
        <v>475366.6122</v>
      </c>
    </row>
    <row r="26" ht="15.75" customHeight="1">
      <c r="A26" s="20"/>
      <c r="B26" s="21"/>
      <c r="C26" s="22">
        <v>2.0</v>
      </c>
      <c r="D26" s="50" t="s">
        <v>56</v>
      </c>
      <c r="E26" s="35">
        <v>790000.0</v>
      </c>
      <c r="F26" s="35">
        <v>70776.0</v>
      </c>
      <c r="G26" s="24" t="s">
        <v>26</v>
      </c>
      <c r="H26" s="24" t="s">
        <v>26</v>
      </c>
      <c r="I26" s="24" t="s">
        <v>26</v>
      </c>
      <c r="J26" s="24" t="s">
        <v>26</v>
      </c>
      <c r="K26" s="36" t="s">
        <v>59</v>
      </c>
      <c r="L26" s="36">
        <v>1700000.0</v>
      </c>
      <c r="M26" s="36">
        <v>92000.0</v>
      </c>
      <c r="N26" s="36">
        <v>540000.0</v>
      </c>
      <c r="O26" s="36">
        <v>350000.0</v>
      </c>
      <c r="P26" s="36">
        <v>700000.0</v>
      </c>
      <c r="Q26" s="37">
        <f t="shared" si="2"/>
        <v>380603.5319</v>
      </c>
      <c r="R26" s="23">
        <v>200.0</v>
      </c>
    </row>
    <row r="27" ht="15.75" customHeight="1">
      <c r="A27" s="20"/>
      <c r="B27" s="26"/>
      <c r="C27" s="22">
        <v>3.0</v>
      </c>
      <c r="D27" s="50" t="s">
        <v>57</v>
      </c>
      <c r="E27" s="35">
        <v>330000.0</v>
      </c>
      <c r="F27" s="35">
        <v>5.4E7</v>
      </c>
      <c r="G27" s="85" t="s">
        <v>26</v>
      </c>
      <c r="H27" s="85" t="s">
        <v>26</v>
      </c>
      <c r="I27" s="85" t="s">
        <v>26</v>
      </c>
      <c r="J27" s="85" t="s">
        <v>26</v>
      </c>
      <c r="K27" s="35" t="s">
        <v>59</v>
      </c>
      <c r="L27" s="36">
        <v>790000.0</v>
      </c>
      <c r="M27" s="35">
        <v>35000.0</v>
      </c>
      <c r="N27" s="36">
        <v>350000.0</v>
      </c>
      <c r="O27" s="35">
        <v>920000.0</v>
      </c>
      <c r="P27" s="35">
        <v>1100000.0</v>
      </c>
      <c r="Q27" s="37">
        <f t="shared" si="2"/>
        <v>779279.1489</v>
      </c>
      <c r="R27" s="23">
        <v>200.0</v>
      </c>
    </row>
    <row r="28" ht="15.75" customHeight="1">
      <c r="A28" s="20"/>
      <c r="B28" s="15" t="s">
        <v>60</v>
      </c>
      <c r="C28" s="16">
        <v>1.0</v>
      </c>
      <c r="D28" s="47" t="s">
        <v>55</v>
      </c>
      <c r="E28" s="83">
        <v>0.137</v>
      </c>
      <c r="F28" s="83">
        <v>0.166</v>
      </c>
      <c r="G28" s="83" t="s">
        <v>26</v>
      </c>
      <c r="H28" s="83" t="s">
        <v>26</v>
      </c>
      <c r="I28" s="83" t="s">
        <v>26</v>
      </c>
      <c r="J28" s="83" t="s">
        <v>26</v>
      </c>
      <c r="K28" s="83">
        <v>2.243</v>
      </c>
      <c r="L28" s="83" t="s">
        <v>40</v>
      </c>
      <c r="M28" s="90" t="s">
        <v>40</v>
      </c>
      <c r="N28" s="90" t="s">
        <v>40</v>
      </c>
      <c r="O28" s="83">
        <v>0.912</v>
      </c>
      <c r="P28" s="83">
        <v>0.208</v>
      </c>
      <c r="Q28" s="40">
        <f>AVERAGE(E28,F28,G28,H28,I28,J28,K28,0.045,0.045,N28,O28,P28)</f>
        <v>0.5365714286</v>
      </c>
      <c r="R28" s="17">
        <v>7.0</v>
      </c>
    </row>
    <row r="29" ht="15.75" customHeight="1">
      <c r="A29" s="20"/>
      <c r="B29" s="21"/>
      <c r="C29" s="22">
        <v>2.0</v>
      </c>
      <c r="D29" s="50" t="s">
        <v>56</v>
      </c>
      <c r="E29" s="41">
        <v>0.102</v>
      </c>
      <c r="F29" s="41">
        <v>0.145</v>
      </c>
      <c r="G29" s="24" t="s">
        <v>26</v>
      </c>
      <c r="H29" s="24" t="s">
        <v>26</v>
      </c>
      <c r="I29" s="24" t="s">
        <v>26</v>
      </c>
      <c r="J29" s="24" t="s">
        <v>26</v>
      </c>
      <c r="K29" s="41" t="s">
        <v>40</v>
      </c>
      <c r="L29" s="24" t="s">
        <v>40</v>
      </c>
      <c r="M29" s="41" t="s">
        <v>40</v>
      </c>
      <c r="N29" s="41">
        <v>0.09</v>
      </c>
      <c r="O29" s="41">
        <v>0.464</v>
      </c>
      <c r="P29" s="24" t="s">
        <v>40</v>
      </c>
      <c r="Q29" s="42">
        <f>AVERAGE(E29,F29,G29,H29,I29,J29,0.045,0.045,0.045,N29,O29,P29)</f>
        <v>0.1337142857</v>
      </c>
      <c r="R29" s="23">
        <v>7.0</v>
      </c>
    </row>
    <row r="30" ht="15.75" customHeight="1">
      <c r="A30" s="20"/>
      <c r="B30" s="26"/>
      <c r="C30" s="22">
        <v>3.0</v>
      </c>
      <c r="D30" s="50" t="s">
        <v>57</v>
      </c>
      <c r="E30" s="85">
        <v>0.121</v>
      </c>
      <c r="F30" s="85">
        <v>0.127</v>
      </c>
      <c r="G30" s="85" t="s">
        <v>26</v>
      </c>
      <c r="H30" s="85" t="s">
        <v>26</v>
      </c>
      <c r="I30" s="85" t="s">
        <v>26</v>
      </c>
      <c r="J30" s="85" t="s">
        <v>26</v>
      </c>
      <c r="K30" s="85">
        <v>0.144</v>
      </c>
      <c r="L30" s="85" t="s">
        <v>40</v>
      </c>
      <c r="M30" s="41">
        <v>0.052</v>
      </c>
      <c r="N30" s="41" t="s">
        <v>40</v>
      </c>
      <c r="O30" s="85">
        <v>0.748</v>
      </c>
      <c r="P30" s="24" t="s">
        <v>40</v>
      </c>
      <c r="Q30" s="42">
        <f>AVERAGE(E30,F30,G30,H30,I30,J30,K30,0.045,M30,N30,O30,P30)</f>
        <v>0.2061666667</v>
      </c>
      <c r="R30" s="23">
        <v>7.0</v>
      </c>
    </row>
    <row r="31" ht="15.75" customHeight="1">
      <c r="A31" s="20"/>
      <c r="B31" s="15" t="s">
        <v>61</v>
      </c>
      <c r="C31" s="16">
        <v>1.0</v>
      </c>
      <c r="D31" s="47" t="s">
        <v>55</v>
      </c>
      <c r="E31" s="83">
        <v>0.759</v>
      </c>
      <c r="F31" s="90">
        <v>0.49</v>
      </c>
      <c r="G31" s="83" t="s">
        <v>26</v>
      </c>
      <c r="H31" s="83" t="s">
        <v>26</v>
      </c>
      <c r="I31" s="83" t="s">
        <v>26</v>
      </c>
      <c r="J31" s="83" t="s">
        <v>26</v>
      </c>
      <c r="K31" s="83">
        <v>0.529</v>
      </c>
      <c r="L31" s="90">
        <v>0.693</v>
      </c>
      <c r="M31" s="90">
        <v>0.921</v>
      </c>
      <c r="N31" s="90">
        <v>1.155</v>
      </c>
      <c r="O31" s="83">
        <v>0.912</v>
      </c>
      <c r="P31" s="83">
        <v>0.683</v>
      </c>
      <c r="Q31" s="40">
        <f t="shared" ref="Q31:Q36" si="3">AVERAGE(E31,F31,G31,H31,I31,J31,K31,L31,M31,N31,O31,P31)</f>
        <v>0.76775</v>
      </c>
      <c r="R31" s="17">
        <v>0.5</v>
      </c>
    </row>
    <row r="32" ht="15.75" customHeight="1">
      <c r="A32" s="20"/>
      <c r="B32" s="21"/>
      <c r="C32" s="22">
        <v>2.0</v>
      </c>
      <c r="D32" s="50" t="s">
        <v>56</v>
      </c>
      <c r="E32" s="41">
        <v>0.653</v>
      </c>
      <c r="F32" s="41">
        <v>1.058</v>
      </c>
      <c r="G32" s="24" t="s">
        <v>26</v>
      </c>
      <c r="H32" s="24" t="s">
        <v>26</v>
      </c>
      <c r="I32" s="24" t="s">
        <v>26</v>
      </c>
      <c r="J32" s="24" t="s">
        <v>26</v>
      </c>
      <c r="K32" s="41">
        <v>0.574</v>
      </c>
      <c r="L32" s="41">
        <v>0.207</v>
      </c>
      <c r="M32" s="41">
        <v>0.515</v>
      </c>
      <c r="N32" s="41">
        <v>1.047</v>
      </c>
      <c r="O32" s="41">
        <v>0.464</v>
      </c>
      <c r="P32" s="41">
        <v>0.8</v>
      </c>
      <c r="Q32" s="42">
        <f t="shared" si="3"/>
        <v>0.66475</v>
      </c>
      <c r="R32" s="23">
        <v>0.5</v>
      </c>
    </row>
    <row r="33" ht="15.75" customHeight="1">
      <c r="A33" s="20"/>
      <c r="B33" s="26"/>
      <c r="C33" s="22">
        <v>3.0</v>
      </c>
      <c r="D33" s="50" t="s">
        <v>57</v>
      </c>
      <c r="E33" s="85">
        <v>1.267</v>
      </c>
      <c r="F33" s="41">
        <v>1.06</v>
      </c>
      <c r="G33" s="85" t="s">
        <v>26</v>
      </c>
      <c r="H33" s="85" t="s">
        <v>26</v>
      </c>
      <c r="I33" s="85" t="s">
        <v>26</v>
      </c>
      <c r="J33" s="85" t="s">
        <v>26</v>
      </c>
      <c r="K33" s="41">
        <v>0.045</v>
      </c>
      <c r="L33" s="41">
        <v>0.784</v>
      </c>
      <c r="M33" s="41">
        <v>0.513</v>
      </c>
      <c r="N33" s="41">
        <v>0.926</v>
      </c>
      <c r="O33" s="85">
        <v>0.748</v>
      </c>
      <c r="P33" s="85">
        <v>0.834</v>
      </c>
      <c r="Q33" s="42">
        <f t="shared" si="3"/>
        <v>0.772125</v>
      </c>
      <c r="R33" s="23">
        <v>0.5</v>
      </c>
    </row>
    <row r="34" ht="15.75" customHeight="1">
      <c r="A34" s="20"/>
      <c r="B34" s="15" t="s">
        <v>42</v>
      </c>
      <c r="C34" s="16">
        <v>1.0</v>
      </c>
      <c r="D34" s="47" t="s">
        <v>55</v>
      </c>
      <c r="E34" s="83">
        <v>139.0</v>
      </c>
      <c r="F34" s="83">
        <v>157.0</v>
      </c>
      <c r="G34" s="83" t="s">
        <v>26</v>
      </c>
      <c r="H34" s="83" t="s">
        <v>26</v>
      </c>
      <c r="I34" s="83" t="s">
        <v>26</v>
      </c>
      <c r="J34" s="83" t="s">
        <v>26</v>
      </c>
      <c r="K34" s="87">
        <v>113.0</v>
      </c>
      <c r="L34" s="88">
        <v>121.0</v>
      </c>
      <c r="M34" s="88">
        <v>140.0</v>
      </c>
      <c r="N34" s="88">
        <v>142.0</v>
      </c>
      <c r="O34" s="87">
        <v>93.0</v>
      </c>
      <c r="P34" s="87">
        <v>156.0</v>
      </c>
      <c r="Q34" s="33">
        <f t="shared" si="3"/>
        <v>132.625</v>
      </c>
      <c r="R34" s="17">
        <v>350.0</v>
      </c>
    </row>
    <row r="35" ht="15.75" customHeight="1">
      <c r="A35" s="20"/>
      <c r="B35" s="21"/>
      <c r="C35" s="22">
        <v>2.0</v>
      </c>
      <c r="D35" s="50" t="s">
        <v>56</v>
      </c>
      <c r="E35" s="36">
        <v>17204.0</v>
      </c>
      <c r="F35" s="35">
        <v>14022.0</v>
      </c>
      <c r="G35" s="24" t="s">
        <v>26</v>
      </c>
      <c r="H35" s="24" t="s">
        <v>26</v>
      </c>
      <c r="I35" s="24" t="s">
        <v>26</v>
      </c>
      <c r="J35" s="24" t="s">
        <v>26</v>
      </c>
      <c r="K35" s="36">
        <v>11977.0</v>
      </c>
      <c r="L35" s="36">
        <v>5539.0</v>
      </c>
      <c r="M35" s="36">
        <v>13781.0</v>
      </c>
      <c r="N35" s="36">
        <v>6159.0</v>
      </c>
      <c r="O35" s="36">
        <v>7635.0</v>
      </c>
      <c r="P35" s="36">
        <v>4998.0</v>
      </c>
      <c r="Q35" s="37">
        <f t="shared" si="3"/>
        <v>10164.375</v>
      </c>
      <c r="R35" s="23">
        <v>350.0</v>
      </c>
    </row>
    <row r="36" ht="15.75" customHeight="1">
      <c r="A36" s="20"/>
      <c r="B36" s="26"/>
      <c r="C36" s="22">
        <v>3.0</v>
      </c>
      <c r="D36" s="50" t="s">
        <v>57</v>
      </c>
      <c r="E36" s="35">
        <v>11159.0</v>
      </c>
      <c r="F36" s="35">
        <v>13450.0</v>
      </c>
      <c r="G36" s="85" t="s">
        <v>26</v>
      </c>
      <c r="H36" s="85" t="s">
        <v>26</v>
      </c>
      <c r="I36" s="85" t="s">
        <v>26</v>
      </c>
      <c r="J36" s="85" t="s">
        <v>26</v>
      </c>
      <c r="K36" s="36">
        <v>13486.0</v>
      </c>
      <c r="L36" s="35">
        <v>7428.0</v>
      </c>
      <c r="M36" s="36">
        <v>14014.0</v>
      </c>
      <c r="N36" s="36">
        <v>3970.0</v>
      </c>
      <c r="O36" s="36">
        <v>3006.0</v>
      </c>
      <c r="P36" s="35">
        <v>9424.0</v>
      </c>
      <c r="Q36" s="37">
        <f t="shared" si="3"/>
        <v>9492.125</v>
      </c>
      <c r="R36" s="23">
        <v>350.0</v>
      </c>
    </row>
    <row r="37" ht="15.75" customHeight="1">
      <c r="Q37" s="34">
        <f>GEOMEAN(Q25:Q27)</f>
        <v>429009.8891</v>
      </c>
    </row>
    <row r="38" ht="15.75" customHeight="1">
      <c r="A38" s="91" t="s">
        <v>43</v>
      </c>
      <c r="D38" s="92"/>
    </row>
    <row r="39" ht="15.75" customHeight="1"/>
    <row r="40" ht="15.75" customHeight="1">
      <c r="A40" s="93" t="s">
        <v>62</v>
      </c>
      <c r="B40" s="72"/>
      <c r="C40" s="72"/>
      <c r="D40" s="72"/>
      <c r="E40" s="7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8.71"/>
    <col customWidth="1" min="4" max="4" width="62.43"/>
    <col customWidth="1" min="5" max="11" width="10.71"/>
    <col customWidth="1" min="12" max="12" width="14.71"/>
    <col customWidth="1" min="13" max="13" width="11.43"/>
    <col customWidth="1" min="14" max="15" width="10.86"/>
    <col customWidth="1" min="16" max="16" width="10.71"/>
    <col customWidth="1" min="17" max="17" width="18.71"/>
    <col customWidth="1" min="18" max="18" width="9.0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94" t="s">
        <v>63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</row>
    <row r="7">
      <c r="A7" s="80" t="s">
        <v>23</v>
      </c>
      <c r="B7" s="46" t="s">
        <v>24</v>
      </c>
      <c r="C7" s="81">
        <v>1.0</v>
      </c>
      <c r="D7" s="82" t="s">
        <v>64</v>
      </c>
      <c r="E7" s="18">
        <v>0.0</v>
      </c>
      <c r="F7" s="18" t="s">
        <v>26</v>
      </c>
      <c r="G7" s="18" t="s">
        <v>26</v>
      </c>
      <c r="H7" s="18" t="s">
        <v>26</v>
      </c>
      <c r="I7" s="18" t="s">
        <v>26</v>
      </c>
      <c r="J7" s="18" t="s">
        <v>26</v>
      </c>
      <c r="K7" s="18" t="s">
        <v>26</v>
      </c>
      <c r="L7" s="18">
        <v>2.45</v>
      </c>
      <c r="M7" s="18">
        <v>0.69</v>
      </c>
      <c r="N7" s="18" t="s">
        <v>26</v>
      </c>
      <c r="O7" s="18" t="s">
        <v>26</v>
      </c>
      <c r="P7" s="18" t="s">
        <v>26</v>
      </c>
      <c r="Q7" s="19">
        <f t="shared" ref="Q7:Q15" si="1">AVERAGE(E7,F7,G7,H7,I7,J7,K7,L7,M7,N7,O7,P7)</f>
        <v>1.046666667</v>
      </c>
      <c r="R7" s="17">
        <v>5.0</v>
      </c>
    </row>
    <row r="8">
      <c r="A8" s="20"/>
      <c r="B8" s="21"/>
      <c r="C8" s="22">
        <v>2.0</v>
      </c>
      <c r="D8" s="50" t="s">
        <v>65</v>
      </c>
      <c r="E8" s="24">
        <v>0.0</v>
      </c>
      <c r="F8" s="24" t="s">
        <v>26</v>
      </c>
      <c r="G8" s="24" t="s">
        <v>26</v>
      </c>
      <c r="H8" s="24" t="s">
        <v>26</v>
      </c>
      <c r="I8" s="24" t="s">
        <v>26</v>
      </c>
      <c r="J8" s="24" t="s">
        <v>26</v>
      </c>
      <c r="K8" s="24" t="s">
        <v>26</v>
      </c>
      <c r="L8" s="24">
        <v>3.05</v>
      </c>
      <c r="M8" s="24">
        <v>0.65</v>
      </c>
      <c r="N8" s="24" t="s">
        <v>26</v>
      </c>
      <c r="O8" s="24" t="s">
        <v>26</v>
      </c>
      <c r="P8" s="24" t="s">
        <v>26</v>
      </c>
      <c r="Q8" s="25">
        <f t="shared" si="1"/>
        <v>1.233333333</v>
      </c>
      <c r="R8" s="23">
        <v>5.0</v>
      </c>
    </row>
    <row r="9">
      <c r="A9" s="20"/>
      <c r="B9" s="26"/>
      <c r="C9" s="22">
        <v>3.0</v>
      </c>
      <c r="D9" s="50" t="s">
        <v>66</v>
      </c>
      <c r="E9" s="24">
        <v>0.0</v>
      </c>
      <c r="F9" s="24" t="s">
        <v>26</v>
      </c>
      <c r="G9" s="24" t="s">
        <v>26</v>
      </c>
      <c r="H9" s="24" t="s">
        <v>26</v>
      </c>
      <c r="I9" s="24" t="s">
        <v>26</v>
      </c>
      <c r="J9" s="24" t="s">
        <v>26</v>
      </c>
      <c r="K9" s="24" t="s">
        <v>26</v>
      </c>
      <c r="L9" s="24">
        <v>2.15</v>
      </c>
      <c r="M9" s="24">
        <v>1.33</v>
      </c>
      <c r="N9" s="24" t="s">
        <v>26</v>
      </c>
      <c r="O9" s="24" t="s">
        <v>26</v>
      </c>
      <c r="P9" s="24" t="s">
        <v>26</v>
      </c>
      <c r="Q9" s="25">
        <f t="shared" si="1"/>
        <v>1.16</v>
      </c>
      <c r="R9" s="23">
        <v>5.0</v>
      </c>
    </row>
    <row r="10">
      <c r="A10" s="20"/>
      <c r="B10" s="15" t="s">
        <v>31</v>
      </c>
      <c r="C10" s="16">
        <v>1.0</v>
      </c>
      <c r="D10" s="47" t="s">
        <v>64</v>
      </c>
      <c r="E10" s="27">
        <v>28.0</v>
      </c>
      <c r="F10" s="27">
        <v>89.0</v>
      </c>
      <c r="G10" s="18" t="s">
        <v>26</v>
      </c>
      <c r="H10" s="18" t="s">
        <v>26</v>
      </c>
      <c r="I10" s="18" t="s">
        <v>26</v>
      </c>
      <c r="J10" s="18" t="s">
        <v>26</v>
      </c>
      <c r="K10" s="18" t="s">
        <v>26</v>
      </c>
      <c r="L10" s="27">
        <v>8.0</v>
      </c>
      <c r="M10" s="27">
        <v>80.0</v>
      </c>
      <c r="N10" s="18" t="s">
        <v>26</v>
      </c>
      <c r="O10" s="18" t="s">
        <v>26</v>
      </c>
      <c r="P10" s="18" t="s">
        <v>26</v>
      </c>
      <c r="Q10" s="28">
        <f t="shared" si="1"/>
        <v>51.25</v>
      </c>
      <c r="R10" s="17">
        <v>7.0</v>
      </c>
    </row>
    <row r="11">
      <c r="A11" s="20"/>
      <c r="B11" s="21"/>
      <c r="C11" s="22">
        <v>2.0</v>
      </c>
      <c r="D11" s="50" t="s">
        <v>65</v>
      </c>
      <c r="E11" s="29">
        <v>28.0</v>
      </c>
      <c r="F11" s="29">
        <v>57.0</v>
      </c>
      <c r="G11" s="24" t="s">
        <v>26</v>
      </c>
      <c r="H11" s="24" t="s">
        <v>26</v>
      </c>
      <c r="I11" s="24" t="s">
        <v>26</v>
      </c>
      <c r="J11" s="24" t="s">
        <v>26</v>
      </c>
      <c r="K11" s="24" t="s">
        <v>26</v>
      </c>
      <c r="L11" s="29">
        <v>9.0</v>
      </c>
      <c r="M11" s="29">
        <v>20.0</v>
      </c>
      <c r="N11" s="24" t="s">
        <v>26</v>
      </c>
      <c r="O11" s="24" t="s">
        <v>26</v>
      </c>
      <c r="P11" s="24" t="s">
        <v>26</v>
      </c>
      <c r="Q11" s="30">
        <f t="shared" si="1"/>
        <v>28.5</v>
      </c>
      <c r="R11" s="23">
        <v>7.0</v>
      </c>
    </row>
    <row r="12">
      <c r="A12" s="20"/>
      <c r="B12" s="26"/>
      <c r="C12" s="22">
        <v>3.0</v>
      </c>
      <c r="D12" s="50" t="s">
        <v>66</v>
      </c>
      <c r="E12" s="29">
        <v>12.0</v>
      </c>
      <c r="F12" s="29">
        <v>22.0</v>
      </c>
      <c r="G12" s="24" t="s">
        <v>26</v>
      </c>
      <c r="H12" s="24" t="s">
        <v>26</v>
      </c>
      <c r="I12" s="24" t="s">
        <v>26</v>
      </c>
      <c r="J12" s="24" t="s">
        <v>26</v>
      </c>
      <c r="K12" s="24" t="s">
        <v>26</v>
      </c>
      <c r="L12" s="29">
        <v>16.0</v>
      </c>
      <c r="M12" s="29">
        <v>20.0</v>
      </c>
      <c r="N12" s="24" t="s">
        <v>26</v>
      </c>
      <c r="O12" s="24" t="s">
        <v>26</v>
      </c>
      <c r="P12" s="24" t="s">
        <v>26</v>
      </c>
      <c r="Q12" s="30">
        <f t="shared" si="1"/>
        <v>17.5</v>
      </c>
      <c r="R12" s="23">
        <v>7.0</v>
      </c>
    </row>
    <row r="13">
      <c r="A13" s="20"/>
      <c r="B13" s="15" t="s">
        <v>32</v>
      </c>
      <c r="C13" s="16">
        <v>1.0</v>
      </c>
      <c r="D13" s="47" t="s">
        <v>64</v>
      </c>
      <c r="E13" s="27">
        <v>28.0</v>
      </c>
      <c r="F13" s="98">
        <v>17.0</v>
      </c>
      <c r="G13" s="18" t="s">
        <v>26</v>
      </c>
      <c r="H13" s="18" t="s">
        <v>26</v>
      </c>
      <c r="I13" s="18" t="s">
        <v>26</v>
      </c>
      <c r="J13" s="18" t="s">
        <v>26</v>
      </c>
      <c r="K13" s="18" t="s">
        <v>26</v>
      </c>
      <c r="L13" s="27">
        <v>34.0</v>
      </c>
      <c r="M13" s="27">
        <v>16.0</v>
      </c>
      <c r="N13" s="18" t="s">
        <v>26</v>
      </c>
      <c r="O13" s="18" t="s">
        <v>26</v>
      </c>
      <c r="P13" s="18" t="s">
        <v>26</v>
      </c>
      <c r="Q13" s="28">
        <f t="shared" si="1"/>
        <v>23.75</v>
      </c>
      <c r="R13" s="17">
        <v>80.0</v>
      </c>
    </row>
    <row r="14">
      <c r="A14" s="20"/>
      <c r="B14" s="21"/>
      <c r="C14" s="22">
        <v>2.0</v>
      </c>
      <c r="D14" s="50" t="s">
        <v>65</v>
      </c>
      <c r="E14" s="29">
        <v>30.0</v>
      </c>
      <c r="F14" s="99">
        <v>20.0</v>
      </c>
      <c r="G14" s="24" t="s">
        <v>26</v>
      </c>
      <c r="H14" s="24" t="s">
        <v>26</v>
      </c>
      <c r="I14" s="24" t="s">
        <v>26</v>
      </c>
      <c r="J14" s="24" t="s">
        <v>26</v>
      </c>
      <c r="K14" s="24" t="s">
        <v>26</v>
      </c>
      <c r="L14" s="29">
        <v>27.0</v>
      </c>
      <c r="M14" s="29">
        <v>14.0</v>
      </c>
      <c r="N14" s="24" t="s">
        <v>26</v>
      </c>
      <c r="O14" s="24" t="s">
        <v>26</v>
      </c>
      <c r="P14" s="24" t="s">
        <v>26</v>
      </c>
      <c r="Q14" s="30">
        <f t="shared" si="1"/>
        <v>22.75</v>
      </c>
      <c r="R14" s="23">
        <v>80.0</v>
      </c>
    </row>
    <row r="15">
      <c r="A15" s="20"/>
      <c r="B15" s="26"/>
      <c r="C15" s="22">
        <v>3.0</v>
      </c>
      <c r="D15" s="50" t="s">
        <v>66</v>
      </c>
      <c r="E15" s="29">
        <v>25.0</v>
      </c>
      <c r="F15" s="99">
        <v>22.0</v>
      </c>
      <c r="G15" s="24" t="s">
        <v>26</v>
      </c>
      <c r="H15" s="24" t="s">
        <v>26</v>
      </c>
      <c r="I15" s="24" t="s">
        <v>26</v>
      </c>
      <c r="J15" s="24" t="s">
        <v>26</v>
      </c>
      <c r="K15" s="24" t="s">
        <v>26</v>
      </c>
      <c r="L15" s="29">
        <v>18.0</v>
      </c>
      <c r="M15" s="29">
        <v>36.0</v>
      </c>
      <c r="N15" s="24" t="s">
        <v>26</v>
      </c>
      <c r="O15" s="24" t="s">
        <v>26</v>
      </c>
      <c r="P15" s="24" t="s">
        <v>26</v>
      </c>
      <c r="Q15" s="30">
        <f t="shared" si="1"/>
        <v>25.25</v>
      </c>
      <c r="R15" s="23">
        <v>80.0</v>
      </c>
    </row>
    <row r="16">
      <c r="A16" s="20"/>
      <c r="B16" s="15" t="s">
        <v>33</v>
      </c>
      <c r="C16" s="16">
        <v>1.0</v>
      </c>
      <c r="D16" s="47" t="s">
        <v>64</v>
      </c>
      <c r="E16" s="18" t="s">
        <v>26</v>
      </c>
      <c r="F16" s="18" t="s">
        <v>26</v>
      </c>
      <c r="G16" s="18" t="s">
        <v>26</v>
      </c>
      <c r="H16" s="18" t="s">
        <v>26</v>
      </c>
      <c r="I16" s="18" t="s">
        <v>26</v>
      </c>
      <c r="J16" s="18" t="s">
        <v>26</v>
      </c>
      <c r="K16" s="18" t="s">
        <v>26</v>
      </c>
      <c r="L16" s="18">
        <v>8.02</v>
      </c>
      <c r="M16" s="18">
        <v>7.64</v>
      </c>
      <c r="N16" s="18" t="s">
        <v>26</v>
      </c>
      <c r="O16" s="18" t="s">
        <v>26</v>
      </c>
      <c r="P16" s="18" t="s">
        <v>26</v>
      </c>
      <c r="Q16" s="49">
        <f t="shared" ref="Q16:Q21" si="2">AVERAGE(E16:P16)</f>
        <v>7.83</v>
      </c>
      <c r="R16" s="18" t="s">
        <v>34</v>
      </c>
    </row>
    <row r="17">
      <c r="A17" s="20"/>
      <c r="B17" s="21"/>
      <c r="C17" s="22">
        <v>2.0</v>
      </c>
      <c r="D17" s="50" t="s">
        <v>65</v>
      </c>
      <c r="E17" s="24" t="s">
        <v>26</v>
      </c>
      <c r="F17" s="24" t="s">
        <v>26</v>
      </c>
      <c r="G17" s="24" t="s">
        <v>26</v>
      </c>
      <c r="H17" s="24" t="s">
        <v>26</v>
      </c>
      <c r="I17" s="24" t="s">
        <v>26</v>
      </c>
      <c r="J17" s="24" t="s">
        <v>26</v>
      </c>
      <c r="K17" s="24" t="s">
        <v>26</v>
      </c>
      <c r="L17" s="24">
        <v>8.0</v>
      </c>
      <c r="M17" s="24">
        <v>7.61</v>
      </c>
      <c r="N17" s="24" t="s">
        <v>26</v>
      </c>
      <c r="O17" s="24" t="s">
        <v>26</v>
      </c>
      <c r="P17" s="24" t="s">
        <v>26</v>
      </c>
      <c r="Q17" s="52">
        <f t="shared" si="2"/>
        <v>7.805</v>
      </c>
      <c r="R17" s="24" t="s">
        <v>34</v>
      </c>
    </row>
    <row r="18">
      <c r="A18" s="20"/>
      <c r="B18" s="26"/>
      <c r="C18" s="22">
        <v>3.0</v>
      </c>
      <c r="D18" s="50" t="s">
        <v>66</v>
      </c>
      <c r="E18" s="24" t="s">
        <v>26</v>
      </c>
      <c r="F18" s="24" t="s">
        <v>26</v>
      </c>
      <c r="G18" s="24" t="s">
        <v>26</v>
      </c>
      <c r="H18" s="24" t="s">
        <v>26</v>
      </c>
      <c r="I18" s="24" t="s">
        <v>26</v>
      </c>
      <c r="J18" s="24" t="s">
        <v>26</v>
      </c>
      <c r="K18" s="24" t="s">
        <v>26</v>
      </c>
      <c r="L18" s="24">
        <v>8.02</v>
      </c>
      <c r="M18" s="24">
        <v>7.71</v>
      </c>
      <c r="N18" s="24" t="s">
        <v>26</v>
      </c>
      <c r="O18" s="24" t="s">
        <v>26</v>
      </c>
      <c r="P18" s="24" t="s">
        <v>26</v>
      </c>
      <c r="Q18" s="52">
        <f t="shared" si="2"/>
        <v>7.865</v>
      </c>
      <c r="R18" s="24" t="s">
        <v>34</v>
      </c>
    </row>
    <row r="19">
      <c r="A19" s="20"/>
      <c r="B19" s="15" t="s">
        <v>67</v>
      </c>
      <c r="C19" s="16">
        <v>1.0</v>
      </c>
      <c r="D19" s="47" t="s">
        <v>64</v>
      </c>
      <c r="E19" s="18" t="s">
        <v>26</v>
      </c>
      <c r="F19" s="100" t="s">
        <v>26</v>
      </c>
      <c r="G19" s="18" t="s">
        <v>26</v>
      </c>
      <c r="H19" s="18" t="s">
        <v>26</v>
      </c>
      <c r="I19" s="18" t="s">
        <v>26</v>
      </c>
      <c r="J19" s="18" t="s">
        <v>26</v>
      </c>
      <c r="K19" s="18" t="s">
        <v>26</v>
      </c>
      <c r="L19" s="18">
        <v>30.6</v>
      </c>
      <c r="M19" s="18">
        <v>30.25</v>
      </c>
      <c r="N19" s="18" t="s">
        <v>26</v>
      </c>
      <c r="O19" s="18" t="s">
        <v>26</v>
      </c>
      <c r="P19" s="18" t="s">
        <v>26</v>
      </c>
      <c r="Q19" s="49">
        <f t="shared" si="2"/>
        <v>30.425</v>
      </c>
      <c r="R19" s="18" t="s">
        <v>36</v>
      </c>
    </row>
    <row r="20">
      <c r="A20" s="20"/>
      <c r="B20" s="21"/>
      <c r="C20" s="22">
        <v>2.0</v>
      </c>
      <c r="D20" s="50" t="s">
        <v>65</v>
      </c>
      <c r="E20" s="24" t="s">
        <v>26</v>
      </c>
      <c r="F20" s="101" t="s">
        <v>26</v>
      </c>
      <c r="G20" s="24" t="s">
        <v>26</v>
      </c>
      <c r="H20" s="24" t="s">
        <v>26</v>
      </c>
      <c r="I20" s="24" t="s">
        <v>26</v>
      </c>
      <c r="J20" s="24" t="s">
        <v>26</v>
      </c>
      <c r="K20" s="24" t="s">
        <v>26</v>
      </c>
      <c r="L20" s="24">
        <v>30.7</v>
      </c>
      <c r="M20" s="24">
        <v>32.9</v>
      </c>
      <c r="N20" s="24" t="s">
        <v>26</v>
      </c>
      <c r="O20" s="24" t="s">
        <v>26</v>
      </c>
      <c r="P20" s="24" t="s">
        <v>26</v>
      </c>
      <c r="Q20" s="52">
        <f t="shared" si="2"/>
        <v>31.8</v>
      </c>
      <c r="R20" s="24" t="s">
        <v>36</v>
      </c>
    </row>
    <row r="21" ht="15.75" customHeight="1">
      <c r="A21" s="20"/>
      <c r="B21" s="26"/>
      <c r="C21" s="22">
        <v>3.0</v>
      </c>
      <c r="D21" s="50" t="s">
        <v>66</v>
      </c>
      <c r="E21" s="24" t="s">
        <v>26</v>
      </c>
      <c r="F21" s="101" t="s">
        <v>26</v>
      </c>
      <c r="G21" s="24" t="s">
        <v>26</v>
      </c>
      <c r="H21" s="24" t="s">
        <v>26</v>
      </c>
      <c r="I21" s="24" t="s">
        <v>26</v>
      </c>
      <c r="J21" s="24" t="s">
        <v>26</v>
      </c>
      <c r="K21" s="24" t="s">
        <v>26</v>
      </c>
      <c r="L21" s="24">
        <v>30.65</v>
      </c>
      <c r="M21" s="24">
        <v>33.8</v>
      </c>
      <c r="N21" s="24" t="s">
        <v>26</v>
      </c>
      <c r="O21" s="24" t="s">
        <v>26</v>
      </c>
      <c r="P21" s="24" t="s">
        <v>26</v>
      </c>
      <c r="Q21" s="52">
        <f t="shared" si="2"/>
        <v>32.225</v>
      </c>
      <c r="R21" s="24" t="s">
        <v>36</v>
      </c>
    </row>
    <row r="22" ht="15.75" customHeight="1">
      <c r="A22" s="20"/>
      <c r="B22" s="15" t="s">
        <v>37</v>
      </c>
      <c r="C22" s="16">
        <v>1.0</v>
      </c>
      <c r="D22" s="47" t="s">
        <v>64</v>
      </c>
      <c r="E22" s="27">
        <v>75.0</v>
      </c>
      <c r="F22" s="102">
        <v>50.0</v>
      </c>
      <c r="G22" s="18" t="s">
        <v>26</v>
      </c>
      <c r="H22" s="18" t="s">
        <v>26</v>
      </c>
      <c r="I22" s="18" t="s">
        <v>26</v>
      </c>
      <c r="J22" s="18" t="s">
        <v>26</v>
      </c>
      <c r="K22" s="18" t="s">
        <v>26</v>
      </c>
      <c r="L22" s="27">
        <v>8.0</v>
      </c>
      <c r="M22" s="27">
        <v>30.0</v>
      </c>
      <c r="N22" s="18" t="s">
        <v>26</v>
      </c>
      <c r="O22" s="18" t="s">
        <v>26</v>
      </c>
      <c r="P22" s="18" t="s">
        <v>26</v>
      </c>
      <c r="Q22" s="28">
        <f t="shared" ref="Q22:Q24" si="3">AVERAGE(E22,F22,G22,H22,I22,J22,K22,L22,M22,N22,O22,P22)</f>
        <v>40.75</v>
      </c>
      <c r="R22" s="17">
        <v>75.0</v>
      </c>
    </row>
    <row r="23" ht="15.75" customHeight="1">
      <c r="A23" s="20"/>
      <c r="B23" s="21"/>
      <c r="C23" s="22">
        <v>2.0</v>
      </c>
      <c r="D23" s="50" t="s">
        <v>65</v>
      </c>
      <c r="E23" s="29">
        <v>10.0</v>
      </c>
      <c r="F23" s="103">
        <v>50.0</v>
      </c>
      <c r="G23" s="24" t="s">
        <v>26</v>
      </c>
      <c r="H23" s="24" t="s">
        <v>26</v>
      </c>
      <c r="I23" s="24" t="s">
        <v>26</v>
      </c>
      <c r="J23" s="24" t="s">
        <v>26</v>
      </c>
      <c r="K23" s="24" t="s">
        <v>26</v>
      </c>
      <c r="L23" s="29">
        <v>9.0</v>
      </c>
      <c r="M23" s="29">
        <v>30.0</v>
      </c>
      <c r="N23" s="24" t="s">
        <v>26</v>
      </c>
      <c r="O23" s="24" t="s">
        <v>26</v>
      </c>
      <c r="P23" s="24" t="s">
        <v>26</v>
      </c>
      <c r="Q23" s="30">
        <f t="shared" si="3"/>
        <v>24.75</v>
      </c>
      <c r="R23" s="23">
        <v>75.0</v>
      </c>
    </row>
    <row r="24" ht="15.75" customHeight="1">
      <c r="A24" s="20"/>
      <c r="B24" s="26"/>
      <c r="C24" s="22">
        <v>3.0</v>
      </c>
      <c r="D24" s="50" t="s">
        <v>66</v>
      </c>
      <c r="E24" s="29">
        <v>65.0</v>
      </c>
      <c r="F24" s="103">
        <v>50.0</v>
      </c>
      <c r="G24" s="24" t="s">
        <v>26</v>
      </c>
      <c r="H24" s="24" t="s">
        <v>26</v>
      </c>
      <c r="I24" s="24" t="s">
        <v>26</v>
      </c>
      <c r="J24" s="24" t="s">
        <v>26</v>
      </c>
      <c r="K24" s="24" t="s">
        <v>26</v>
      </c>
      <c r="L24" s="29">
        <v>16.0</v>
      </c>
      <c r="M24" s="29">
        <v>30.0</v>
      </c>
      <c r="N24" s="24" t="s">
        <v>26</v>
      </c>
      <c r="O24" s="24" t="s">
        <v>26</v>
      </c>
      <c r="P24" s="24" t="s">
        <v>26</v>
      </c>
      <c r="Q24" s="30">
        <f t="shared" si="3"/>
        <v>40.25</v>
      </c>
      <c r="R24" s="23">
        <v>75.0</v>
      </c>
    </row>
    <row r="25" ht="15.75" customHeight="1">
      <c r="A25" s="20"/>
      <c r="B25" s="15" t="s">
        <v>38</v>
      </c>
      <c r="C25" s="16">
        <v>1.0</v>
      </c>
      <c r="D25" s="47" t="s">
        <v>64</v>
      </c>
      <c r="E25" s="32">
        <v>4300000.0</v>
      </c>
      <c r="F25" s="104">
        <v>3500000.0</v>
      </c>
      <c r="G25" s="18" t="s">
        <v>26</v>
      </c>
      <c r="H25" s="18" t="s">
        <v>26</v>
      </c>
      <c r="I25" s="18" t="s">
        <v>26</v>
      </c>
      <c r="J25" s="18" t="s">
        <v>26</v>
      </c>
      <c r="K25" s="18" t="s">
        <v>26</v>
      </c>
      <c r="L25" s="32">
        <v>82000.0</v>
      </c>
      <c r="M25" s="32">
        <v>920000.0</v>
      </c>
      <c r="N25" s="18" t="s">
        <v>26</v>
      </c>
      <c r="O25" s="18" t="s">
        <v>26</v>
      </c>
      <c r="P25" s="18" t="s">
        <v>26</v>
      </c>
      <c r="Q25" s="33">
        <f t="shared" ref="Q25:Q27" si="4">GEOMEAN(E25,F25,G25,H25,I25,J25,K25,L25,M25,N25,O25,P25)</f>
        <v>1032249.176</v>
      </c>
      <c r="R25" s="17">
        <v>200.0</v>
      </c>
      <c r="S25" s="34">
        <f>geomean(Q25:Q27)</f>
        <v>647856.3641</v>
      </c>
    </row>
    <row r="26" ht="15.75" customHeight="1">
      <c r="A26" s="20"/>
      <c r="B26" s="21"/>
      <c r="C26" s="22">
        <v>2.0</v>
      </c>
      <c r="D26" s="50" t="s">
        <v>65</v>
      </c>
      <c r="E26" s="36">
        <v>4900000.0</v>
      </c>
      <c r="F26" s="105">
        <v>2400000.0</v>
      </c>
      <c r="G26" s="24" t="s">
        <v>26</v>
      </c>
      <c r="H26" s="24" t="s">
        <v>26</v>
      </c>
      <c r="I26" s="24" t="s">
        <v>26</v>
      </c>
      <c r="J26" s="24" t="s">
        <v>26</v>
      </c>
      <c r="K26" s="24" t="s">
        <v>26</v>
      </c>
      <c r="L26" s="36">
        <v>82000.0</v>
      </c>
      <c r="M26" s="36">
        <v>1100000.0</v>
      </c>
      <c r="N26" s="24" t="s">
        <v>26</v>
      </c>
      <c r="O26" s="24" t="s">
        <v>26</v>
      </c>
      <c r="P26" s="24" t="s">
        <v>26</v>
      </c>
      <c r="Q26" s="37">
        <f t="shared" si="4"/>
        <v>1014853.759</v>
      </c>
      <c r="R26" s="23">
        <v>200.0</v>
      </c>
    </row>
    <row r="27" ht="15.75" customHeight="1">
      <c r="A27" s="20"/>
      <c r="B27" s="26"/>
      <c r="C27" s="22">
        <v>3.0</v>
      </c>
      <c r="D27" s="50" t="s">
        <v>66</v>
      </c>
      <c r="E27" s="36">
        <v>2600000.0</v>
      </c>
      <c r="F27" s="106">
        <v>790000.0</v>
      </c>
      <c r="G27" s="24" t="s">
        <v>26</v>
      </c>
      <c r="H27" s="24" t="s">
        <v>26</v>
      </c>
      <c r="I27" s="24" t="s">
        <v>26</v>
      </c>
      <c r="J27" s="24" t="s">
        <v>26</v>
      </c>
      <c r="K27" s="24" t="s">
        <v>26</v>
      </c>
      <c r="L27" s="36">
        <v>17000.0</v>
      </c>
      <c r="M27" s="36">
        <v>130000.0</v>
      </c>
      <c r="N27" s="24" t="s">
        <v>26</v>
      </c>
      <c r="O27" s="24" t="s">
        <v>26</v>
      </c>
      <c r="P27" s="24" t="s">
        <v>26</v>
      </c>
      <c r="Q27" s="37">
        <f t="shared" si="4"/>
        <v>259566.2233</v>
      </c>
      <c r="R27" s="23">
        <v>200.0</v>
      </c>
    </row>
    <row r="28" ht="15.75" customHeight="1">
      <c r="A28" s="20"/>
      <c r="B28" s="15" t="s">
        <v>68</v>
      </c>
      <c r="C28" s="16">
        <v>1.0</v>
      </c>
      <c r="D28" s="47" t="s">
        <v>64</v>
      </c>
      <c r="E28" s="39">
        <v>0.125</v>
      </c>
      <c r="F28" s="102">
        <v>0.129</v>
      </c>
      <c r="G28" s="18" t="s">
        <v>26</v>
      </c>
      <c r="H28" s="18" t="s">
        <v>26</v>
      </c>
      <c r="I28" s="18" t="s">
        <v>26</v>
      </c>
      <c r="J28" s="18" t="s">
        <v>26</v>
      </c>
      <c r="K28" s="18" t="s">
        <v>26</v>
      </c>
      <c r="L28" s="39">
        <v>2.287</v>
      </c>
      <c r="M28" s="107">
        <v>1.495</v>
      </c>
      <c r="N28" s="18" t="s">
        <v>26</v>
      </c>
      <c r="O28" s="18" t="s">
        <v>26</v>
      </c>
      <c r="P28" s="18" t="s">
        <v>26</v>
      </c>
      <c r="Q28" s="40">
        <f t="shared" ref="Q28:Q36" si="5">AVERAGE(E28,F28,G28,H28,I28,J28,K28,L28,M28,N28,O28,P28)</f>
        <v>1.009</v>
      </c>
      <c r="R28" s="17">
        <v>7.0</v>
      </c>
    </row>
    <row r="29" ht="15.75" customHeight="1">
      <c r="A29" s="20"/>
      <c r="B29" s="21"/>
      <c r="C29" s="22">
        <v>2.0</v>
      </c>
      <c r="D29" s="50" t="s">
        <v>65</v>
      </c>
      <c r="E29" s="41">
        <v>0.215</v>
      </c>
      <c r="F29" s="108">
        <v>0.13</v>
      </c>
      <c r="G29" s="24" t="s">
        <v>26</v>
      </c>
      <c r="H29" s="24" t="s">
        <v>26</v>
      </c>
      <c r="I29" s="24" t="s">
        <v>26</v>
      </c>
      <c r="J29" s="24" t="s">
        <v>26</v>
      </c>
      <c r="K29" s="24" t="s">
        <v>26</v>
      </c>
      <c r="L29" s="41">
        <v>2.183</v>
      </c>
      <c r="M29" s="41">
        <v>0.63</v>
      </c>
      <c r="N29" s="24" t="s">
        <v>26</v>
      </c>
      <c r="O29" s="24" t="s">
        <v>26</v>
      </c>
      <c r="P29" s="24" t="s">
        <v>26</v>
      </c>
      <c r="Q29" s="42">
        <f t="shared" si="5"/>
        <v>0.7895</v>
      </c>
      <c r="R29" s="23">
        <v>7.0</v>
      </c>
    </row>
    <row r="30" ht="15.75" customHeight="1">
      <c r="A30" s="20"/>
      <c r="B30" s="26"/>
      <c r="C30" s="22">
        <v>3.0</v>
      </c>
      <c r="D30" s="50" t="s">
        <v>66</v>
      </c>
      <c r="E30" s="41">
        <v>0.148</v>
      </c>
      <c r="F30" s="103">
        <v>0.966</v>
      </c>
      <c r="G30" s="24" t="s">
        <v>26</v>
      </c>
      <c r="H30" s="24" t="s">
        <v>26</v>
      </c>
      <c r="I30" s="24" t="s">
        <v>26</v>
      </c>
      <c r="J30" s="24" t="s">
        <v>26</v>
      </c>
      <c r="K30" s="24" t="s">
        <v>26</v>
      </c>
      <c r="L30" s="41">
        <v>2.161</v>
      </c>
      <c r="M30" s="41">
        <v>0.564</v>
      </c>
      <c r="N30" s="24" t="s">
        <v>26</v>
      </c>
      <c r="O30" s="24" t="s">
        <v>26</v>
      </c>
      <c r="P30" s="24" t="s">
        <v>26</v>
      </c>
      <c r="Q30" s="42">
        <f t="shared" si="5"/>
        <v>0.95975</v>
      </c>
      <c r="R30" s="23">
        <v>7.0</v>
      </c>
    </row>
    <row r="31" ht="15.75" customHeight="1">
      <c r="A31" s="20"/>
      <c r="B31" s="15" t="s">
        <v>69</v>
      </c>
      <c r="C31" s="16">
        <v>1.0</v>
      </c>
      <c r="D31" s="47" t="s">
        <v>64</v>
      </c>
      <c r="E31" s="39">
        <v>4.144</v>
      </c>
      <c r="F31" s="109">
        <v>3.25</v>
      </c>
      <c r="G31" s="18" t="s">
        <v>26</v>
      </c>
      <c r="H31" s="18" t="s">
        <v>26</v>
      </c>
      <c r="I31" s="18" t="s">
        <v>26</v>
      </c>
      <c r="J31" s="18" t="s">
        <v>26</v>
      </c>
      <c r="K31" s="18" t="s">
        <v>26</v>
      </c>
      <c r="L31" s="39">
        <v>2.505</v>
      </c>
      <c r="M31" s="39">
        <v>1.297</v>
      </c>
      <c r="N31" s="18" t="s">
        <v>26</v>
      </c>
      <c r="O31" s="18" t="s">
        <v>26</v>
      </c>
      <c r="P31" s="18" t="s">
        <v>26</v>
      </c>
      <c r="Q31" s="40">
        <f t="shared" si="5"/>
        <v>2.799</v>
      </c>
      <c r="R31" s="17">
        <v>0.5</v>
      </c>
    </row>
    <row r="32" ht="15.75" customHeight="1">
      <c r="A32" s="20"/>
      <c r="B32" s="21"/>
      <c r="C32" s="22">
        <v>2.0</v>
      </c>
      <c r="D32" s="50" t="s">
        <v>65</v>
      </c>
      <c r="E32" s="41">
        <v>4.066</v>
      </c>
      <c r="F32" s="108">
        <v>3.31</v>
      </c>
      <c r="G32" s="24" t="s">
        <v>26</v>
      </c>
      <c r="H32" s="24" t="s">
        <v>26</v>
      </c>
      <c r="I32" s="24" t="s">
        <v>26</v>
      </c>
      <c r="J32" s="24" t="s">
        <v>26</v>
      </c>
      <c r="K32" s="24" t="s">
        <v>26</v>
      </c>
      <c r="L32" s="41">
        <v>2.502</v>
      </c>
      <c r="M32" s="41">
        <v>1.349</v>
      </c>
      <c r="N32" s="24" t="s">
        <v>26</v>
      </c>
      <c r="O32" s="24" t="s">
        <v>26</v>
      </c>
      <c r="P32" s="24" t="s">
        <v>26</v>
      </c>
      <c r="Q32" s="42">
        <f t="shared" si="5"/>
        <v>2.80675</v>
      </c>
      <c r="R32" s="23">
        <v>0.5</v>
      </c>
    </row>
    <row r="33" ht="15.75" customHeight="1">
      <c r="A33" s="20"/>
      <c r="B33" s="26"/>
      <c r="C33" s="22">
        <v>3.0</v>
      </c>
      <c r="D33" s="50" t="s">
        <v>66</v>
      </c>
      <c r="E33" s="41">
        <v>4.112</v>
      </c>
      <c r="F33" s="108">
        <v>3.24</v>
      </c>
      <c r="G33" s="24" t="s">
        <v>26</v>
      </c>
      <c r="H33" s="24" t="s">
        <v>26</v>
      </c>
      <c r="I33" s="24" t="s">
        <v>26</v>
      </c>
      <c r="J33" s="24" t="s">
        <v>26</v>
      </c>
      <c r="K33" s="24" t="s">
        <v>26</v>
      </c>
      <c r="L33" s="41">
        <v>2.623</v>
      </c>
      <c r="M33" s="41">
        <v>1.173</v>
      </c>
      <c r="N33" s="24" t="s">
        <v>26</v>
      </c>
      <c r="O33" s="24" t="s">
        <v>26</v>
      </c>
      <c r="P33" s="24" t="s">
        <v>26</v>
      </c>
      <c r="Q33" s="42">
        <f t="shared" si="5"/>
        <v>2.787</v>
      </c>
      <c r="R33" s="23">
        <v>0.5</v>
      </c>
    </row>
    <row r="34" ht="15.75" customHeight="1">
      <c r="A34" s="20"/>
      <c r="B34" s="15" t="s">
        <v>42</v>
      </c>
      <c r="C34" s="16">
        <v>1.0</v>
      </c>
      <c r="D34" s="47" t="s">
        <v>64</v>
      </c>
      <c r="E34" s="32">
        <v>4417.0</v>
      </c>
      <c r="F34" s="110">
        <v>4927.0</v>
      </c>
      <c r="G34" s="18" t="s">
        <v>26</v>
      </c>
      <c r="H34" s="18" t="s">
        <v>26</v>
      </c>
      <c r="I34" s="18" t="s">
        <v>26</v>
      </c>
      <c r="J34" s="18" t="s">
        <v>26</v>
      </c>
      <c r="K34" s="18" t="s">
        <v>26</v>
      </c>
      <c r="L34" s="27">
        <v>25.0</v>
      </c>
      <c r="M34" s="27">
        <v>205.0</v>
      </c>
      <c r="N34" s="18" t="s">
        <v>26</v>
      </c>
      <c r="O34" s="18" t="s">
        <v>26</v>
      </c>
      <c r="P34" s="18" t="s">
        <v>26</v>
      </c>
      <c r="Q34" s="33">
        <f t="shared" si="5"/>
        <v>2393.5</v>
      </c>
      <c r="R34" s="17">
        <v>350.0</v>
      </c>
    </row>
    <row r="35" ht="15.75" customHeight="1">
      <c r="A35" s="20"/>
      <c r="B35" s="21"/>
      <c r="C35" s="22">
        <v>2.0</v>
      </c>
      <c r="D35" s="50" t="s">
        <v>65</v>
      </c>
      <c r="E35" s="36">
        <v>4138.0</v>
      </c>
      <c r="F35" s="111">
        <v>4975.0</v>
      </c>
      <c r="G35" s="24" t="s">
        <v>26</v>
      </c>
      <c r="H35" s="24" t="s">
        <v>26</v>
      </c>
      <c r="I35" s="24" t="s">
        <v>26</v>
      </c>
      <c r="J35" s="24" t="s">
        <v>26</v>
      </c>
      <c r="K35" s="24" t="s">
        <v>26</v>
      </c>
      <c r="L35" s="29">
        <v>26.0</v>
      </c>
      <c r="M35" s="29">
        <v>422.0</v>
      </c>
      <c r="N35" s="24" t="s">
        <v>26</v>
      </c>
      <c r="O35" s="24" t="s">
        <v>26</v>
      </c>
      <c r="P35" s="24" t="s">
        <v>26</v>
      </c>
      <c r="Q35" s="37">
        <f t="shared" si="5"/>
        <v>2390.25</v>
      </c>
      <c r="R35" s="23">
        <v>350.0</v>
      </c>
    </row>
    <row r="36" ht="15.75" customHeight="1">
      <c r="A36" s="20"/>
      <c r="B36" s="26"/>
      <c r="C36" s="22">
        <v>3.0</v>
      </c>
      <c r="D36" s="50" t="s">
        <v>66</v>
      </c>
      <c r="E36" s="36">
        <v>4371.0</v>
      </c>
      <c r="F36" s="111">
        <v>4975.0</v>
      </c>
      <c r="G36" s="24" t="s">
        <v>26</v>
      </c>
      <c r="H36" s="24" t="s">
        <v>26</v>
      </c>
      <c r="I36" s="24" t="s">
        <v>26</v>
      </c>
      <c r="J36" s="24" t="s">
        <v>26</v>
      </c>
      <c r="K36" s="24" t="s">
        <v>26</v>
      </c>
      <c r="L36" s="29">
        <v>22.0</v>
      </c>
      <c r="M36" s="29">
        <v>493.0</v>
      </c>
      <c r="N36" s="24" t="s">
        <v>26</v>
      </c>
      <c r="O36" s="24" t="s">
        <v>26</v>
      </c>
      <c r="P36" s="24" t="s">
        <v>26</v>
      </c>
      <c r="Q36" s="37">
        <f t="shared" si="5"/>
        <v>2465.25</v>
      </c>
      <c r="R36" s="23">
        <v>350.0</v>
      </c>
    </row>
    <row r="37" ht="15.75" customHeight="1"/>
    <row r="38" ht="15.75" customHeight="1">
      <c r="A38" s="91" t="s">
        <v>43</v>
      </c>
    </row>
    <row r="39" ht="15.75" customHeight="1"/>
    <row r="40" ht="15.75" customHeight="1">
      <c r="A40" s="112"/>
      <c r="B40" s="112"/>
      <c r="C40" s="112"/>
      <c r="D40" s="11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8.14"/>
    <col customWidth="1" min="4" max="4" width="53.29"/>
    <col customWidth="1" min="5" max="11" width="10.71"/>
    <col customWidth="1" min="12" max="12" width="7.71"/>
    <col customWidth="1" min="13" max="13" width="11.14"/>
    <col customWidth="1" min="14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13" t="s">
        <v>3</v>
      </c>
      <c r="B4" s="114" t="s">
        <v>4</v>
      </c>
      <c r="C4" s="114" t="s">
        <v>5</v>
      </c>
      <c r="D4" s="114" t="s">
        <v>6</v>
      </c>
      <c r="E4" s="114" t="s">
        <v>70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14" t="s">
        <v>15</v>
      </c>
      <c r="N4" s="114" t="s">
        <v>16</v>
      </c>
      <c r="O4" s="114" t="s">
        <v>17</v>
      </c>
      <c r="P4" s="114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71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72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115" t="s">
        <v>73</v>
      </c>
      <c r="E7" s="83" t="s">
        <v>26</v>
      </c>
      <c r="F7" s="83" t="s">
        <v>26</v>
      </c>
      <c r="G7" s="84">
        <v>0.33</v>
      </c>
      <c r="H7" s="83" t="s">
        <v>26</v>
      </c>
      <c r="I7" s="83" t="s">
        <v>26</v>
      </c>
      <c r="J7" s="83" t="s">
        <v>26</v>
      </c>
      <c r="K7" s="84">
        <v>2.75</v>
      </c>
      <c r="L7" s="83" t="s">
        <v>26</v>
      </c>
      <c r="M7" s="83" t="s">
        <v>26</v>
      </c>
      <c r="N7" s="84">
        <v>3.56</v>
      </c>
      <c r="O7" s="83">
        <v>4.05</v>
      </c>
      <c r="P7" s="83" t="s">
        <v>26</v>
      </c>
      <c r="Q7" s="116">
        <f t="shared" ref="Q7:Q24" si="1">AVERAGE(E7,F7,G7,H7,I7,J7,K7,L7,M7,N7,O7,P7)</f>
        <v>2.6725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17" t="s">
        <v>74</v>
      </c>
      <c r="E8" s="24" t="s">
        <v>26</v>
      </c>
      <c r="F8" s="24" t="s">
        <v>26</v>
      </c>
      <c r="G8" s="85">
        <v>0.65</v>
      </c>
      <c r="H8" s="24" t="s">
        <v>26</v>
      </c>
      <c r="I8" s="24" t="s">
        <v>26</v>
      </c>
      <c r="J8" s="24" t="s">
        <v>26</v>
      </c>
      <c r="K8" s="24">
        <v>3.3</v>
      </c>
      <c r="L8" s="24" t="s">
        <v>26</v>
      </c>
      <c r="M8" s="24" t="s">
        <v>26</v>
      </c>
      <c r="N8" s="24">
        <v>4.15</v>
      </c>
      <c r="O8" s="24">
        <v>2.87</v>
      </c>
      <c r="P8" s="24" t="s">
        <v>26</v>
      </c>
      <c r="Q8" s="118">
        <f t="shared" si="1"/>
        <v>2.7425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17" t="s">
        <v>75</v>
      </c>
      <c r="E9" s="85" t="s">
        <v>26</v>
      </c>
      <c r="F9" s="85" t="s">
        <v>26</v>
      </c>
      <c r="G9" s="85">
        <v>0.24</v>
      </c>
      <c r="H9" s="85" t="s">
        <v>26</v>
      </c>
      <c r="I9" s="85" t="s">
        <v>26</v>
      </c>
      <c r="J9" s="85" t="s">
        <v>26</v>
      </c>
      <c r="K9" s="24">
        <v>2.6</v>
      </c>
      <c r="L9" s="85" t="s">
        <v>26</v>
      </c>
      <c r="M9" s="85" t="s">
        <v>26</v>
      </c>
      <c r="N9" s="24">
        <v>4.05</v>
      </c>
      <c r="O9" s="85">
        <v>2.98</v>
      </c>
      <c r="P9" s="85" t="s">
        <v>26</v>
      </c>
      <c r="Q9" s="118">
        <f t="shared" si="1"/>
        <v>2.4675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19" t="s">
        <v>73</v>
      </c>
      <c r="E10" s="83" t="s">
        <v>26</v>
      </c>
      <c r="F10" s="83" t="s">
        <v>26</v>
      </c>
      <c r="G10" s="120">
        <v>68.0</v>
      </c>
      <c r="H10" s="83" t="s">
        <v>26</v>
      </c>
      <c r="I10" s="83" t="s">
        <v>26</v>
      </c>
      <c r="J10" s="83" t="s">
        <v>26</v>
      </c>
      <c r="K10" s="120">
        <v>27.0</v>
      </c>
      <c r="L10" s="83" t="s">
        <v>26</v>
      </c>
      <c r="M10" s="83" t="s">
        <v>26</v>
      </c>
      <c r="N10" s="27">
        <v>18.0</v>
      </c>
      <c r="O10" s="120">
        <v>9.0</v>
      </c>
      <c r="P10" s="83" t="s">
        <v>26</v>
      </c>
      <c r="Q10" s="33">
        <f t="shared" si="1"/>
        <v>30.5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17" t="s">
        <v>74</v>
      </c>
      <c r="E11" s="85" t="s">
        <v>26</v>
      </c>
      <c r="F11" s="85" t="s">
        <v>26</v>
      </c>
      <c r="G11" s="85">
        <v>62.0</v>
      </c>
      <c r="H11" s="85" t="s">
        <v>26</v>
      </c>
      <c r="I11" s="24" t="s">
        <v>26</v>
      </c>
      <c r="J11" s="24" t="s">
        <v>26</v>
      </c>
      <c r="K11" s="29">
        <v>6.0</v>
      </c>
      <c r="L11" s="24" t="s">
        <v>26</v>
      </c>
      <c r="M11" s="24" t="s">
        <v>26</v>
      </c>
      <c r="N11" s="29">
        <v>3.0</v>
      </c>
      <c r="O11" s="29">
        <v>16.0</v>
      </c>
      <c r="P11" s="24" t="s">
        <v>26</v>
      </c>
      <c r="Q11" s="37">
        <f t="shared" si="1"/>
        <v>21.75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17" t="s">
        <v>75</v>
      </c>
      <c r="E12" s="85" t="s">
        <v>26</v>
      </c>
      <c r="F12" s="85" t="s">
        <v>26</v>
      </c>
      <c r="G12" s="85">
        <v>44.0</v>
      </c>
      <c r="H12" s="85" t="s">
        <v>26</v>
      </c>
      <c r="I12" s="85" t="s">
        <v>26</v>
      </c>
      <c r="J12" s="85" t="s">
        <v>26</v>
      </c>
      <c r="K12" s="85">
        <v>14.0</v>
      </c>
      <c r="L12" s="85" t="s">
        <v>26</v>
      </c>
      <c r="M12" s="85" t="s">
        <v>26</v>
      </c>
      <c r="N12" s="29">
        <v>9.0</v>
      </c>
      <c r="O12" s="85">
        <v>6.0</v>
      </c>
      <c r="P12" s="85" t="s">
        <v>26</v>
      </c>
      <c r="Q12" s="37">
        <f t="shared" si="1"/>
        <v>18.25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19" t="s">
        <v>73</v>
      </c>
      <c r="E13" s="83" t="s">
        <v>26</v>
      </c>
      <c r="F13" s="83" t="s">
        <v>26</v>
      </c>
      <c r="G13" s="120">
        <v>38.0</v>
      </c>
      <c r="H13" s="83" t="s">
        <v>26</v>
      </c>
      <c r="I13" s="83" t="s">
        <v>26</v>
      </c>
      <c r="J13" s="83" t="s">
        <v>26</v>
      </c>
      <c r="K13" s="120">
        <v>23.0</v>
      </c>
      <c r="L13" s="83" t="s">
        <v>26</v>
      </c>
      <c r="M13" s="83" t="s">
        <v>26</v>
      </c>
      <c r="N13" s="120">
        <v>29.0</v>
      </c>
      <c r="O13" s="120">
        <v>7.0</v>
      </c>
      <c r="P13" s="83" t="s">
        <v>26</v>
      </c>
      <c r="Q13" s="33">
        <f t="shared" si="1"/>
        <v>24.25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17" t="s">
        <v>74</v>
      </c>
      <c r="E14" s="85" t="s">
        <v>26</v>
      </c>
      <c r="F14" s="85" t="s">
        <v>26</v>
      </c>
      <c r="G14" s="85">
        <v>40.0</v>
      </c>
      <c r="H14" s="85" t="s">
        <v>26</v>
      </c>
      <c r="I14" s="24" t="s">
        <v>26</v>
      </c>
      <c r="J14" s="24" t="s">
        <v>26</v>
      </c>
      <c r="K14" s="29">
        <v>25.0</v>
      </c>
      <c r="L14" s="24" t="s">
        <v>26</v>
      </c>
      <c r="M14" s="24" t="s">
        <v>26</v>
      </c>
      <c r="N14" s="29">
        <v>21.0</v>
      </c>
      <c r="O14" s="29">
        <v>12.0</v>
      </c>
      <c r="P14" s="24" t="s">
        <v>26</v>
      </c>
      <c r="Q14" s="37">
        <f t="shared" si="1"/>
        <v>24.5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17" t="s">
        <v>75</v>
      </c>
      <c r="E15" s="85" t="s">
        <v>26</v>
      </c>
      <c r="F15" s="85" t="s">
        <v>26</v>
      </c>
      <c r="G15" s="85">
        <v>21.0</v>
      </c>
      <c r="H15" s="85" t="s">
        <v>26</v>
      </c>
      <c r="I15" s="85" t="s">
        <v>26</v>
      </c>
      <c r="J15" s="85" t="s">
        <v>26</v>
      </c>
      <c r="K15" s="85">
        <v>24.0</v>
      </c>
      <c r="L15" s="85" t="s">
        <v>26</v>
      </c>
      <c r="M15" s="85" t="s">
        <v>26</v>
      </c>
      <c r="N15" s="85">
        <v>20.0</v>
      </c>
      <c r="O15" s="85">
        <v>8.0</v>
      </c>
      <c r="P15" s="85" t="s">
        <v>26</v>
      </c>
      <c r="Q15" s="37">
        <f t="shared" si="1"/>
        <v>18.25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19" t="s">
        <v>73</v>
      </c>
      <c r="E16" s="83" t="s">
        <v>26</v>
      </c>
      <c r="F16" s="83" t="s">
        <v>26</v>
      </c>
      <c r="G16" s="18">
        <v>7.6</v>
      </c>
      <c r="H16" s="83" t="s">
        <v>26</v>
      </c>
      <c r="I16" s="83" t="s">
        <v>26</v>
      </c>
      <c r="J16" s="83" t="s">
        <v>26</v>
      </c>
      <c r="K16" s="120">
        <v>7.85</v>
      </c>
      <c r="L16" s="83" t="s">
        <v>26</v>
      </c>
      <c r="M16" s="83" t="s">
        <v>26</v>
      </c>
      <c r="N16" s="120">
        <v>8.22</v>
      </c>
      <c r="O16" s="120">
        <v>7.12</v>
      </c>
      <c r="P16" s="83" t="s">
        <v>26</v>
      </c>
      <c r="Q16" s="116">
        <f t="shared" si="1"/>
        <v>7.6975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17" t="s">
        <v>74</v>
      </c>
      <c r="E17" s="85" t="s">
        <v>26</v>
      </c>
      <c r="F17" s="85" t="s">
        <v>26</v>
      </c>
      <c r="G17" s="24">
        <v>7.85</v>
      </c>
      <c r="H17" s="85" t="s">
        <v>26</v>
      </c>
      <c r="I17" s="24" t="s">
        <v>26</v>
      </c>
      <c r="J17" s="24" t="s">
        <v>26</v>
      </c>
      <c r="K17" s="24">
        <v>7.84</v>
      </c>
      <c r="L17" s="24" t="s">
        <v>26</v>
      </c>
      <c r="M17" s="24" t="s">
        <v>26</v>
      </c>
      <c r="N17" s="24">
        <v>8.25</v>
      </c>
      <c r="O17" s="24">
        <v>7.07</v>
      </c>
      <c r="P17" s="24" t="s">
        <v>26</v>
      </c>
      <c r="Q17" s="118">
        <f t="shared" si="1"/>
        <v>7.7525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17" t="s">
        <v>75</v>
      </c>
      <c r="E18" s="85" t="s">
        <v>26</v>
      </c>
      <c r="F18" s="85" t="s">
        <v>26</v>
      </c>
      <c r="G18" s="24">
        <v>7.54</v>
      </c>
      <c r="H18" s="85" t="s">
        <v>26</v>
      </c>
      <c r="I18" s="85" t="s">
        <v>26</v>
      </c>
      <c r="J18" s="85" t="s">
        <v>26</v>
      </c>
      <c r="K18" s="85">
        <v>7.89</v>
      </c>
      <c r="L18" s="85" t="s">
        <v>26</v>
      </c>
      <c r="M18" s="85" t="s">
        <v>26</v>
      </c>
      <c r="N18" s="85">
        <v>8.45</v>
      </c>
      <c r="O18" s="85">
        <v>7.23</v>
      </c>
      <c r="P18" s="85" t="s">
        <v>26</v>
      </c>
      <c r="Q18" s="118">
        <f t="shared" si="1"/>
        <v>7.7775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76</v>
      </c>
      <c r="C19" s="16">
        <v>1.0</v>
      </c>
      <c r="D19" s="119" t="s">
        <v>73</v>
      </c>
      <c r="E19" s="83" t="s">
        <v>26</v>
      </c>
      <c r="F19" s="83" t="s">
        <v>26</v>
      </c>
      <c r="G19" s="18">
        <v>32.1</v>
      </c>
      <c r="H19" s="83" t="s">
        <v>26</v>
      </c>
      <c r="I19" s="83" t="s">
        <v>26</v>
      </c>
      <c r="J19" s="83" t="s">
        <v>26</v>
      </c>
      <c r="K19" s="18">
        <v>31.25</v>
      </c>
      <c r="L19" s="83" t="s">
        <v>26</v>
      </c>
      <c r="M19" s="83" t="s">
        <v>26</v>
      </c>
      <c r="N19" s="18">
        <v>25.8</v>
      </c>
      <c r="O19" s="120">
        <v>27.18</v>
      </c>
      <c r="P19" s="83" t="s">
        <v>26</v>
      </c>
      <c r="Q19" s="116">
        <f t="shared" si="1"/>
        <v>29.0825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17" t="s">
        <v>74</v>
      </c>
      <c r="E20" s="85" t="s">
        <v>26</v>
      </c>
      <c r="F20" s="85" t="s">
        <v>26</v>
      </c>
      <c r="G20" s="24">
        <v>31.1</v>
      </c>
      <c r="H20" s="85" t="s">
        <v>26</v>
      </c>
      <c r="I20" s="24" t="s">
        <v>26</v>
      </c>
      <c r="J20" s="24" t="s">
        <v>26</v>
      </c>
      <c r="K20" s="24">
        <v>30.7</v>
      </c>
      <c r="L20" s="24" t="s">
        <v>26</v>
      </c>
      <c r="M20" s="24" t="s">
        <v>26</v>
      </c>
      <c r="N20" s="24">
        <v>26.0</v>
      </c>
      <c r="O20" s="24">
        <v>27.6</v>
      </c>
      <c r="P20" s="24" t="s">
        <v>26</v>
      </c>
      <c r="Q20" s="118">
        <f t="shared" si="1"/>
        <v>28.85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17" t="s">
        <v>75</v>
      </c>
      <c r="E21" s="85" t="s">
        <v>26</v>
      </c>
      <c r="F21" s="85" t="s">
        <v>26</v>
      </c>
      <c r="G21" s="24">
        <v>32.0</v>
      </c>
      <c r="H21" s="85" t="s">
        <v>26</v>
      </c>
      <c r="I21" s="85" t="s">
        <v>26</v>
      </c>
      <c r="J21" s="85" t="s">
        <v>26</v>
      </c>
      <c r="K21" s="24">
        <v>31.3</v>
      </c>
      <c r="L21" s="85" t="s">
        <v>26</v>
      </c>
      <c r="M21" s="85" t="s">
        <v>26</v>
      </c>
      <c r="N21" s="24">
        <v>26.1</v>
      </c>
      <c r="O21" s="85">
        <v>27.28</v>
      </c>
      <c r="P21" s="85" t="s">
        <v>26</v>
      </c>
      <c r="Q21" s="118">
        <f t="shared" si="1"/>
        <v>29.17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19" t="s">
        <v>73</v>
      </c>
      <c r="E22" s="83" t="s">
        <v>26</v>
      </c>
      <c r="F22" s="83" t="s">
        <v>26</v>
      </c>
      <c r="G22" s="120">
        <v>100.0</v>
      </c>
      <c r="H22" s="83" t="s">
        <v>26</v>
      </c>
      <c r="I22" s="83" t="s">
        <v>26</v>
      </c>
      <c r="J22" s="83" t="s">
        <v>26</v>
      </c>
      <c r="K22" s="120">
        <v>75.0</v>
      </c>
      <c r="L22" s="83" t="s">
        <v>26</v>
      </c>
      <c r="M22" s="83" t="s">
        <v>26</v>
      </c>
      <c r="N22" s="120">
        <v>20.0</v>
      </c>
      <c r="O22" s="120">
        <v>25.0</v>
      </c>
      <c r="P22" s="83" t="s">
        <v>26</v>
      </c>
      <c r="Q22" s="33">
        <f t="shared" si="1"/>
        <v>55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17" t="s">
        <v>74</v>
      </c>
      <c r="E23" s="85" t="s">
        <v>26</v>
      </c>
      <c r="F23" s="85" t="s">
        <v>26</v>
      </c>
      <c r="G23" s="85">
        <v>100.0</v>
      </c>
      <c r="H23" s="85" t="s">
        <v>26</v>
      </c>
      <c r="I23" s="24" t="s">
        <v>26</v>
      </c>
      <c r="J23" s="24" t="s">
        <v>26</v>
      </c>
      <c r="K23" s="29">
        <v>30.0</v>
      </c>
      <c r="L23" s="24" t="s">
        <v>26</v>
      </c>
      <c r="M23" s="24" t="s">
        <v>26</v>
      </c>
      <c r="N23" s="29">
        <v>20.0</v>
      </c>
      <c r="O23" s="29">
        <v>20.0</v>
      </c>
      <c r="P23" s="24" t="s">
        <v>26</v>
      </c>
      <c r="Q23" s="37">
        <f t="shared" si="1"/>
        <v>42.5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17" t="s">
        <v>75</v>
      </c>
      <c r="E24" s="85" t="s">
        <v>26</v>
      </c>
      <c r="F24" s="85" t="s">
        <v>26</v>
      </c>
      <c r="G24" s="85">
        <v>75.0</v>
      </c>
      <c r="H24" s="85" t="s">
        <v>26</v>
      </c>
      <c r="I24" s="85" t="s">
        <v>26</v>
      </c>
      <c r="J24" s="85" t="s">
        <v>26</v>
      </c>
      <c r="K24" s="85">
        <v>30.0</v>
      </c>
      <c r="L24" s="85" t="s">
        <v>26</v>
      </c>
      <c r="M24" s="85" t="s">
        <v>26</v>
      </c>
      <c r="N24" s="85">
        <v>20.0</v>
      </c>
      <c r="O24" s="85">
        <v>30.0</v>
      </c>
      <c r="P24" s="85" t="s">
        <v>26</v>
      </c>
      <c r="Q24" s="37">
        <f t="shared" si="1"/>
        <v>38.75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19" t="s">
        <v>73</v>
      </c>
      <c r="E25" s="83" t="s">
        <v>26</v>
      </c>
      <c r="F25" s="83" t="s">
        <v>26</v>
      </c>
      <c r="G25" s="88">
        <v>1400000.0</v>
      </c>
      <c r="H25" s="83" t="s">
        <v>26</v>
      </c>
      <c r="I25" s="83" t="s">
        <v>26</v>
      </c>
      <c r="J25" s="83" t="s">
        <v>26</v>
      </c>
      <c r="K25" s="31">
        <v>5400000.0</v>
      </c>
      <c r="L25" s="83" t="s">
        <v>26</v>
      </c>
      <c r="M25" s="83" t="s">
        <v>26</v>
      </c>
      <c r="N25" s="32">
        <v>2400000.0</v>
      </c>
      <c r="O25" s="31">
        <v>350000.0</v>
      </c>
      <c r="P25" s="83" t="s">
        <v>26</v>
      </c>
      <c r="Q25" s="33">
        <f t="shared" ref="Q25:Q27" si="2">GEOMEAN(E25,F25,G25,H25,I25,J25,K25,L25,M25,N25,O25,P25)</f>
        <v>1587450.787</v>
      </c>
      <c r="R25" s="17">
        <v>200.0</v>
      </c>
      <c r="S25" s="121">
        <f>average(Q25:Q27)</f>
        <v>590631.3382</v>
      </c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17" t="s">
        <v>74</v>
      </c>
      <c r="E26" s="85" t="s">
        <v>26</v>
      </c>
      <c r="F26" s="85" t="s">
        <v>26</v>
      </c>
      <c r="G26" s="36">
        <v>78000.0</v>
      </c>
      <c r="H26" s="85" t="s">
        <v>26</v>
      </c>
      <c r="I26" s="24" t="s">
        <v>26</v>
      </c>
      <c r="J26" s="24" t="s">
        <v>26</v>
      </c>
      <c r="K26" s="35">
        <v>140000.0</v>
      </c>
      <c r="L26" s="24" t="s">
        <v>26</v>
      </c>
      <c r="M26" s="24" t="s">
        <v>26</v>
      </c>
      <c r="N26" s="36">
        <v>140000.0</v>
      </c>
      <c r="O26" s="36">
        <v>46000.0</v>
      </c>
      <c r="P26" s="24" t="s">
        <v>26</v>
      </c>
      <c r="Q26" s="37">
        <f t="shared" si="2"/>
        <v>91575.04198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17" t="s">
        <v>75</v>
      </c>
      <c r="E27" s="85" t="s">
        <v>26</v>
      </c>
      <c r="F27" s="85" t="s">
        <v>26</v>
      </c>
      <c r="G27" s="36">
        <v>21000.0</v>
      </c>
      <c r="H27" s="85" t="s">
        <v>26</v>
      </c>
      <c r="I27" s="85" t="s">
        <v>26</v>
      </c>
      <c r="J27" s="85" t="s">
        <v>26</v>
      </c>
      <c r="K27" s="35">
        <v>220000.0</v>
      </c>
      <c r="L27" s="85" t="s">
        <v>26</v>
      </c>
      <c r="M27" s="85" t="s">
        <v>26</v>
      </c>
      <c r="N27" s="36">
        <v>230000.0</v>
      </c>
      <c r="O27" s="35">
        <v>70000.0</v>
      </c>
      <c r="P27" s="85" t="s">
        <v>26</v>
      </c>
      <c r="Q27" s="37">
        <f t="shared" si="2"/>
        <v>92868.18608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77</v>
      </c>
      <c r="C28" s="16">
        <v>1.0</v>
      </c>
      <c r="D28" s="119" t="s">
        <v>73</v>
      </c>
      <c r="E28" s="83" t="s">
        <v>26</v>
      </c>
      <c r="F28" s="83" t="s">
        <v>26</v>
      </c>
      <c r="G28" s="120">
        <v>0.224</v>
      </c>
      <c r="H28" s="83" t="s">
        <v>26</v>
      </c>
      <c r="I28" s="83" t="s">
        <v>26</v>
      </c>
      <c r="J28" s="83" t="s">
        <v>26</v>
      </c>
      <c r="K28" s="39">
        <v>0.254</v>
      </c>
      <c r="L28" s="83" t="s">
        <v>26</v>
      </c>
      <c r="M28" s="83" t="s">
        <v>26</v>
      </c>
      <c r="N28" s="120">
        <v>1.455</v>
      </c>
      <c r="O28" s="120">
        <v>1.732</v>
      </c>
      <c r="P28" s="83" t="s">
        <v>26</v>
      </c>
      <c r="Q28" s="122">
        <f t="shared" ref="Q28:Q36" si="3">AVERAGE(E28,F28,G28,H28,I28,J28,K28,L28,M28,N28,O28,P28)</f>
        <v>0.91625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17" t="s">
        <v>74</v>
      </c>
      <c r="E29" s="85" t="s">
        <v>26</v>
      </c>
      <c r="F29" s="85" t="s">
        <v>26</v>
      </c>
      <c r="G29" s="85">
        <v>0.405</v>
      </c>
      <c r="H29" s="85" t="s">
        <v>26</v>
      </c>
      <c r="I29" s="24" t="s">
        <v>26</v>
      </c>
      <c r="J29" s="24" t="s">
        <v>26</v>
      </c>
      <c r="K29" s="41">
        <v>0.294</v>
      </c>
      <c r="L29" s="24" t="s">
        <v>26</v>
      </c>
      <c r="M29" s="24" t="s">
        <v>26</v>
      </c>
      <c r="N29" s="41">
        <v>1.415</v>
      </c>
      <c r="O29" s="41">
        <v>1.119</v>
      </c>
      <c r="P29" s="24" t="s">
        <v>26</v>
      </c>
      <c r="Q29" s="123">
        <f t="shared" si="3"/>
        <v>0.80825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17" t="s">
        <v>75</v>
      </c>
      <c r="E30" s="85" t="s">
        <v>26</v>
      </c>
      <c r="F30" s="85" t="s">
        <v>26</v>
      </c>
      <c r="G30" s="85">
        <v>0.152</v>
      </c>
      <c r="H30" s="85" t="s">
        <v>26</v>
      </c>
      <c r="I30" s="85" t="s">
        <v>26</v>
      </c>
      <c r="J30" s="85" t="s">
        <v>26</v>
      </c>
      <c r="K30" s="85">
        <v>0.215</v>
      </c>
      <c r="L30" s="85" t="s">
        <v>26</v>
      </c>
      <c r="M30" s="85" t="s">
        <v>26</v>
      </c>
      <c r="N30" s="85">
        <v>1.118</v>
      </c>
      <c r="O30" s="85">
        <v>1.123</v>
      </c>
      <c r="P30" s="85" t="s">
        <v>26</v>
      </c>
      <c r="Q30" s="123">
        <f t="shared" si="3"/>
        <v>0.652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78</v>
      </c>
      <c r="C31" s="16">
        <v>1.0</v>
      </c>
      <c r="D31" s="119" t="s">
        <v>73</v>
      </c>
      <c r="E31" s="83" t="s">
        <v>26</v>
      </c>
      <c r="F31" s="83" t="s">
        <v>26</v>
      </c>
      <c r="G31" s="39">
        <v>4.16</v>
      </c>
      <c r="H31" s="83" t="s">
        <v>26</v>
      </c>
      <c r="I31" s="83" t="s">
        <v>26</v>
      </c>
      <c r="J31" s="83" t="s">
        <v>26</v>
      </c>
      <c r="K31" s="39">
        <v>4.236</v>
      </c>
      <c r="L31" s="83" t="s">
        <v>26</v>
      </c>
      <c r="M31" s="83" t="s">
        <v>26</v>
      </c>
      <c r="N31" s="120">
        <v>1.172</v>
      </c>
      <c r="O31" s="39">
        <v>0.52</v>
      </c>
      <c r="P31" s="83" t="s">
        <v>26</v>
      </c>
      <c r="Q31" s="122">
        <f t="shared" si="3"/>
        <v>2.522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17" t="s">
        <v>74</v>
      </c>
      <c r="E32" s="85" t="s">
        <v>26</v>
      </c>
      <c r="F32" s="85" t="s">
        <v>26</v>
      </c>
      <c r="G32" s="41">
        <v>4.9</v>
      </c>
      <c r="H32" s="85" t="s">
        <v>26</v>
      </c>
      <c r="I32" s="24" t="s">
        <v>26</v>
      </c>
      <c r="J32" s="24" t="s">
        <v>26</v>
      </c>
      <c r="K32" s="41">
        <v>1.136</v>
      </c>
      <c r="L32" s="24" t="s">
        <v>26</v>
      </c>
      <c r="M32" s="24" t="s">
        <v>26</v>
      </c>
      <c r="N32" s="41">
        <v>0.432</v>
      </c>
      <c r="O32" s="41">
        <v>0.459</v>
      </c>
      <c r="P32" s="24" t="s">
        <v>26</v>
      </c>
      <c r="Q32" s="123">
        <f t="shared" si="3"/>
        <v>1.73175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17" t="s">
        <v>75</v>
      </c>
      <c r="E33" s="85" t="s">
        <v>26</v>
      </c>
      <c r="F33" s="85" t="s">
        <v>26</v>
      </c>
      <c r="G33" s="41">
        <v>4.16</v>
      </c>
      <c r="H33" s="85" t="s">
        <v>26</v>
      </c>
      <c r="I33" s="85" t="s">
        <v>26</v>
      </c>
      <c r="J33" s="85" t="s">
        <v>26</v>
      </c>
      <c r="K33" s="41">
        <v>1.23</v>
      </c>
      <c r="L33" s="85" t="s">
        <v>26</v>
      </c>
      <c r="M33" s="85" t="s">
        <v>26</v>
      </c>
      <c r="N33" s="85">
        <v>0.553</v>
      </c>
      <c r="O33" s="85">
        <v>0.915</v>
      </c>
      <c r="P33" s="85" t="s">
        <v>26</v>
      </c>
      <c r="Q33" s="123">
        <f t="shared" si="3"/>
        <v>1.7145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119" t="s">
        <v>73</v>
      </c>
      <c r="E34" s="83" t="s">
        <v>26</v>
      </c>
      <c r="F34" s="83" t="s">
        <v>26</v>
      </c>
      <c r="G34" s="31">
        <v>2814.0</v>
      </c>
      <c r="H34" s="83" t="s">
        <v>26</v>
      </c>
      <c r="I34" s="83" t="s">
        <v>26</v>
      </c>
      <c r="J34" s="83" t="s">
        <v>26</v>
      </c>
      <c r="K34" s="120">
        <v>34.0</v>
      </c>
      <c r="L34" s="83" t="s">
        <v>26</v>
      </c>
      <c r="M34" s="83" t="s">
        <v>26</v>
      </c>
      <c r="N34" s="120">
        <v>20.0</v>
      </c>
      <c r="O34" s="120">
        <v>38.0</v>
      </c>
      <c r="P34" s="83" t="s">
        <v>26</v>
      </c>
      <c r="Q34" s="33">
        <f t="shared" si="3"/>
        <v>726.5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124" t="s">
        <v>74</v>
      </c>
      <c r="E35" s="85" t="s">
        <v>26</v>
      </c>
      <c r="F35" s="85" t="s">
        <v>26</v>
      </c>
      <c r="G35" s="35">
        <v>1593.0</v>
      </c>
      <c r="H35" s="85" t="s">
        <v>26</v>
      </c>
      <c r="I35" s="24" t="s">
        <v>26</v>
      </c>
      <c r="J35" s="24" t="s">
        <v>26</v>
      </c>
      <c r="K35" s="29">
        <v>50.0</v>
      </c>
      <c r="L35" s="24" t="s">
        <v>26</v>
      </c>
      <c r="M35" s="24" t="s">
        <v>26</v>
      </c>
      <c r="N35" s="29">
        <v>14.0</v>
      </c>
      <c r="O35" s="29">
        <v>16.0</v>
      </c>
      <c r="P35" s="24" t="s">
        <v>26</v>
      </c>
      <c r="Q35" s="37">
        <f t="shared" si="3"/>
        <v>418.25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117" t="s">
        <v>75</v>
      </c>
      <c r="E36" s="85" t="s">
        <v>26</v>
      </c>
      <c r="F36" s="85" t="s">
        <v>26</v>
      </c>
      <c r="G36" s="35">
        <v>2862.0</v>
      </c>
      <c r="H36" s="85" t="s">
        <v>26</v>
      </c>
      <c r="I36" s="85" t="s">
        <v>26</v>
      </c>
      <c r="J36" s="85" t="s">
        <v>26</v>
      </c>
      <c r="K36" s="85">
        <v>47.0</v>
      </c>
      <c r="L36" s="85" t="s">
        <v>26</v>
      </c>
      <c r="M36" s="85" t="s">
        <v>26</v>
      </c>
      <c r="N36" s="85">
        <v>22.0</v>
      </c>
      <c r="O36" s="85">
        <v>26.0</v>
      </c>
      <c r="P36" s="85" t="s">
        <v>26</v>
      </c>
      <c r="Q36" s="37">
        <f t="shared" si="3"/>
        <v>739.25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125">
        <f>GEOMEAN(N25:N27)</f>
        <v>425947.138</v>
      </c>
      <c r="O37" s="72"/>
      <c r="P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91" t="s">
        <v>43</v>
      </c>
      <c r="D38" s="126"/>
      <c r="E38" s="72"/>
      <c r="F38" s="72"/>
      <c r="G38" s="72"/>
      <c r="H38" s="72"/>
      <c r="I38" s="72"/>
      <c r="J38" s="72"/>
      <c r="K38" s="72"/>
      <c r="L38" s="72"/>
      <c r="M38" s="72"/>
      <c r="N38" s="127"/>
      <c r="O38" s="72"/>
      <c r="P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E39" s="72"/>
      <c r="F39" s="72"/>
      <c r="G39" s="72"/>
      <c r="H39" s="72"/>
      <c r="I39" s="72"/>
      <c r="J39" s="72"/>
      <c r="K39" s="72"/>
      <c r="L39" s="72"/>
      <c r="M39" s="72"/>
      <c r="N39" s="127"/>
      <c r="O39" s="72"/>
      <c r="P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127"/>
      <c r="O40" s="72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127"/>
      <c r="O41" s="72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127"/>
      <c r="O42" s="72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127"/>
      <c r="O43" s="72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127"/>
      <c r="O44" s="72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127"/>
      <c r="O45" s="72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127"/>
      <c r="O46" s="72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127"/>
      <c r="O47" s="72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127"/>
      <c r="O48" s="72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127"/>
      <c r="O49" s="72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127"/>
      <c r="O50" s="72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127"/>
      <c r="O51" s="72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127"/>
      <c r="O52" s="72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127"/>
      <c r="O53" s="72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127"/>
      <c r="O54" s="72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127"/>
      <c r="O55" s="72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127"/>
      <c r="O56" s="72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127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127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127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127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127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127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127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127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127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127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127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127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127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127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127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127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127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127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127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127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127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127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127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127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127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127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127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127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127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127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127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127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127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127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127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127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127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127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127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127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127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127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127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127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127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127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127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127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127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127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127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127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127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127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127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127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127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127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127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127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127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127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127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127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127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127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127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127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127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127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127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127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127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127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127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127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127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127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127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127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127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127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127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127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127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127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127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127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127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127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127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127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127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127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127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127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127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127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127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127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127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127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127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127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127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127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127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127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127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127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127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127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127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127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127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127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127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127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127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127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127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127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127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127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127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127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127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127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127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127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127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127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127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127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127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127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127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127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127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127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127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127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127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127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127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127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127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127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127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127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127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127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127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127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127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127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127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127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127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127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127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127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127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127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127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127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127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127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127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127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127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127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127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127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127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127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127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127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127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127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127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127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127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127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127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127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127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127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127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127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127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127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127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127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127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127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127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127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127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127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127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127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127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127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127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127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127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127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127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127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127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127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127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127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127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127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127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127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127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127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127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127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127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127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127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127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127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127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127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127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127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127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127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127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127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127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127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127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127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127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127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127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127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127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127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127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127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127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127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127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127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127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127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127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127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127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127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127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127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127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127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127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127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127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127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127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127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127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127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127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127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127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127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127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127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127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127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127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127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127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127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127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127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127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127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127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127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127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127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127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127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127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127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127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127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127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127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127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127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127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127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127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127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127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127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127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127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127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127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127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127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127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127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127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127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127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127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127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127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127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127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127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127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127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127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127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127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127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127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127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127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127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127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127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127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127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127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127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127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127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127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127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127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127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127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127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127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127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127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127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127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127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127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127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127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127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127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127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127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127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127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127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127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127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127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127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127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127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127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127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127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127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127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127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127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127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127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127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127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127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127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127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127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127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127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127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127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127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127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127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127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127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127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127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127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127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127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127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127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127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127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127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127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127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127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127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127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127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127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127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127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127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127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127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127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127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127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127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127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127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127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127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127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127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127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127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127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127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127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127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127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127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127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127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127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127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127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127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127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127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127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127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127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127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127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127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127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127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127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127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127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127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127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127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127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127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127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127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127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127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127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127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127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127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127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127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127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127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127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127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127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127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127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127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127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127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127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127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127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127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127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127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127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127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127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127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127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127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127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127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127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127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127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127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127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127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127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127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127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127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127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127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127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127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127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127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127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127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127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127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127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127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127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127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127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127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127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127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127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127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127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127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127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127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127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127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127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127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127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127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127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127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127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127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127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127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127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127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127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127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127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127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127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127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127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127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127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127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127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127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127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127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127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127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127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127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127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127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127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127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127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127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127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127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127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127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127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127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127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127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127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127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127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127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127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127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127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127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127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127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127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127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127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127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127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127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127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127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127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127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127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127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127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127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127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127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127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127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127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127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127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127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127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127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127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127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127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127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127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127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127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127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127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127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127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127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127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127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127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127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127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127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127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127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127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127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127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127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127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127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127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127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127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127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127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127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127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127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127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127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127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127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127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127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127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127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127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127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127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127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127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127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127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127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127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127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127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127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127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127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127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127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127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127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127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127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127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127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127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127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127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127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127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127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127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127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127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127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127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127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127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127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127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127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127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127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127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127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127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127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127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127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127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127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127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127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127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127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127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127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127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127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127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127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127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127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127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127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127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127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127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127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127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127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127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127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127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127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127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127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127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127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127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127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127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127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127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127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127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127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127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127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127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127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127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127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127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127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127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127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127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127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127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127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127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127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127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127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127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127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127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127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127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127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127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127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127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127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127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127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127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127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127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127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127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127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127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127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127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127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127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127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127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127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127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127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127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127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127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127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127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127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127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127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127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127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127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127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127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127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127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127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127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127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127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127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127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127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127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127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127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127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127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127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127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127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127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127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127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127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127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127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127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127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127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127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127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127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127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127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127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127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127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127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127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127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127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127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127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127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127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127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127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127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127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127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127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127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127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127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127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127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127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127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127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127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127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127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127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127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127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127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127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127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127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127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127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127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127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127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127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127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127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127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127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127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127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127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127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127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127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127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127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127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127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127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127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127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127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127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127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127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127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127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127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127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127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127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127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127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127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127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127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127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127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127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127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127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127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127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127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127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127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127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127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127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127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127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127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127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127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127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127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127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127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127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127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127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127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127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127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127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127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127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127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127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127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127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127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127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127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127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127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127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127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127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127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127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127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127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127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127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127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127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4.29"/>
    <col customWidth="1" min="5" max="11" width="10.71"/>
    <col customWidth="1" min="12" max="12" width="11.14"/>
    <col customWidth="1" min="13" max="13" width="11.43"/>
    <col customWidth="1" min="14" max="14" width="9.57"/>
    <col customWidth="1" min="15" max="15" width="11.43"/>
    <col customWidth="1" min="16" max="16" width="10.71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79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22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115" t="s">
        <v>80</v>
      </c>
      <c r="E7" s="128" t="s">
        <v>26</v>
      </c>
      <c r="F7" s="129">
        <v>3.6</v>
      </c>
      <c r="G7" s="128" t="s">
        <v>26</v>
      </c>
      <c r="H7" s="128" t="s">
        <v>26</v>
      </c>
      <c r="I7" s="128" t="s">
        <v>26</v>
      </c>
      <c r="J7" s="128" t="s">
        <v>26</v>
      </c>
      <c r="K7" s="128" t="s">
        <v>26</v>
      </c>
      <c r="L7" s="128">
        <v>2.14</v>
      </c>
      <c r="M7" s="128" t="s">
        <v>26</v>
      </c>
      <c r="N7" s="128" t="s">
        <v>26</v>
      </c>
      <c r="O7" s="130">
        <v>3.12</v>
      </c>
      <c r="P7" s="128" t="s">
        <v>26</v>
      </c>
      <c r="Q7" s="19">
        <f t="shared" ref="Q7:Q36" si="1">AVERAGE(E7,F7,G7,H7,I7,J7,K7,L7,M7,N7,O7,P7)</f>
        <v>2.953333333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17" t="s">
        <v>81</v>
      </c>
      <c r="E8" s="105" t="s">
        <v>26</v>
      </c>
      <c r="F8" s="131">
        <v>3.87</v>
      </c>
      <c r="G8" s="105" t="s">
        <v>26</v>
      </c>
      <c r="H8" s="105" t="s">
        <v>26</v>
      </c>
      <c r="I8" s="105" t="s">
        <v>26</v>
      </c>
      <c r="J8" s="105" t="s">
        <v>26</v>
      </c>
      <c r="K8" s="105" t="s">
        <v>26</v>
      </c>
      <c r="L8" s="105">
        <v>1.78</v>
      </c>
      <c r="M8" s="105" t="s">
        <v>26</v>
      </c>
      <c r="N8" s="105" t="s">
        <v>26</v>
      </c>
      <c r="O8" s="131">
        <v>4.11</v>
      </c>
      <c r="P8" s="105" t="s">
        <v>26</v>
      </c>
      <c r="Q8" s="25">
        <f t="shared" si="1"/>
        <v>3.253333333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1"/>
      <c r="C9" s="22">
        <v>3.0</v>
      </c>
      <c r="D9" s="117" t="s">
        <v>82</v>
      </c>
      <c r="E9" s="105" t="s">
        <v>26</v>
      </c>
      <c r="F9" s="131">
        <v>2.39</v>
      </c>
      <c r="G9" s="105" t="s">
        <v>26</v>
      </c>
      <c r="H9" s="105" t="s">
        <v>26</v>
      </c>
      <c r="I9" s="105" t="s">
        <v>26</v>
      </c>
      <c r="J9" s="105" t="s">
        <v>26</v>
      </c>
      <c r="K9" s="105" t="s">
        <v>26</v>
      </c>
      <c r="L9" s="105">
        <v>2.26</v>
      </c>
      <c r="M9" s="105" t="s">
        <v>26</v>
      </c>
      <c r="N9" s="105" t="s">
        <v>26</v>
      </c>
      <c r="O9" s="131">
        <v>4.16</v>
      </c>
      <c r="P9" s="105" t="s">
        <v>26</v>
      </c>
      <c r="Q9" s="25">
        <f t="shared" si="1"/>
        <v>2.936666667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21"/>
      <c r="C10" s="22">
        <v>4.0</v>
      </c>
      <c r="D10" s="117" t="s">
        <v>83</v>
      </c>
      <c r="E10" s="105" t="s">
        <v>26</v>
      </c>
      <c r="F10" s="131">
        <v>3.32</v>
      </c>
      <c r="G10" s="105" t="s">
        <v>26</v>
      </c>
      <c r="H10" s="105" t="s">
        <v>26</v>
      </c>
      <c r="I10" s="105" t="s">
        <v>26</v>
      </c>
      <c r="J10" s="105" t="s">
        <v>26</v>
      </c>
      <c r="K10" s="105" t="s">
        <v>26</v>
      </c>
      <c r="L10" s="105">
        <v>1.72</v>
      </c>
      <c r="M10" s="105" t="s">
        <v>26</v>
      </c>
      <c r="N10" s="105" t="s">
        <v>26</v>
      </c>
      <c r="O10" s="131">
        <v>3.65</v>
      </c>
      <c r="P10" s="105" t="s">
        <v>26</v>
      </c>
      <c r="Q10" s="25">
        <f t="shared" si="1"/>
        <v>2.896666667</v>
      </c>
      <c r="R10" s="23">
        <v>5.0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6"/>
      <c r="C11" s="22">
        <v>5.0</v>
      </c>
      <c r="D11" s="117" t="s">
        <v>84</v>
      </c>
      <c r="E11" s="105" t="s">
        <v>26</v>
      </c>
      <c r="F11" s="131">
        <v>3.17</v>
      </c>
      <c r="G11" s="105" t="s">
        <v>26</v>
      </c>
      <c r="H11" s="105" t="s">
        <v>26</v>
      </c>
      <c r="I11" s="105" t="s">
        <v>26</v>
      </c>
      <c r="J11" s="105" t="s">
        <v>26</v>
      </c>
      <c r="K11" s="105" t="s">
        <v>26</v>
      </c>
      <c r="L11" s="105">
        <v>2.12</v>
      </c>
      <c r="M11" s="105" t="s">
        <v>26</v>
      </c>
      <c r="N11" s="105" t="s">
        <v>26</v>
      </c>
      <c r="O11" s="131">
        <v>3.57</v>
      </c>
      <c r="P11" s="105" t="s">
        <v>26</v>
      </c>
      <c r="Q11" s="25">
        <f t="shared" si="1"/>
        <v>2.953333333</v>
      </c>
      <c r="R11" s="23">
        <v>5.0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15" t="s">
        <v>31</v>
      </c>
      <c r="C12" s="16">
        <v>1.0</v>
      </c>
      <c r="D12" s="115" t="s">
        <v>80</v>
      </c>
      <c r="E12" s="128" t="s">
        <v>26</v>
      </c>
      <c r="F12" s="128">
        <v>13.0</v>
      </c>
      <c r="G12" s="128" t="s">
        <v>26</v>
      </c>
      <c r="H12" s="128" t="s">
        <v>26</v>
      </c>
      <c r="I12" s="128" t="s">
        <v>26</v>
      </c>
      <c r="J12" s="128" t="s">
        <v>26</v>
      </c>
      <c r="K12" s="128" t="s">
        <v>26</v>
      </c>
      <c r="L12" s="128">
        <v>13.0</v>
      </c>
      <c r="M12" s="128" t="s">
        <v>26</v>
      </c>
      <c r="N12" s="128" t="s">
        <v>26</v>
      </c>
      <c r="O12" s="128">
        <v>4.0</v>
      </c>
      <c r="P12" s="128" t="s">
        <v>26</v>
      </c>
      <c r="Q12" s="28">
        <f t="shared" si="1"/>
        <v>10</v>
      </c>
      <c r="R12" s="17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21"/>
      <c r="C13" s="22">
        <v>2.0</v>
      </c>
      <c r="D13" s="117" t="s">
        <v>81</v>
      </c>
      <c r="E13" s="105" t="s">
        <v>26</v>
      </c>
      <c r="F13" s="105">
        <v>6.0</v>
      </c>
      <c r="G13" s="105" t="s">
        <v>26</v>
      </c>
      <c r="H13" s="105" t="s">
        <v>26</v>
      </c>
      <c r="I13" s="105" t="s">
        <v>26</v>
      </c>
      <c r="J13" s="105" t="s">
        <v>26</v>
      </c>
      <c r="K13" s="105" t="s">
        <v>26</v>
      </c>
      <c r="L13" s="105">
        <v>9.0</v>
      </c>
      <c r="M13" s="105" t="s">
        <v>26</v>
      </c>
      <c r="N13" s="105" t="s">
        <v>26</v>
      </c>
      <c r="O13" s="105">
        <v>6.0</v>
      </c>
      <c r="P13" s="105" t="s">
        <v>26</v>
      </c>
      <c r="Q13" s="30">
        <f t="shared" si="1"/>
        <v>7</v>
      </c>
      <c r="R13" s="23">
        <v>7.0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3.0</v>
      </c>
      <c r="D14" s="117" t="s">
        <v>82</v>
      </c>
      <c r="E14" s="105" t="s">
        <v>26</v>
      </c>
      <c r="F14" s="105">
        <v>7.0</v>
      </c>
      <c r="G14" s="105" t="s">
        <v>26</v>
      </c>
      <c r="H14" s="105" t="s">
        <v>26</v>
      </c>
      <c r="I14" s="105" t="s">
        <v>26</v>
      </c>
      <c r="J14" s="105" t="s">
        <v>26</v>
      </c>
      <c r="K14" s="105" t="s">
        <v>26</v>
      </c>
      <c r="L14" s="105">
        <v>12.0</v>
      </c>
      <c r="M14" s="105" t="s">
        <v>26</v>
      </c>
      <c r="N14" s="105" t="s">
        <v>26</v>
      </c>
      <c r="O14" s="105">
        <v>19.0</v>
      </c>
      <c r="P14" s="105" t="s">
        <v>26</v>
      </c>
      <c r="Q14" s="30">
        <f t="shared" si="1"/>
        <v>12.66666667</v>
      </c>
      <c r="R14" s="23">
        <v>7.0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1"/>
      <c r="C15" s="22">
        <v>4.0</v>
      </c>
      <c r="D15" s="117" t="s">
        <v>83</v>
      </c>
      <c r="E15" s="105" t="s">
        <v>26</v>
      </c>
      <c r="F15" s="105">
        <v>12.0</v>
      </c>
      <c r="G15" s="105" t="s">
        <v>26</v>
      </c>
      <c r="H15" s="105" t="s">
        <v>26</v>
      </c>
      <c r="I15" s="105" t="s">
        <v>26</v>
      </c>
      <c r="J15" s="105" t="s">
        <v>26</v>
      </c>
      <c r="K15" s="105" t="s">
        <v>26</v>
      </c>
      <c r="L15" s="105">
        <v>46.0</v>
      </c>
      <c r="M15" s="105" t="s">
        <v>26</v>
      </c>
      <c r="N15" s="105" t="s">
        <v>26</v>
      </c>
      <c r="O15" s="105">
        <v>16.0</v>
      </c>
      <c r="P15" s="105" t="s">
        <v>26</v>
      </c>
      <c r="Q15" s="30">
        <f t="shared" si="1"/>
        <v>24.66666667</v>
      </c>
      <c r="R15" s="23">
        <v>7.0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26"/>
      <c r="C16" s="22">
        <v>5.0</v>
      </c>
      <c r="D16" s="117" t="s">
        <v>84</v>
      </c>
      <c r="E16" s="105" t="s">
        <v>26</v>
      </c>
      <c r="F16" s="105">
        <v>8.0</v>
      </c>
      <c r="G16" s="105" t="s">
        <v>26</v>
      </c>
      <c r="H16" s="105" t="s">
        <v>26</v>
      </c>
      <c r="I16" s="105" t="s">
        <v>26</v>
      </c>
      <c r="J16" s="105" t="s">
        <v>26</v>
      </c>
      <c r="K16" s="105" t="s">
        <v>26</v>
      </c>
      <c r="L16" s="105">
        <v>4.0</v>
      </c>
      <c r="M16" s="105" t="s">
        <v>26</v>
      </c>
      <c r="N16" s="105" t="s">
        <v>26</v>
      </c>
      <c r="O16" s="105">
        <v>21.0</v>
      </c>
      <c r="P16" s="105" t="s">
        <v>26</v>
      </c>
      <c r="Q16" s="30">
        <f t="shared" si="1"/>
        <v>11</v>
      </c>
      <c r="R16" s="23">
        <v>7.0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15" t="s">
        <v>32</v>
      </c>
      <c r="C17" s="16">
        <v>1.0</v>
      </c>
      <c r="D17" s="115" t="s">
        <v>80</v>
      </c>
      <c r="E17" s="128" t="s">
        <v>26</v>
      </c>
      <c r="F17" s="128">
        <v>23.0</v>
      </c>
      <c r="G17" s="128" t="s">
        <v>26</v>
      </c>
      <c r="H17" s="128" t="s">
        <v>26</v>
      </c>
      <c r="I17" s="128" t="s">
        <v>26</v>
      </c>
      <c r="J17" s="128" t="s">
        <v>26</v>
      </c>
      <c r="K17" s="128" t="s">
        <v>26</v>
      </c>
      <c r="L17" s="128">
        <v>47.0</v>
      </c>
      <c r="M17" s="128" t="s">
        <v>26</v>
      </c>
      <c r="N17" s="128" t="s">
        <v>26</v>
      </c>
      <c r="O17" s="128">
        <v>89.0</v>
      </c>
      <c r="P17" s="128" t="s">
        <v>26</v>
      </c>
      <c r="Q17" s="28">
        <f t="shared" si="1"/>
        <v>53</v>
      </c>
      <c r="R17" s="17">
        <v>80.0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1"/>
      <c r="C18" s="22">
        <v>2.0</v>
      </c>
      <c r="D18" s="117" t="s">
        <v>81</v>
      </c>
      <c r="E18" s="105" t="s">
        <v>26</v>
      </c>
      <c r="F18" s="105">
        <v>85.0</v>
      </c>
      <c r="G18" s="105" t="s">
        <v>26</v>
      </c>
      <c r="H18" s="105" t="s">
        <v>26</v>
      </c>
      <c r="I18" s="105" t="s">
        <v>26</v>
      </c>
      <c r="J18" s="105" t="s">
        <v>26</v>
      </c>
      <c r="K18" s="105" t="s">
        <v>26</v>
      </c>
      <c r="L18" s="105">
        <v>36.0</v>
      </c>
      <c r="M18" s="105" t="s">
        <v>26</v>
      </c>
      <c r="N18" s="105" t="s">
        <v>26</v>
      </c>
      <c r="O18" s="105">
        <v>103.0</v>
      </c>
      <c r="P18" s="105" t="s">
        <v>26</v>
      </c>
      <c r="Q18" s="30">
        <f t="shared" si="1"/>
        <v>74.66666667</v>
      </c>
      <c r="R18" s="23">
        <v>80.0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21"/>
      <c r="C19" s="22">
        <v>3.0</v>
      </c>
      <c r="D19" s="117" t="s">
        <v>82</v>
      </c>
      <c r="E19" s="105" t="s">
        <v>26</v>
      </c>
      <c r="F19" s="105">
        <v>63.0</v>
      </c>
      <c r="G19" s="105" t="s">
        <v>26</v>
      </c>
      <c r="H19" s="105" t="s">
        <v>26</v>
      </c>
      <c r="I19" s="105" t="s">
        <v>26</v>
      </c>
      <c r="J19" s="105" t="s">
        <v>26</v>
      </c>
      <c r="K19" s="105" t="s">
        <v>26</v>
      </c>
      <c r="L19" s="105">
        <v>37.0</v>
      </c>
      <c r="M19" s="105" t="s">
        <v>26</v>
      </c>
      <c r="N19" s="105" t="s">
        <v>26</v>
      </c>
      <c r="O19" s="105">
        <v>154.0</v>
      </c>
      <c r="P19" s="105" t="s">
        <v>26</v>
      </c>
      <c r="Q19" s="30">
        <f t="shared" si="1"/>
        <v>84.66666667</v>
      </c>
      <c r="R19" s="23">
        <v>80.0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4.0</v>
      </c>
      <c r="D20" s="117" t="s">
        <v>83</v>
      </c>
      <c r="E20" s="105" t="s">
        <v>26</v>
      </c>
      <c r="F20" s="105">
        <v>16.0</v>
      </c>
      <c r="G20" s="105" t="s">
        <v>26</v>
      </c>
      <c r="H20" s="105" t="s">
        <v>26</v>
      </c>
      <c r="I20" s="105" t="s">
        <v>26</v>
      </c>
      <c r="J20" s="105" t="s">
        <v>26</v>
      </c>
      <c r="K20" s="105" t="s">
        <v>26</v>
      </c>
      <c r="L20" s="105">
        <v>23.0</v>
      </c>
      <c r="M20" s="105" t="s">
        <v>26</v>
      </c>
      <c r="N20" s="105" t="s">
        <v>26</v>
      </c>
      <c r="O20" s="105">
        <v>144.0</v>
      </c>
      <c r="P20" s="105" t="s">
        <v>26</v>
      </c>
      <c r="Q20" s="30">
        <f t="shared" si="1"/>
        <v>61</v>
      </c>
      <c r="R20" s="23">
        <v>80.0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5.0</v>
      </c>
      <c r="D21" s="117" t="s">
        <v>84</v>
      </c>
      <c r="E21" s="105" t="s">
        <v>26</v>
      </c>
      <c r="F21" s="105">
        <v>23.0</v>
      </c>
      <c r="G21" s="105" t="s">
        <v>26</v>
      </c>
      <c r="H21" s="105" t="s">
        <v>26</v>
      </c>
      <c r="I21" s="105" t="s">
        <v>26</v>
      </c>
      <c r="J21" s="105" t="s">
        <v>26</v>
      </c>
      <c r="K21" s="105" t="s">
        <v>26</v>
      </c>
      <c r="L21" s="105">
        <v>29.0</v>
      </c>
      <c r="M21" s="105" t="s">
        <v>26</v>
      </c>
      <c r="N21" s="105" t="s">
        <v>26</v>
      </c>
      <c r="O21" s="105">
        <v>129.0</v>
      </c>
      <c r="P21" s="105" t="s">
        <v>26</v>
      </c>
      <c r="Q21" s="30">
        <f t="shared" si="1"/>
        <v>60.33333333</v>
      </c>
      <c r="R21" s="23">
        <v>80.0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33</v>
      </c>
      <c r="C22" s="16">
        <v>1.0</v>
      </c>
      <c r="D22" s="115" t="s">
        <v>80</v>
      </c>
      <c r="E22" s="128" t="s">
        <v>26</v>
      </c>
      <c r="F22" s="129">
        <v>7.81</v>
      </c>
      <c r="G22" s="128" t="s">
        <v>26</v>
      </c>
      <c r="H22" s="128" t="s">
        <v>26</v>
      </c>
      <c r="I22" s="128" t="s">
        <v>26</v>
      </c>
      <c r="J22" s="128" t="s">
        <v>26</v>
      </c>
      <c r="K22" s="128" t="s">
        <v>26</v>
      </c>
      <c r="L22" s="132">
        <v>8.82</v>
      </c>
      <c r="M22" s="128" t="s">
        <v>26</v>
      </c>
      <c r="N22" s="128" t="s">
        <v>26</v>
      </c>
      <c r="O22" s="129">
        <v>8.13</v>
      </c>
      <c r="P22" s="128" t="s">
        <v>26</v>
      </c>
      <c r="Q22" s="19">
        <f t="shared" si="1"/>
        <v>8.253333333</v>
      </c>
      <c r="R22" s="18" t="s">
        <v>34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17" t="s">
        <v>81</v>
      </c>
      <c r="E23" s="105" t="s">
        <v>26</v>
      </c>
      <c r="F23" s="131">
        <v>7.8</v>
      </c>
      <c r="G23" s="105" t="s">
        <v>26</v>
      </c>
      <c r="H23" s="105" t="s">
        <v>26</v>
      </c>
      <c r="I23" s="105" t="s">
        <v>26</v>
      </c>
      <c r="J23" s="105" t="s">
        <v>26</v>
      </c>
      <c r="K23" s="105" t="s">
        <v>26</v>
      </c>
      <c r="L23" s="133">
        <v>8.74</v>
      </c>
      <c r="M23" s="105" t="s">
        <v>26</v>
      </c>
      <c r="N23" s="105" t="s">
        <v>26</v>
      </c>
      <c r="O23" s="131">
        <v>8.25</v>
      </c>
      <c r="P23" s="105" t="s">
        <v>26</v>
      </c>
      <c r="Q23" s="25">
        <f t="shared" si="1"/>
        <v>8.263333333</v>
      </c>
      <c r="R23" s="24" t="s">
        <v>34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1"/>
      <c r="C24" s="22">
        <v>3.0</v>
      </c>
      <c r="D24" s="117" t="s">
        <v>82</v>
      </c>
      <c r="E24" s="105" t="s">
        <v>26</v>
      </c>
      <c r="F24" s="131">
        <v>7.39</v>
      </c>
      <c r="G24" s="105" t="s">
        <v>26</v>
      </c>
      <c r="H24" s="105" t="s">
        <v>26</v>
      </c>
      <c r="I24" s="105" t="s">
        <v>26</v>
      </c>
      <c r="J24" s="105" t="s">
        <v>26</v>
      </c>
      <c r="K24" s="105" t="s">
        <v>26</v>
      </c>
      <c r="L24" s="133">
        <v>8.88</v>
      </c>
      <c r="M24" s="105" t="s">
        <v>26</v>
      </c>
      <c r="N24" s="105" t="s">
        <v>26</v>
      </c>
      <c r="O24" s="131">
        <v>8.49</v>
      </c>
      <c r="P24" s="105" t="s">
        <v>26</v>
      </c>
      <c r="Q24" s="25">
        <f t="shared" si="1"/>
        <v>8.253333333</v>
      </c>
      <c r="R24" s="24" t="s">
        <v>34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21"/>
      <c r="C25" s="22">
        <v>4.0</v>
      </c>
      <c r="D25" s="117" t="s">
        <v>83</v>
      </c>
      <c r="E25" s="105" t="s">
        <v>26</v>
      </c>
      <c r="F25" s="131">
        <v>7.56</v>
      </c>
      <c r="G25" s="105" t="s">
        <v>26</v>
      </c>
      <c r="H25" s="105" t="s">
        <v>26</v>
      </c>
      <c r="I25" s="105" t="s">
        <v>26</v>
      </c>
      <c r="J25" s="105" t="s">
        <v>26</v>
      </c>
      <c r="K25" s="105" t="s">
        <v>26</v>
      </c>
      <c r="L25" s="133">
        <v>7.24</v>
      </c>
      <c r="M25" s="105" t="s">
        <v>26</v>
      </c>
      <c r="N25" s="105" t="s">
        <v>26</v>
      </c>
      <c r="O25" s="131">
        <v>8.33</v>
      </c>
      <c r="P25" s="105" t="s">
        <v>26</v>
      </c>
      <c r="Q25" s="25">
        <f t="shared" si="1"/>
        <v>7.71</v>
      </c>
      <c r="R25" s="24" t="s">
        <v>34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6"/>
      <c r="C26" s="22">
        <v>5.0</v>
      </c>
      <c r="D26" s="117" t="s">
        <v>84</v>
      </c>
      <c r="E26" s="105" t="s">
        <v>26</v>
      </c>
      <c r="F26" s="131">
        <v>7.6</v>
      </c>
      <c r="G26" s="105" t="s">
        <v>26</v>
      </c>
      <c r="H26" s="105" t="s">
        <v>26</v>
      </c>
      <c r="I26" s="105" t="s">
        <v>26</v>
      </c>
      <c r="J26" s="105" t="s">
        <v>26</v>
      </c>
      <c r="K26" s="105" t="s">
        <v>26</v>
      </c>
      <c r="L26" s="133">
        <v>7.12</v>
      </c>
      <c r="M26" s="105" t="s">
        <v>26</v>
      </c>
      <c r="N26" s="105" t="s">
        <v>26</v>
      </c>
      <c r="O26" s="131">
        <v>8.32</v>
      </c>
      <c r="P26" s="105" t="s">
        <v>26</v>
      </c>
      <c r="Q26" s="25">
        <f t="shared" si="1"/>
        <v>7.68</v>
      </c>
      <c r="R26" s="24" t="s">
        <v>34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15" t="s">
        <v>85</v>
      </c>
      <c r="C27" s="16">
        <v>1.0</v>
      </c>
      <c r="D27" s="115" t="s">
        <v>80</v>
      </c>
      <c r="E27" s="128" t="s">
        <v>26</v>
      </c>
      <c r="F27" s="129">
        <v>27.3</v>
      </c>
      <c r="G27" s="128" t="s">
        <v>26</v>
      </c>
      <c r="H27" s="128" t="s">
        <v>26</v>
      </c>
      <c r="I27" s="128" t="s">
        <v>26</v>
      </c>
      <c r="J27" s="128" t="s">
        <v>26</v>
      </c>
      <c r="K27" s="128" t="s">
        <v>26</v>
      </c>
      <c r="L27" s="129">
        <v>30.2</v>
      </c>
      <c r="M27" s="128" t="s">
        <v>26</v>
      </c>
      <c r="N27" s="128" t="s">
        <v>26</v>
      </c>
      <c r="O27" s="129">
        <v>26.99</v>
      </c>
      <c r="P27" s="128" t="s">
        <v>26</v>
      </c>
      <c r="Q27" s="19">
        <f t="shared" si="1"/>
        <v>28.16333333</v>
      </c>
      <c r="R27" s="18" t="s">
        <v>36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21"/>
      <c r="C28" s="22">
        <v>2.0</v>
      </c>
      <c r="D28" s="117" t="s">
        <v>81</v>
      </c>
      <c r="E28" s="105" t="s">
        <v>26</v>
      </c>
      <c r="F28" s="131">
        <v>27.5</v>
      </c>
      <c r="G28" s="105" t="s">
        <v>26</v>
      </c>
      <c r="H28" s="105" t="s">
        <v>26</v>
      </c>
      <c r="I28" s="105" t="s">
        <v>26</v>
      </c>
      <c r="J28" s="105" t="s">
        <v>26</v>
      </c>
      <c r="K28" s="105" t="s">
        <v>26</v>
      </c>
      <c r="L28" s="131">
        <v>30.7</v>
      </c>
      <c r="M28" s="105" t="s">
        <v>26</v>
      </c>
      <c r="N28" s="105" t="s">
        <v>26</v>
      </c>
      <c r="O28" s="131">
        <v>26.96</v>
      </c>
      <c r="P28" s="105" t="s">
        <v>26</v>
      </c>
      <c r="Q28" s="25">
        <f t="shared" si="1"/>
        <v>28.38666667</v>
      </c>
      <c r="R28" s="24" t="s">
        <v>36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3.0</v>
      </c>
      <c r="D29" s="117" t="s">
        <v>82</v>
      </c>
      <c r="E29" s="105" t="s">
        <v>26</v>
      </c>
      <c r="F29" s="131">
        <v>26.23</v>
      </c>
      <c r="G29" s="105" t="s">
        <v>26</v>
      </c>
      <c r="H29" s="105" t="s">
        <v>26</v>
      </c>
      <c r="I29" s="105" t="s">
        <v>26</v>
      </c>
      <c r="J29" s="105" t="s">
        <v>26</v>
      </c>
      <c r="K29" s="105" t="s">
        <v>26</v>
      </c>
      <c r="L29" s="131">
        <v>30.28</v>
      </c>
      <c r="M29" s="105" t="s">
        <v>26</v>
      </c>
      <c r="N29" s="105" t="s">
        <v>26</v>
      </c>
      <c r="O29" s="131">
        <v>26.68</v>
      </c>
      <c r="P29" s="105" t="s">
        <v>26</v>
      </c>
      <c r="Q29" s="25">
        <f t="shared" si="1"/>
        <v>27.73</v>
      </c>
      <c r="R29" s="24" t="s">
        <v>36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1"/>
      <c r="C30" s="22">
        <v>4.0</v>
      </c>
      <c r="D30" s="117" t="s">
        <v>83</v>
      </c>
      <c r="E30" s="105" t="s">
        <v>26</v>
      </c>
      <c r="F30" s="131">
        <v>27.8</v>
      </c>
      <c r="G30" s="105" t="s">
        <v>26</v>
      </c>
      <c r="H30" s="105" t="s">
        <v>26</v>
      </c>
      <c r="I30" s="105" t="s">
        <v>26</v>
      </c>
      <c r="J30" s="105" t="s">
        <v>26</v>
      </c>
      <c r="K30" s="105" t="s">
        <v>26</v>
      </c>
      <c r="L30" s="131">
        <v>30.78</v>
      </c>
      <c r="M30" s="105" t="s">
        <v>26</v>
      </c>
      <c r="N30" s="105" t="s">
        <v>26</v>
      </c>
      <c r="O30" s="131">
        <v>26.8</v>
      </c>
      <c r="P30" s="105" t="s">
        <v>26</v>
      </c>
      <c r="Q30" s="25">
        <f t="shared" si="1"/>
        <v>28.46</v>
      </c>
      <c r="R30" s="24" t="s">
        <v>36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26"/>
      <c r="C31" s="22">
        <v>5.0</v>
      </c>
      <c r="D31" s="117" t="s">
        <v>84</v>
      </c>
      <c r="E31" s="105" t="s">
        <v>26</v>
      </c>
      <c r="F31" s="131">
        <v>28.0</v>
      </c>
      <c r="G31" s="105" t="s">
        <v>26</v>
      </c>
      <c r="H31" s="105" t="s">
        <v>26</v>
      </c>
      <c r="I31" s="105" t="s">
        <v>26</v>
      </c>
      <c r="J31" s="105" t="s">
        <v>26</v>
      </c>
      <c r="K31" s="105" t="s">
        <v>26</v>
      </c>
      <c r="L31" s="131">
        <v>30.6</v>
      </c>
      <c r="M31" s="105" t="s">
        <v>26</v>
      </c>
      <c r="N31" s="105" t="s">
        <v>26</v>
      </c>
      <c r="O31" s="131">
        <v>27.1</v>
      </c>
      <c r="P31" s="105" t="s">
        <v>26</v>
      </c>
      <c r="Q31" s="25">
        <f t="shared" si="1"/>
        <v>28.56666667</v>
      </c>
      <c r="R31" s="24" t="s">
        <v>36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15" t="s">
        <v>37</v>
      </c>
      <c r="C32" s="16">
        <v>1.0</v>
      </c>
      <c r="D32" s="115" t="s">
        <v>80</v>
      </c>
      <c r="E32" s="128" t="s">
        <v>26</v>
      </c>
      <c r="F32" s="128">
        <v>15.0</v>
      </c>
      <c r="G32" s="128" t="s">
        <v>26</v>
      </c>
      <c r="H32" s="128" t="s">
        <v>26</v>
      </c>
      <c r="I32" s="128" t="s">
        <v>26</v>
      </c>
      <c r="J32" s="128" t="s">
        <v>26</v>
      </c>
      <c r="K32" s="128" t="s">
        <v>26</v>
      </c>
      <c r="L32" s="128">
        <v>30.0</v>
      </c>
      <c r="M32" s="128" t="s">
        <v>26</v>
      </c>
      <c r="N32" s="128" t="s">
        <v>26</v>
      </c>
      <c r="O32" s="128">
        <v>20.0</v>
      </c>
      <c r="P32" s="128" t="s">
        <v>26</v>
      </c>
      <c r="Q32" s="28">
        <f t="shared" si="1"/>
        <v>21.66666667</v>
      </c>
      <c r="R32" s="17">
        <v>75.0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1"/>
      <c r="C33" s="22">
        <v>2.0</v>
      </c>
      <c r="D33" s="117" t="s">
        <v>81</v>
      </c>
      <c r="E33" s="105" t="s">
        <v>26</v>
      </c>
      <c r="F33" s="105">
        <v>15.0</v>
      </c>
      <c r="G33" s="105" t="s">
        <v>26</v>
      </c>
      <c r="H33" s="105" t="s">
        <v>26</v>
      </c>
      <c r="I33" s="105" t="s">
        <v>26</v>
      </c>
      <c r="J33" s="105" t="s">
        <v>26</v>
      </c>
      <c r="K33" s="105" t="s">
        <v>26</v>
      </c>
      <c r="L33" s="105">
        <v>30.0</v>
      </c>
      <c r="M33" s="105" t="s">
        <v>26</v>
      </c>
      <c r="N33" s="105" t="s">
        <v>26</v>
      </c>
      <c r="O33" s="105">
        <v>20.0</v>
      </c>
      <c r="P33" s="105" t="s">
        <v>26</v>
      </c>
      <c r="Q33" s="30">
        <f t="shared" si="1"/>
        <v>21.66666667</v>
      </c>
      <c r="R33" s="23">
        <v>75.0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21"/>
      <c r="C34" s="22">
        <v>3.0</v>
      </c>
      <c r="D34" s="117" t="s">
        <v>82</v>
      </c>
      <c r="E34" s="105" t="s">
        <v>26</v>
      </c>
      <c r="F34" s="105">
        <v>15.0</v>
      </c>
      <c r="G34" s="105" t="s">
        <v>26</v>
      </c>
      <c r="H34" s="105" t="s">
        <v>26</v>
      </c>
      <c r="I34" s="105" t="s">
        <v>26</v>
      </c>
      <c r="J34" s="105" t="s">
        <v>26</v>
      </c>
      <c r="K34" s="105" t="s">
        <v>26</v>
      </c>
      <c r="L34" s="105">
        <v>40.0</v>
      </c>
      <c r="M34" s="105" t="s">
        <v>26</v>
      </c>
      <c r="N34" s="105" t="s">
        <v>26</v>
      </c>
      <c r="O34" s="105">
        <v>20.0</v>
      </c>
      <c r="P34" s="105" t="s">
        <v>26</v>
      </c>
      <c r="Q34" s="30">
        <f t="shared" si="1"/>
        <v>25</v>
      </c>
      <c r="R34" s="23">
        <v>75.0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4.0</v>
      </c>
      <c r="D35" s="117" t="s">
        <v>83</v>
      </c>
      <c r="E35" s="105" t="s">
        <v>26</v>
      </c>
      <c r="F35" s="105">
        <v>20.0</v>
      </c>
      <c r="G35" s="105" t="s">
        <v>26</v>
      </c>
      <c r="H35" s="105" t="s">
        <v>26</v>
      </c>
      <c r="I35" s="105" t="s">
        <v>26</v>
      </c>
      <c r="J35" s="105" t="s">
        <v>26</v>
      </c>
      <c r="K35" s="105" t="s">
        <v>26</v>
      </c>
      <c r="L35" s="105">
        <v>30.0</v>
      </c>
      <c r="M35" s="105" t="s">
        <v>26</v>
      </c>
      <c r="N35" s="105" t="s">
        <v>26</v>
      </c>
      <c r="O35" s="105">
        <v>20.0</v>
      </c>
      <c r="P35" s="105" t="s">
        <v>26</v>
      </c>
      <c r="Q35" s="30">
        <f t="shared" si="1"/>
        <v>23.33333333</v>
      </c>
      <c r="R35" s="23">
        <v>75.0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5.0</v>
      </c>
      <c r="D36" s="117" t="s">
        <v>84</v>
      </c>
      <c r="E36" s="105" t="s">
        <v>26</v>
      </c>
      <c r="F36" s="105">
        <v>25.0</v>
      </c>
      <c r="G36" s="105" t="s">
        <v>26</v>
      </c>
      <c r="H36" s="105" t="s">
        <v>26</v>
      </c>
      <c r="I36" s="105" t="s">
        <v>26</v>
      </c>
      <c r="J36" s="105" t="s">
        <v>26</v>
      </c>
      <c r="K36" s="105" t="s">
        <v>26</v>
      </c>
      <c r="L36" s="105">
        <v>40.0</v>
      </c>
      <c r="M36" s="105" t="s">
        <v>26</v>
      </c>
      <c r="N36" s="105" t="s">
        <v>26</v>
      </c>
      <c r="O36" s="105">
        <v>20.0</v>
      </c>
      <c r="P36" s="105" t="s">
        <v>26</v>
      </c>
      <c r="Q36" s="30">
        <f t="shared" si="1"/>
        <v>28.33333333</v>
      </c>
      <c r="R36" s="23">
        <v>75.0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0"/>
      <c r="B37" s="15" t="s">
        <v>38</v>
      </c>
      <c r="C37" s="16">
        <v>1.0</v>
      </c>
      <c r="D37" s="115" t="s">
        <v>80</v>
      </c>
      <c r="E37" s="128" t="s">
        <v>26</v>
      </c>
      <c r="F37" s="128">
        <v>54000.0</v>
      </c>
      <c r="G37" s="128" t="s">
        <v>26</v>
      </c>
      <c r="H37" s="128" t="s">
        <v>26</v>
      </c>
      <c r="I37" s="128" t="s">
        <v>26</v>
      </c>
      <c r="J37" s="128" t="s">
        <v>26</v>
      </c>
      <c r="K37" s="128" t="s">
        <v>26</v>
      </c>
      <c r="L37" s="128">
        <v>24000.0</v>
      </c>
      <c r="M37" s="128" t="s">
        <v>26</v>
      </c>
      <c r="N37" s="128" t="s">
        <v>26</v>
      </c>
      <c r="O37" s="128">
        <v>7900.0</v>
      </c>
      <c r="P37" s="128" t="s">
        <v>26</v>
      </c>
      <c r="Q37" s="33">
        <f t="shared" ref="Q37:Q41" si="2">GEOMEAN(E37,F37,G37,H37,I37,J37,K37,L37,M37,N37,O37,P37)</f>
        <v>21714.20987</v>
      </c>
      <c r="R37" s="17">
        <v>200.0</v>
      </c>
      <c r="S37" s="121">
        <f>GEOMEAN(Q37:Q41)</f>
        <v>27784.3218</v>
      </c>
      <c r="T37" s="72"/>
      <c r="U37" s="72"/>
      <c r="V37" s="72"/>
      <c r="W37" s="72"/>
      <c r="X37" s="72"/>
      <c r="Y37" s="72"/>
      <c r="Z37" s="72"/>
    </row>
    <row r="38" ht="15.75" customHeight="1">
      <c r="A38" s="20"/>
      <c r="B38" s="21"/>
      <c r="C38" s="22">
        <v>2.0</v>
      </c>
      <c r="D38" s="117" t="s">
        <v>81</v>
      </c>
      <c r="E38" s="105" t="s">
        <v>26</v>
      </c>
      <c r="F38" s="105">
        <v>54000.0</v>
      </c>
      <c r="G38" s="105" t="s">
        <v>26</v>
      </c>
      <c r="H38" s="105" t="s">
        <v>26</v>
      </c>
      <c r="I38" s="105" t="s">
        <v>26</v>
      </c>
      <c r="J38" s="105" t="s">
        <v>26</v>
      </c>
      <c r="K38" s="105" t="s">
        <v>26</v>
      </c>
      <c r="L38" s="105">
        <v>35000.0</v>
      </c>
      <c r="M38" s="105" t="s">
        <v>26</v>
      </c>
      <c r="N38" s="105" t="s">
        <v>26</v>
      </c>
      <c r="O38" s="105">
        <v>4900.0</v>
      </c>
      <c r="P38" s="105" t="s">
        <v>26</v>
      </c>
      <c r="Q38" s="37">
        <f t="shared" si="2"/>
        <v>21000</v>
      </c>
      <c r="R38" s="23">
        <v>200.0</v>
      </c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"/>
      <c r="B39" s="21"/>
      <c r="C39" s="22">
        <v>3.0</v>
      </c>
      <c r="D39" s="117" t="s">
        <v>82</v>
      </c>
      <c r="E39" s="105" t="s">
        <v>26</v>
      </c>
      <c r="F39" s="105">
        <v>54000.0</v>
      </c>
      <c r="G39" s="105" t="s">
        <v>26</v>
      </c>
      <c r="H39" s="105" t="s">
        <v>26</v>
      </c>
      <c r="I39" s="105" t="s">
        <v>26</v>
      </c>
      <c r="J39" s="105" t="s">
        <v>26</v>
      </c>
      <c r="K39" s="105" t="s">
        <v>26</v>
      </c>
      <c r="L39" s="105">
        <v>35000.0</v>
      </c>
      <c r="M39" s="105" t="s">
        <v>26</v>
      </c>
      <c r="N39" s="105" t="s">
        <v>26</v>
      </c>
      <c r="O39" s="105">
        <v>4900.0</v>
      </c>
      <c r="P39" s="105" t="s">
        <v>26</v>
      </c>
      <c r="Q39" s="37">
        <f t="shared" si="2"/>
        <v>21000</v>
      </c>
      <c r="R39" s="23">
        <v>200.0</v>
      </c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0"/>
      <c r="B40" s="21"/>
      <c r="C40" s="22">
        <v>4.0</v>
      </c>
      <c r="D40" s="117" t="s">
        <v>83</v>
      </c>
      <c r="E40" s="105" t="s">
        <v>26</v>
      </c>
      <c r="F40" s="105">
        <v>110000.0</v>
      </c>
      <c r="G40" s="105" t="s">
        <v>26</v>
      </c>
      <c r="H40" s="105" t="s">
        <v>26</v>
      </c>
      <c r="I40" s="105" t="s">
        <v>26</v>
      </c>
      <c r="J40" s="105" t="s">
        <v>26</v>
      </c>
      <c r="K40" s="105" t="s">
        <v>26</v>
      </c>
      <c r="L40" s="105">
        <v>26000.0</v>
      </c>
      <c r="M40" s="105" t="s">
        <v>26</v>
      </c>
      <c r="N40" s="105" t="s">
        <v>26</v>
      </c>
      <c r="O40" s="105">
        <v>13000.0</v>
      </c>
      <c r="P40" s="105" t="s">
        <v>26</v>
      </c>
      <c r="Q40" s="37">
        <f t="shared" si="2"/>
        <v>33376.16716</v>
      </c>
      <c r="R40" s="23">
        <v>200.0</v>
      </c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0"/>
      <c r="B41" s="26"/>
      <c r="C41" s="22">
        <v>5.0</v>
      </c>
      <c r="D41" s="117" t="s">
        <v>84</v>
      </c>
      <c r="E41" s="105" t="s">
        <v>26</v>
      </c>
      <c r="F41" s="105">
        <v>160000.0</v>
      </c>
      <c r="G41" s="105" t="s">
        <v>26</v>
      </c>
      <c r="H41" s="105" t="s">
        <v>26</v>
      </c>
      <c r="I41" s="105" t="s">
        <v>26</v>
      </c>
      <c r="J41" s="105" t="s">
        <v>26</v>
      </c>
      <c r="K41" s="105" t="s">
        <v>26</v>
      </c>
      <c r="L41" s="105">
        <v>110000.0</v>
      </c>
      <c r="M41" s="105" t="s">
        <v>26</v>
      </c>
      <c r="N41" s="105" t="s">
        <v>26</v>
      </c>
      <c r="O41" s="105">
        <v>7900.0</v>
      </c>
      <c r="P41" s="105" t="s">
        <v>26</v>
      </c>
      <c r="Q41" s="37">
        <f t="shared" si="2"/>
        <v>51805.98312</v>
      </c>
      <c r="R41" s="23">
        <v>200.0</v>
      </c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0"/>
      <c r="B42" s="15" t="s">
        <v>86</v>
      </c>
      <c r="C42" s="16">
        <v>1.0</v>
      </c>
      <c r="D42" s="115" t="s">
        <v>80</v>
      </c>
      <c r="E42" s="128" t="s">
        <v>26</v>
      </c>
      <c r="F42" s="134">
        <v>0.936</v>
      </c>
      <c r="G42" s="128" t="s">
        <v>26</v>
      </c>
      <c r="H42" s="128" t="s">
        <v>26</v>
      </c>
      <c r="I42" s="128" t="s">
        <v>26</v>
      </c>
      <c r="J42" s="128" t="s">
        <v>26</v>
      </c>
      <c r="K42" s="128" t="s">
        <v>26</v>
      </c>
      <c r="L42" s="134">
        <v>0.771</v>
      </c>
      <c r="M42" s="128" t="s">
        <v>26</v>
      </c>
      <c r="N42" s="128" t="s">
        <v>26</v>
      </c>
      <c r="O42" s="134">
        <v>0.285</v>
      </c>
      <c r="P42" s="128" t="s">
        <v>26</v>
      </c>
      <c r="Q42" s="40">
        <f t="shared" ref="Q42:Q56" si="3">AVERAGE(E42,F42,G42,H42,I42,J42,K42,L42,M42,N42,O42,P42)</f>
        <v>0.664</v>
      </c>
      <c r="R42" s="17">
        <v>7.0</v>
      </c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0"/>
      <c r="B43" s="21"/>
      <c r="C43" s="22">
        <v>2.0</v>
      </c>
      <c r="D43" s="117" t="s">
        <v>81</v>
      </c>
      <c r="E43" s="105" t="s">
        <v>26</v>
      </c>
      <c r="F43" s="135">
        <v>0.971</v>
      </c>
      <c r="G43" s="105" t="s">
        <v>26</v>
      </c>
      <c r="H43" s="105" t="s">
        <v>26</v>
      </c>
      <c r="I43" s="105" t="s">
        <v>26</v>
      </c>
      <c r="J43" s="105" t="s">
        <v>26</v>
      </c>
      <c r="K43" s="105" t="s">
        <v>26</v>
      </c>
      <c r="L43" s="135">
        <v>0.742</v>
      </c>
      <c r="M43" s="105" t="s">
        <v>26</v>
      </c>
      <c r="N43" s="105" t="s">
        <v>26</v>
      </c>
      <c r="O43" s="135">
        <v>0.35</v>
      </c>
      <c r="P43" s="105" t="s">
        <v>26</v>
      </c>
      <c r="Q43" s="42">
        <f t="shared" si="3"/>
        <v>0.6876666667</v>
      </c>
      <c r="R43" s="23">
        <v>7.0</v>
      </c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0"/>
      <c r="B44" s="21"/>
      <c r="C44" s="22">
        <v>3.0</v>
      </c>
      <c r="D44" s="117" t="s">
        <v>82</v>
      </c>
      <c r="E44" s="105" t="s">
        <v>26</v>
      </c>
      <c r="F44" s="135">
        <v>1.08</v>
      </c>
      <c r="G44" s="105" t="s">
        <v>26</v>
      </c>
      <c r="H44" s="105" t="s">
        <v>26</v>
      </c>
      <c r="I44" s="105" t="s">
        <v>26</v>
      </c>
      <c r="J44" s="105" t="s">
        <v>26</v>
      </c>
      <c r="K44" s="105" t="s">
        <v>26</v>
      </c>
      <c r="L44" s="135">
        <v>0.559</v>
      </c>
      <c r="M44" s="105" t="s">
        <v>26</v>
      </c>
      <c r="N44" s="105" t="s">
        <v>26</v>
      </c>
      <c r="O44" s="135">
        <v>0.384</v>
      </c>
      <c r="P44" s="105" t="s">
        <v>26</v>
      </c>
      <c r="Q44" s="42">
        <f t="shared" si="3"/>
        <v>0.6743333333</v>
      </c>
      <c r="R44" s="23">
        <v>7.0</v>
      </c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0"/>
      <c r="B45" s="21"/>
      <c r="C45" s="22">
        <v>4.0</v>
      </c>
      <c r="D45" s="117" t="s">
        <v>83</v>
      </c>
      <c r="E45" s="105" t="s">
        <v>26</v>
      </c>
      <c r="F45" s="135">
        <v>0.851</v>
      </c>
      <c r="G45" s="105" t="s">
        <v>26</v>
      </c>
      <c r="H45" s="105" t="s">
        <v>26</v>
      </c>
      <c r="I45" s="105" t="s">
        <v>26</v>
      </c>
      <c r="J45" s="105" t="s">
        <v>26</v>
      </c>
      <c r="K45" s="105" t="s">
        <v>26</v>
      </c>
      <c r="L45" s="135">
        <v>0.567</v>
      </c>
      <c r="M45" s="105" t="s">
        <v>26</v>
      </c>
      <c r="N45" s="105" t="s">
        <v>26</v>
      </c>
      <c r="O45" s="135">
        <v>0.343</v>
      </c>
      <c r="P45" s="105" t="s">
        <v>26</v>
      </c>
      <c r="Q45" s="42">
        <f t="shared" si="3"/>
        <v>0.587</v>
      </c>
      <c r="R45" s="23">
        <v>7.0</v>
      </c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0"/>
      <c r="B46" s="26"/>
      <c r="C46" s="22">
        <v>5.0</v>
      </c>
      <c r="D46" s="117" t="s">
        <v>84</v>
      </c>
      <c r="E46" s="105" t="s">
        <v>26</v>
      </c>
      <c r="F46" s="135">
        <v>1.073</v>
      </c>
      <c r="G46" s="105" t="s">
        <v>26</v>
      </c>
      <c r="H46" s="105" t="s">
        <v>26</v>
      </c>
      <c r="I46" s="105" t="s">
        <v>26</v>
      </c>
      <c r="J46" s="105" t="s">
        <v>26</v>
      </c>
      <c r="K46" s="105" t="s">
        <v>26</v>
      </c>
      <c r="L46" s="135">
        <v>0.528</v>
      </c>
      <c r="M46" s="105" t="s">
        <v>26</v>
      </c>
      <c r="N46" s="105" t="s">
        <v>26</v>
      </c>
      <c r="O46" s="135">
        <v>0.416</v>
      </c>
      <c r="P46" s="105" t="s">
        <v>26</v>
      </c>
      <c r="Q46" s="42">
        <f t="shared" si="3"/>
        <v>0.6723333333</v>
      </c>
      <c r="R46" s="23">
        <v>7.0</v>
      </c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20"/>
      <c r="B47" s="15" t="s">
        <v>87</v>
      </c>
      <c r="C47" s="16">
        <v>1.0</v>
      </c>
      <c r="D47" s="115" t="s">
        <v>80</v>
      </c>
      <c r="E47" s="128" t="s">
        <v>26</v>
      </c>
      <c r="F47" s="134">
        <v>0.147</v>
      </c>
      <c r="G47" s="128" t="s">
        <v>26</v>
      </c>
      <c r="H47" s="128" t="s">
        <v>26</v>
      </c>
      <c r="I47" s="128" t="s">
        <v>26</v>
      </c>
      <c r="J47" s="128" t="s">
        <v>26</v>
      </c>
      <c r="K47" s="128" t="s">
        <v>26</v>
      </c>
      <c r="L47" s="134">
        <v>0.25</v>
      </c>
      <c r="M47" s="128" t="s">
        <v>26</v>
      </c>
      <c r="N47" s="128" t="s">
        <v>26</v>
      </c>
      <c r="O47" s="134">
        <v>0.285</v>
      </c>
      <c r="P47" s="128" t="s">
        <v>26</v>
      </c>
      <c r="Q47" s="40">
        <f t="shared" si="3"/>
        <v>0.2273333333</v>
      </c>
      <c r="R47" s="17">
        <v>0.5</v>
      </c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20"/>
      <c r="B48" s="21"/>
      <c r="C48" s="22">
        <v>2.0</v>
      </c>
      <c r="D48" s="117" t="s">
        <v>81</v>
      </c>
      <c r="E48" s="105" t="s">
        <v>26</v>
      </c>
      <c r="F48" s="135">
        <v>0.264</v>
      </c>
      <c r="G48" s="105" t="s">
        <v>26</v>
      </c>
      <c r="H48" s="105" t="s">
        <v>26</v>
      </c>
      <c r="I48" s="105" t="s">
        <v>26</v>
      </c>
      <c r="J48" s="105" t="s">
        <v>26</v>
      </c>
      <c r="K48" s="105" t="s">
        <v>26</v>
      </c>
      <c r="L48" s="135">
        <v>0.175</v>
      </c>
      <c r="M48" s="105" t="s">
        <v>26</v>
      </c>
      <c r="N48" s="105" t="s">
        <v>26</v>
      </c>
      <c r="O48" s="135">
        <v>0.35</v>
      </c>
      <c r="P48" s="105" t="s">
        <v>26</v>
      </c>
      <c r="Q48" s="42">
        <f t="shared" si="3"/>
        <v>0.263</v>
      </c>
      <c r="R48" s="23">
        <v>0.5</v>
      </c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20"/>
      <c r="B49" s="21"/>
      <c r="C49" s="22">
        <v>3.0</v>
      </c>
      <c r="D49" s="117" t="s">
        <v>82</v>
      </c>
      <c r="E49" s="105" t="s">
        <v>26</v>
      </c>
      <c r="F49" s="135">
        <v>0.224</v>
      </c>
      <c r="G49" s="105" t="s">
        <v>26</v>
      </c>
      <c r="H49" s="105" t="s">
        <v>26</v>
      </c>
      <c r="I49" s="105" t="s">
        <v>26</v>
      </c>
      <c r="J49" s="105" t="s">
        <v>26</v>
      </c>
      <c r="K49" s="105" t="s">
        <v>26</v>
      </c>
      <c r="L49" s="135">
        <v>0.223</v>
      </c>
      <c r="M49" s="105" t="s">
        <v>26</v>
      </c>
      <c r="N49" s="105" t="s">
        <v>26</v>
      </c>
      <c r="O49" s="135">
        <v>0.384</v>
      </c>
      <c r="P49" s="105" t="s">
        <v>26</v>
      </c>
      <c r="Q49" s="42">
        <f t="shared" si="3"/>
        <v>0.277</v>
      </c>
      <c r="R49" s="23">
        <v>0.5</v>
      </c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20"/>
      <c r="B50" s="21"/>
      <c r="C50" s="22">
        <v>4.0</v>
      </c>
      <c r="D50" s="117" t="s">
        <v>83</v>
      </c>
      <c r="E50" s="105" t="s">
        <v>26</v>
      </c>
      <c r="F50" s="135">
        <v>0.153</v>
      </c>
      <c r="G50" s="105" t="s">
        <v>26</v>
      </c>
      <c r="H50" s="105" t="s">
        <v>26</v>
      </c>
      <c r="I50" s="105" t="s">
        <v>26</v>
      </c>
      <c r="J50" s="105" t="s">
        <v>26</v>
      </c>
      <c r="K50" s="105" t="s">
        <v>26</v>
      </c>
      <c r="L50" s="135">
        <v>0.231</v>
      </c>
      <c r="M50" s="105" t="s">
        <v>26</v>
      </c>
      <c r="N50" s="105" t="s">
        <v>26</v>
      </c>
      <c r="O50" s="135">
        <v>0.343</v>
      </c>
      <c r="P50" s="105" t="s">
        <v>26</v>
      </c>
      <c r="Q50" s="42">
        <f t="shared" si="3"/>
        <v>0.2423333333</v>
      </c>
      <c r="R50" s="23">
        <v>0.5</v>
      </c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20"/>
      <c r="B51" s="26"/>
      <c r="C51" s="22">
        <v>5.0</v>
      </c>
      <c r="D51" s="117" t="s">
        <v>84</v>
      </c>
      <c r="E51" s="105" t="s">
        <v>26</v>
      </c>
      <c r="F51" s="135">
        <v>0.163</v>
      </c>
      <c r="G51" s="105" t="s">
        <v>26</v>
      </c>
      <c r="H51" s="105" t="s">
        <v>26</v>
      </c>
      <c r="I51" s="105" t="s">
        <v>26</v>
      </c>
      <c r="J51" s="105" t="s">
        <v>26</v>
      </c>
      <c r="K51" s="105" t="s">
        <v>26</v>
      </c>
      <c r="L51" s="135">
        <v>0.17</v>
      </c>
      <c r="M51" s="105" t="s">
        <v>26</v>
      </c>
      <c r="N51" s="105" t="s">
        <v>26</v>
      </c>
      <c r="O51" s="135">
        <v>0.416</v>
      </c>
      <c r="P51" s="105" t="s">
        <v>26</v>
      </c>
      <c r="Q51" s="42">
        <f t="shared" si="3"/>
        <v>0.2496666667</v>
      </c>
      <c r="R51" s="23">
        <v>0.5</v>
      </c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20"/>
      <c r="B52" s="15" t="s">
        <v>42</v>
      </c>
      <c r="C52" s="16">
        <v>1.0</v>
      </c>
      <c r="D52" s="115" t="s">
        <v>80</v>
      </c>
      <c r="E52" s="128" t="s">
        <v>26</v>
      </c>
      <c r="F52" s="128">
        <v>29.0</v>
      </c>
      <c r="G52" s="128" t="s">
        <v>26</v>
      </c>
      <c r="H52" s="128" t="s">
        <v>26</v>
      </c>
      <c r="I52" s="128" t="s">
        <v>26</v>
      </c>
      <c r="J52" s="128" t="s">
        <v>26</v>
      </c>
      <c r="K52" s="128" t="s">
        <v>26</v>
      </c>
      <c r="L52" s="128">
        <v>15.0</v>
      </c>
      <c r="M52" s="128" t="s">
        <v>26</v>
      </c>
      <c r="N52" s="128" t="s">
        <v>26</v>
      </c>
      <c r="O52" s="128">
        <v>12.0</v>
      </c>
      <c r="P52" s="128" t="s">
        <v>26</v>
      </c>
      <c r="Q52" s="33">
        <f t="shared" si="3"/>
        <v>18.66666667</v>
      </c>
      <c r="R52" s="17">
        <v>350.0</v>
      </c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20"/>
      <c r="B53" s="21"/>
      <c r="C53" s="22">
        <v>2.0</v>
      </c>
      <c r="D53" s="117" t="s">
        <v>81</v>
      </c>
      <c r="E53" s="105" t="s">
        <v>26</v>
      </c>
      <c r="F53" s="105">
        <v>17.0</v>
      </c>
      <c r="G53" s="105" t="s">
        <v>26</v>
      </c>
      <c r="H53" s="105" t="s">
        <v>26</v>
      </c>
      <c r="I53" s="105" t="s">
        <v>26</v>
      </c>
      <c r="J53" s="105" t="s">
        <v>26</v>
      </c>
      <c r="K53" s="105" t="s">
        <v>26</v>
      </c>
      <c r="L53" s="105">
        <v>15.0</v>
      </c>
      <c r="M53" s="105" t="s">
        <v>26</v>
      </c>
      <c r="N53" s="105" t="s">
        <v>26</v>
      </c>
      <c r="O53" s="105">
        <v>16.0</v>
      </c>
      <c r="P53" s="105" t="s">
        <v>26</v>
      </c>
      <c r="Q53" s="37">
        <f t="shared" si="3"/>
        <v>16</v>
      </c>
      <c r="R53" s="23">
        <v>350.0</v>
      </c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20"/>
      <c r="B54" s="21"/>
      <c r="C54" s="22">
        <v>3.0</v>
      </c>
      <c r="D54" s="117" t="s">
        <v>82</v>
      </c>
      <c r="E54" s="105" t="s">
        <v>26</v>
      </c>
      <c r="F54" s="105">
        <v>923.0</v>
      </c>
      <c r="G54" s="105" t="s">
        <v>26</v>
      </c>
      <c r="H54" s="105" t="s">
        <v>26</v>
      </c>
      <c r="I54" s="105" t="s">
        <v>26</v>
      </c>
      <c r="J54" s="105" t="s">
        <v>26</v>
      </c>
      <c r="K54" s="105" t="s">
        <v>26</v>
      </c>
      <c r="L54" s="105">
        <v>16.0</v>
      </c>
      <c r="M54" s="105" t="s">
        <v>26</v>
      </c>
      <c r="N54" s="105" t="s">
        <v>26</v>
      </c>
      <c r="O54" s="105">
        <v>24.0</v>
      </c>
      <c r="P54" s="105" t="s">
        <v>26</v>
      </c>
      <c r="Q54" s="37">
        <f t="shared" si="3"/>
        <v>321</v>
      </c>
      <c r="R54" s="23">
        <v>350.0</v>
      </c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20"/>
      <c r="B55" s="21"/>
      <c r="C55" s="22">
        <v>4.0</v>
      </c>
      <c r="D55" s="117" t="s">
        <v>83</v>
      </c>
      <c r="E55" s="105" t="s">
        <v>26</v>
      </c>
      <c r="F55" s="105">
        <v>606.0</v>
      </c>
      <c r="G55" s="105" t="s">
        <v>26</v>
      </c>
      <c r="H55" s="105" t="s">
        <v>26</v>
      </c>
      <c r="I55" s="105" t="s">
        <v>26</v>
      </c>
      <c r="J55" s="105" t="s">
        <v>26</v>
      </c>
      <c r="K55" s="105" t="s">
        <v>26</v>
      </c>
      <c r="L55" s="105">
        <v>20.0</v>
      </c>
      <c r="M55" s="105" t="s">
        <v>26</v>
      </c>
      <c r="N55" s="105" t="s">
        <v>26</v>
      </c>
      <c r="O55" s="105">
        <v>27.0</v>
      </c>
      <c r="P55" s="105" t="s">
        <v>26</v>
      </c>
      <c r="Q55" s="37">
        <f t="shared" si="3"/>
        <v>217.6666667</v>
      </c>
      <c r="R55" s="23">
        <v>350.0</v>
      </c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20"/>
      <c r="B56" s="26"/>
      <c r="C56" s="22">
        <v>5.0</v>
      </c>
      <c r="D56" s="117" t="s">
        <v>84</v>
      </c>
      <c r="E56" s="105" t="s">
        <v>26</v>
      </c>
      <c r="F56" s="105">
        <v>682.0</v>
      </c>
      <c r="G56" s="105" t="s">
        <v>26</v>
      </c>
      <c r="H56" s="105" t="s">
        <v>26</v>
      </c>
      <c r="I56" s="105" t="s">
        <v>26</v>
      </c>
      <c r="J56" s="105" t="s">
        <v>26</v>
      </c>
      <c r="K56" s="105" t="s">
        <v>26</v>
      </c>
      <c r="L56" s="105">
        <v>19.0</v>
      </c>
      <c r="M56" s="105" t="s">
        <v>26</v>
      </c>
      <c r="N56" s="105" t="s">
        <v>26</v>
      </c>
      <c r="O56" s="105">
        <v>11.0</v>
      </c>
      <c r="P56" s="105" t="s">
        <v>26</v>
      </c>
      <c r="Q56" s="37">
        <f t="shared" si="3"/>
        <v>237.3333333</v>
      </c>
      <c r="R56" s="23">
        <v>350.0</v>
      </c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127"/>
      <c r="H57" s="127"/>
      <c r="I57" s="127"/>
      <c r="J57" s="127"/>
      <c r="K57" s="72"/>
      <c r="L57" s="72"/>
      <c r="M57" s="72"/>
      <c r="N57" s="72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91" t="s">
        <v>43</v>
      </c>
      <c r="D58" s="72"/>
      <c r="E58" s="72"/>
      <c r="F58" s="72"/>
      <c r="G58" s="72"/>
      <c r="H58" s="72"/>
      <c r="I58" s="127"/>
      <c r="J58" s="127"/>
      <c r="K58" s="72"/>
      <c r="L58" s="72"/>
      <c r="M58" s="72"/>
      <c r="N58" s="72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D59" s="72"/>
      <c r="E59" s="72"/>
      <c r="F59" s="72"/>
      <c r="G59" s="72"/>
      <c r="H59" s="127"/>
      <c r="I59" s="127"/>
      <c r="J59" s="127"/>
      <c r="K59" s="72"/>
      <c r="L59" s="72"/>
      <c r="M59" s="72"/>
      <c r="N59" s="72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126"/>
      <c r="D60" s="72"/>
      <c r="E60" s="72"/>
      <c r="F60" s="72"/>
      <c r="G60" s="72"/>
      <c r="H60" s="127"/>
      <c r="I60" s="127"/>
      <c r="J60" s="127"/>
      <c r="K60" s="72"/>
      <c r="L60" s="72"/>
      <c r="M60" s="72"/>
      <c r="N60" s="72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D61" s="72"/>
      <c r="E61" s="72"/>
      <c r="F61" s="72"/>
      <c r="G61" s="72"/>
      <c r="H61" s="127"/>
      <c r="I61" s="127"/>
      <c r="J61" s="127"/>
      <c r="K61" s="72"/>
      <c r="L61" s="72"/>
      <c r="M61" s="72"/>
      <c r="N61" s="72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127"/>
      <c r="H62" s="127"/>
      <c r="I62" s="127"/>
      <c r="J62" s="127"/>
      <c r="K62" s="72"/>
      <c r="L62" s="72"/>
      <c r="M62" s="72"/>
      <c r="N62" s="72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127"/>
      <c r="H63" s="127"/>
      <c r="I63" s="127"/>
      <c r="J63" s="127"/>
      <c r="K63" s="72"/>
      <c r="L63" s="72"/>
      <c r="M63" s="72"/>
      <c r="N63" s="72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127"/>
      <c r="H64" s="127"/>
      <c r="I64" s="127"/>
      <c r="J64" s="127"/>
      <c r="K64" s="72"/>
      <c r="L64" s="72"/>
      <c r="M64" s="72"/>
      <c r="N64" s="72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127"/>
      <c r="H65" s="127"/>
      <c r="I65" s="127"/>
      <c r="J65" s="127"/>
      <c r="K65" s="72"/>
      <c r="L65" s="72"/>
      <c r="M65" s="72"/>
      <c r="N65" s="72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127"/>
      <c r="H66" s="127"/>
      <c r="I66" s="127"/>
      <c r="J66" s="127"/>
      <c r="K66" s="72"/>
      <c r="L66" s="72"/>
      <c r="M66" s="72"/>
      <c r="N66" s="72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127"/>
      <c r="H67" s="127"/>
      <c r="I67" s="127"/>
      <c r="J67" s="127"/>
      <c r="K67" s="72"/>
      <c r="L67" s="72"/>
      <c r="M67" s="72"/>
      <c r="N67" s="72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127"/>
      <c r="H68" s="127"/>
      <c r="I68" s="127"/>
      <c r="J68" s="127"/>
      <c r="K68" s="72"/>
      <c r="L68" s="72"/>
      <c r="M68" s="72"/>
      <c r="N68" s="72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127"/>
      <c r="H69" s="127"/>
      <c r="I69" s="127"/>
      <c r="J69" s="127"/>
      <c r="K69" s="72"/>
      <c r="L69" s="72"/>
      <c r="M69" s="72"/>
      <c r="N69" s="72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127"/>
      <c r="H70" s="127"/>
      <c r="I70" s="127"/>
      <c r="J70" s="127"/>
      <c r="K70" s="72"/>
      <c r="L70" s="72"/>
      <c r="M70" s="72"/>
      <c r="N70" s="72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127"/>
      <c r="H71" s="127"/>
      <c r="I71" s="127"/>
      <c r="J71" s="127"/>
      <c r="K71" s="72"/>
      <c r="L71" s="72"/>
      <c r="M71" s="72"/>
      <c r="N71" s="72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127"/>
      <c r="H72" s="127"/>
      <c r="I72" s="127"/>
      <c r="J72" s="127"/>
      <c r="K72" s="72"/>
      <c r="L72" s="72"/>
      <c r="M72" s="72"/>
      <c r="N72" s="72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127"/>
      <c r="H73" s="127"/>
      <c r="I73" s="127"/>
      <c r="J73" s="127"/>
      <c r="K73" s="72"/>
      <c r="L73" s="72"/>
      <c r="M73" s="72"/>
      <c r="N73" s="72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127"/>
      <c r="H74" s="127"/>
      <c r="I74" s="127"/>
      <c r="J74" s="127"/>
      <c r="K74" s="72"/>
      <c r="L74" s="72"/>
      <c r="M74" s="72"/>
      <c r="N74" s="72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127"/>
      <c r="H75" s="127"/>
      <c r="I75" s="127"/>
      <c r="J75" s="127"/>
      <c r="K75" s="72"/>
      <c r="L75" s="72"/>
      <c r="M75" s="72"/>
      <c r="N75" s="72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127"/>
      <c r="H76" s="127"/>
      <c r="I76" s="127"/>
      <c r="J76" s="127"/>
      <c r="K76" s="72"/>
      <c r="L76" s="72"/>
      <c r="M76" s="72"/>
      <c r="N76" s="72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127"/>
      <c r="H77" s="127"/>
      <c r="I77" s="127"/>
      <c r="J77" s="127"/>
      <c r="K77" s="72"/>
      <c r="L77" s="72"/>
      <c r="M77" s="72"/>
      <c r="N77" s="72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127"/>
      <c r="H78" s="127"/>
      <c r="I78" s="127"/>
      <c r="J78" s="127"/>
      <c r="K78" s="72"/>
      <c r="L78" s="72"/>
      <c r="M78" s="72"/>
      <c r="N78" s="72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127"/>
      <c r="H79" s="127"/>
      <c r="I79" s="127"/>
      <c r="J79" s="127"/>
      <c r="K79" s="72"/>
      <c r="L79" s="72"/>
      <c r="M79" s="72"/>
      <c r="N79" s="72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127"/>
      <c r="H80" s="127"/>
      <c r="I80" s="127"/>
      <c r="J80" s="127"/>
      <c r="K80" s="72"/>
      <c r="L80" s="72"/>
      <c r="M80" s="72"/>
      <c r="N80" s="72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127"/>
      <c r="H81" s="127"/>
      <c r="I81" s="127"/>
      <c r="J81" s="127"/>
      <c r="K81" s="72"/>
      <c r="L81" s="72"/>
      <c r="M81" s="72"/>
      <c r="N81" s="72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127"/>
      <c r="H82" s="127"/>
      <c r="I82" s="127"/>
      <c r="J82" s="127"/>
      <c r="K82" s="72"/>
      <c r="L82" s="72"/>
      <c r="M82" s="72"/>
      <c r="N82" s="72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127"/>
      <c r="H83" s="127"/>
      <c r="I83" s="127"/>
      <c r="J83" s="127"/>
      <c r="K83" s="72"/>
      <c r="L83" s="72"/>
      <c r="M83" s="72"/>
      <c r="N83" s="72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127"/>
      <c r="H84" s="127"/>
      <c r="I84" s="127"/>
      <c r="J84" s="127"/>
      <c r="K84" s="72"/>
      <c r="L84" s="72"/>
      <c r="M84" s="72"/>
      <c r="N84" s="72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127"/>
      <c r="H85" s="127"/>
      <c r="I85" s="127"/>
      <c r="J85" s="127"/>
      <c r="K85" s="72"/>
      <c r="L85" s="72"/>
      <c r="M85" s="72"/>
      <c r="N85" s="72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127"/>
      <c r="H86" s="127"/>
      <c r="I86" s="127"/>
      <c r="J86" s="127"/>
      <c r="K86" s="72"/>
      <c r="L86" s="72"/>
      <c r="M86" s="72"/>
      <c r="N86" s="72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127"/>
      <c r="H87" s="127"/>
      <c r="I87" s="127"/>
      <c r="J87" s="127"/>
      <c r="K87" s="72"/>
      <c r="L87" s="72"/>
      <c r="M87" s="72"/>
      <c r="N87" s="72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127"/>
      <c r="H88" s="127"/>
      <c r="I88" s="127"/>
      <c r="J88" s="127"/>
      <c r="K88" s="72"/>
      <c r="L88" s="72"/>
      <c r="M88" s="72"/>
      <c r="N88" s="72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127"/>
      <c r="H89" s="127"/>
      <c r="I89" s="127"/>
      <c r="J89" s="127"/>
      <c r="K89" s="72"/>
      <c r="L89" s="72"/>
      <c r="M89" s="72"/>
      <c r="N89" s="72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127"/>
      <c r="H90" s="127"/>
      <c r="I90" s="127"/>
      <c r="J90" s="127"/>
      <c r="K90" s="72"/>
      <c r="L90" s="72"/>
      <c r="M90" s="72"/>
      <c r="N90" s="72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127"/>
      <c r="H91" s="127"/>
      <c r="I91" s="127"/>
      <c r="J91" s="127"/>
      <c r="K91" s="72"/>
      <c r="L91" s="72"/>
      <c r="M91" s="72"/>
      <c r="N91" s="72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127"/>
      <c r="H92" s="127"/>
      <c r="I92" s="127"/>
      <c r="J92" s="127"/>
      <c r="K92" s="72"/>
      <c r="L92" s="72"/>
      <c r="M92" s="72"/>
      <c r="N92" s="72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127"/>
      <c r="H93" s="127"/>
      <c r="I93" s="127"/>
      <c r="J93" s="127"/>
      <c r="K93" s="72"/>
      <c r="L93" s="72"/>
      <c r="M93" s="72"/>
      <c r="N93" s="72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127"/>
      <c r="H94" s="127"/>
      <c r="I94" s="127"/>
      <c r="J94" s="127"/>
      <c r="K94" s="72"/>
      <c r="L94" s="72"/>
      <c r="M94" s="72"/>
      <c r="N94" s="72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127"/>
      <c r="H95" s="127"/>
      <c r="I95" s="127"/>
      <c r="J95" s="127"/>
      <c r="K95" s="72"/>
      <c r="L95" s="72"/>
      <c r="M95" s="72"/>
      <c r="N95" s="72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127"/>
      <c r="H96" s="127"/>
      <c r="I96" s="127"/>
      <c r="J96" s="127"/>
      <c r="K96" s="72"/>
      <c r="L96" s="72"/>
      <c r="M96" s="72"/>
      <c r="N96" s="72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127"/>
      <c r="H97" s="127"/>
      <c r="I97" s="127"/>
      <c r="J97" s="127"/>
      <c r="K97" s="72"/>
      <c r="L97" s="72"/>
      <c r="M97" s="72"/>
      <c r="N97" s="72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127"/>
      <c r="H98" s="127"/>
      <c r="I98" s="127"/>
      <c r="J98" s="127"/>
      <c r="K98" s="72"/>
      <c r="L98" s="72"/>
      <c r="M98" s="72"/>
      <c r="N98" s="72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127"/>
      <c r="H99" s="127"/>
      <c r="I99" s="127"/>
      <c r="J99" s="127"/>
      <c r="K99" s="72"/>
      <c r="L99" s="72"/>
      <c r="M99" s="72"/>
      <c r="N99" s="72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127"/>
      <c r="H100" s="127"/>
      <c r="I100" s="127"/>
      <c r="J100" s="127"/>
      <c r="K100" s="72"/>
      <c r="L100" s="72"/>
      <c r="M100" s="72"/>
      <c r="N100" s="72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127"/>
      <c r="H101" s="127"/>
      <c r="I101" s="127"/>
      <c r="J101" s="127"/>
      <c r="K101" s="72"/>
      <c r="L101" s="72"/>
      <c r="M101" s="72"/>
      <c r="N101" s="72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127"/>
      <c r="H102" s="127"/>
      <c r="I102" s="127"/>
      <c r="J102" s="127"/>
      <c r="K102" s="72"/>
      <c r="L102" s="72"/>
      <c r="M102" s="72"/>
      <c r="N102" s="72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127"/>
      <c r="H103" s="127"/>
      <c r="I103" s="127"/>
      <c r="J103" s="127"/>
      <c r="K103" s="72"/>
      <c r="L103" s="72"/>
      <c r="M103" s="72"/>
      <c r="N103" s="72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127"/>
      <c r="H104" s="127"/>
      <c r="I104" s="127"/>
      <c r="J104" s="127"/>
      <c r="K104" s="72"/>
      <c r="L104" s="72"/>
      <c r="M104" s="72"/>
      <c r="N104" s="72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127"/>
      <c r="H105" s="127"/>
      <c r="I105" s="127"/>
      <c r="J105" s="127"/>
      <c r="K105" s="72"/>
      <c r="L105" s="72"/>
      <c r="M105" s="72"/>
      <c r="N105" s="72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127"/>
      <c r="H106" s="127"/>
      <c r="I106" s="127"/>
      <c r="J106" s="127"/>
      <c r="K106" s="72"/>
      <c r="L106" s="72"/>
      <c r="M106" s="72"/>
      <c r="N106" s="72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127"/>
      <c r="H107" s="127"/>
      <c r="I107" s="127"/>
      <c r="J107" s="127"/>
      <c r="K107" s="72"/>
      <c r="L107" s="72"/>
      <c r="M107" s="72"/>
      <c r="N107" s="72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127"/>
      <c r="H108" s="127"/>
      <c r="I108" s="127"/>
      <c r="J108" s="127"/>
      <c r="K108" s="72"/>
      <c r="L108" s="72"/>
      <c r="M108" s="72"/>
      <c r="N108" s="72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127"/>
      <c r="H109" s="127"/>
      <c r="I109" s="127"/>
      <c r="J109" s="127"/>
      <c r="K109" s="72"/>
      <c r="L109" s="72"/>
      <c r="M109" s="72"/>
      <c r="N109" s="72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127"/>
      <c r="H110" s="127"/>
      <c r="I110" s="127"/>
      <c r="J110" s="127"/>
      <c r="K110" s="72"/>
      <c r="L110" s="72"/>
      <c r="M110" s="72"/>
      <c r="N110" s="72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127"/>
      <c r="H111" s="127"/>
      <c r="I111" s="127"/>
      <c r="J111" s="127"/>
      <c r="K111" s="72"/>
      <c r="L111" s="72"/>
      <c r="M111" s="72"/>
      <c r="N111" s="72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127"/>
      <c r="H112" s="127"/>
      <c r="I112" s="127"/>
      <c r="J112" s="127"/>
      <c r="K112" s="72"/>
      <c r="L112" s="72"/>
      <c r="M112" s="72"/>
      <c r="N112" s="72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127"/>
      <c r="H113" s="127"/>
      <c r="I113" s="127"/>
      <c r="J113" s="127"/>
      <c r="K113" s="72"/>
      <c r="L113" s="72"/>
      <c r="M113" s="72"/>
      <c r="N113" s="72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127"/>
      <c r="H114" s="127"/>
      <c r="I114" s="127"/>
      <c r="J114" s="127"/>
      <c r="K114" s="72"/>
      <c r="L114" s="72"/>
      <c r="M114" s="72"/>
      <c r="N114" s="72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127"/>
      <c r="H115" s="127"/>
      <c r="I115" s="127"/>
      <c r="J115" s="127"/>
      <c r="K115" s="72"/>
      <c r="L115" s="72"/>
      <c r="M115" s="72"/>
      <c r="N115" s="72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127"/>
      <c r="H116" s="127"/>
      <c r="I116" s="127"/>
      <c r="J116" s="127"/>
      <c r="K116" s="72"/>
      <c r="L116" s="72"/>
      <c r="M116" s="72"/>
      <c r="N116" s="72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127"/>
      <c r="H117" s="127"/>
      <c r="I117" s="127"/>
      <c r="J117" s="127"/>
      <c r="K117" s="72"/>
      <c r="L117" s="72"/>
      <c r="M117" s="72"/>
      <c r="N117" s="72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127"/>
      <c r="H118" s="127"/>
      <c r="I118" s="127"/>
      <c r="J118" s="127"/>
      <c r="K118" s="72"/>
      <c r="L118" s="72"/>
      <c r="M118" s="72"/>
      <c r="N118" s="72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127"/>
      <c r="H119" s="127"/>
      <c r="I119" s="127"/>
      <c r="J119" s="127"/>
      <c r="K119" s="72"/>
      <c r="L119" s="72"/>
      <c r="M119" s="72"/>
      <c r="N119" s="72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127"/>
      <c r="H120" s="127"/>
      <c r="I120" s="127"/>
      <c r="J120" s="127"/>
      <c r="K120" s="72"/>
      <c r="L120" s="72"/>
      <c r="M120" s="72"/>
      <c r="N120" s="72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127"/>
      <c r="H121" s="127"/>
      <c r="I121" s="127"/>
      <c r="J121" s="127"/>
      <c r="K121" s="72"/>
      <c r="L121" s="72"/>
      <c r="M121" s="72"/>
      <c r="N121" s="72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127"/>
      <c r="H122" s="127"/>
      <c r="I122" s="127"/>
      <c r="J122" s="127"/>
      <c r="K122" s="72"/>
      <c r="L122" s="72"/>
      <c r="M122" s="72"/>
      <c r="N122" s="72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127"/>
      <c r="H123" s="127"/>
      <c r="I123" s="127"/>
      <c r="J123" s="127"/>
      <c r="K123" s="72"/>
      <c r="L123" s="72"/>
      <c r="M123" s="72"/>
      <c r="N123" s="72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127"/>
      <c r="H124" s="127"/>
      <c r="I124" s="127"/>
      <c r="J124" s="127"/>
      <c r="K124" s="72"/>
      <c r="L124" s="72"/>
      <c r="M124" s="72"/>
      <c r="N124" s="72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127"/>
      <c r="H125" s="127"/>
      <c r="I125" s="127"/>
      <c r="J125" s="127"/>
      <c r="K125" s="72"/>
      <c r="L125" s="72"/>
      <c r="M125" s="72"/>
      <c r="N125" s="72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127"/>
      <c r="H126" s="127"/>
      <c r="I126" s="127"/>
      <c r="J126" s="127"/>
      <c r="K126" s="72"/>
      <c r="L126" s="72"/>
      <c r="M126" s="72"/>
      <c r="N126" s="72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127"/>
      <c r="H127" s="127"/>
      <c r="I127" s="127"/>
      <c r="J127" s="127"/>
      <c r="K127" s="72"/>
      <c r="L127" s="72"/>
      <c r="M127" s="72"/>
      <c r="N127" s="72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127"/>
      <c r="H128" s="127"/>
      <c r="I128" s="127"/>
      <c r="J128" s="127"/>
      <c r="K128" s="72"/>
      <c r="L128" s="72"/>
      <c r="M128" s="72"/>
      <c r="N128" s="72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127"/>
      <c r="H129" s="127"/>
      <c r="I129" s="127"/>
      <c r="J129" s="127"/>
      <c r="K129" s="72"/>
      <c r="L129" s="72"/>
      <c r="M129" s="72"/>
      <c r="N129" s="72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127"/>
      <c r="H130" s="127"/>
      <c r="I130" s="127"/>
      <c r="J130" s="127"/>
      <c r="K130" s="72"/>
      <c r="L130" s="72"/>
      <c r="M130" s="72"/>
      <c r="N130" s="72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127"/>
      <c r="H131" s="127"/>
      <c r="I131" s="127"/>
      <c r="J131" s="127"/>
      <c r="K131" s="72"/>
      <c r="L131" s="72"/>
      <c r="M131" s="72"/>
      <c r="N131" s="72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127"/>
      <c r="H132" s="127"/>
      <c r="I132" s="127"/>
      <c r="J132" s="127"/>
      <c r="K132" s="72"/>
      <c r="L132" s="72"/>
      <c r="M132" s="72"/>
      <c r="N132" s="72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127"/>
      <c r="H133" s="127"/>
      <c r="I133" s="127"/>
      <c r="J133" s="127"/>
      <c r="K133" s="72"/>
      <c r="L133" s="72"/>
      <c r="M133" s="72"/>
      <c r="N133" s="72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127"/>
      <c r="H134" s="127"/>
      <c r="I134" s="127"/>
      <c r="J134" s="127"/>
      <c r="K134" s="72"/>
      <c r="L134" s="72"/>
      <c r="M134" s="72"/>
      <c r="N134" s="72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127"/>
      <c r="H135" s="127"/>
      <c r="I135" s="127"/>
      <c r="J135" s="127"/>
      <c r="K135" s="72"/>
      <c r="L135" s="72"/>
      <c r="M135" s="72"/>
      <c r="N135" s="72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127"/>
      <c r="H136" s="127"/>
      <c r="I136" s="127"/>
      <c r="J136" s="127"/>
      <c r="K136" s="72"/>
      <c r="L136" s="72"/>
      <c r="M136" s="72"/>
      <c r="N136" s="72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127"/>
      <c r="H137" s="127"/>
      <c r="I137" s="127"/>
      <c r="J137" s="127"/>
      <c r="K137" s="72"/>
      <c r="L137" s="72"/>
      <c r="M137" s="72"/>
      <c r="N137" s="72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127"/>
      <c r="H138" s="127"/>
      <c r="I138" s="127"/>
      <c r="J138" s="127"/>
      <c r="K138" s="72"/>
      <c r="L138" s="72"/>
      <c r="M138" s="72"/>
      <c r="N138" s="72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127"/>
      <c r="H139" s="127"/>
      <c r="I139" s="127"/>
      <c r="J139" s="127"/>
      <c r="K139" s="72"/>
      <c r="L139" s="72"/>
      <c r="M139" s="72"/>
      <c r="N139" s="72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127"/>
      <c r="H140" s="127"/>
      <c r="I140" s="127"/>
      <c r="J140" s="127"/>
      <c r="K140" s="72"/>
      <c r="L140" s="72"/>
      <c r="M140" s="72"/>
      <c r="N140" s="72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127"/>
      <c r="H141" s="127"/>
      <c r="I141" s="127"/>
      <c r="J141" s="127"/>
      <c r="K141" s="72"/>
      <c r="L141" s="72"/>
      <c r="M141" s="72"/>
      <c r="N141" s="72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127"/>
      <c r="H142" s="127"/>
      <c r="I142" s="127"/>
      <c r="J142" s="127"/>
      <c r="K142" s="72"/>
      <c r="L142" s="72"/>
      <c r="M142" s="72"/>
      <c r="N142" s="72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127"/>
      <c r="H143" s="127"/>
      <c r="I143" s="127"/>
      <c r="J143" s="127"/>
      <c r="K143" s="72"/>
      <c r="L143" s="72"/>
      <c r="M143" s="72"/>
      <c r="N143" s="72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127"/>
      <c r="H144" s="127"/>
      <c r="I144" s="127"/>
      <c r="J144" s="127"/>
      <c r="K144" s="72"/>
      <c r="L144" s="72"/>
      <c r="M144" s="72"/>
      <c r="N144" s="72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127"/>
      <c r="H145" s="127"/>
      <c r="I145" s="127"/>
      <c r="J145" s="127"/>
      <c r="K145" s="72"/>
      <c r="L145" s="72"/>
      <c r="M145" s="72"/>
      <c r="N145" s="72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127"/>
      <c r="H146" s="127"/>
      <c r="I146" s="127"/>
      <c r="J146" s="127"/>
      <c r="K146" s="72"/>
      <c r="L146" s="72"/>
      <c r="M146" s="72"/>
      <c r="N146" s="72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127"/>
      <c r="H147" s="127"/>
      <c r="I147" s="127"/>
      <c r="J147" s="127"/>
      <c r="K147" s="72"/>
      <c r="L147" s="72"/>
      <c r="M147" s="72"/>
      <c r="N147" s="72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127"/>
      <c r="H148" s="127"/>
      <c r="I148" s="127"/>
      <c r="J148" s="127"/>
      <c r="K148" s="72"/>
      <c r="L148" s="72"/>
      <c r="M148" s="72"/>
      <c r="N148" s="72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127"/>
      <c r="H149" s="127"/>
      <c r="I149" s="127"/>
      <c r="J149" s="127"/>
      <c r="K149" s="72"/>
      <c r="L149" s="72"/>
      <c r="M149" s="72"/>
      <c r="N149" s="72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127"/>
      <c r="H150" s="127"/>
      <c r="I150" s="127"/>
      <c r="J150" s="127"/>
      <c r="K150" s="72"/>
      <c r="L150" s="72"/>
      <c r="M150" s="72"/>
      <c r="N150" s="72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127"/>
      <c r="H151" s="127"/>
      <c r="I151" s="127"/>
      <c r="J151" s="127"/>
      <c r="K151" s="72"/>
      <c r="L151" s="72"/>
      <c r="M151" s="72"/>
      <c r="N151" s="72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127"/>
      <c r="H152" s="127"/>
      <c r="I152" s="127"/>
      <c r="J152" s="127"/>
      <c r="K152" s="72"/>
      <c r="L152" s="72"/>
      <c r="M152" s="72"/>
      <c r="N152" s="72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127"/>
      <c r="H153" s="127"/>
      <c r="I153" s="127"/>
      <c r="J153" s="127"/>
      <c r="K153" s="72"/>
      <c r="L153" s="72"/>
      <c r="M153" s="72"/>
      <c r="N153" s="72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127"/>
      <c r="H154" s="127"/>
      <c r="I154" s="127"/>
      <c r="J154" s="127"/>
      <c r="K154" s="72"/>
      <c r="L154" s="72"/>
      <c r="M154" s="72"/>
      <c r="N154" s="72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127"/>
      <c r="H155" s="127"/>
      <c r="I155" s="127"/>
      <c r="J155" s="127"/>
      <c r="K155" s="72"/>
      <c r="L155" s="72"/>
      <c r="M155" s="72"/>
      <c r="N155" s="72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127"/>
      <c r="H156" s="127"/>
      <c r="I156" s="127"/>
      <c r="J156" s="127"/>
      <c r="K156" s="72"/>
      <c r="L156" s="72"/>
      <c r="M156" s="72"/>
      <c r="N156" s="72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127"/>
      <c r="H157" s="127"/>
      <c r="I157" s="127"/>
      <c r="J157" s="127"/>
      <c r="K157" s="72"/>
      <c r="L157" s="72"/>
      <c r="M157" s="72"/>
      <c r="N157" s="72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127"/>
      <c r="H158" s="127"/>
      <c r="I158" s="127"/>
      <c r="J158" s="127"/>
      <c r="K158" s="72"/>
      <c r="L158" s="72"/>
      <c r="M158" s="72"/>
      <c r="N158" s="72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127"/>
      <c r="H159" s="127"/>
      <c r="I159" s="127"/>
      <c r="J159" s="127"/>
      <c r="K159" s="72"/>
      <c r="L159" s="72"/>
      <c r="M159" s="72"/>
      <c r="N159" s="72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127"/>
      <c r="H160" s="127"/>
      <c r="I160" s="127"/>
      <c r="J160" s="127"/>
      <c r="K160" s="72"/>
      <c r="L160" s="72"/>
      <c r="M160" s="72"/>
      <c r="N160" s="72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127"/>
      <c r="H161" s="127"/>
      <c r="I161" s="127"/>
      <c r="J161" s="127"/>
      <c r="K161" s="72"/>
      <c r="L161" s="72"/>
      <c r="M161" s="72"/>
      <c r="N161" s="72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127"/>
      <c r="H162" s="127"/>
      <c r="I162" s="127"/>
      <c r="J162" s="127"/>
      <c r="K162" s="72"/>
      <c r="L162" s="72"/>
      <c r="M162" s="72"/>
      <c r="N162" s="72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127"/>
      <c r="H163" s="127"/>
      <c r="I163" s="127"/>
      <c r="J163" s="127"/>
      <c r="K163" s="72"/>
      <c r="L163" s="72"/>
      <c r="M163" s="72"/>
      <c r="N163" s="72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127"/>
      <c r="H164" s="127"/>
      <c r="I164" s="127"/>
      <c r="J164" s="127"/>
      <c r="K164" s="72"/>
      <c r="L164" s="72"/>
      <c r="M164" s="72"/>
      <c r="N164" s="72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127"/>
      <c r="H165" s="127"/>
      <c r="I165" s="127"/>
      <c r="J165" s="127"/>
      <c r="K165" s="72"/>
      <c r="L165" s="72"/>
      <c r="M165" s="72"/>
      <c r="N165" s="72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127"/>
      <c r="H166" s="127"/>
      <c r="I166" s="127"/>
      <c r="J166" s="127"/>
      <c r="K166" s="72"/>
      <c r="L166" s="72"/>
      <c r="M166" s="72"/>
      <c r="N166" s="72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127"/>
      <c r="H167" s="127"/>
      <c r="I167" s="127"/>
      <c r="J167" s="127"/>
      <c r="K167" s="72"/>
      <c r="L167" s="72"/>
      <c r="M167" s="72"/>
      <c r="N167" s="72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127"/>
      <c r="H168" s="127"/>
      <c r="I168" s="127"/>
      <c r="J168" s="127"/>
      <c r="K168" s="72"/>
      <c r="L168" s="72"/>
      <c r="M168" s="72"/>
      <c r="N168" s="72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127"/>
      <c r="H169" s="127"/>
      <c r="I169" s="127"/>
      <c r="J169" s="127"/>
      <c r="K169" s="72"/>
      <c r="L169" s="72"/>
      <c r="M169" s="72"/>
      <c r="N169" s="72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127"/>
      <c r="H170" s="127"/>
      <c r="I170" s="127"/>
      <c r="J170" s="127"/>
      <c r="K170" s="72"/>
      <c r="L170" s="72"/>
      <c r="M170" s="72"/>
      <c r="N170" s="72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127"/>
      <c r="H171" s="127"/>
      <c r="I171" s="127"/>
      <c r="J171" s="127"/>
      <c r="K171" s="72"/>
      <c r="L171" s="72"/>
      <c r="M171" s="72"/>
      <c r="N171" s="72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127"/>
      <c r="H172" s="127"/>
      <c r="I172" s="127"/>
      <c r="J172" s="127"/>
      <c r="K172" s="72"/>
      <c r="L172" s="72"/>
      <c r="M172" s="72"/>
      <c r="N172" s="72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127"/>
      <c r="H173" s="127"/>
      <c r="I173" s="127"/>
      <c r="J173" s="127"/>
      <c r="K173" s="72"/>
      <c r="L173" s="72"/>
      <c r="M173" s="72"/>
      <c r="N173" s="72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127"/>
      <c r="H174" s="127"/>
      <c r="I174" s="127"/>
      <c r="J174" s="127"/>
      <c r="K174" s="72"/>
      <c r="L174" s="72"/>
      <c r="M174" s="72"/>
      <c r="N174" s="72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127"/>
      <c r="H175" s="127"/>
      <c r="I175" s="127"/>
      <c r="J175" s="127"/>
      <c r="K175" s="72"/>
      <c r="L175" s="72"/>
      <c r="M175" s="72"/>
      <c r="N175" s="72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127"/>
      <c r="H176" s="127"/>
      <c r="I176" s="127"/>
      <c r="J176" s="127"/>
      <c r="K176" s="72"/>
      <c r="L176" s="72"/>
      <c r="M176" s="72"/>
      <c r="N176" s="72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127"/>
      <c r="H177" s="127"/>
      <c r="I177" s="127"/>
      <c r="J177" s="127"/>
      <c r="K177" s="72"/>
      <c r="L177" s="72"/>
      <c r="M177" s="72"/>
      <c r="N177" s="72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127"/>
      <c r="H178" s="127"/>
      <c r="I178" s="127"/>
      <c r="J178" s="127"/>
      <c r="K178" s="72"/>
      <c r="L178" s="72"/>
      <c r="M178" s="72"/>
      <c r="N178" s="72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127"/>
      <c r="H179" s="127"/>
      <c r="I179" s="127"/>
      <c r="J179" s="127"/>
      <c r="K179" s="72"/>
      <c r="L179" s="72"/>
      <c r="M179" s="72"/>
      <c r="N179" s="72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127"/>
      <c r="H180" s="127"/>
      <c r="I180" s="127"/>
      <c r="J180" s="127"/>
      <c r="K180" s="72"/>
      <c r="L180" s="72"/>
      <c r="M180" s="72"/>
      <c r="N180" s="72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127"/>
      <c r="H181" s="127"/>
      <c r="I181" s="127"/>
      <c r="J181" s="127"/>
      <c r="K181" s="72"/>
      <c r="L181" s="72"/>
      <c r="M181" s="72"/>
      <c r="N181" s="72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127"/>
      <c r="H182" s="127"/>
      <c r="I182" s="127"/>
      <c r="J182" s="127"/>
      <c r="K182" s="72"/>
      <c r="L182" s="72"/>
      <c r="M182" s="72"/>
      <c r="N182" s="72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127"/>
      <c r="H183" s="127"/>
      <c r="I183" s="127"/>
      <c r="J183" s="127"/>
      <c r="K183" s="72"/>
      <c r="L183" s="72"/>
      <c r="M183" s="72"/>
      <c r="N183" s="72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127"/>
      <c r="H184" s="127"/>
      <c r="I184" s="127"/>
      <c r="J184" s="127"/>
      <c r="K184" s="72"/>
      <c r="L184" s="72"/>
      <c r="M184" s="72"/>
      <c r="N184" s="72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127"/>
      <c r="H185" s="127"/>
      <c r="I185" s="127"/>
      <c r="J185" s="127"/>
      <c r="K185" s="72"/>
      <c r="L185" s="72"/>
      <c r="M185" s="72"/>
      <c r="N185" s="72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127"/>
      <c r="H186" s="127"/>
      <c r="I186" s="127"/>
      <c r="J186" s="127"/>
      <c r="K186" s="72"/>
      <c r="L186" s="72"/>
      <c r="M186" s="72"/>
      <c r="N186" s="72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127"/>
      <c r="H187" s="127"/>
      <c r="I187" s="127"/>
      <c r="J187" s="127"/>
      <c r="K187" s="72"/>
      <c r="L187" s="72"/>
      <c r="M187" s="72"/>
      <c r="N187" s="72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127"/>
      <c r="H188" s="127"/>
      <c r="I188" s="127"/>
      <c r="J188" s="127"/>
      <c r="K188" s="72"/>
      <c r="L188" s="72"/>
      <c r="M188" s="72"/>
      <c r="N188" s="72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127"/>
      <c r="H189" s="127"/>
      <c r="I189" s="127"/>
      <c r="J189" s="127"/>
      <c r="K189" s="72"/>
      <c r="L189" s="72"/>
      <c r="M189" s="72"/>
      <c r="N189" s="72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127"/>
      <c r="H190" s="127"/>
      <c r="I190" s="127"/>
      <c r="J190" s="127"/>
      <c r="K190" s="72"/>
      <c r="L190" s="72"/>
      <c r="M190" s="72"/>
      <c r="N190" s="72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127"/>
      <c r="H191" s="127"/>
      <c r="I191" s="127"/>
      <c r="J191" s="127"/>
      <c r="K191" s="72"/>
      <c r="L191" s="72"/>
      <c r="M191" s="72"/>
      <c r="N191" s="72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127"/>
      <c r="H192" s="127"/>
      <c r="I192" s="127"/>
      <c r="J192" s="127"/>
      <c r="K192" s="72"/>
      <c r="L192" s="72"/>
      <c r="M192" s="72"/>
      <c r="N192" s="72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127"/>
      <c r="H193" s="127"/>
      <c r="I193" s="127"/>
      <c r="J193" s="127"/>
      <c r="K193" s="72"/>
      <c r="L193" s="72"/>
      <c r="M193" s="72"/>
      <c r="N193" s="72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127"/>
      <c r="H194" s="127"/>
      <c r="I194" s="127"/>
      <c r="J194" s="127"/>
      <c r="K194" s="72"/>
      <c r="L194" s="72"/>
      <c r="M194" s="72"/>
      <c r="N194" s="72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127"/>
      <c r="H195" s="127"/>
      <c r="I195" s="127"/>
      <c r="J195" s="127"/>
      <c r="K195" s="72"/>
      <c r="L195" s="72"/>
      <c r="M195" s="72"/>
      <c r="N195" s="72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127"/>
      <c r="H196" s="127"/>
      <c r="I196" s="127"/>
      <c r="J196" s="127"/>
      <c r="K196" s="72"/>
      <c r="L196" s="72"/>
      <c r="M196" s="72"/>
      <c r="N196" s="72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127"/>
      <c r="H197" s="127"/>
      <c r="I197" s="127"/>
      <c r="J197" s="127"/>
      <c r="K197" s="72"/>
      <c r="L197" s="72"/>
      <c r="M197" s="72"/>
      <c r="N197" s="72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127"/>
      <c r="H198" s="127"/>
      <c r="I198" s="127"/>
      <c r="J198" s="127"/>
      <c r="K198" s="72"/>
      <c r="L198" s="72"/>
      <c r="M198" s="72"/>
      <c r="N198" s="72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127"/>
      <c r="H199" s="127"/>
      <c r="I199" s="127"/>
      <c r="J199" s="127"/>
      <c r="K199" s="72"/>
      <c r="L199" s="72"/>
      <c r="M199" s="72"/>
      <c r="N199" s="72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127"/>
      <c r="H200" s="127"/>
      <c r="I200" s="127"/>
      <c r="J200" s="127"/>
      <c r="K200" s="72"/>
      <c r="L200" s="72"/>
      <c r="M200" s="72"/>
      <c r="N200" s="72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127"/>
      <c r="H201" s="127"/>
      <c r="I201" s="127"/>
      <c r="J201" s="127"/>
      <c r="K201" s="72"/>
      <c r="L201" s="72"/>
      <c r="M201" s="72"/>
      <c r="N201" s="72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127"/>
      <c r="H202" s="127"/>
      <c r="I202" s="127"/>
      <c r="J202" s="127"/>
      <c r="K202" s="72"/>
      <c r="L202" s="72"/>
      <c r="M202" s="72"/>
      <c r="N202" s="72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127"/>
      <c r="H203" s="127"/>
      <c r="I203" s="127"/>
      <c r="J203" s="127"/>
      <c r="K203" s="72"/>
      <c r="L203" s="72"/>
      <c r="M203" s="72"/>
      <c r="N203" s="72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127"/>
      <c r="H204" s="127"/>
      <c r="I204" s="127"/>
      <c r="J204" s="127"/>
      <c r="K204" s="72"/>
      <c r="L204" s="72"/>
      <c r="M204" s="72"/>
      <c r="N204" s="72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127"/>
      <c r="H205" s="127"/>
      <c r="I205" s="127"/>
      <c r="J205" s="127"/>
      <c r="K205" s="72"/>
      <c r="L205" s="72"/>
      <c r="M205" s="72"/>
      <c r="N205" s="72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127"/>
      <c r="H206" s="127"/>
      <c r="I206" s="127"/>
      <c r="J206" s="127"/>
      <c r="K206" s="72"/>
      <c r="L206" s="72"/>
      <c r="M206" s="72"/>
      <c r="N206" s="72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127"/>
      <c r="H207" s="127"/>
      <c r="I207" s="127"/>
      <c r="J207" s="127"/>
      <c r="K207" s="72"/>
      <c r="L207" s="72"/>
      <c r="M207" s="72"/>
      <c r="N207" s="72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127"/>
      <c r="H208" s="127"/>
      <c r="I208" s="127"/>
      <c r="J208" s="127"/>
      <c r="K208" s="72"/>
      <c r="L208" s="72"/>
      <c r="M208" s="72"/>
      <c r="N208" s="72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127"/>
      <c r="H209" s="127"/>
      <c r="I209" s="127"/>
      <c r="J209" s="127"/>
      <c r="K209" s="72"/>
      <c r="L209" s="72"/>
      <c r="M209" s="72"/>
      <c r="N209" s="72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127"/>
      <c r="H210" s="127"/>
      <c r="I210" s="127"/>
      <c r="J210" s="127"/>
      <c r="K210" s="72"/>
      <c r="L210" s="72"/>
      <c r="M210" s="72"/>
      <c r="N210" s="72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127"/>
      <c r="H211" s="127"/>
      <c r="I211" s="127"/>
      <c r="J211" s="127"/>
      <c r="K211" s="72"/>
      <c r="L211" s="72"/>
      <c r="M211" s="72"/>
      <c r="N211" s="72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127"/>
      <c r="H212" s="127"/>
      <c r="I212" s="127"/>
      <c r="J212" s="127"/>
      <c r="K212" s="72"/>
      <c r="L212" s="72"/>
      <c r="M212" s="72"/>
      <c r="N212" s="72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127"/>
      <c r="H213" s="127"/>
      <c r="I213" s="127"/>
      <c r="J213" s="127"/>
      <c r="K213" s="72"/>
      <c r="L213" s="72"/>
      <c r="M213" s="72"/>
      <c r="N213" s="72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127"/>
      <c r="H214" s="127"/>
      <c r="I214" s="127"/>
      <c r="J214" s="127"/>
      <c r="K214" s="72"/>
      <c r="L214" s="72"/>
      <c r="M214" s="72"/>
      <c r="N214" s="72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127"/>
      <c r="H215" s="127"/>
      <c r="I215" s="127"/>
      <c r="J215" s="127"/>
      <c r="K215" s="72"/>
      <c r="L215" s="72"/>
      <c r="M215" s="72"/>
      <c r="N215" s="72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127"/>
      <c r="H216" s="127"/>
      <c r="I216" s="127"/>
      <c r="J216" s="127"/>
      <c r="K216" s="72"/>
      <c r="L216" s="72"/>
      <c r="M216" s="72"/>
      <c r="N216" s="72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127"/>
      <c r="H217" s="127"/>
      <c r="I217" s="127"/>
      <c r="J217" s="127"/>
      <c r="K217" s="72"/>
      <c r="L217" s="72"/>
      <c r="M217" s="72"/>
      <c r="N217" s="72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127"/>
      <c r="H218" s="127"/>
      <c r="I218" s="127"/>
      <c r="J218" s="127"/>
      <c r="K218" s="72"/>
      <c r="L218" s="72"/>
      <c r="M218" s="72"/>
      <c r="N218" s="72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127"/>
      <c r="H219" s="127"/>
      <c r="I219" s="127"/>
      <c r="J219" s="127"/>
      <c r="K219" s="72"/>
      <c r="L219" s="72"/>
      <c r="M219" s="72"/>
      <c r="N219" s="72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127"/>
      <c r="H220" s="127"/>
      <c r="I220" s="127"/>
      <c r="J220" s="127"/>
      <c r="K220" s="72"/>
      <c r="L220" s="72"/>
      <c r="M220" s="72"/>
      <c r="N220" s="72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127"/>
      <c r="H221" s="127"/>
      <c r="I221" s="127"/>
      <c r="J221" s="127"/>
      <c r="K221" s="72"/>
      <c r="L221" s="72"/>
      <c r="M221" s="72"/>
      <c r="N221" s="72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127"/>
      <c r="H222" s="127"/>
      <c r="I222" s="127"/>
      <c r="J222" s="127"/>
      <c r="K222" s="72"/>
      <c r="L222" s="72"/>
      <c r="M222" s="72"/>
      <c r="N222" s="72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127"/>
      <c r="H223" s="127"/>
      <c r="I223" s="127"/>
      <c r="J223" s="127"/>
      <c r="K223" s="72"/>
      <c r="L223" s="72"/>
      <c r="M223" s="72"/>
      <c r="N223" s="72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127"/>
      <c r="H224" s="127"/>
      <c r="I224" s="127"/>
      <c r="J224" s="127"/>
      <c r="K224" s="72"/>
      <c r="L224" s="72"/>
      <c r="M224" s="72"/>
      <c r="N224" s="72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127"/>
      <c r="H225" s="127"/>
      <c r="I225" s="127"/>
      <c r="J225" s="127"/>
      <c r="K225" s="72"/>
      <c r="L225" s="72"/>
      <c r="M225" s="72"/>
      <c r="N225" s="72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127"/>
      <c r="H226" s="127"/>
      <c r="I226" s="127"/>
      <c r="J226" s="127"/>
      <c r="K226" s="72"/>
      <c r="L226" s="72"/>
      <c r="M226" s="72"/>
      <c r="N226" s="72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127"/>
      <c r="H227" s="127"/>
      <c r="I227" s="127"/>
      <c r="J227" s="127"/>
      <c r="K227" s="72"/>
      <c r="L227" s="72"/>
      <c r="M227" s="72"/>
      <c r="N227" s="72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127"/>
      <c r="H228" s="127"/>
      <c r="I228" s="127"/>
      <c r="J228" s="127"/>
      <c r="K228" s="72"/>
      <c r="L228" s="72"/>
      <c r="M228" s="72"/>
      <c r="N228" s="72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127"/>
      <c r="H229" s="127"/>
      <c r="I229" s="127"/>
      <c r="J229" s="127"/>
      <c r="K229" s="72"/>
      <c r="L229" s="72"/>
      <c r="M229" s="72"/>
      <c r="N229" s="72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127"/>
      <c r="H230" s="127"/>
      <c r="I230" s="127"/>
      <c r="J230" s="127"/>
      <c r="K230" s="72"/>
      <c r="L230" s="72"/>
      <c r="M230" s="72"/>
      <c r="N230" s="72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127"/>
      <c r="H231" s="127"/>
      <c r="I231" s="127"/>
      <c r="J231" s="127"/>
      <c r="K231" s="72"/>
      <c r="L231" s="72"/>
      <c r="M231" s="72"/>
      <c r="N231" s="72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127"/>
      <c r="H232" s="127"/>
      <c r="I232" s="127"/>
      <c r="J232" s="127"/>
      <c r="K232" s="72"/>
      <c r="L232" s="72"/>
      <c r="M232" s="72"/>
      <c r="N232" s="72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127"/>
      <c r="H233" s="127"/>
      <c r="I233" s="127"/>
      <c r="J233" s="127"/>
      <c r="K233" s="72"/>
      <c r="L233" s="72"/>
      <c r="M233" s="72"/>
      <c r="N233" s="72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127"/>
      <c r="H234" s="127"/>
      <c r="I234" s="127"/>
      <c r="J234" s="127"/>
      <c r="K234" s="72"/>
      <c r="L234" s="72"/>
      <c r="M234" s="72"/>
      <c r="N234" s="72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127"/>
      <c r="H235" s="127"/>
      <c r="I235" s="127"/>
      <c r="J235" s="127"/>
      <c r="K235" s="72"/>
      <c r="L235" s="72"/>
      <c r="M235" s="72"/>
      <c r="N235" s="72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127"/>
      <c r="H236" s="127"/>
      <c r="I236" s="127"/>
      <c r="J236" s="127"/>
      <c r="K236" s="72"/>
      <c r="L236" s="72"/>
      <c r="M236" s="72"/>
      <c r="N236" s="72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127"/>
      <c r="H237" s="127"/>
      <c r="I237" s="127"/>
      <c r="J237" s="127"/>
      <c r="K237" s="72"/>
      <c r="L237" s="72"/>
      <c r="M237" s="72"/>
      <c r="N237" s="72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127"/>
      <c r="H238" s="127"/>
      <c r="I238" s="127"/>
      <c r="J238" s="127"/>
      <c r="K238" s="72"/>
      <c r="L238" s="72"/>
      <c r="M238" s="72"/>
      <c r="N238" s="72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127"/>
      <c r="H239" s="127"/>
      <c r="I239" s="127"/>
      <c r="J239" s="127"/>
      <c r="K239" s="72"/>
      <c r="L239" s="72"/>
      <c r="M239" s="72"/>
      <c r="N239" s="72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127"/>
      <c r="H240" s="127"/>
      <c r="I240" s="127"/>
      <c r="J240" s="127"/>
      <c r="K240" s="72"/>
      <c r="L240" s="72"/>
      <c r="M240" s="72"/>
      <c r="N240" s="72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127"/>
      <c r="H241" s="127"/>
      <c r="I241" s="127"/>
      <c r="J241" s="127"/>
      <c r="K241" s="72"/>
      <c r="L241" s="72"/>
      <c r="M241" s="72"/>
      <c r="N241" s="72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127"/>
      <c r="H242" s="127"/>
      <c r="I242" s="127"/>
      <c r="J242" s="127"/>
      <c r="K242" s="72"/>
      <c r="L242" s="72"/>
      <c r="M242" s="72"/>
      <c r="N242" s="72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127"/>
      <c r="H243" s="127"/>
      <c r="I243" s="127"/>
      <c r="J243" s="127"/>
      <c r="K243" s="72"/>
      <c r="L243" s="72"/>
      <c r="M243" s="72"/>
      <c r="N243" s="72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127"/>
      <c r="H244" s="127"/>
      <c r="I244" s="127"/>
      <c r="J244" s="127"/>
      <c r="K244" s="72"/>
      <c r="L244" s="72"/>
      <c r="M244" s="72"/>
      <c r="N244" s="72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127"/>
      <c r="H245" s="127"/>
      <c r="I245" s="127"/>
      <c r="J245" s="127"/>
      <c r="K245" s="72"/>
      <c r="L245" s="72"/>
      <c r="M245" s="72"/>
      <c r="N245" s="72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127"/>
      <c r="H246" s="127"/>
      <c r="I246" s="127"/>
      <c r="J246" s="127"/>
      <c r="K246" s="72"/>
      <c r="L246" s="72"/>
      <c r="M246" s="72"/>
      <c r="N246" s="72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127"/>
      <c r="H247" s="127"/>
      <c r="I247" s="127"/>
      <c r="J247" s="127"/>
      <c r="K247" s="72"/>
      <c r="L247" s="72"/>
      <c r="M247" s="72"/>
      <c r="N247" s="72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127"/>
      <c r="H248" s="127"/>
      <c r="I248" s="127"/>
      <c r="J248" s="127"/>
      <c r="K248" s="72"/>
      <c r="L248" s="72"/>
      <c r="M248" s="72"/>
      <c r="N248" s="72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127"/>
      <c r="H249" s="127"/>
      <c r="I249" s="127"/>
      <c r="J249" s="127"/>
      <c r="K249" s="72"/>
      <c r="L249" s="72"/>
      <c r="M249" s="72"/>
      <c r="N249" s="72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127"/>
      <c r="H250" s="127"/>
      <c r="I250" s="127"/>
      <c r="J250" s="127"/>
      <c r="K250" s="72"/>
      <c r="L250" s="72"/>
      <c r="M250" s="72"/>
      <c r="N250" s="72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127"/>
      <c r="H251" s="127"/>
      <c r="I251" s="127"/>
      <c r="J251" s="127"/>
      <c r="K251" s="72"/>
      <c r="L251" s="72"/>
      <c r="M251" s="72"/>
      <c r="N251" s="72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127"/>
      <c r="H252" s="127"/>
      <c r="I252" s="127"/>
      <c r="J252" s="127"/>
      <c r="K252" s="72"/>
      <c r="L252" s="72"/>
      <c r="M252" s="72"/>
      <c r="N252" s="72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127"/>
      <c r="H253" s="127"/>
      <c r="I253" s="127"/>
      <c r="J253" s="127"/>
      <c r="K253" s="72"/>
      <c r="L253" s="72"/>
      <c r="M253" s="72"/>
      <c r="N253" s="72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127"/>
      <c r="H254" s="127"/>
      <c r="I254" s="127"/>
      <c r="J254" s="127"/>
      <c r="K254" s="72"/>
      <c r="L254" s="72"/>
      <c r="M254" s="72"/>
      <c r="N254" s="72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127"/>
      <c r="H255" s="127"/>
      <c r="I255" s="127"/>
      <c r="J255" s="127"/>
      <c r="K255" s="72"/>
      <c r="L255" s="72"/>
      <c r="M255" s="72"/>
      <c r="N255" s="72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127"/>
      <c r="H256" s="127"/>
      <c r="I256" s="127"/>
      <c r="J256" s="127"/>
      <c r="K256" s="72"/>
      <c r="L256" s="72"/>
      <c r="M256" s="72"/>
      <c r="N256" s="72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127"/>
      <c r="H257" s="127"/>
      <c r="I257" s="127"/>
      <c r="J257" s="127"/>
      <c r="K257" s="72"/>
      <c r="L257" s="72"/>
      <c r="M257" s="72"/>
      <c r="N257" s="72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127"/>
      <c r="H258" s="127"/>
      <c r="I258" s="127"/>
      <c r="J258" s="127"/>
      <c r="K258" s="72"/>
      <c r="L258" s="72"/>
      <c r="M258" s="72"/>
      <c r="N258" s="72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127"/>
      <c r="H259" s="127"/>
      <c r="I259" s="127"/>
      <c r="J259" s="127"/>
      <c r="K259" s="72"/>
      <c r="L259" s="72"/>
      <c r="M259" s="72"/>
      <c r="N259" s="72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127"/>
      <c r="H260" s="127"/>
      <c r="I260" s="127"/>
      <c r="J260" s="127"/>
      <c r="K260" s="72"/>
      <c r="L260" s="72"/>
      <c r="M260" s="72"/>
      <c r="N260" s="72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127"/>
      <c r="H261" s="127"/>
      <c r="I261" s="127"/>
      <c r="J261" s="127"/>
      <c r="K261" s="72"/>
      <c r="L261" s="72"/>
      <c r="M261" s="72"/>
      <c r="N261" s="72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127"/>
      <c r="H262" s="127"/>
      <c r="I262" s="127"/>
      <c r="J262" s="127"/>
      <c r="K262" s="72"/>
      <c r="L262" s="72"/>
      <c r="M262" s="72"/>
      <c r="N262" s="72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127"/>
      <c r="H263" s="127"/>
      <c r="I263" s="127"/>
      <c r="J263" s="127"/>
      <c r="K263" s="72"/>
      <c r="L263" s="72"/>
      <c r="M263" s="72"/>
      <c r="N263" s="72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127"/>
      <c r="H264" s="127"/>
      <c r="I264" s="127"/>
      <c r="J264" s="127"/>
      <c r="K264" s="72"/>
      <c r="L264" s="72"/>
      <c r="M264" s="72"/>
      <c r="N264" s="72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127"/>
      <c r="H265" s="127"/>
      <c r="I265" s="127"/>
      <c r="J265" s="127"/>
      <c r="K265" s="72"/>
      <c r="L265" s="72"/>
      <c r="M265" s="72"/>
      <c r="N265" s="72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127"/>
      <c r="H266" s="127"/>
      <c r="I266" s="127"/>
      <c r="J266" s="127"/>
      <c r="K266" s="72"/>
      <c r="L266" s="72"/>
      <c r="M266" s="72"/>
      <c r="N266" s="72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127"/>
      <c r="H267" s="127"/>
      <c r="I267" s="127"/>
      <c r="J267" s="127"/>
      <c r="K267" s="72"/>
      <c r="L267" s="72"/>
      <c r="M267" s="72"/>
      <c r="N267" s="72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127"/>
      <c r="H268" s="127"/>
      <c r="I268" s="127"/>
      <c r="J268" s="127"/>
      <c r="K268" s="72"/>
      <c r="L268" s="72"/>
      <c r="M268" s="72"/>
      <c r="N268" s="72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127"/>
      <c r="H269" s="127"/>
      <c r="I269" s="127"/>
      <c r="J269" s="127"/>
      <c r="K269" s="72"/>
      <c r="L269" s="72"/>
      <c r="M269" s="72"/>
      <c r="N269" s="72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127"/>
      <c r="H270" s="127"/>
      <c r="I270" s="127"/>
      <c r="J270" s="127"/>
      <c r="K270" s="72"/>
      <c r="L270" s="72"/>
      <c r="M270" s="72"/>
      <c r="N270" s="72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127"/>
      <c r="H271" s="127"/>
      <c r="I271" s="127"/>
      <c r="J271" s="127"/>
      <c r="K271" s="72"/>
      <c r="L271" s="72"/>
      <c r="M271" s="72"/>
      <c r="N271" s="72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127"/>
      <c r="H272" s="127"/>
      <c r="I272" s="127"/>
      <c r="J272" s="127"/>
      <c r="K272" s="72"/>
      <c r="L272" s="72"/>
      <c r="M272" s="72"/>
      <c r="N272" s="72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127"/>
      <c r="H273" s="127"/>
      <c r="I273" s="127"/>
      <c r="J273" s="127"/>
      <c r="K273" s="72"/>
      <c r="L273" s="72"/>
      <c r="M273" s="72"/>
      <c r="N273" s="72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127"/>
      <c r="H274" s="127"/>
      <c r="I274" s="127"/>
      <c r="J274" s="127"/>
      <c r="K274" s="72"/>
      <c r="L274" s="72"/>
      <c r="M274" s="72"/>
      <c r="N274" s="72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127"/>
      <c r="H275" s="127"/>
      <c r="I275" s="127"/>
      <c r="J275" s="127"/>
      <c r="K275" s="72"/>
      <c r="L275" s="72"/>
      <c r="M275" s="72"/>
      <c r="N275" s="72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127"/>
      <c r="H276" s="127"/>
      <c r="I276" s="127"/>
      <c r="J276" s="127"/>
      <c r="K276" s="72"/>
      <c r="L276" s="72"/>
      <c r="M276" s="72"/>
      <c r="N276" s="72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127"/>
      <c r="H277" s="127"/>
      <c r="I277" s="127"/>
      <c r="J277" s="127"/>
      <c r="K277" s="72"/>
      <c r="L277" s="72"/>
      <c r="M277" s="72"/>
      <c r="N277" s="72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127"/>
      <c r="H278" s="127"/>
      <c r="I278" s="127"/>
      <c r="J278" s="127"/>
      <c r="K278" s="72"/>
      <c r="L278" s="72"/>
      <c r="M278" s="72"/>
      <c r="N278" s="72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127"/>
      <c r="H279" s="127"/>
      <c r="I279" s="127"/>
      <c r="J279" s="127"/>
      <c r="K279" s="72"/>
      <c r="L279" s="72"/>
      <c r="M279" s="72"/>
      <c r="N279" s="72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127"/>
      <c r="H280" s="127"/>
      <c r="I280" s="127"/>
      <c r="J280" s="127"/>
      <c r="K280" s="72"/>
      <c r="L280" s="72"/>
      <c r="M280" s="72"/>
      <c r="N280" s="72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127"/>
      <c r="H281" s="127"/>
      <c r="I281" s="127"/>
      <c r="J281" s="127"/>
      <c r="K281" s="72"/>
      <c r="L281" s="72"/>
      <c r="M281" s="72"/>
      <c r="N281" s="72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127"/>
      <c r="H282" s="127"/>
      <c r="I282" s="127"/>
      <c r="J282" s="127"/>
      <c r="K282" s="72"/>
      <c r="L282" s="72"/>
      <c r="M282" s="72"/>
      <c r="N282" s="72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127"/>
      <c r="H283" s="127"/>
      <c r="I283" s="127"/>
      <c r="J283" s="127"/>
      <c r="K283" s="72"/>
      <c r="L283" s="72"/>
      <c r="M283" s="72"/>
      <c r="N283" s="72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127"/>
      <c r="H284" s="127"/>
      <c r="I284" s="127"/>
      <c r="J284" s="127"/>
      <c r="K284" s="72"/>
      <c r="L284" s="72"/>
      <c r="M284" s="72"/>
      <c r="N284" s="72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127"/>
      <c r="H285" s="127"/>
      <c r="I285" s="127"/>
      <c r="J285" s="127"/>
      <c r="K285" s="72"/>
      <c r="L285" s="72"/>
      <c r="M285" s="72"/>
      <c r="N285" s="72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127"/>
      <c r="H286" s="127"/>
      <c r="I286" s="127"/>
      <c r="J286" s="127"/>
      <c r="K286" s="72"/>
      <c r="L286" s="72"/>
      <c r="M286" s="72"/>
      <c r="N286" s="72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127"/>
      <c r="H287" s="127"/>
      <c r="I287" s="127"/>
      <c r="J287" s="127"/>
      <c r="K287" s="72"/>
      <c r="L287" s="72"/>
      <c r="M287" s="72"/>
      <c r="N287" s="72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127"/>
      <c r="H288" s="127"/>
      <c r="I288" s="127"/>
      <c r="J288" s="127"/>
      <c r="K288" s="72"/>
      <c r="L288" s="72"/>
      <c r="M288" s="72"/>
      <c r="N288" s="72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127"/>
      <c r="H289" s="127"/>
      <c r="I289" s="127"/>
      <c r="J289" s="127"/>
      <c r="K289" s="72"/>
      <c r="L289" s="72"/>
      <c r="M289" s="72"/>
      <c r="N289" s="72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127"/>
      <c r="H290" s="127"/>
      <c r="I290" s="127"/>
      <c r="J290" s="127"/>
      <c r="K290" s="72"/>
      <c r="L290" s="72"/>
      <c r="M290" s="72"/>
      <c r="N290" s="72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127"/>
      <c r="H291" s="127"/>
      <c r="I291" s="127"/>
      <c r="J291" s="127"/>
      <c r="K291" s="72"/>
      <c r="L291" s="72"/>
      <c r="M291" s="72"/>
      <c r="N291" s="72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127"/>
      <c r="H292" s="127"/>
      <c r="I292" s="127"/>
      <c r="J292" s="127"/>
      <c r="K292" s="72"/>
      <c r="L292" s="72"/>
      <c r="M292" s="72"/>
      <c r="N292" s="72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127"/>
      <c r="H293" s="127"/>
      <c r="I293" s="127"/>
      <c r="J293" s="127"/>
      <c r="K293" s="72"/>
      <c r="L293" s="72"/>
      <c r="M293" s="72"/>
      <c r="N293" s="72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127"/>
      <c r="H294" s="127"/>
      <c r="I294" s="127"/>
      <c r="J294" s="127"/>
      <c r="K294" s="72"/>
      <c r="L294" s="72"/>
      <c r="M294" s="72"/>
      <c r="N294" s="72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127"/>
      <c r="H295" s="127"/>
      <c r="I295" s="127"/>
      <c r="J295" s="127"/>
      <c r="K295" s="72"/>
      <c r="L295" s="72"/>
      <c r="M295" s="72"/>
      <c r="N295" s="72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127"/>
      <c r="H296" s="127"/>
      <c r="I296" s="127"/>
      <c r="J296" s="127"/>
      <c r="K296" s="72"/>
      <c r="L296" s="72"/>
      <c r="M296" s="72"/>
      <c r="N296" s="72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127"/>
      <c r="H297" s="127"/>
      <c r="I297" s="127"/>
      <c r="J297" s="127"/>
      <c r="K297" s="72"/>
      <c r="L297" s="72"/>
      <c r="M297" s="72"/>
      <c r="N297" s="72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127"/>
      <c r="H298" s="127"/>
      <c r="I298" s="127"/>
      <c r="J298" s="127"/>
      <c r="K298" s="72"/>
      <c r="L298" s="72"/>
      <c r="M298" s="72"/>
      <c r="N298" s="72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127"/>
      <c r="H299" s="127"/>
      <c r="I299" s="127"/>
      <c r="J299" s="127"/>
      <c r="K299" s="72"/>
      <c r="L299" s="72"/>
      <c r="M299" s="72"/>
      <c r="N299" s="72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127"/>
      <c r="H300" s="127"/>
      <c r="I300" s="127"/>
      <c r="J300" s="127"/>
      <c r="K300" s="72"/>
      <c r="L300" s="72"/>
      <c r="M300" s="72"/>
      <c r="N300" s="72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127"/>
      <c r="H301" s="127"/>
      <c r="I301" s="127"/>
      <c r="J301" s="127"/>
      <c r="K301" s="72"/>
      <c r="L301" s="72"/>
      <c r="M301" s="72"/>
      <c r="N301" s="72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127"/>
      <c r="H302" s="127"/>
      <c r="I302" s="127"/>
      <c r="J302" s="127"/>
      <c r="K302" s="72"/>
      <c r="L302" s="72"/>
      <c r="M302" s="72"/>
      <c r="N302" s="72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127"/>
      <c r="H303" s="127"/>
      <c r="I303" s="127"/>
      <c r="J303" s="127"/>
      <c r="K303" s="72"/>
      <c r="L303" s="72"/>
      <c r="M303" s="72"/>
      <c r="N303" s="72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127"/>
      <c r="H304" s="127"/>
      <c r="I304" s="127"/>
      <c r="J304" s="127"/>
      <c r="K304" s="72"/>
      <c r="L304" s="72"/>
      <c r="M304" s="72"/>
      <c r="N304" s="72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127"/>
      <c r="H305" s="127"/>
      <c r="I305" s="127"/>
      <c r="J305" s="127"/>
      <c r="K305" s="72"/>
      <c r="L305" s="72"/>
      <c r="M305" s="72"/>
      <c r="N305" s="72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127"/>
      <c r="H306" s="127"/>
      <c r="I306" s="127"/>
      <c r="J306" s="127"/>
      <c r="K306" s="72"/>
      <c r="L306" s="72"/>
      <c r="M306" s="72"/>
      <c r="N306" s="72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127"/>
      <c r="H307" s="127"/>
      <c r="I307" s="127"/>
      <c r="J307" s="127"/>
      <c r="K307" s="72"/>
      <c r="L307" s="72"/>
      <c r="M307" s="72"/>
      <c r="N307" s="72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127"/>
      <c r="H308" s="127"/>
      <c r="I308" s="127"/>
      <c r="J308" s="127"/>
      <c r="K308" s="72"/>
      <c r="L308" s="72"/>
      <c r="M308" s="72"/>
      <c r="N308" s="72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127"/>
      <c r="H309" s="127"/>
      <c r="I309" s="127"/>
      <c r="J309" s="127"/>
      <c r="K309" s="72"/>
      <c r="L309" s="72"/>
      <c r="M309" s="72"/>
      <c r="N309" s="72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127"/>
      <c r="H310" s="127"/>
      <c r="I310" s="127"/>
      <c r="J310" s="127"/>
      <c r="K310" s="72"/>
      <c r="L310" s="72"/>
      <c r="M310" s="72"/>
      <c r="N310" s="72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127"/>
      <c r="H311" s="127"/>
      <c r="I311" s="127"/>
      <c r="J311" s="127"/>
      <c r="K311" s="72"/>
      <c r="L311" s="72"/>
      <c r="M311" s="72"/>
      <c r="N311" s="72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127"/>
      <c r="H312" s="127"/>
      <c r="I312" s="127"/>
      <c r="J312" s="127"/>
      <c r="K312" s="72"/>
      <c r="L312" s="72"/>
      <c r="M312" s="72"/>
      <c r="N312" s="72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127"/>
      <c r="H313" s="127"/>
      <c r="I313" s="127"/>
      <c r="J313" s="127"/>
      <c r="K313" s="72"/>
      <c r="L313" s="72"/>
      <c r="M313" s="72"/>
      <c r="N313" s="72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127"/>
      <c r="H314" s="127"/>
      <c r="I314" s="127"/>
      <c r="J314" s="127"/>
      <c r="K314" s="72"/>
      <c r="L314" s="72"/>
      <c r="M314" s="72"/>
      <c r="N314" s="72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127"/>
      <c r="H315" s="127"/>
      <c r="I315" s="127"/>
      <c r="J315" s="127"/>
      <c r="K315" s="72"/>
      <c r="L315" s="72"/>
      <c r="M315" s="72"/>
      <c r="N315" s="72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127"/>
      <c r="H316" s="127"/>
      <c r="I316" s="127"/>
      <c r="J316" s="127"/>
      <c r="K316" s="72"/>
      <c r="L316" s="72"/>
      <c r="M316" s="72"/>
      <c r="N316" s="72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127"/>
      <c r="H317" s="127"/>
      <c r="I317" s="127"/>
      <c r="J317" s="127"/>
      <c r="K317" s="72"/>
      <c r="L317" s="72"/>
      <c r="M317" s="72"/>
      <c r="N317" s="72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127"/>
      <c r="H318" s="127"/>
      <c r="I318" s="127"/>
      <c r="J318" s="127"/>
      <c r="K318" s="72"/>
      <c r="L318" s="72"/>
      <c r="M318" s="72"/>
      <c r="N318" s="72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127"/>
      <c r="H319" s="127"/>
      <c r="I319" s="127"/>
      <c r="J319" s="127"/>
      <c r="K319" s="72"/>
      <c r="L319" s="72"/>
      <c r="M319" s="72"/>
      <c r="N319" s="72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127"/>
      <c r="H320" s="127"/>
      <c r="I320" s="127"/>
      <c r="J320" s="127"/>
      <c r="K320" s="72"/>
      <c r="L320" s="72"/>
      <c r="M320" s="72"/>
      <c r="N320" s="72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127"/>
      <c r="H321" s="127"/>
      <c r="I321" s="127"/>
      <c r="J321" s="127"/>
      <c r="K321" s="72"/>
      <c r="L321" s="72"/>
      <c r="M321" s="72"/>
      <c r="N321" s="72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127"/>
      <c r="H322" s="127"/>
      <c r="I322" s="127"/>
      <c r="J322" s="127"/>
      <c r="K322" s="72"/>
      <c r="L322" s="72"/>
      <c r="M322" s="72"/>
      <c r="N322" s="72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127"/>
      <c r="H323" s="127"/>
      <c r="I323" s="127"/>
      <c r="J323" s="127"/>
      <c r="K323" s="72"/>
      <c r="L323" s="72"/>
      <c r="M323" s="72"/>
      <c r="N323" s="72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127"/>
      <c r="H324" s="127"/>
      <c r="I324" s="127"/>
      <c r="J324" s="127"/>
      <c r="K324" s="72"/>
      <c r="L324" s="72"/>
      <c r="M324" s="72"/>
      <c r="N324" s="72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127"/>
      <c r="H325" s="127"/>
      <c r="I325" s="127"/>
      <c r="J325" s="127"/>
      <c r="K325" s="72"/>
      <c r="L325" s="72"/>
      <c r="M325" s="72"/>
      <c r="N325" s="72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127"/>
      <c r="H326" s="127"/>
      <c r="I326" s="127"/>
      <c r="J326" s="127"/>
      <c r="K326" s="72"/>
      <c r="L326" s="72"/>
      <c r="M326" s="72"/>
      <c r="N326" s="72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127"/>
      <c r="H327" s="127"/>
      <c r="I327" s="127"/>
      <c r="J327" s="127"/>
      <c r="K327" s="72"/>
      <c r="L327" s="72"/>
      <c r="M327" s="72"/>
      <c r="N327" s="72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127"/>
      <c r="H328" s="127"/>
      <c r="I328" s="127"/>
      <c r="J328" s="127"/>
      <c r="K328" s="72"/>
      <c r="L328" s="72"/>
      <c r="M328" s="72"/>
      <c r="N328" s="72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127"/>
      <c r="H329" s="127"/>
      <c r="I329" s="127"/>
      <c r="J329" s="127"/>
      <c r="K329" s="72"/>
      <c r="L329" s="72"/>
      <c r="M329" s="72"/>
      <c r="N329" s="72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127"/>
      <c r="H330" s="127"/>
      <c r="I330" s="127"/>
      <c r="J330" s="127"/>
      <c r="K330" s="72"/>
      <c r="L330" s="72"/>
      <c r="M330" s="72"/>
      <c r="N330" s="72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127"/>
      <c r="H331" s="127"/>
      <c r="I331" s="127"/>
      <c r="J331" s="127"/>
      <c r="K331" s="72"/>
      <c r="L331" s="72"/>
      <c r="M331" s="72"/>
      <c r="N331" s="72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127"/>
      <c r="H332" s="127"/>
      <c r="I332" s="127"/>
      <c r="J332" s="127"/>
      <c r="K332" s="72"/>
      <c r="L332" s="72"/>
      <c r="M332" s="72"/>
      <c r="N332" s="72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127"/>
      <c r="H333" s="127"/>
      <c r="I333" s="127"/>
      <c r="J333" s="127"/>
      <c r="K333" s="72"/>
      <c r="L333" s="72"/>
      <c r="M333" s="72"/>
      <c r="N333" s="72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127"/>
      <c r="H334" s="127"/>
      <c r="I334" s="127"/>
      <c r="J334" s="127"/>
      <c r="K334" s="72"/>
      <c r="L334" s="72"/>
      <c r="M334" s="72"/>
      <c r="N334" s="72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127"/>
      <c r="H335" s="127"/>
      <c r="I335" s="127"/>
      <c r="J335" s="127"/>
      <c r="K335" s="72"/>
      <c r="L335" s="72"/>
      <c r="M335" s="72"/>
      <c r="N335" s="72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127"/>
      <c r="H336" s="127"/>
      <c r="I336" s="127"/>
      <c r="J336" s="127"/>
      <c r="K336" s="72"/>
      <c r="L336" s="72"/>
      <c r="M336" s="72"/>
      <c r="N336" s="72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127"/>
      <c r="H337" s="127"/>
      <c r="I337" s="127"/>
      <c r="J337" s="127"/>
      <c r="K337" s="72"/>
      <c r="L337" s="72"/>
      <c r="M337" s="72"/>
      <c r="N337" s="72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127"/>
      <c r="H338" s="127"/>
      <c r="I338" s="127"/>
      <c r="J338" s="127"/>
      <c r="K338" s="72"/>
      <c r="L338" s="72"/>
      <c r="M338" s="72"/>
      <c r="N338" s="72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127"/>
      <c r="H339" s="127"/>
      <c r="I339" s="127"/>
      <c r="J339" s="127"/>
      <c r="K339" s="72"/>
      <c r="L339" s="72"/>
      <c r="M339" s="72"/>
      <c r="N339" s="72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127"/>
      <c r="H340" s="127"/>
      <c r="I340" s="127"/>
      <c r="J340" s="127"/>
      <c r="K340" s="72"/>
      <c r="L340" s="72"/>
      <c r="M340" s="72"/>
      <c r="N340" s="72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127"/>
      <c r="H341" s="127"/>
      <c r="I341" s="127"/>
      <c r="J341" s="127"/>
      <c r="K341" s="72"/>
      <c r="L341" s="72"/>
      <c r="M341" s="72"/>
      <c r="N341" s="72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127"/>
      <c r="H342" s="127"/>
      <c r="I342" s="127"/>
      <c r="J342" s="127"/>
      <c r="K342" s="72"/>
      <c r="L342" s="72"/>
      <c r="M342" s="72"/>
      <c r="N342" s="72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127"/>
      <c r="H343" s="127"/>
      <c r="I343" s="127"/>
      <c r="J343" s="127"/>
      <c r="K343" s="72"/>
      <c r="L343" s="72"/>
      <c r="M343" s="72"/>
      <c r="N343" s="72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127"/>
      <c r="H344" s="127"/>
      <c r="I344" s="127"/>
      <c r="J344" s="127"/>
      <c r="K344" s="72"/>
      <c r="L344" s="72"/>
      <c r="M344" s="72"/>
      <c r="N344" s="72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127"/>
      <c r="H345" s="127"/>
      <c r="I345" s="127"/>
      <c r="J345" s="127"/>
      <c r="K345" s="72"/>
      <c r="L345" s="72"/>
      <c r="M345" s="72"/>
      <c r="N345" s="72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127"/>
      <c r="H346" s="127"/>
      <c r="I346" s="127"/>
      <c r="J346" s="127"/>
      <c r="K346" s="72"/>
      <c r="L346" s="72"/>
      <c r="M346" s="72"/>
      <c r="N346" s="72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127"/>
      <c r="H347" s="127"/>
      <c r="I347" s="127"/>
      <c r="J347" s="127"/>
      <c r="K347" s="72"/>
      <c r="L347" s="72"/>
      <c r="M347" s="72"/>
      <c r="N347" s="72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127"/>
      <c r="H348" s="127"/>
      <c r="I348" s="127"/>
      <c r="J348" s="127"/>
      <c r="K348" s="72"/>
      <c r="L348" s="72"/>
      <c r="M348" s="72"/>
      <c r="N348" s="72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127"/>
      <c r="H349" s="127"/>
      <c r="I349" s="127"/>
      <c r="J349" s="127"/>
      <c r="K349" s="72"/>
      <c r="L349" s="72"/>
      <c r="M349" s="72"/>
      <c r="N349" s="72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127"/>
      <c r="H350" s="127"/>
      <c r="I350" s="127"/>
      <c r="J350" s="127"/>
      <c r="K350" s="72"/>
      <c r="L350" s="72"/>
      <c r="M350" s="72"/>
      <c r="N350" s="72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127"/>
      <c r="H351" s="127"/>
      <c r="I351" s="127"/>
      <c r="J351" s="127"/>
      <c r="K351" s="72"/>
      <c r="L351" s="72"/>
      <c r="M351" s="72"/>
      <c r="N351" s="72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127"/>
      <c r="H352" s="127"/>
      <c r="I352" s="127"/>
      <c r="J352" s="127"/>
      <c r="K352" s="72"/>
      <c r="L352" s="72"/>
      <c r="M352" s="72"/>
      <c r="N352" s="72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127"/>
      <c r="H353" s="127"/>
      <c r="I353" s="127"/>
      <c r="J353" s="127"/>
      <c r="K353" s="72"/>
      <c r="L353" s="72"/>
      <c r="M353" s="72"/>
      <c r="N353" s="72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127"/>
      <c r="H354" s="127"/>
      <c r="I354" s="127"/>
      <c r="J354" s="127"/>
      <c r="K354" s="72"/>
      <c r="L354" s="72"/>
      <c r="M354" s="72"/>
      <c r="N354" s="72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127"/>
      <c r="H355" s="127"/>
      <c r="I355" s="127"/>
      <c r="J355" s="127"/>
      <c r="K355" s="72"/>
      <c r="L355" s="72"/>
      <c r="M355" s="72"/>
      <c r="N355" s="72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127"/>
      <c r="H356" s="127"/>
      <c r="I356" s="127"/>
      <c r="J356" s="127"/>
      <c r="K356" s="72"/>
      <c r="L356" s="72"/>
      <c r="M356" s="72"/>
      <c r="N356" s="72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127"/>
      <c r="H357" s="127"/>
      <c r="I357" s="127"/>
      <c r="J357" s="127"/>
      <c r="K357" s="72"/>
      <c r="L357" s="72"/>
      <c r="M357" s="72"/>
      <c r="N357" s="72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127"/>
      <c r="H358" s="127"/>
      <c r="I358" s="127"/>
      <c r="J358" s="127"/>
      <c r="K358" s="72"/>
      <c r="L358" s="72"/>
      <c r="M358" s="72"/>
      <c r="N358" s="72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127"/>
      <c r="H359" s="127"/>
      <c r="I359" s="127"/>
      <c r="J359" s="127"/>
      <c r="K359" s="72"/>
      <c r="L359" s="72"/>
      <c r="M359" s="72"/>
      <c r="N359" s="72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127"/>
      <c r="H360" s="127"/>
      <c r="I360" s="127"/>
      <c r="J360" s="127"/>
      <c r="K360" s="72"/>
      <c r="L360" s="72"/>
      <c r="M360" s="72"/>
      <c r="N360" s="72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127"/>
      <c r="H361" s="127"/>
      <c r="I361" s="127"/>
      <c r="J361" s="127"/>
      <c r="K361" s="72"/>
      <c r="L361" s="72"/>
      <c r="M361" s="72"/>
      <c r="N361" s="72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127"/>
      <c r="H362" s="127"/>
      <c r="I362" s="127"/>
      <c r="J362" s="127"/>
      <c r="K362" s="72"/>
      <c r="L362" s="72"/>
      <c r="M362" s="72"/>
      <c r="N362" s="72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127"/>
      <c r="H363" s="127"/>
      <c r="I363" s="127"/>
      <c r="J363" s="127"/>
      <c r="K363" s="72"/>
      <c r="L363" s="72"/>
      <c r="M363" s="72"/>
      <c r="N363" s="72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127"/>
      <c r="H364" s="127"/>
      <c r="I364" s="127"/>
      <c r="J364" s="127"/>
      <c r="K364" s="72"/>
      <c r="L364" s="72"/>
      <c r="M364" s="72"/>
      <c r="N364" s="72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127"/>
      <c r="H365" s="127"/>
      <c r="I365" s="127"/>
      <c r="J365" s="127"/>
      <c r="K365" s="72"/>
      <c r="L365" s="72"/>
      <c r="M365" s="72"/>
      <c r="N365" s="72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127"/>
      <c r="H366" s="127"/>
      <c r="I366" s="127"/>
      <c r="J366" s="127"/>
      <c r="K366" s="72"/>
      <c r="L366" s="72"/>
      <c r="M366" s="72"/>
      <c r="N366" s="72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127"/>
      <c r="H367" s="127"/>
      <c r="I367" s="127"/>
      <c r="J367" s="127"/>
      <c r="K367" s="72"/>
      <c r="L367" s="72"/>
      <c r="M367" s="72"/>
      <c r="N367" s="72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127"/>
      <c r="H368" s="127"/>
      <c r="I368" s="127"/>
      <c r="J368" s="127"/>
      <c r="K368" s="72"/>
      <c r="L368" s="72"/>
      <c r="M368" s="72"/>
      <c r="N368" s="72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127"/>
      <c r="H369" s="127"/>
      <c r="I369" s="127"/>
      <c r="J369" s="127"/>
      <c r="K369" s="72"/>
      <c r="L369" s="72"/>
      <c r="M369" s="72"/>
      <c r="N369" s="72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127"/>
      <c r="H370" s="127"/>
      <c r="I370" s="127"/>
      <c r="J370" s="127"/>
      <c r="K370" s="72"/>
      <c r="L370" s="72"/>
      <c r="M370" s="72"/>
      <c r="N370" s="72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127"/>
      <c r="H371" s="127"/>
      <c r="I371" s="127"/>
      <c r="J371" s="127"/>
      <c r="K371" s="72"/>
      <c r="L371" s="72"/>
      <c r="M371" s="72"/>
      <c r="N371" s="72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127"/>
      <c r="H372" s="127"/>
      <c r="I372" s="127"/>
      <c r="J372" s="127"/>
      <c r="K372" s="72"/>
      <c r="L372" s="72"/>
      <c r="M372" s="72"/>
      <c r="N372" s="72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127"/>
      <c r="H373" s="127"/>
      <c r="I373" s="127"/>
      <c r="J373" s="127"/>
      <c r="K373" s="72"/>
      <c r="L373" s="72"/>
      <c r="M373" s="72"/>
      <c r="N373" s="72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127"/>
      <c r="H374" s="127"/>
      <c r="I374" s="127"/>
      <c r="J374" s="127"/>
      <c r="K374" s="72"/>
      <c r="L374" s="72"/>
      <c r="M374" s="72"/>
      <c r="N374" s="72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127"/>
      <c r="H375" s="127"/>
      <c r="I375" s="127"/>
      <c r="J375" s="127"/>
      <c r="K375" s="72"/>
      <c r="L375" s="72"/>
      <c r="M375" s="72"/>
      <c r="N375" s="72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127"/>
      <c r="H376" s="127"/>
      <c r="I376" s="127"/>
      <c r="J376" s="127"/>
      <c r="K376" s="72"/>
      <c r="L376" s="72"/>
      <c r="M376" s="72"/>
      <c r="N376" s="72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127"/>
      <c r="H377" s="127"/>
      <c r="I377" s="127"/>
      <c r="J377" s="127"/>
      <c r="K377" s="72"/>
      <c r="L377" s="72"/>
      <c r="M377" s="72"/>
      <c r="N377" s="72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127"/>
      <c r="H378" s="127"/>
      <c r="I378" s="127"/>
      <c r="J378" s="127"/>
      <c r="K378" s="72"/>
      <c r="L378" s="72"/>
      <c r="M378" s="72"/>
      <c r="N378" s="72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127"/>
      <c r="H379" s="127"/>
      <c r="I379" s="127"/>
      <c r="J379" s="127"/>
      <c r="K379" s="72"/>
      <c r="L379" s="72"/>
      <c r="M379" s="72"/>
      <c r="N379" s="72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127"/>
      <c r="H380" s="127"/>
      <c r="I380" s="127"/>
      <c r="J380" s="127"/>
      <c r="K380" s="72"/>
      <c r="L380" s="72"/>
      <c r="M380" s="72"/>
      <c r="N380" s="72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127"/>
      <c r="H381" s="127"/>
      <c r="I381" s="127"/>
      <c r="J381" s="127"/>
      <c r="K381" s="72"/>
      <c r="L381" s="72"/>
      <c r="M381" s="72"/>
      <c r="N381" s="72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127"/>
      <c r="H382" s="127"/>
      <c r="I382" s="127"/>
      <c r="J382" s="127"/>
      <c r="K382" s="72"/>
      <c r="L382" s="72"/>
      <c r="M382" s="72"/>
      <c r="N382" s="72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127"/>
      <c r="H383" s="127"/>
      <c r="I383" s="127"/>
      <c r="J383" s="127"/>
      <c r="K383" s="72"/>
      <c r="L383" s="72"/>
      <c r="M383" s="72"/>
      <c r="N383" s="72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127"/>
      <c r="H384" s="127"/>
      <c r="I384" s="127"/>
      <c r="J384" s="127"/>
      <c r="K384" s="72"/>
      <c r="L384" s="72"/>
      <c r="M384" s="72"/>
      <c r="N384" s="72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127"/>
      <c r="H385" s="127"/>
      <c r="I385" s="127"/>
      <c r="J385" s="127"/>
      <c r="K385" s="72"/>
      <c r="L385" s="72"/>
      <c r="M385" s="72"/>
      <c r="N385" s="72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127"/>
      <c r="H386" s="127"/>
      <c r="I386" s="127"/>
      <c r="J386" s="127"/>
      <c r="K386" s="72"/>
      <c r="L386" s="72"/>
      <c r="M386" s="72"/>
      <c r="N386" s="72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127"/>
      <c r="H387" s="127"/>
      <c r="I387" s="127"/>
      <c r="J387" s="127"/>
      <c r="K387" s="72"/>
      <c r="L387" s="72"/>
      <c r="M387" s="72"/>
      <c r="N387" s="72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127"/>
      <c r="H388" s="127"/>
      <c r="I388" s="127"/>
      <c r="J388" s="127"/>
      <c r="K388" s="72"/>
      <c r="L388" s="72"/>
      <c r="M388" s="72"/>
      <c r="N388" s="72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127"/>
      <c r="H389" s="127"/>
      <c r="I389" s="127"/>
      <c r="J389" s="127"/>
      <c r="K389" s="72"/>
      <c r="L389" s="72"/>
      <c r="M389" s="72"/>
      <c r="N389" s="72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127"/>
      <c r="H390" s="127"/>
      <c r="I390" s="127"/>
      <c r="J390" s="127"/>
      <c r="K390" s="72"/>
      <c r="L390" s="72"/>
      <c r="M390" s="72"/>
      <c r="N390" s="72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127"/>
      <c r="H391" s="127"/>
      <c r="I391" s="127"/>
      <c r="J391" s="127"/>
      <c r="K391" s="72"/>
      <c r="L391" s="72"/>
      <c r="M391" s="72"/>
      <c r="N391" s="72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127"/>
      <c r="H392" s="127"/>
      <c r="I392" s="127"/>
      <c r="J392" s="127"/>
      <c r="K392" s="72"/>
      <c r="L392" s="72"/>
      <c r="M392" s="72"/>
      <c r="N392" s="72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127"/>
      <c r="H393" s="127"/>
      <c r="I393" s="127"/>
      <c r="J393" s="127"/>
      <c r="K393" s="72"/>
      <c r="L393" s="72"/>
      <c r="M393" s="72"/>
      <c r="N393" s="72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127"/>
      <c r="H394" s="127"/>
      <c r="I394" s="127"/>
      <c r="J394" s="127"/>
      <c r="K394" s="72"/>
      <c r="L394" s="72"/>
      <c r="M394" s="72"/>
      <c r="N394" s="72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127"/>
      <c r="H395" s="127"/>
      <c r="I395" s="127"/>
      <c r="J395" s="127"/>
      <c r="K395" s="72"/>
      <c r="L395" s="72"/>
      <c r="M395" s="72"/>
      <c r="N395" s="72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127"/>
      <c r="H396" s="127"/>
      <c r="I396" s="127"/>
      <c r="J396" s="127"/>
      <c r="K396" s="72"/>
      <c r="L396" s="72"/>
      <c r="M396" s="72"/>
      <c r="N396" s="72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127"/>
      <c r="H397" s="127"/>
      <c r="I397" s="127"/>
      <c r="J397" s="127"/>
      <c r="K397" s="72"/>
      <c r="L397" s="72"/>
      <c r="M397" s="72"/>
      <c r="N397" s="72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127"/>
      <c r="H398" s="127"/>
      <c r="I398" s="127"/>
      <c r="J398" s="127"/>
      <c r="K398" s="72"/>
      <c r="L398" s="72"/>
      <c r="M398" s="72"/>
      <c r="N398" s="72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127"/>
      <c r="H399" s="127"/>
      <c r="I399" s="127"/>
      <c r="J399" s="127"/>
      <c r="K399" s="72"/>
      <c r="L399" s="72"/>
      <c r="M399" s="72"/>
      <c r="N399" s="72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127"/>
      <c r="H400" s="127"/>
      <c r="I400" s="127"/>
      <c r="J400" s="127"/>
      <c r="K400" s="72"/>
      <c r="L400" s="72"/>
      <c r="M400" s="72"/>
      <c r="N400" s="72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127"/>
      <c r="H401" s="127"/>
      <c r="I401" s="127"/>
      <c r="J401" s="127"/>
      <c r="K401" s="72"/>
      <c r="L401" s="72"/>
      <c r="M401" s="72"/>
      <c r="N401" s="72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127"/>
      <c r="H402" s="127"/>
      <c r="I402" s="127"/>
      <c r="J402" s="127"/>
      <c r="K402" s="72"/>
      <c r="L402" s="72"/>
      <c r="M402" s="72"/>
      <c r="N402" s="72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127"/>
      <c r="H403" s="127"/>
      <c r="I403" s="127"/>
      <c r="J403" s="127"/>
      <c r="K403" s="72"/>
      <c r="L403" s="72"/>
      <c r="M403" s="72"/>
      <c r="N403" s="72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127"/>
      <c r="H404" s="127"/>
      <c r="I404" s="127"/>
      <c r="J404" s="127"/>
      <c r="K404" s="72"/>
      <c r="L404" s="72"/>
      <c r="M404" s="72"/>
      <c r="N404" s="72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127"/>
      <c r="H405" s="127"/>
      <c r="I405" s="127"/>
      <c r="J405" s="127"/>
      <c r="K405" s="72"/>
      <c r="L405" s="72"/>
      <c r="M405" s="72"/>
      <c r="N405" s="72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127"/>
      <c r="H406" s="127"/>
      <c r="I406" s="127"/>
      <c r="J406" s="127"/>
      <c r="K406" s="72"/>
      <c r="L406" s="72"/>
      <c r="M406" s="72"/>
      <c r="N406" s="72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127"/>
      <c r="H407" s="127"/>
      <c r="I407" s="127"/>
      <c r="J407" s="127"/>
      <c r="K407" s="72"/>
      <c r="L407" s="72"/>
      <c r="M407" s="72"/>
      <c r="N407" s="72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127"/>
      <c r="H408" s="127"/>
      <c r="I408" s="127"/>
      <c r="J408" s="127"/>
      <c r="K408" s="72"/>
      <c r="L408" s="72"/>
      <c r="M408" s="72"/>
      <c r="N408" s="72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127"/>
      <c r="H409" s="127"/>
      <c r="I409" s="127"/>
      <c r="J409" s="127"/>
      <c r="K409" s="72"/>
      <c r="L409" s="72"/>
      <c r="M409" s="72"/>
      <c r="N409" s="72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127"/>
      <c r="H410" s="127"/>
      <c r="I410" s="127"/>
      <c r="J410" s="127"/>
      <c r="K410" s="72"/>
      <c r="L410" s="72"/>
      <c r="M410" s="72"/>
      <c r="N410" s="72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127"/>
      <c r="H411" s="127"/>
      <c r="I411" s="127"/>
      <c r="J411" s="127"/>
      <c r="K411" s="72"/>
      <c r="L411" s="72"/>
      <c r="M411" s="72"/>
      <c r="N411" s="72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127"/>
      <c r="H412" s="127"/>
      <c r="I412" s="127"/>
      <c r="J412" s="127"/>
      <c r="K412" s="72"/>
      <c r="L412" s="72"/>
      <c r="M412" s="72"/>
      <c r="N412" s="72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127"/>
      <c r="H413" s="127"/>
      <c r="I413" s="127"/>
      <c r="J413" s="127"/>
      <c r="K413" s="72"/>
      <c r="L413" s="72"/>
      <c r="M413" s="72"/>
      <c r="N413" s="72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127"/>
      <c r="H414" s="127"/>
      <c r="I414" s="127"/>
      <c r="J414" s="127"/>
      <c r="K414" s="72"/>
      <c r="L414" s="72"/>
      <c r="M414" s="72"/>
      <c r="N414" s="72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127"/>
      <c r="H415" s="127"/>
      <c r="I415" s="127"/>
      <c r="J415" s="127"/>
      <c r="K415" s="72"/>
      <c r="L415" s="72"/>
      <c r="M415" s="72"/>
      <c r="N415" s="72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127"/>
      <c r="H416" s="127"/>
      <c r="I416" s="127"/>
      <c r="J416" s="127"/>
      <c r="K416" s="72"/>
      <c r="L416" s="72"/>
      <c r="M416" s="72"/>
      <c r="N416" s="72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127"/>
      <c r="H417" s="127"/>
      <c r="I417" s="127"/>
      <c r="J417" s="127"/>
      <c r="K417" s="72"/>
      <c r="L417" s="72"/>
      <c r="M417" s="72"/>
      <c r="N417" s="72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127"/>
      <c r="H418" s="127"/>
      <c r="I418" s="127"/>
      <c r="J418" s="127"/>
      <c r="K418" s="72"/>
      <c r="L418" s="72"/>
      <c r="M418" s="72"/>
      <c r="N418" s="72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127"/>
      <c r="H419" s="127"/>
      <c r="I419" s="127"/>
      <c r="J419" s="127"/>
      <c r="K419" s="72"/>
      <c r="L419" s="72"/>
      <c r="M419" s="72"/>
      <c r="N419" s="72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127"/>
      <c r="H420" s="127"/>
      <c r="I420" s="127"/>
      <c r="J420" s="127"/>
      <c r="K420" s="72"/>
      <c r="L420" s="72"/>
      <c r="M420" s="72"/>
      <c r="N420" s="72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127"/>
      <c r="H421" s="127"/>
      <c r="I421" s="127"/>
      <c r="J421" s="127"/>
      <c r="K421" s="72"/>
      <c r="L421" s="72"/>
      <c r="M421" s="72"/>
      <c r="N421" s="72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127"/>
      <c r="H422" s="127"/>
      <c r="I422" s="127"/>
      <c r="J422" s="127"/>
      <c r="K422" s="72"/>
      <c r="L422" s="72"/>
      <c r="M422" s="72"/>
      <c r="N422" s="72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127"/>
      <c r="H423" s="127"/>
      <c r="I423" s="127"/>
      <c r="J423" s="127"/>
      <c r="K423" s="72"/>
      <c r="L423" s="72"/>
      <c r="M423" s="72"/>
      <c r="N423" s="72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127"/>
      <c r="H424" s="127"/>
      <c r="I424" s="127"/>
      <c r="J424" s="127"/>
      <c r="K424" s="72"/>
      <c r="L424" s="72"/>
      <c r="M424" s="72"/>
      <c r="N424" s="72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127"/>
      <c r="H425" s="127"/>
      <c r="I425" s="127"/>
      <c r="J425" s="127"/>
      <c r="K425" s="72"/>
      <c r="L425" s="72"/>
      <c r="M425" s="72"/>
      <c r="N425" s="72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127"/>
      <c r="H426" s="127"/>
      <c r="I426" s="127"/>
      <c r="J426" s="127"/>
      <c r="K426" s="72"/>
      <c r="L426" s="72"/>
      <c r="M426" s="72"/>
      <c r="N426" s="72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127"/>
      <c r="H427" s="127"/>
      <c r="I427" s="127"/>
      <c r="J427" s="127"/>
      <c r="K427" s="72"/>
      <c r="L427" s="72"/>
      <c r="M427" s="72"/>
      <c r="N427" s="72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127"/>
      <c r="H428" s="127"/>
      <c r="I428" s="127"/>
      <c r="J428" s="127"/>
      <c r="K428" s="72"/>
      <c r="L428" s="72"/>
      <c r="M428" s="72"/>
      <c r="N428" s="72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127"/>
      <c r="H429" s="127"/>
      <c r="I429" s="127"/>
      <c r="J429" s="127"/>
      <c r="K429" s="72"/>
      <c r="L429" s="72"/>
      <c r="M429" s="72"/>
      <c r="N429" s="72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127"/>
      <c r="H430" s="127"/>
      <c r="I430" s="127"/>
      <c r="J430" s="127"/>
      <c r="K430" s="72"/>
      <c r="L430" s="72"/>
      <c r="M430" s="72"/>
      <c r="N430" s="72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127"/>
      <c r="H431" s="127"/>
      <c r="I431" s="127"/>
      <c r="J431" s="127"/>
      <c r="K431" s="72"/>
      <c r="L431" s="72"/>
      <c r="M431" s="72"/>
      <c r="N431" s="72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127"/>
      <c r="H432" s="127"/>
      <c r="I432" s="127"/>
      <c r="J432" s="127"/>
      <c r="K432" s="72"/>
      <c r="L432" s="72"/>
      <c r="M432" s="72"/>
      <c r="N432" s="72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127"/>
      <c r="H433" s="127"/>
      <c r="I433" s="127"/>
      <c r="J433" s="127"/>
      <c r="K433" s="72"/>
      <c r="L433" s="72"/>
      <c r="M433" s="72"/>
      <c r="N433" s="72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127"/>
      <c r="H434" s="127"/>
      <c r="I434" s="127"/>
      <c r="J434" s="127"/>
      <c r="K434" s="72"/>
      <c r="L434" s="72"/>
      <c r="M434" s="72"/>
      <c r="N434" s="72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127"/>
      <c r="H435" s="127"/>
      <c r="I435" s="127"/>
      <c r="J435" s="127"/>
      <c r="K435" s="72"/>
      <c r="L435" s="72"/>
      <c r="M435" s="72"/>
      <c r="N435" s="72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127"/>
      <c r="H436" s="127"/>
      <c r="I436" s="127"/>
      <c r="J436" s="127"/>
      <c r="K436" s="72"/>
      <c r="L436" s="72"/>
      <c r="M436" s="72"/>
      <c r="N436" s="72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127"/>
      <c r="H437" s="127"/>
      <c r="I437" s="127"/>
      <c r="J437" s="127"/>
      <c r="K437" s="72"/>
      <c r="L437" s="72"/>
      <c r="M437" s="72"/>
      <c r="N437" s="72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127"/>
      <c r="H438" s="127"/>
      <c r="I438" s="127"/>
      <c r="J438" s="127"/>
      <c r="K438" s="72"/>
      <c r="L438" s="72"/>
      <c r="M438" s="72"/>
      <c r="N438" s="72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127"/>
      <c r="H439" s="127"/>
      <c r="I439" s="127"/>
      <c r="J439" s="127"/>
      <c r="K439" s="72"/>
      <c r="L439" s="72"/>
      <c r="M439" s="72"/>
      <c r="N439" s="72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127"/>
      <c r="H440" s="127"/>
      <c r="I440" s="127"/>
      <c r="J440" s="127"/>
      <c r="K440" s="72"/>
      <c r="L440" s="72"/>
      <c r="M440" s="72"/>
      <c r="N440" s="72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127"/>
      <c r="H441" s="127"/>
      <c r="I441" s="127"/>
      <c r="J441" s="127"/>
      <c r="K441" s="72"/>
      <c r="L441" s="72"/>
      <c r="M441" s="72"/>
      <c r="N441" s="72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127"/>
      <c r="H442" s="127"/>
      <c r="I442" s="127"/>
      <c r="J442" s="127"/>
      <c r="K442" s="72"/>
      <c r="L442" s="72"/>
      <c r="M442" s="72"/>
      <c r="N442" s="72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127"/>
      <c r="H443" s="127"/>
      <c r="I443" s="127"/>
      <c r="J443" s="127"/>
      <c r="K443" s="72"/>
      <c r="L443" s="72"/>
      <c r="M443" s="72"/>
      <c r="N443" s="72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127"/>
      <c r="H444" s="127"/>
      <c r="I444" s="127"/>
      <c r="J444" s="127"/>
      <c r="K444" s="72"/>
      <c r="L444" s="72"/>
      <c r="M444" s="72"/>
      <c r="N444" s="72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127"/>
      <c r="H445" s="127"/>
      <c r="I445" s="127"/>
      <c r="J445" s="127"/>
      <c r="K445" s="72"/>
      <c r="L445" s="72"/>
      <c r="M445" s="72"/>
      <c r="N445" s="72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127"/>
      <c r="H446" s="127"/>
      <c r="I446" s="127"/>
      <c r="J446" s="127"/>
      <c r="K446" s="72"/>
      <c r="L446" s="72"/>
      <c r="M446" s="72"/>
      <c r="N446" s="72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127"/>
      <c r="H447" s="127"/>
      <c r="I447" s="127"/>
      <c r="J447" s="127"/>
      <c r="K447" s="72"/>
      <c r="L447" s="72"/>
      <c r="M447" s="72"/>
      <c r="N447" s="72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127"/>
      <c r="H448" s="127"/>
      <c r="I448" s="127"/>
      <c r="J448" s="127"/>
      <c r="K448" s="72"/>
      <c r="L448" s="72"/>
      <c r="M448" s="72"/>
      <c r="N448" s="72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127"/>
      <c r="H449" s="127"/>
      <c r="I449" s="127"/>
      <c r="J449" s="127"/>
      <c r="K449" s="72"/>
      <c r="L449" s="72"/>
      <c r="M449" s="72"/>
      <c r="N449" s="72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127"/>
      <c r="H450" s="127"/>
      <c r="I450" s="127"/>
      <c r="J450" s="127"/>
      <c r="K450" s="72"/>
      <c r="L450" s="72"/>
      <c r="M450" s="72"/>
      <c r="N450" s="72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127"/>
      <c r="H451" s="127"/>
      <c r="I451" s="127"/>
      <c r="J451" s="127"/>
      <c r="K451" s="72"/>
      <c r="L451" s="72"/>
      <c r="M451" s="72"/>
      <c r="N451" s="72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127"/>
      <c r="H452" s="127"/>
      <c r="I452" s="127"/>
      <c r="J452" s="127"/>
      <c r="K452" s="72"/>
      <c r="L452" s="72"/>
      <c r="M452" s="72"/>
      <c r="N452" s="72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127"/>
      <c r="H453" s="127"/>
      <c r="I453" s="127"/>
      <c r="J453" s="127"/>
      <c r="K453" s="72"/>
      <c r="L453" s="72"/>
      <c r="M453" s="72"/>
      <c r="N453" s="72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127"/>
      <c r="H454" s="127"/>
      <c r="I454" s="127"/>
      <c r="J454" s="127"/>
      <c r="K454" s="72"/>
      <c r="L454" s="72"/>
      <c r="M454" s="72"/>
      <c r="N454" s="72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127"/>
      <c r="H455" s="127"/>
      <c r="I455" s="127"/>
      <c r="J455" s="127"/>
      <c r="K455" s="72"/>
      <c r="L455" s="72"/>
      <c r="M455" s="72"/>
      <c r="N455" s="72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127"/>
      <c r="H456" s="127"/>
      <c r="I456" s="127"/>
      <c r="J456" s="127"/>
      <c r="K456" s="72"/>
      <c r="L456" s="72"/>
      <c r="M456" s="72"/>
      <c r="N456" s="72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127"/>
      <c r="H457" s="127"/>
      <c r="I457" s="127"/>
      <c r="J457" s="127"/>
      <c r="K457" s="72"/>
      <c r="L457" s="72"/>
      <c r="M457" s="72"/>
      <c r="N457" s="72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127"/>
      <c r="H458" s="127"/>
      <c r="I458" s="127"/>
      <c r="J458" s="127"/>
      <c r="K458" s="72"/>
      <c r="L458" s="72"/>
      <c r="M458" s="72"/>
      <c r="N458" s="72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127"/>
      <c r="H459" s="127"/>
      <c r="I459" s="127"/>
      <c r="J459" s="127"/>
      <c r="K459" s="72"/>
      <c r="L459" s="72"/>
      <c r="M459" s="72"/>
      <c r="N459" s="72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127"/>
      <c r="H460" s="127"/>
      <c r="I460" s="127"/>
      <c r="J460" s="127"/>
      <c r="K460" s="72"/>
      <c r="L460" s="72"/>
      <c r="M460" s="72"/>
      <c r="N460" s="72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127"/>
      <c r="H461" s="127"/>
      <c r="I461" s="127"/>
      <c r="J461" s="127"/>
      <c r="K461" s="72"/>
      <c r="L461" s="72"/>
      <c r="M461" s="72"/>
      <c r="N461" s="72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127"/>
      <c r="H462" s="127"/>
      <c r="I462" s="127"/>
      <c r="J462" s="127"/>
      <c r="K462" s="72"/>
      <c r="L462" s="72"/>
      <c r="M462" s="72"/>
      <c r="N462" s="72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127"/>
      <c r="H463" s="127"/>
      <c r="I463" s="127"/>
      <c r="J463" s="127"/>
      <c r="K463" s="72"/>
      <c r="L463" s="72"/>
      <c r="M463" s="72"/>
      <c r="N463" s="72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127"/>
      <c r="H464" s="127"/>
      <c r="I464" s="127"/>
      <c r="J464" s="127"/>
      <c r="K464" s="72"/>
      <c r="L464" s="72"/>
      <c r="M464" s="72"/>
      <c r="N464" s="72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127"/>
      <c r="H465" s="127"/>
      <c r="I465" s="127"/>
      <c r="J465" s="127"/>
      <c r="K465" s="72"/>
      <c r="L465" s="72"/>
      <c r="M465" s="72"/>
      <c r="N465" s="72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127"/>
      <c r="H466" s="127"/>
      <c r="I466" s="127"/>
      <c r="J466" s="127"/>
      <c r="K466" s="72"/>
      <c r="L466" s="72"/>
      <c r="M466" s="72"/>
      <c r="N466" s="72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127"/>
      <c r="H467" s="127"/>
      <c r="I467" s="127"/>
      <c r="J467" s="127"/>
      <c r="K467" s="72"/>
      <c r="L467" s="72"/>
      <c r="M467" s="72"/>
      <c r="N467" s="72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127"/>
      <c r="H468" s="127"/>
      <c r="I468" s="127"/>
      <c r="J468" s="127"/>
      <c r="K468" s="72"/>
      <c r="L468" s="72"/>
      <c r="M468" s="72"/>
      <c r="N468" s="72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127"/>
      <c r="H469" s="127"/>
      <c r="I469" s="127"/>
      <c r="J469" s="127"/>
      <c r="K469" s="72"/>
      <c r="L469" s="72"/>
      <c r="M469" s="72"/>
      <c r="N469" s="72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127"/>
      <c r="H470" s="127"/>
      <c r="I470" s="127"/>
      <c r="J470" s="127"/>
      <c r="K470" s="72"/>
      <c r="L470" s="72"/>
      <c r="M470" s="72"/>
      <c r="N470" s="72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127"/>
      <c r="H471" s="127"/>
      <c r="I471" s="127"/>
      <c r="J471" s="127"/>
      <c r="K471" s="72"/>
      <c r="L471" s="72"/>
      <c r="M471" s="72"/>
      <c r="N471" s="72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127"/>
      <c r="H472" s="127"/>
      <c r="I472" s="127"/>
      <c r="J472" s="127"/>
      <c r="K472" s="72"/>
      <c r="L472" s="72"/>
      <c r="M472" s="72"/>
      <c r="N472" s="72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127"/>
      <c r="H473" s="127"/>
      <c r="I473" s="127"/>
      <c r="J473" s="127"/>
      <c r="K473" s="72"/>
      <c r="L473" s="72"/>
      <c r="M473" s="72"/>
      <c r="N473" s="72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127"/>
      <c r="H474" s="127"/>
      <c r="I474" s="127"/>
      <c r="J474" s="127"/>
      <c r="K474" s="72"/>
      <c r="L474" s="72"/>
      <c r="M474" s="72"/>
      <c r="N474" s="72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127"/>
      <c r="H475" s="127"/>
      <c r="I475" s="127"/>
      <c r="J475" s="127"/>
      <c r="K475" s="72"/>
      <c r="L475" s="72"/>
      <c r="M475" s="72"/>
      <c r="N475" s="72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127"/>
      <c r="H476" s="127"/>
      <c r="I476" s="127"/>
      <c r="J476" s="127"/>
      <c r="K476" s="72"/>
      <c r="L476" s="72"/>
      <c r="M476" s="72"/>
      <c r="N476" s="72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127"/>
      <c r="H477" s="127"/>
      <c r="I477" s="127"/>
      <c r="J477" s="127"/>
      <c r="K477" s="72"/>
      <c r="L477" s="72"/>
      <c r="M477" s="72"/>
      <c r="N477" s="72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127"/>
      <c r="H478" s="127"/>
      <c r="I478" s="127"/>
      <c r="J478" s="127"/>
      <c r="K478" s="72"/>
      <c r="L478" s="72"/>
      <c r="M478" s="72"/>
      <c r="N478" s="72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127"/>
      <c r="H479" s="127"/>
      <c r="I479" s="127"/>
      <c r="J479" s="127"/>
      <c r="K479" s="72"/>
      <c r="L479" s="72"/>
      <c r="M479" s="72"/>
      <c r="N479" s="72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127"/>
      <c r="H480" s="127"/>
      <c r="I480" s="127"/>
      <c r="J480" s="127"/>
      <c r="K480" s="72"/>
      <c r="L480" s="72"/>
      <c r="M480" s="72"/>
      <c r="N480" s="72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127"/>
      <c r="H481" s="127"/>
      <c r="I481" s="127"/>
      <c r="J481" s="127"/>
      <c r="K481" s="72"/>
      <c r="L481" s="72"/>
      <c r="M481" s="72"/>
      <c r="N481" s="72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127"/>
      <c r="H482" s="127"/>
      <c r="I482" s="127"/>
      <c r="J482" s="127"/>
      <c r="K482" s="72"/>
      <c r="L482" s="72"/>
      <c r="M482" s="72"/>
      <c r="N482" s="72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127"/>
      <c r="H483" s="127"/>
      <c r="I483" s="127"/>
      <c r="J483" s="127"/>
      <c r="K483" s="72"/>
      <c r="L483" s="72"/>
      <c r="M483" s="72"/>
      <c r="N483" s="72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127"/>
      <c r="H484" s="127"/>
      <c r="I484" s="127"/>
      <c r="J484" s="127"/>
      <c r="K484" s="72"/>
      <c r="L484" s="72"/>
      <c r="M484" s="72"/>
      <c r="N484" s="72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127"/>
      <c r="H485" s="127"/>
      <c r="I485" s="127"/>
      <c r="J485" s="127"/>
      <c r="K485" s="72"/>
      <c r="L485" s="72"/>
      <c r="M485" s="72"/>
      <c r="N485" s="72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127"/>
      <c r="H486" s="127"/>
      <c r="I486" s="127"/>
      <c r="J486" s="127"/>
      <c r="K486" s="72"/>
      <c r="L486" s="72"/>
      <c r="M486" s="72"/>
      <c r="N486" s="72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127"/>
      <c r="H487" s="127"/>
      <c r="I487" s="127"/>
      <c r="J487" s="127"/>
      <c r="K487" s="72"/>
      <c r="L487" s="72"/>
      <c r="M487" s="72"/>
      <c r="N487" s="72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127"/>
      <c r="H488" s="127"/>
      <c r="I488" s="127"/>
      <c r="J488" s="127"/>
      <c r="K488" s="72"/>
      <c r="L488" s="72"/>
      <c r="M488" s="72"/>
      <c r="N488" s="72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127"/>
      <c r="H489" s="127"/>
      <c r="I489" s="127"/>
      <c r="J489" s="127"/>
      <c r="K489" s="72"/>
      <c r="L489" s="72"/>
      <c r="M489" s="72"/>
      <c r="N489" s="72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127"/>
      <c r="H490" s="127"/>
      <c r="I490" s="127"/>
      <c r="J490" s="127"/>
      <c r="K490" s="72"/>
      <c r="L490" s="72"/>
      <c r="M490" s="72"/>
      <c r="N490" s="72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127"/>
      <c r="H491" s="127"/>
      <c r="I491" s="127"/>
      <c r="J491" s="127"/>
      <c r="K491" s="72"/>
      <c r="L491" s="72"/>
      <c r="M491" s="72"/>
      <c r="N491" s="72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127"/>
      <c r="H492" s="127"/>
      <c r="I492" s="127"/>
      <c r="J492" s="127"/>
      <c r="K492" s="72"/>
      <c r="L492" s="72"/>
      <c r="M492" s="72"/>
      <c r="N492" s="72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127"/>
      <c r="H493" s="127"/>
      <c r="I493" s="127"/>
      <c r="J493" s="127"/>
      <c r="K493" s="72"/>
      <c r="L493" s="72"/>
      <c r="M493" s="72"/>
      <c r="N493" s="72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127"/>
      <c r="H494" s="127"/>
      <c r="I494" s="127"/>
      <c r="J494" s="127"/>
      <c r="K494" s="72"/>
      <c r="L494" s="72"/>
      <c r="M494" s="72"/>
      <c r="N494" s="72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127"/>
      <c r="H495" s="127"/>
      <c r="I495" s="127"/>
      <c r="J495" s="127"/>
      <c r="K495" s="72"/>
      <c r="L495" s="72"/>
      <c r="M495" s="72"/>
      <c r="N495" s="72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127"/>
      <c r="H496" s="127"/>
      <c r="I496" s="127"/>
      <c r="J496" s="127"/>
      <c r="K496" s="72"/>
      <c r="L496" s="72"/>
      <c r="M496" s="72"/>
      <c r="N496" s="72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127"/>
      <c r="H497" s="127"/>
      <c r="I497" s="127"/>
      <c r="J497" s="127"/>
      <c r="K497" s="72"/>
      <c r="L497" s="72"/>
      <c r="M497" s="72"/>
      <c r="N497" s="72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127"/>
      <c r="H498" s="127"/>
      <c r="I498" s="127"/>
      <c r="J498" s="127"/>
      <c r="K498" s="72"/>
      <c r="L498" s="72"/>
      <c r="M498" s="72"/>
      <c r="N498" s="72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127"/>
      <c r="H499" s="127"/>
      <c r="I499" s="127"/>
      <c r="J499" s="127"/>
      <c r="K499" s="72"/>
      <c r="L499" s="72"/>
      <c r="M499" s="72"/>
      <c r="N499" s="72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127"/>
      <c r="H500" s="127"/>
      <c r="I500" s="127"/>
      <c r="J500" s="127"/>
      <c r="K500" s="72"/>
      <c r="L500" s="72"/>
      <c r="M500" s="72"/>
      <c r="N500" s="72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127"/>
      <c r="H501" s="127"/>
      <c r="I501" s="127"/>
      <c r="J501" s="127"/>
      <c r="K501" s="72"/>
      <c r="L501" s="72"/>
      <c r="M501" s="72"/>
      <c r="N501" s="72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127"/>
      <c r="H502" s="127"/>
      <c r="I502" s="127"/>
      <c r="J502" s="127"/>
      <c r="K502" s="72"/>
      <c r="L502" s="72"/>
      <c r="M502" s="72"/>
      <c r="N502" s="72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127"/>
      <c r="H503" s="127"/>
      <c r="I503" s="127"/>
      <c r="J503" s="127"/>
      <c r="K503" s="72"/>
      <c r="L503" s="72"/>
      <c r="M503" s="72"/>
      <c r="N503" s="72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127"/>
      <c r="H504" s="127"/>
      <c r="I504" s="127"/>
      <c r="J504" s="127"/>
      <c r="K504" s="72"/>
      <c r="L504" s="72"/>
      <c r="M504" s="72"/>
      <c r="N504" s="72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127"/>
      <c r="H505" s="127"/>
      <c r="I505" s="127"/>
      <c r="J505" s="127"/>
      <c r="K505" s="72"/>
      <c r="L505" s="72"/>
      <c r="M505" s="72"/>
      <c r="N505" s="72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127"/>
      <c r="H506" s="127"/>
      <c r="I506" s="127"/>
      <c r="J506" s="127"/>
      <c r="K506" s="72"/>
      <c r="L506" s="72"/>
      <c r="M506" s="72"/>
      <c r="N506" s="72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127"/>
      <c r="H507" s="127"/>
      <c r="I507" s="127"/>
      <c r="J507" s="127"/>
      <c r="K507" s="72"/>
      <c r="L507" s="72"/>
      <c r="M507" s="72"/>
      <c r="N507" s="72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127"/>
      <c r="H508" s="127"/>
      <c r="I508" s="127"/>
      <c r="J508" s="127"/>
      <c r="K508" s="72"/>
      <c r="L508" s="72"/>
      <c r="M508" s="72"/>
      <c r="N508" s="72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127"/>
      <c r="H509" s="127"/>
      <c r="I509" s="127"/>
      <c r="J509" s="127"/>
      <c r="K509" s="72"/>
      <c r="L509" s="72"/>
      <c r="M509" s="72"/>
      <c r="N509" s="72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127"/>
      <c r="H510" s="127"/>
      <c r="I510" s="127"/>
      <c r="J510" s="127"/>
      <c r="K510" s="72"/>
      <c r="L510" s="72"/>
      <c r="M510" s="72"/>
      <c r="N510" s="72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127"/>
      <c r="H511" s="127"/>
      <c r="I511" s="127"/>
      <c r="J511" s="127"/>
      <c r="K511" s="72"/>
      <c r="L511" s="72"/>
      <c r="M511" s="72"/>
      <c r="N511" s="72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127"/>
      <c r="H512" s="127"/>
      <c r="I512" s="127"/>
      <c r="J512" s="127"/>
      <c r="K512" s="72"/>
      <c r="L512" s="72"/>
      <c r="M512" s="72"/>
      <c r="N512" s="72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127"/>
      <c r="H513" s="127"/>
      <c r="I513" s="127"/>
      <c r="J513" s="127"/>
      <c r="K513" s="72"/>
      <c r="L513" s="72"/>
      <c r="M513" s="72"/>
      <c r="N513" s="72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127"/>
      <c r="H514" s="127"/>
      <c r="I514" s="127"/>
      <c r="J514" s="127"/>
      <c r="K514" s="72"/>
      <c r="L514" s="72"/>
      <c r="M514" s="72"/>
      <c r="N514" s="72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127"/>
      <c r="H515" s="127"/>
      <c r="I515" s="127"/>
      <c r="J515" s="127"/>
      <c r="K515" s="72"/>
      <c r="L515" s="72"/>
      <c r="M515" s="72"/>
      <c r="N515" s="72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127"/>
      <c r="H516" s="127"/>
      <c r="I516" s="127"/>
      <c r="J516" s="127"/>
      <c r="K516" s="72"/>
      <c r="L516" s="72"/>
      <c r="M516" s="72"/>
      <c r="N516" s="72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127"/>
      <c r="H517" s="127"/>
      <c r="I517" s="127"/>
      <c r="J517" s="127"/>
      <c r="K517" s="72"/>
      <c r="L517" s="72"/>
      <c r="M517" s="72"/>
      <c r="N517" s="72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127"/>
      <c r="H518" s="127"/>
      <c r="I518" s="127"/>
      <c r="J518" s="127"/>
      <c r="K518" s="72"/>
      <c r="L518" s="72"/>
      <c r="M518" s="72"/>
      <c r="N518" s="72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127"/>
      <c r="H519" s="127"/>
      <c r="I519" s="127"/>
      <c r="J519" s="127"/>
      <c r="K519" s="72"/>
      <c r="L519" s="72"/>
      <c r="M519" s="72"/>
      <c r="N519" s="72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127"/>
      <c r="H520" s="127"/>
      <c r="I520" s="127"/>
      <c r="J520" s="127"/>
      <c r="K520" s="72"/>
      <c r="L520" s="72"/>
      <c r="M520" s="72"/>
      <c r="N520" s="72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127"/>
      <c r="H521" s="127"/>
      <c r="I521" s="127"/>
      <c r="J521" s="127"/>
      <c r="K521" s="72"/>
      <c r="L521" s="72"/>
      <c r="M521" s="72"/>
      <c r="N521" s="72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127"/>
      <c r="H522" s="127"/>
      <c r="I522" s="127"/>
      <c r="J522" s="127"/>
      <c r="K522" s="72"/>
      <c r="L522" s="72"/>
      <c r="M522" s="72"/>
      <c r="N522" s="72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127"/>
      <c r="H523" s="127"/>
      <c r="I523" s="127"/>
      <c r="J523" s="127"/>
      <c r="K523" s="72"/>
      <c r="L523" s="72"/>
      <c r="M523" s="72"/>
      <c r="N523" s="72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127"/>
      <c r="H524" s="127"/>
      <c r="I524" s="127"/>
      <c r="J524" s="127"/>
      <c r="K524" s="72"/>
      <c r="L524" s="72"/>
      <c r="M524" s="72"/>
      <c r="N524" s="72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127"/>
      <c r="H525" s="127"/>
      <c r="I525" s="127"/>
      <c r="J525" s="127"/>
      <c r="K525" s="72"/>
      <c r="L525" s="72"/>
      <c r="M525" s="72"/>
      <c r="N525" s="72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127"/>
      <c r="H526" s="127"/>
      <c r="I526" s="127"/>
      <c r="J526" s="127"/>
      <c r="K526" s="72"/>
      <c r="L526" s="72"/>
      <c r="M526" s="72"/>
      <c r="N526" s="72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127"/>
      <c r="H527" s="127"/>
      <c r="I527" s="127"/>
      <c r="J527" s="127"/>
      <c r="K527" s="72"/>
      <c r="L527" s="72"/>
      <c r="M527" s="72"/>
      <c r="N527" s="72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127"/>
      <c r="H528" s="127"/>
      <c r="I528" s="127"/>
      <c r="J528" s="127"/>
      <c r="K528" s="72"/>
      <c r="L528" s="72"/>
      <c r="M528" s="72"/>
      <c r="N528" s="72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127"/>
      <c r="H529" s="127"/>
      <c r="I529" s="127"/>
      <c r="J529" s="127"/>
      <c r="K529" s="72"/>
      <c r="L529" s="72"/>
      <c r="M529" s="72"/>
      <c r="N529" s="72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127"/>
      <c r="H530" s="127"/>
      <c r="I530" s="127"/>
      <c r="J530" s="127"/>
      <c r="K530" s="72"/>
      <c r="L530" s="72"/>
      <c r="M530" s="72"/>
      <c r="N530" s="72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127"/>
      <c r="H531" s="127"/>
      <c r="I531" s="127"/>
      <c r="J531" s="127"/>
      <c r="K531" s="72"/>
      <c r="L531" s="72"/>
      <c r="M531" s="72"/>
      <c r="N531" s="72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127"/>
      <c r="H532" s="127"/>
      <c r="I532" s="127"/>
      <c r="J532" s="127"/>
      <c r="K532" s="72"/>
      <c r="L532" s="72"/>
      <c r="M532" s="72"/>
      <c r="N532" s="72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127"/>
      <c r="H533" s="127"/>
      <c r="I533" s="127"/>
      <c r="J533" s="127"/>
      <c r="K533" s="72"/>
      <c r="L533" s="72"/>
      <c r="M533" s="72"/>
      <c r="N533" s="72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127"/>
      <c r="H534" s="127"/>
      <c r="I534" s="127"/>
      <c r="J534" s="127"/>
      <c r="K534" s="72"/>
      <c r="L534" s="72"/>
      <c r="M534" s="72"/>
      <c r="N534" s="72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127"/>
      <c r="H535" s="127"/>
      <c r="I535" s="127"/>
      <c r="J535" s="127"/>
      <c r="K535" s="72"/>
      <c r="L535" s="72"/>
      <c r="M535" s="72"/>
      <c r="N535" s="72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127"/>
      <c r="H536" s="127"/>
      <c r="I536" s="127"/>
      <c r="J536" s="127"/>
      <c r="K536" s="72"/>
      <c r="L536" s="72"/>
      <c r="M536" s="72"/>
      <c r="N536" s="72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127"/>
      <c r="H537" s="127"/>
      <c r="I537" s="127"/>
      <c r="J537" s="127"/>
      <c r="K537" s="72"/>
      <c r="L537" s="72"/>
      <c r="M537" s="72"/>
      <c r="N537" s="72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127"/>
      <c r="H538" s="127"/>
      <c r="I538" s="127"/>
      <c r="J538" s="127"/>
      <c r="K538" s="72"/>
      <c r="L538" s="72"/>
      <c r="M538" s="72"/>
      <c r="N538" s="72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127"/>
      <c r="H539" s="127"/>
      <c r="I539" s="127"/>
      <c r="J539" s="127"/>
      <c r="K539" s="72"/>
      <c r="L539" s="72"/>
      <c r="M539" s="72"/>
      <c r="N539" s="72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127"/>
      <c r="H540" s="127"/>
      <c r="I540" s="127"/>
      <c r="J540" s="127"/>
      <c r="K540" s="72"/>
      <c r="L540" s="72"/>
      <c r="M540" s="72"/>
      <c r="N540" s="72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127"/>
      <c r="H541" s="127"/>
      <c r="I541" s="127"/>
      <c r="J541" s="127"/>
      <c r="K541" s="72"/>
      <c r="L541" s="72"/>
      <c r="M541" s="72"/>
      <c r="N541" s="72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127"/>
      <c r="H542" s="127"/>
      <c r="I542" s="127"/>
      <c r="J542" s="127"/>
      <c r="K542" s="72"/>
      <c r="L542" s="72"/>
      <c r="M542" s="72"/>
      <c r="N542" s="72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127"/>
      <c r="H543" s="127"/>
      <c r="I543" s="127"/>
      <c r="J543" s="127"/>
      <c r="K543" s="72"/>
      <c r="L543" s="72"/>
      <c r="M543" s="72"/>
      <c r="N543" s="72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127"/>
      <c r="H544" s="127"/>
      <c r="I544" s="127"/>
      <c r="J544" s="127"/>
      <c r="K544" s="72"/>
      <c r="L544" s="72"/>
      <c r="M544" s="72"/>
      <c r="N544" s="72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127"/>
      <c r="H545" s="127"/>
      <c r="I545" s="127"/>
      <c r="J545" s="127"/>
      <c r="K545" s="72"/>
      <c r="L545" s="72"/>
      <c r="M545" s="72"/>
      <c r="N545" s="72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127"/>
      <c r="H546" s="127"/>
      <c r="I546" s="127"/>
      <c r="J546" s="127"/>
      <c r="K546" s="72"/>
      <c r="L546" s="72"/>
      <c r="M546" s="72"/>
      <c r="N546" s="72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127"/>
      <c r="H547" s="127"/>
      <c r="I547" s="127"/>
      <c r="J547" s="127"/>
      <c r="K547" s="72"/>
      <c r="L547" s="72"/>
      <c r="M547" s="72"/>
      <c r="N547" s="72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127"/>
      <c r="H548" s="127"/>
      <c r="I548" s="127"/>
      <c r="J548" s="127"/>
      <c r="K548" s="72"/>
      <c r="L548" s="72"/>
      <c r="M548" s="72"/>
      <c r="N548" s="72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127"/>
      <c r="H549" s="127"/>
      <c r="I549" s="127"/>
      <c r="J549" s="127"/>
      <c r="K549" s="72"/>
      <c r="L549" s="72"/>
      <c r="M549" s="72"/>
      <c r="N549" s="72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127"/>
      <c r="H550" s="127"/>
      <c r="I550" s="127"/>
      <c r="J550" s="127"/>
      <c r="K550" s="72"/>
      <c r="L550" s="72"/>
      <c r="M550" s="72"/>
      <c r="N550" s="72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127"/>
      <c r="H551" s="127"/>
      <c r="I551" s="127"/>
      <c r="J551" s="127"/>
      <c r="K551" s="72"/>
      <c r="L551" s="72"/>
      <c r="M551" s="72"/>
      <c r="N551" s="72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127"/>
      <c r="H552" s="127"/>
      <c r="I552" s="127"/>
      <c r="J552" s="127"/>
      <c r="K552" s="72"/>
      <c r="L552" s="72"/>
      <c r="M552" s="72"/>
      <c r="N552" s="72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127"/>
      <c r="H553" s="127"/>
      <c r="I553" s="127"/>
      <c r="J553" s="127"/>
      <c r="K553" s="72"/>
      <c r="L553" s="72"/>
      <c r="M553" s="72"/>
      <c r="N553" s="72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127"/>
      <c r="H554" s="127"/>
      <c r="I554" s="127"/>
      <c r="J554" s="127"/>
      <c r="K554" s="72"/>
      <c r="L554" s="72"/>
      <c r="M554" s="72"/>
      <c r="N554" s="72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127"/>
      <c r="H555" s="127"/>
      <c r="I555" s="127"/>
      <c r="J555" s="127"/>
      <c r="K555" s="72"/>
      <c r="L555" s="72"/>
      <c r="M555" s="72"/>
      <c r="N555" s="72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127"/>
      <c r="H556" s="127"/>
      <c r="I556" s="127"/>
      <c r="J556" s="127"/>
      <c r="K556" s="72"/>
      <c r="L556" s="72"/>
      <c r="M556" s="72"/>
      <c r="N556" s="72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127"/>
      <c r="H557" s="127"/>
      <c r="I557" s="127"/>
      <c r="J557" s="127"/>
      <c r="K557" s="72"/>
      <c r="L557" s="72"/>
      <c r="M557" s="72"/>
      <c r="N557" s="72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127"/>
      <c r="H558" s="127"/>
      <c r="I558" s="127"/>
      <c r="J558" s="127"/>
      <c r="K558" s="72"/>
      <c r="L558" s="72"/>
      <c r="M558" s="72"/>
      <c r="N558" s="72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127"/>
      <c r="H559" s="127"/>
      <c r="I559" s="127"/>
      <c r="J559" s="127"/>
      <c r="K559" s="72"/>
      <c r="L559" s="72"/>
      <c r="M559" s="72"/>
      <c r="N559" s="72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127"/>
      <c r="H560" s="127"/>
      <c r="I560" s="127"/>
      <c r="J560" s="127"/>
      <c r="K560" s="72"/>
      <c r="L560" s="72"/>
      <c r="M560" s="72"/>
      <c r="N560" s="72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127"/>
      <c r="H561" s="127"/>
      <c r="I561" s="127"/>
      <c r="J561" s="127"/>
      <c r="K561" s="72"/>
      <c r="L561" s="72"/>
      <c r="M561" s="72"/>
      <c r="N561" s="72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127"/>
      <c r="H562" s="127"/>
      <c r="I562" s="127"/>
      <c r="J562" s="127"/>
      <c r="K562" s="72"/>
      <c r="L562" s="72"/>
      <c r="M562" s="72"/>
      <c r="N562" s="72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127"/>
      <c r="H563" s="127"/>
      <c r="I563" s="127"/>
      <c r="J563" s="127"/>
      <c r="K563" s="72"/>
      <c r="L563" s="72"/>
      <c r="M563" s="72"/>
      <c r="N563" s="72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127"/>
      <c r="H564" s="127"/>
      <c r="I564" s="127"/>
      <c r="J564" s="127"/>
      <c r="K564" s="72"/>
      <c r="L564" s="72"/>
      <c r="M564" s="72"/>
      <c r="N564" s="72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127"/>
      <c r="H565" s="127"/>
      <c r="I565" s="127"/>
      <c r="J565" s="127"/>
      <c r="K565" s="72"/>
      <c r="L565" s="72"/>
      <c r="M565" s="72"/>
      <c r="N565" s="72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127"/>
      <c r="H566" s="127"/>
      <c r="I566" s="127"/>
      <c r="J566" s="127"/>
      <c r="K566" s="72"/>
      <c r="L566" s="72"/>
      <c r="M566" s="72"/>
      <c r="N566" s="72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127"/>
      <c r="H567" s="127"/>
      <c r="I567" s="127"/>
      <c r="J567" s="127"/>
      <c r="K567" s="72"/>
      <c r="L567" s="72"/>
      <c r="M567" s="72"/>
      <c r="N567" s="72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127"/>
      <c r="H568" s="127"/>
      <c r="I568" s="127"/>
      <c r="J568" s="127"/>
      <c r="K568" s="72"/>
      <c r="L568" s="72"/>
      <c r="M568" s="72"/>
      <c r="N568" s="72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127"/>
      <c r="H569" s="127"/>
      <c r="I569" s="127"/>
      <c r="J569" s="127"/>
      <c r="K569" s="72"/>
      <c r="L569" s="72"/>
      <c r="M569" s="72"/>
      <c r="N569" s="72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127"/>
      <c r="H570" s="127"/>
      <c r="I570" s="127"/>
      <c r="J570" s="127"/>
      <c r="K570" s="72"/>
      <c r="L570" s="72"/>
      <c r="M570" s="72"/>
      <c r="N570" s="72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127"/>
      <c r="H571" s="127"/>
      <c r="I571" s="127"/>
      <c r="J571" s="127"/>
      <c r="K571" s="72"/>
      <c r="L571" s="72"/>
      <c r="M571" s="72"/>
      <c r="N571" s="72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127"/>
      <c r="H572" s="127"/>
      <c r="I572" s="127"/>
      <c r="J572" s="127"/>
      <c r="K572" s="72"/>
      <c r="L572" s="72"/>
      <c r="M572" s="72"/>
      <c r="N572" s="72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127"/>
      <c r="H573" s="127"/>
      <c r="I573" s="127"/>
      <c r="J573" s="127"/>
      <c r="K573" s="72"/>
      <c r="L573" s="72"/>
      <c r="M573" s="72"/>
      <c r="N573" s="72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127"/>
      <c r="H574" s="127"/>
      <c r="I574" s="127"/>
      <c r="J574" s="127"/>
      <c r="K574" s="72"/>
      <c r="L574" s="72"/>
      <c r="M574" s="72"/>
      <c r="N574" s="72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127"/>
      <c r="H575" s="127"/>
      <c r="I575" s="127"/>
      <c r="J575" s="127"/>
      <c r="K575" s="72"/>
      <c r="L575" s="72"/>
      <c r="M575" s="72"/>
      <c r="N575" s="72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127"/>
      <c r="H576" s="127"/>
      <c r="I576" s="127"/>
      <c r="J576" s="127"/>
      <c r="K576" s="72"/>
      <c r="L576" s="72"/>
      <c r="M576" s="72"/>
      <c r="N576" s="72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127"/>
      <c r="H577" s="127"/>
      <c r="I577" s="127"/>
      <c r="J577" s="127"/>
      <c r="K577" s="72"/>
      <c r="L577" s="72"/>
      <c r="M577" s="72"/>
      <c r="N577" s="72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127"/>
      <c r="H578" s="127"/>
      <c r="I578" s="127"/>
      <c r="J578" s="127"/>
      <c r="K578" s="72"/>
      <c r="L578" s="72"/>
      <c r="M578" s="72"/>
      <c r="N578" s="72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127"/>
      <c r="H579" s="127"/>
      <c r="I579" s="127"/>
      <c r="J579" s="127"/>
      <c r="K579" s="72"/>
      <c r="L579" s="72"/>
      <c r="M579" s="72"/>
      <c r="N579" s="72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127"/>
      <c r="H580" s="127"/>
      <c r="I580" s="127"/>
      <c r="J580" s="127"/>
      <c r="K580" s="72"/>
      <c r="L580" s="72"/>
      <c r="M580" s="72"/>
      <c r="N580" s="72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127"/>
      <c r="H581" s="127"/>
      <c r="I581" s="127"/>
      <c r="J581" s="127"/>
      <c r="K581" s="72"/>
      <c r="L581" s="72"/>
      <c r="M581" s="72"/>
      <c r="N581" s="72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127"/>
      <c r="H582" s="127"/>
      <c r="I582" s="127"/>
      <c r="J582" s="127"/>
      <c r="K582" s="72"/>
      <c r="L582" s="72"/>
      <c r="M582" s="72"/>
      <c r="N582" s="72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127"/>
      <c r="H583" s="127"/>
      <c r="I583" s="127"/>
      <c r="J583" s="127"/>
      <c r="K583" s="72"/>
      <c r="L583" s="72"/>
      <c r="M583" s="72"/>
      <c r="N583" s="72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127"/>
      <c r="H584" s="127"/>
      <c r="I584" s="127"/>
      <c r="J584" s="127"/>
      <c r="K584" s="72"/>
      <c r="L584" s="72"/>
      <c r="M584" s="72"/>
      <c r="N584" s="72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127"/>
      <c r="H585" s="127"/>
      <c r="I585" s="127"/>
      <c r="J585" s="127"/>
      <c r="K585" s="72"/>
      <c r="L585" s="72"/>
      <c r="M585" s="72"/>
      <c r="N585" s="72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127"/>
      <c r="H586" s="127"/>
      <c r="I586" s="127"/>
      <c r="J586" s="127"/>
      <c r="K586" s="72"/>
      <c r="L586" s="72"/>
      <c r="M586" s="72"/>
      <c r="N586" s="72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127"/>
      <c r="H587" s="127"/>
      <c r="I587" s="127"/>
      <c r="J587" s="127"/>
      <c r="K587" s="72"/>
      <c r="L587" s="72"/>
      <c r="M587" s="72"/>
      <c r="N587" s="72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127"/>
      <c r="H588" s="127"/>
      <c r="I588" s="127"/>
      <c r="J588" s="127"/>
      <c r="K588" s="72"/>
      <c r="L588" s="72"/>
      <c r="M588" s="72"/>
      <c r="N588" s="72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127"/>
      <c r="H589" s="127"/>
      <c r="I589" s="127"/>
      <c r="J589" s="127"/>
      <c r="K589" s="72"/>
      <c r="L589" s="72"/>
      <c r="M589" s="72"/>
      <c r="N589" s="72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127"/>
      <c r="H590" s="127"/>
      <c r="I590" s="127"/>
      <c r="J590" s="127"/>
      <c r="K590" s="72"/>
      <c r="L590" s="72"/>
      <c r="M590" s="72"/>
      <c r="N590" s="72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127"/>
      <c r="H591" s="127"/>
      <c r="I591" s="127"/>
      <c r="J591" s="127"/>
      <c r="K591" s="72"/>
      <c r="L591" s="72"/>
      <c r="M591" s="72"/>
      <c r="N591" s="72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127"/>
      <c r="H592" s="127"/>
      <c r="I592" s="127"/>
      <c r="J592" s="127"/>
      <c r="K592" s="72"/>
      <c r="L592" s="72"/>
      <c r="M592" s="72"/>
      <c r="N592" s="72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127"/>
      <c r="H593" s="127"/>
      <c r="I593" s="127"/>
      <c r="J593" s="127"/>
      <c r="K593" s="72"/>
      <c r="L593" s="72"/>
      <c r="M593" s="72"/>
      <c r="N593" s="72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127"/>
      <c r="H594" s="127"/>
      <c r="I594" s="127"/>
      <c r="J594" s="127"/>
      <c r="K594" s="72"/>
      <c r="L594" s="72"/>
      <c r="M594" s="72"/>
      <c r="N594" s="72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127"/>
      <c r="H595" s="127"/>
      <c r="I595" s="127"/>
      <c r="J595" s="127"/>
      <c r="K595" s="72"/>
      <c r="L595" s="72"/>
      <c r="M595" s="72"/>
      <c r="N595" s="72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127"/>
      <c r="H596" s="127"/>
      <c r="I596" s="127"/>
      <c r="J596" s="127"/>
      <c r="K596" s="72"/>
      <c r="L596" s="72"/>
      <c r="M596" s="72"/>
      <c r="N596" s="72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127"/>
      <c r="H597" s="127"/>
      <c r="I597" s="127"/>
      <c r="J597" s="127"/>
      <c r="K597" s="72"/>
      <c r="L597" s="72"/>
      <c r="M597" s="72"/>
      <c r="N597" s="72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127"/>
      <c r="H598" s="127"/>
      <c r="I598" s="127"/>
      <c r="J598" s="127"/>
      <c r="K598" s="72"/>
      <c r="L598" s="72"/>
      <c r="M598" s="72"/>
      <c r="N598" s="72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127"/>
      <c r="H599" s="127"/>
      <c r="I599" s="127"/>
      <c r="J599" s="127"/>
      <c r="K599" s="72"/>
      <c r="L599" s="72"/>
      <c r="M599" s="72"/>
      <c r="N599" s="72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127"/>
      <c r="H600" s="127"/>
      <c r="I600" s="127"/>
      <c r="J600" s="127"/>
      <c r="K600" s="72"/>
      <c r="L600" s="72"/>
      <c r="M600" s="72"/>
      <c r="N600" s="72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127"/>
      <c r="H601" s="127"/>
      <c r="I601" s="127"/>
      <c r="J601" s="127"/>
      <c r="K601" s="72"/>
      <c r="L601" s="72"/>
      <c r="M601" s="72"/>
      <c r="N601" s="72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127"/>
      <c r="H602" s="127"/>
      <c r="I602" s="127"/>
      <c r="J602" s="127"/>
      <c r="K602" s="72"/>
      <c r="L602" s="72"/>
      <c r="M602" s="72"/>
      <c r="N602" s="72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127"/>
      <c r="H603" s="127"/>
      <c r="I603" s="127"/>
      <c r="J603" s="127"/>
      <c r="K603" s="72"/>
      <c r="L603" s="72"/>
      <c r="M603" s="72"/>
      <c r="N603" s="72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127"/>
      <c r="H604" s="127"/>
      <c r="I604" s="127"/>
      <c r="J604" s="127"/>
      <c r="K604" s="72"/>
      <c r="L604" s="72"/>
      <c r="M604" s="72"/>
      <c r="N604" s="72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127"/>
      <c r="H605" s="127"/>
      <c r="I605" s="127"/>
      <c r="J605" s="127"/>
      <c r="K605" s="72"/>
      <c r="L605" s="72"/>
      <c r="M605" s="72"/>
      <c r="N605" s="72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127"/>
      <c r="H606" s="127"/>
      <c r="I606" s="127"/>
      <c r="J606" s="127"/>
      <c r="K606" s="72"/>
      <c r="L606" s="72"/>
      <c r="M606" s="72"/>
      <c r="N606" s="72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127"/>
      <c r="H607" s="127"/>
      <c r="I607" s="127"/>
      <c r="J607" s="127"/>
      <c r="K607" s="72"/>
      <c r="L607" s="72"/>
      <c r="M607" s="72"/>
      <c r="N607" s="72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127"/>
      <c r="H608" s="127"/>
      <c r="I608" s="127"/>
      <c r="J608" s="127"/>
      <c r="K608" s="72"/>
      <c r="L608" s="72"/>
      <c r="M608" s="72"/>
      <c r="N608" s="72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127"/>
      <c r="H609" s="127"/>
      <c r="I609" s="127"/>
      <c r="J609" s="127"/>
      <c r="K609" s="72"/>
      <c r="L609" s="72"/>
      <c r="M609" s="72"/>
      <c r="N609" s="72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127"/>
      <c r="H610" s="127"/>
      <c r="I610" s="127"/>
      <c r="J610" s="127"/>
      <c r="K610" s="72"/>
      <c r="L610" s="72"/>
      <c r="M610" s="72"/>
      <c r="N610" s="72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127"/>
      <c r="H611" s="127"/>
      <c r="I611" s="127"/>
      <c r="J611" s="127"/>
      <c r="K611" s="72"/>
      <c r="L611" s="72"/>
      <c r="M611" s="72"/>
      <c r="N611" s="72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127"/>
      <c r="H612" s="127"/>
      <c r="I612" s="127"/>
      <c r="J612" s="127"/>
      <c r="K612" s="72"/>
      <c r="L612" s="72"/>
      <c r="M612" s="72"/>
      <c r="N612" s="72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127"/>
      <c r="H613" s="127"/>
      <c r="I613" s="127"/>
      <c r="J613" s="127"/>
      <c r="K613" s="72"/>
      <c r="L613" s="72"/>
      <c r="M613" s="72"/>
      <c r="N613" s="72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127"/>
      <c r="H614" s="127"/>
      <c r="I614" s="127"/>
      <c r="J614" s="127"/>
      <c r="K614" s="72"/>
      <c r="L614" s="72"/>
      <c r="M614" s="72"/>
      <c r="N614" s="72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127"/>
      <c r="H615" s="127"/>
      <c r="I615" s="127"/>
      <c r="J615" s="127"/>
      <c r="K615" s="72"/>
      <c r="L615" s="72"/>
      <c r="M615" s="72"/>
      <c r="N615" s="72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127"/>
      <c r="H616" s="127"/>
      <c r="I616" s="127"/>
      <c r="J616" s="127"/>
      <c r="K616" s="72"/>
      <c r="L616" s="72"/>
      <c r="M616" s="72"/>
      <c r="N616" s="72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127"/>
      <c r="H617" s="127"/>
      <c r="I617" s="127"/>
      <c r="J617" s="127"/>
      <c r="K617" s="72"/>
      <c r="L617" s="72"/>
      <c r="M617" s="72"/>
      <c r="N617" s="72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127"/>
      <c r="H618" s="127"/>
      <c r="I618" s="127"/>
      <c r="J618" s="127"/>
      <c r="K618" s="72"/>
      <c r="L618" s="72"/>
      <c r="M618" s="72"/>
      <c r="N618" s="72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127"/>
      <c r="H619" s="127"/>
      <c r="I619" s="127"/>
      <c r="J619" s="127"/>
      <c r="K619" s="72"/>
      <c r="L619" s="72"/>
      <c r="M619" s="72"/>
      <c r="N619" s="72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127"/>
      <c r="H620" s="127"/>
      <c r="I620" s="127"/>
      <c r="J620" s="127"/>
      <c r="K620" s="72"/>
      <c r="L620" s="72"/>
      <c r="M620" s="72"/>
      <c r="N620" s="72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127"/>
      <c r="H621" s="127"/>
      <c r="I621" s="127"/>
      <c r="J621" s="127"/>
      <c r="K621" s="72"/>
      <c r="L621" s="72"/>
      <c r="M621" s="72"/>
      <c r="N621" s="72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127"/>
      <c r="H622" s="127"/>
      <c r="I622" s="127"/>
      <c r="J622" s="127"/>
      <c r="K622" s="72"/>
      <c r="L622" s="72"/>
      <c r="M622" s="72"/>
      <c r="N622" s="72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127"/>
      <c r="H623" s="127"/>
      <c r="I623" s="127"/>
      <c r="J623" s="127"/>
      <c r="K623" s="72"/>
      <c r="L623" s="72"/>
      <c r="M623" s="72"/>
      <c r="N623" s="72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127"/>
      <c r="H624" s="127"/>
      <c r="I624" s="127"/>
      <c r="J624" s="127"/>
      <c r="K624" s="72"/>
      <c r="L624" s="72"/>
      <c r="M624" s="72"/>
      <c r="N624" s="72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127"/>
      <c r="H625" s="127"/>
      <c r="I625" s="127"/>
      <c r="J625" s="127"/>
      <c r="K625" s="72"/>
      <c r="L625" s="72"/>
      <c r="M625" s="72"/>
      <c r="N625" s="72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127"/>
      <c r="H626" s="127"/>
      <c r="I626" s="127"/>
      <c r="J626" s="127"/>
      <c r="K626" s="72"/>
      <c r="L626" s="72"/>
      <c r="M626" s="72"/>
      <c r="N626" s="72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127"/>
      <c r="H627" s="127"/>
      <c r="I627" s="127"/>
      <c r="J627" s="127"/>
      <c r="K627" s="72"/>
      <c r="L627" s="72"/>
      <c r="M627" s="72"/>
      <c r="N627" s="72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127"/>
      <c r="H628" s="127"/>
      <c r="I628" s="127"/>
      <c r="J628" s="127"/>
      <c r="K628" s="72"/>
      <c r="L628" s="72"/>
      <c r="M628" s="72"/>
      <c r="N628" s="72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127"/>
      <c r="H629" s="127"/>
      <c r="I629" s="127"/>
      <c r="J629" s="127"/>
      <c r="K629" s="72"/>
      <c r="L629" s="72"/>
      <c r="M629" s="72"/>
      <c r="N629" s="72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127"/>
      <c r="H630" s="127"/>
      <c r="I630" s="127"/>
      <c r="J630" s="127"/>
      <c r="K630" s="72"/>
      <c r="L630" s="72"/>
      <c r="M630" s="72"/>
      <c r="N630" s="72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127"/>
      <c r="H631" s="127"/>
      <c r="I631" s="127"/>
      <c r="J631" s="127"/>
      <c r="K631" s="72"/>
      <c r="L631" s="72"/>
      <c r="M631" s="72"/>
      <c r="N631" s="72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127"/>
      <c r="H632" s="127"/>
      <c r="I632" s="127"/>
      <c r="J632" s="127"/>
      <c r="K632" s="72"/>
      <c r="L632" s="72"/>
      <c r="M632" s="72"/>
      <c r="N632" s="72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127"/>
      <c r="H633" s="127"/>
      <c r="I633" s="127"/>
      <c r="J633" s="127"/>
      <c r="K633" s="72"/>
      <c r="L633" s="72"/>
      <c r="M633" s="72"/>
      <c r="N633" s="72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127"/>
      <c r="H634" s="127"/>
      <c r="I634" s="127"/>
      <c r="J634" s="127"/>
      <c r="K634" s="72"/>
      <c r="L634" s="72"/>
      <c r="M634" s="72"/>
      <c r="N634" s="72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127"/>
      <c r="H635" s="127"/>
      <c r="I635" s="127"/>
      <c r="J635" s="127"/>
      <c r="K635" s="72"/>
      <c r="L635" s="72"/>
      <c r="M635" s="72"/>
      <c r="N635" s="72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127"/>
      <c r="H636" s="127"/>
      <c r="I636" s="127"/>
      <c r="J636" s="127"/>
      <c r="K636" s="72"/>
      <c r="L636" s="72"/>
      <c r="M636" s="72"/>
      <c r="N636" s="72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127"/>
      <c r="H637" s="127"/>
      <c r="I637" s="127"/>
      <c r="J637" s="127"/>
      <c r="K637" s="72"/>
      <c r="L637" s="72"/>
      <c r="M637" s="72"/>
      <c r="N637" s="72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127"/>
      <c r="H638" s="127"/>
      <c r="I638" s="127"/>
      <c r="J638" s="127"/>
      <c r="K638" s="72"/>
      <c r="L638" s="72"/>
      <c r="M638" s="72"/>
      <c r="N638" s="72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127"/>
      <c r="H639" s="127"/>
      <c r="I639" s="127"/>
      <c r="J639" s="127"/>
      <c r="K639" s="72"/>
      <c r="L639" s="72"/>
      <c r="M639" s="72"/>
      <c r="N639" s="72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127"/>
      <c r="H640" s="127"/>
      <c r="I640" s="127"/>
      <c r="J640" s="127"/>
      <c r="K640" s="72"/>
      <c r="L640" s="72"/>
      <c r="M640" s="72"/>
      <c r="N640" s="72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127"/>
      <c r="H641" s="127"/>
      <c r="I641" s="127"/>
      <c r="J641" s="127"/>
      <c r="K641" s="72"/>
      <c r="L641" s="72"/>
      <c r="M641" s="72"/>
      <c r="N641" s="72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127"/>
      <c r="H642" s="127"/>
      <c r="I642" s="127"/>
      <c r="J642" s="127"/>
      <c r="K642" s="72"/>
      <c r="L642" s="72"/>
      <c r="M642" s="72"/>
      <c r="N642" s="72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127"/>
      <c r="H643" s="127"/>
      <c r="I643" s="127"/>
      <c r="J643" s="127"/>
      <c r="K643" s="72"/>
      <c r="L643" s="72"/>
      <c r="M643" s="72"/>
      <c r="N643" s="72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127"/>
      <c r="H644" s="127"/>
      <c r="I644" s="127"/>
      <c r="J644" s="127"/>
      <c r="K644" s="72"/>
      <c r="L644" s="72"/>
      <c r="M644" s="72"/>
      <c r="N644" s="72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127"/>
      <c r="H645" s="127"/>
      <c r="I645" s="127"/>
      <c r="J645" s="127"/>
      <c r="K645" s="72"/>
      <c r="L645" s="72"/>
      <c r="M645" s="72"/>
      <c r="N645" s="72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127"/>
      <c r="H646" s="127"/>
      <c r="I646" s="127"/>
      <c r="J646" s="127"/>
      <c r="K646" s="72"/>
      <c r="L646" s="72"/>
      <c r="M646" s="72"/>
      <c r="N646" s="72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127"/>
      <c r="H647" s="127"/>
      <c r="I647" s="127"/>
      <c r="J647" s="127"/>
      <c r="K647" s="72"/>
      <c r="L647" s="72"/>
      <c r="M647" s="72"/>
      <c r="N647" s="72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127"/>
      <c r="H648" s="127"/>
      <c r="I648" s="127"/>
      <c r="J648" s="127"/>
      <c r="K648" s="72"/>
      <c r="L648" s="72"/>
      <c r="M648" s="72"/>
      <c r="N648" s="72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127"/>
      <c r="H649" s="127"/>
      <c r="I649" s="127"/>
      <c r="J649" s="127"/>
      <c r="K649" s="72"/>
      <c r="L649" s="72"/>
      <c r="M649" s="72"/>
      <c r="N649" s="72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127"/>
      <c r="H650" s="127"/>
      <c r="I650" s="127"/>
      <c r="J650" s="127"/>
      <c r="K650" s="72"/>
      <c r="L650" s="72"/>
      <c r="M650" s="72"/>
      <c r="N650" s="72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127"/>
      <c r="H651" s="127"/>
      <c r="I651" s="127"/>
      <c r="J651" s="127"/>
      <c r="K651" s="72"/>
      <c r="L651" s="72"/>
      <c r="M651" s="72"/>
      <c r="N651" s="72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127"/>
      <c r="H652" s="127"/>
      <c r="I652" s="127"/>
      <c r="J652" s="127"/>
      <c r="K652" s="72"/>
      <c r="L652" s="72"/>
      <c r="M652" s="72"/>
      <c r="N652" s="72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127"/>
      <c r="H653" s="127"/>
      <c r="I653" s="127"/>
      <c r="J653" s="127"/>
      <c r="K653" s="72"/>
      <c r="L653" s="72"/>
      <c r="M653" s="72"/>
      <c r="N653" s="72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127"/>
      <c r="H654" s="127"/>
      <c r="I654" s="127"/>
      <c r="J654" s="127"/>
      <c r="K654" s="72"/>
      <c r="L654" s="72"/>
      <c r="M654" s="72"/>
      <c r="N654" s="72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127"/>
      <c r="H655" s="127"/>
      <c r="I655" s="127"/>
      <c r="J655" s="127"/>
      <c r="K655" s="72"/>
      <c r="L655" s="72"/>
      <c r="M655" s="72"/>
      <c r="N655" s="72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127"/>
      <c r="H656" s="127"/>
      <c r="I656" s="127"/>
      <c r="J656" s="127"/>
      <c r="K656" s="72"/>
      <c r="L656" s="72"/>
      <c r="M656" s="72"/>
      <c r="N656" s="72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127"/>
      <c r="H657" s="127"/>
      <c r="I657" s="127"/>
      <c r="J657" s="127"/>
      <c r="K657" s="72"/>
      <c r="L657" s="72"/>
      <c r="M657" s="72"/>
      <c r="N657" s="72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127"/>
      <c r="H658" s="127"/>
      <c r="I658" s="127"/>
      <c r="J658" s="127"/>
      <c r="K658" s="72"/>
      <c r="L658" s="72"/>
      <c r="M658" s="72"/>
      <c r="N658" s="72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127"/>
      <c r="H659" s="127"/>
      <c r="I659" s="127"/>
      <c r="J659" s="127"/>
      <c r="K659" s="72"/>
      <c r="L659" s="72"/>
      <c r="M659" s="72"/>
      <c r="N659" s="72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127"/>
      <c r="H660" s="127"/>
      <c r="I660" s="127"/>
      <c r="J660" s="127"/>
      <c r="K660" s="72"/>
      <c r="L660" s="72"/>
      <c r="M660" s="72"/>
      <c r="N660" s="72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127"/>
      <c r="H661" s="127"/>
      <c r="I661" s="127"/>
      <c r="J661" s="127"/>
      <c r="K661" s="72"/>
      <c r="L661" s="72"/>
      <c r="M661" s="72"/>
      <c r="N661" s="72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127"/>
      <c r="H662" s="127"/>
      <c r="I662" s="127"/>
      <c r="J662" s="127"/>
      <c r="K662" s="72"/>
      <c r="L662" s="72"/>
      <c r="M662" s="72"/>
      <c r="N662" s="72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127"/>
      <c r="H663" s="127"/>
      <c r="I663" s="127"/>
      <c r="J663" s="127"/>
      <c r="K663" s="72"/>
      <c r="L663" s="72"/>
      <c r="M663" s="72"/>
      <c r="N663" s="72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127"/>
      <c r="H664" s="127"/>
      <c r="I664" s="127"/>
      <c r="J664" s="127"/>
      <c r="K664" s="72"/>
      <c r="L664" s="72"/>
      <c r="M664" s="72"/>
      <c r="N664" s="72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127"/>
      <c r="H665" s="127"/>
      <c r="I665" s="127"/>
      <c r="J665" s="127"/>
      <c r="K665" s="72"/>
      <c r="L665" s="72"/>
      <c r="M665" s="72"/>
      <c r="N665" s="72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127"/>
      <c r="H666" s="127"/>
      <c r="I666" s="127"/>
      <c r="J666" s="127"/>
      <c r="K666" s="72"/>
      <c r="L666" s="72"/>
      <c r="M666" s="72"/>
      <c r="N666" s="72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127"/>
      <c r="H667" s="127"/>
      <c r="I667" s="127"/>
      <c r="J667" s="127"/>
      <c r="K667" s="72"/>
      <c r="L667" s="72"/>
      <c r="M667" s="72"/>
      <c r="N667" s="72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127"/>
      <c r="H668" s="127"/>
      <c r="I668" s="127"/>
      <c r="J668" s="127"/>
      <c r="K668" s="72"/>
      <c r="L668" s="72"/>
      <c r="M668" s="72"/>
      <c r="N668" s="72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127"/>
      <c r="H669" s="127"/>
      <c r="I669" s="127"/>
      <c r="J669" s="127"/>
      <c r="K669" s="72"/>
      <c r="L669" s="72"/>
      <c r="M669" s="72"/>
      <c r="N669" s="72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127"/>
      <c r="H670" s="127"/>
      <c r="I670" s="127"/>
      <c r="J670" s="127"/>
      <c r="K670" s="72"/>
      <c r="L670" s="72"/>
      <c r="M670" s="72"/>
      <c r="N670" s="72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127"/>
      <c r="H671" s="127"/>
      <c r="I671" s="127"/>
      <c r="J671" s="127"/>
      <c r="K671" s="72"/>
      <c r="L671" s="72"/>
      <c r="M671" s="72"/>
      <c r="N671" s="72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127"/>
      <c r="H672" s="127"/>
      <c r="I672" s="127"/>
      <c r="J672" s="127"/>
      <c r="K672" s="72"/>
      <c r="L672" s="72"/>
      <c r="M672" s="72"/>
      <c r="N672" s="72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127"/>
      <c r="H673" s="127"/>
      <c r="I673" s="127"/>
      <c r="J673" s="127"/>
      <c r="K673" s="72"/>
      <c r="L673" s="72"/>
      <c r="M673" s="72"/>
      <c r="N673" s="72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127"/>
      <c r="H674" s="127"/>
      <c r="I674" s="127"/>
      <c r="J674" s="127"/>
      <c r="K674" s="72"/>
      <c r="L674" s="72"/>
      <c r="M674" s="72"/>
      <c r="N674" s="72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127"/>
      <c r="H675" s="127"/>
      <c r="I675" s="127"/>
      <c r="J675" s="127"/>
      <c r="K675" s="72"/>
      <c r="L675" s="72"/>
      <c r="M675" s="72"/>
      <c r="N675" s="72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127"/>
      <c r="H676" s="127"/>
      <c r="I676" s="127"/>
      <c r="J676" s="127"/>
      <c r="K676" s="72"/>
      <c r="L676" s="72"/>
      <c r="M676" s="72"/>
      <c r="N676" s="72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127"/>
      <c r="H677" s="127"/>
      <c r="I677" s="127"/>
      <c r="J677" s="127"/>
      <c r="K677" s="72"/>
      <c r="L677" s="72"/>
      <c r="M677" s="72"/>
      <c r="N677" s="72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127"/>
      <c r="H678" s="127"/>
      <c r="I678" s="127"/>
      <c r="J678" s="127"/>
      <c r="K678" s="72"/>
      <c r="L678" s="72"/>
      <c r="M678" s="72"/>
      <c r="N678" s="72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127"/>
      <c r="H679" s="127"/>
      <c r="I679" s="127"/>
      <c r="J679" s="127"/>
      <c r="K679" s="72"/>
      <c r="L679" s="72"/>
      <c r="M679" s="72"/>
      <c r="N679" s="72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127"/>
      <c r="H680" s="127"/>
      <c r="I680" s="127"/>
      <c r="J680" s="127"/>
      <c r="K680" s="72"/>
      <c r="L680" s="72"/>
      <c r="M680" s="72"/>
      <c r="N680" s="72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127"/>
      <c r="H681" s="127"/>
      <c r="I681" s="127"/>
      <c r="J681" s="127"/>
      <c r="K681" s="72"/>
      <c r="L681" s="72"/>
      <c r="M681" s="72"/>
      <c r="N681" s="72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127"/>
      <c r="H682" s="127"/>
      <c r="I682" s="127"/>
      <c r="J682" s="127"/>
      <c r="K682" s="72"/>
      <c r="L682" s="72"/>
      <c r="M682" s="72"/>
      <c r="N682" s="72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127"/>
      <c r="H683" s="127"/>
      <c r="I683" s="127"/>
      <c r="J683" s="127"/>
      <c r="K683" s="72"/>
      <c r="L683" s="72"/>
      <c r="M683" s="72"/>
      <c r="N683" s="72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127"/>
      <c r="H684" s="127"/>
      <c r="I684" s="127"/>
      <c r="J684" s="127"/>
      <c r="K684" s="72"/>
      <c r="L684" s="72"/>
      <c r="M684" s="72"/>
      <c r="N684" s="72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127"/>
      <c r="H685" s="127"/>
      <c r="I685" s="127"/>
      <c r="J685" s="127"/>
      <c r="K685" s="72"/>
      <c r="L685" s="72"/>
      <c r="M685" s="72"/>
      <c r="N685" s="72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127"/>
      <c r="H686" s="127"/>
      <c r="I686" s="127"/>
      <c r="J686" s="127"/>
      <c r="K686" s="72"/>
      <c r="L686" s="72"/>
      <c r="M686" s="72"/>
      <c r="N686" s="72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127"/>
      <c r="H687" s="127"/>
      <c r="I687" s="127"/>
      <c r="J687" s="127"/>
      <c r="K687" s="72"/>
      <c r="L687" s="72"/>
      <c r="M687" s="72"/>
      <c r="N687" s="72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127"/>
      <c r="H688" s="127"/>
      <c r="I688" s="127"/>
      <c r="J688" s="127"/>
      <c r="K688" s="72"/>
      <c r="L688" s="72"/>
      <c r="M688" s="72"/>
      <c r="N688" s="72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127"/>
      <c r="H689" s="127"/>
      <c r="I689" s="127"/>
      <c r="J689" s="127"/>
      <c r="K689" s="72"/>
      <c r="L689" s="72"/>
      <c r="M689" s="72"/>
      <c r="N689" s="72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127"/>
      <c r="H690" s="127"/>
      <c r="I690" s="127"/>
      <c r="J690" s="127"/>
      <c r="K690" s="72"/>
      <c r="L690" s="72"/>
      <c r="M690" s="72"/>
      <c r="N690" s="72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127"/>
      <c r="H691" s="127"/>
      <c r="I691" s="127"/>
      <c r="J691" s="127"/>
      <c r="K691" s="72"/>
      <c r="L691" s="72"/>
      <c r="M691" s="72"/>
      <c r="N691" s="72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127"/>
      <c r="H692" s="127"/>
      <c r="I692" s="127"/>
      <c r="J692" s="127"/>
      <c r="K692" s="72"/>
      <c r="L692" s="72"/>
      <c r="M692" s="72"/>
      <c r="N692" s="72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127"/>
      <c r="H693" s="127"/>
      <c r="I693" s="127"/>
      <c r="J693" s="127"/>
      <c r="K693" s="72"/>
      <c r="L693" s="72"/>
      <c r="M693" s="72"/>
      <c r="N693" s="72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127"/>
      <c r="H694" s="127"/>
      <c r="I694" s="127"/>
      <c r="J694" s="127"/>
      <c r="K694" s="72"/>
      <c r="L694" s="72"/>
      <c r="M694" s="72"/>
      <c r="N694" s="72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127"/>
      <c r="H695" s="127"/>
      <c r="I695" s="127"/>
      <c r="J695" s="127"/>
      <c r="K695" s="72"/>
      <c r="L695" s="72"/>
      <c r="M695" s="72"/>
      <c r="N695" s="72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127"/>
      <c r="H696" s="127"/>
      <c r="I696" s="127"/>
      <c r="J696" s="127"/>
      <c r="K696" s="72"/>
      <c r="L696" s="72"/>
      <c r="M696" s="72"/>
      <c r="N696" s="72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127"/>
      <c r="H697" s="127"/>
      <c r="I697" s="127"/>
      <c r="J697" s="127"/>
      <c r="K697" s="72"/>
      <c r="L697" s="72"/>
      <c r="M697" s="72"/>
      <c r="N697" s="72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127"/>
      <c r="H698" s="127"/>
      <c r="I698" s="127"/>
      <c r="J698" s="127"/>
      <c r="K698" s="72"/>
      <c r="L698" s="72"/>
      <c r="M698" s="72"/>
      <c r="N698" s="72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127"/>
      <c r="H699" s="127"/>
      <c r="I699" s="127"/>
      <c r="J699" s="127"/>
      <c r="K699" s="72"/>
      <c r="L699" s="72"/>
      <c r="M699" s="72"/>
      <c r="N699" s="72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127"/>
      <c r="H700" s="127"/>
      <c r="I700" s="127"/>
      <c r="J700" s="127"/>
      <c r="K700" s="72"/>
      <c r="L700" s="72"/>
      <c r="M700" s="72"/>
      <c r="N700" s="72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127"/>
      <c r="H701" s="127"/>
      <c r="I701" s="127"/>
      <c r="J701" s="127"/>
      <c r="K701" s="72"/>
      <c r="L701" s="72"/>
      <c r="M701" s="72"/>
      <c r="N701" s="72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127"/>
      <c r="H702" s="127"/>
      <c r="I702" s="127"/>
      <c r="J702" s="127"/>
      <c r="K702" s="72"/>
      <c r="L702" s="72"/>
      <c r="M702" s="72"/>
      <c r="N702" s="72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127"/>
      <c r="H703" s="127"/>
      <c r="I703" s="127"/>
      <c r="J703" s="127"/>
      <c r="K703" s="72"/>
      <c r="L703" s="72"/>
      <c r="M703" s="72"/>
      <c r="N703" s="72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127"/>
      <c r="H704" s="127"/>
      <c r="I704" s="127"/>
      <c r="J704" s="127"/>
      <c r="K704" s="72"/>
      <c r="L704" s="72"/>
      <c r="M704" s="72"/>
      <c r="N704" s="72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127"/>
      <c r="H705" s="127"/>
      <c r="I705" s="127"/>
      <c r="J705" s="127"/>
      <c r="K705" s="72"/>
      <c r="L705" s="72"/>
      <c r="M705" s="72"/>
      <c r="N705" s="72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127"/>
      <c r="H706" s="127"/>
      <c r="I706" s="127"/>
      <c r="J706" s="127"/>
      <c r="K706" s="72"/>
      <c r="L706" s="72"/>
      <c r="M706" s="72"/>
      <c r="N706" s="72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127"/>
      <c r="H707" s="127"/>
      <c r="I707" s="127"/>
      <c r="J707" s="127"/>
      <c r="K707" s="72"/>
      <c r="L707" s="72"/>
      <c r="M707" s="72"/>
      <c r="N707" s="72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127"/>
      <c r="H708" s="127"/>
      <c r="I708" s="127"/>
      <c r="J708" s="127"/>
      <c r="K708" s="72"/>
      <c r="L708" s="72"/>
      <c r="M708" s="72"/>
      <c r="N708" s="72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127"/>
      <c r="H709" s="127"/>
      <c r="I709" s="127"/>
      <c r="J709" s="127"/>
      <c r="K709" s="72"/>
      <c r="L709" s="72"/>
      <c r="M709" s="72"/>
      <c r="N709" s="72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127"/>
      <c r="H710" s="127"/>
      <c r="I710" s="127"/>
      <c r="J710" s="127"/>
      <c r="K710" s="72"/>
      <c r="L710" s="72"/>
      <c r="M710" s="72"/>
      <c r="N710" s="72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127"/>
      <c r="H711" s="127"/>
      <c r="I711" s="127"/>
      <c r="J711" s="127"/>
      <c r="K711" s="72"/>
      <c r="L711" s="72"/>
      <c r="M711" s="72"/>
      <c r="N711" s="72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127"/>
      <c r="H712" s="127"/>
      <c r="I712" s="127"/>
      <c r="J712" s="127"/>
      <c r="K712" s="72"/>
      <c r="L712" s="72"/>
      <c r="M712" s="72"/>
      <c r="N712" s="72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127"/>
      <c r="H713" s="127"/>
      <c r="I713" s="127"/>
      <c r="J713" s="127"/>
      <c r="K713" s="72"/>
      <c r="L713" s="72"/>
      <c r="M713" s="72"/>
      <c r="N713" s="72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127"/>
      <c r="H714" s="127"/>
      <c r="I714" s="127"/>
      <c r="J714" s="127"/>
      <c r="K714" s="72"/>
      <c r="L714" s="72"/>
      <c r="M714" s="72"/>
      <c r="N714" s="72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127"/>
      <c r="H715" s="127"/>
      <c r="I715" s="127"/>
      <c r="J715" s="127"/>
      <c r="K715" s="72"/>
      <c r="L715" s="72"/>
      <c r="M715" s="72"/>
      <c r="N715" s="72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127"/>
      <c r="H716" s="127"/>
      <c r="I716" s="127"/>
      <c r="J716" s="127"/>
      <c r="K716" s="72"/>
      <c r="L716" s="72"/>
      <c r="M716" s="72"/>
      <c r="N716" s="72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127"/>
      <c r="H717" s="127"/>
      <c r="I717" s="127"/>
      <c r="J717" s="127"/>
      <c r="K717" s="72"/>
      <c r="L717" s="72"/>
      <c r="M717" s="72"/>
      <c r="N717" s="72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127"/>
      <c r="H718" s="127"/>
      <c r="I718" s="127"/>
      <c r="J718" s="127"/>
      <c r="K718" s="72"/>
      <c r="L718" s="72"/>
      <c r="M718" s="72"/>
      <c r="N718" s="72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127"/>
      <c r="H719" s="127"/>
      <c r="I719" s="127"/>
      <c r="J719" s="127"/>
      <c r="K719" s="72"/>
      <c r="L719" s="72"/>
      <c r="M719" s="72"/>
      <c r="N719" s="72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127"/>
      <c r="H720" s="127"/>
      <c r="I720" s="127"/>
      <c r="J720" s="127"/>
      <c r="K720" s="72"/>
      <c r="L720" s="72"/>
      <c r="M720" s="72"/>
      <c r="N720" s="72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127"/>
      <c r="H721" s="127"/>
      <c r="I721" s="127"/>
      <c r="J721" s="127"/>
      <c r="K721" s="72"/>
      <c r="L721" s="72"/>
      <c r="M721" s="72"/>
      <c r="N721" s="72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127"/>
      <c r="H722" s="127"/>
      <c r="I722" s="127"/>
      <c r="J722" s="127"/>
      <c r="K722" s="72"/>
      <c r="L722" s="72"/>
      <c r="M722" s="72"/>
      <c r="N722" s="72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127"/>
      <c r="H723" s="127"/>
      <c r="I723" s="127"/>
      <c r="J723" s="127"/>
      <c r="K723" s="72"/>
      <c r="L723" s="72"/>
      <c r="M723" s="72"/>
      <c r="N723" s="72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127"/>
      <c r="H724" s="127"/>
      <c r="I724" s="127"/>
      <c r="J724" s="127"/>
      <c r="K724" s="72"/>
      <c r="L724" s="72"/>
      <c r="M724" s="72"/>
      <c r="N724" s="72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127"/>
      <c r="H725" s="127"/>
      <c r="I725" s="127"/>
      <c r="J725" s="127"/>
      <c r="K725" s="72"/>
      <c r="L725" s="72"/>
      <c r="M725" s="72"/>
      <c r="N725" s="72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127"/>
      <c r="H726" s="127"/>
      <c r="I726" s="127"/>
      <c r="J726" s="127"/>
      <c r="K726" s="72"/>
      <c r="L726" s="72"/>
      <c r="M726" s="72"/>
      <c r="N726" s="72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127"/>
      <c r="H727" s="127"/>
      <c r="I727" s="127"/>
      <c r="J727" s="127"/>
      <c r="K727" s="72"/>
      <c r="L727" s="72"/>
      <c r="M727" s="72"/>
      <c r="N727" s="72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127"/>
      <c r="H728" s="127"/>
      <c r="I728" s="127"/>
      <c r="J728" s="127"/>
      <c r="K728" s="72"/>
      <c r="L728" s="72"/>
      <c r="M728" s="72"/>
      <c r="N728" s="72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127"/>
      <c r="H729" s="127"/>
      <c r="I729" s="127"/>
      <c r="J729" s="127"/>
      <c r="K729" s="72"/>
      <c r="L729" s="72"/>
      <c r="M729" s="72"/>
      <c r="N729" s="72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127"/>
      <c r="H730" s="127"/>
      <c r="I730" s="127"/>
      <c r="J730" s="127"/>
      <c r="K730" s="72"/>
      <c r="L730" s="72"/>
      <c r="M730" s="72"/>
      <c r="N730" s="72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127"/>
      <c r="H731" s="127"/>
      <c r="I731" s="127"/>
      <c r="J731" s="127"/>
      <c r="K731" s="72"/>
      <c r="L731" s="72"/>
      <c r="M731" s="72"/>
      <c r="N731" s="72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127"/>
      <c r="H732" s="127"/>
      <c r="I732" s="127"/>
      <c r="J732" s="127"/>
      <c r="K732" s="72"/>
      <c r="L732" s="72"/>
      <c r="M732" s="72"/>
      <c r="N732" s="72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127"/>
      <c r="H733" s="127"/>
      <c r="I733" s="127"/>
      <c r="J733" s="127"/>
      <c r="K733" s="72"/>
      <c r="L733" s="72"/>
      <c r="M733" s="72"/>
      <c r="N733" s="72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127"/>
      <c r="H734" s="127"/>
      <c r="I734" s="127"/>
      <c r="J734" s="127"/>
      <c r="K734" s="72"/>
      <c r="L734" s="72"/>
      <c r="M734" s="72"/>
      <c r="N734" s="72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127"/>
      <c r="H735" s="127"/>
      <c r="I735" s="127"/>
      <c r="J735" s="127"/>
      <c r="K735" s="72"/>
      <c r="L735" s="72"/>
      <c r="M735" s="72"/>
      <c r="N735" s="72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127"/>
      <c r="H736" s="127"/>
      <c r="I736" s="127"/>
      <c r="J736" s="127"/>
      <c r="K736" s="72"/>
      <c r="L736" s="72"/>
      <c r="M736" s="72"/>
      <c r="N736" s="72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127"/>
      <c r="H737" s="127"/>
      <c r="I737" s="127"/>
      <c r="J737" s="127"/>
      <c r="K737" s="72"/>
      <c r="L737" s="72"/>
      <c r="M737" s="72"/>
      <c r="N737" s="72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127"/>
      <c r="H738" s="127"/>
      <c r="I738" s="127"/>
      <c r="J738" s="127"/>
      <c r="K738" s="72"/>
      <c r="L738" s="72"/>
      <c r="M738" s="72"/>
      <c r="N738" s="72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127"/>
      <c r="H739" s="127"/>
      <c r="I739" s="127"/>
      <c r="J739" s="127"/>
      <c r="K739" s="72"/>
      <c r="L739" s="72"/>
      <c r="M739" s="72"/>
      <c r="N739" s="72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127"/>
      <c r="H740" s="127"/>
      <c r="I740" s="127"/>
      <c r="J740" s="127"/>
      <c r="K740" s="72"/>
      <c r="L740" s="72"/>
      <c r="M740" s="72"/>
      <c r="N740" s="72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127"/>
      <c r="H741" s="127"/>
      <c r="I741" s="127"/>
      <c r="J741" s="127"/>
      <c r="K741" s="72"/>
      <c r="L741" s="72"/>
      <c r="M741" s="72"/>
      <c r="N741" s="72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127"/>
      <c r="H742" s="127"/>
      <c r="I742" s="127"/>
      <c r="J742" s="127"/>
      <c r="K742" s="72"/>
      <c r="L742" s="72"/>
      <c r="M742" s="72"/>
      <c r="N742" s="72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127"/>
      <c r="H743" s="127"/>
      <c r="I743" s="127"/>
      <c r="J743" s="127"/>
      <c r="K743" s="72"/>
      <c r="L743" s="72"/>
      <c r="M743" s="72"/>
      <c r="N743" s="72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127"/>
      <c r="H744" s="127"/>
      <c r="I744" s="127"/>
      <c r="J744" s="127"/>
      <c r="K744" s="72"/>
      <c r="L744" s="72"/>
      <c r="M744" s="72"/>
      <c r="N744" s="72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127"/>
      <c r="H745" s="127"/>
      <c r="I745" s="127"/>
      <c r="J745" s="127"/>
      <c r="K745" s="72"/>
      <c r="L745" s="72"/>
      <c r="M745" s="72"/>
      <c r="N745" s="72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127"/>
      <c r="H746" s="127"/>
      <c r="I746" s="127"/>
      <c r="J746" s="127"/>
      <c r="K746" s="72"/>
      <c r="L746" s="72"/>
      <c r="M746" s="72"/>
      <c r="N746" s="72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127"/>
      <c r="H747" s="127"/>
      <c r="I747" s="127"/>
      <c r="J747" s="127"/>
      <c r="K747" s="72"/>
      <c r="L747" s="72"/>
      <c r="M747" s="72"/>
      <c r="N747" s="72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127"/>
      <c r="H748" s="127"/>
      <c r="I748" s="127"/>
      <c r="J748" s="127"/>
      <c r="K748" s="72"/>
      <c r="L748" s="72"/>
      <c r="M748" s="72"/>
      <c r="N748" s="72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127"/>
      <c r="H749" s="127"/>
      <c r="I749" s="127"/>
      <c r="J749" s="127"/>
      <c r="K749" s="72"/>
      <c r="L749" s="72"/>
      <c r="M749" s="72"/>
      <c r="N749" s="72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127"/>
      <c r="H750" s="127"/>
      <c r="I750" s="127"/>
      <c r="J750" s="127"/>
      <c r="K750" s="72"/>
      <c r="L750" s="72"/>
      <c r="M750" s="72"/>
      <c r="N750" s="72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127"/>
      <c r="H751" s="127"/>
      <c r="I751" s="127"/>
      <c r="J751" s="127"/>
      <c r="K751" s="72"/>
      <c r="L751" s="72"/>
      <c r="M751" s="72"/>
      <c r="N751" s="72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127"/>
      <c r="H752" s="127"/>
      <c r="I752" s="127"/>
      <c r="J752" s="127"/>
      <c r="K752" s="72"/>
      <c r="L752" s="72"/>
      <c r="M752" s="72"/>
      <c r="N752" s="72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127"/>
      <c r="H753" s="127"/>
      <c r="I753" s="127"/>
      <c r="J753" s="127"/>
      <c r="K753" s="72"/>
      <c r="L753" s="72"/>
      <c r="M753" s="72"/>
      <c r="N753" s="72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127"/>
      <c r="H754" s="127"/>
      <c r="I754" s="127"/>
      <c r="J754" s="127"/>
      <c r="K754" s="72"/>
      <c r="L754" s="72"/>
      <c r="M754" s="72"/>
      <c r="N754" s="72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127"/>
      <c r="H755" s="127"/>
      <c r="I755" s="127"/>
      <c r="J755" s="127"/>
      <c r="K755" s="72"/>
      <c r="L755" s="72"/>
      <c r="M755" s="72"/>
      <c r="N755" s="72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127"/>
      <c r="H756" s="127"/>
      <c r="I756" s="127"/>
      <c r="J756" s="127"/>
      <c r="K756" s="72"/>
      <c r="L756" s="72"/>
      <c r="M756" s="72"/>
      <c r="N756" s="72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127"/>
      <c r="H757" s="127"/>
      <c r="I757" s="127"/>
      <c r="J757" s="127"/>
      <c r="K757" s="72"/>
      <c r="L757" s="72"/>
      <c r="M757" s="72"/>
      <c r="N757" s="72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127"/>
      <c r="H758" s="127"/>
      <c r="I758" s="127"/>
      <c r="J758" s="127"/>
      <c r="K758" s="72"/>
      <c r="L758" s="72"/>
      <c r="M758" s="72"/>
      <c r="N758" s="72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127"/>
      <c r="H759" s="127"/>
      <c r="I759" s="127"/>
      <c r="J759" s="127"/>
      <c r="K759" s="72"/>
      <c r="L759" s="72"/>
      <c r="M759" s="72"/>
      <c r="N759" s="72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127"/>
      <c r="H760" s="127"/>
      <c r="I760" s="127"/>
      <c r="J760" s="127"/>
      <c r="K760" s="72"/>
      <c r="L760" s="72"/>
      <c r="M760" s="72"/>
      <c r="N760" s="72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127"/>
      <c r="H761" s="127"/>
      <c r="I761" s="127"/>
      <c r="J761" s="127"/>
      <c r="K761" s="72"/>
      <c r="L761" s="72"/>
      <c r="M761" s="72"/>
      <c r="N761" s="72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127"/>
      <c r="H762" s="127"/>
      <c r="I762" s="127"/>
      <c r="J762" s="127"/>
      <c r="K762" s="72"/>
      <c r="L762" s="72"/>
      <c r="M762" s="72"/>
      <c r="N762" s="72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127"/>
      <c r="H763" s="127"/>
      <c r="I763" s="127"/>
      <c r="J763" s="127"/>
      <c r="K763" s="72"/>
      <c r="L763" s="72"/>
      <c r="M763" s="72"/>
      <c r="N763" s="72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127"/>
      <c r="H764" s="127"/>
      <c r="I764" s="127"/>
      <c r="J764" s="127"/>
      <c r="K764" s="72"/>
      <c r="L764" s="72"/>
      <c r="M764" s="72"/>
      <c r="N764" s="72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127"/>
      <c r="H765" s="127"/>
      <c r="I765" s="127"/>
      <c r="J765" s="127"/>
      <c r="K765" s="72"/>
      <c r="L765" s="72"/>
      <c r="M765" s="72"/>
      <c r="N765" s="72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127"/>
      <c r="H766" s="127"/>
      <c r="I766" s="127"/>
      <c r="J766" s="127"/>
      <c r="K766" s="72"/>
      <c r="L766" s="72"/>
      <c r="M766" s="72"/>
      <c r="N766" s="72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127"/>
      <c r="H767" s="127"/>
      <c r="I767" s="127"/>
      <c r="J767" s="127"/>
      <c r="K767" s="72"/>
      <c r="L767" s="72"/>
      <c r="M767" s="72"/>
      <c r="N767" s="72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127"/>
      <c r="H768" s="127"/>
      <c r="I768" s="127"/>
      <c r="J768" s="127"/>
      <c r="K768" s="72"/>
      <c r="L768" s="72"/>
      <c r="M768" s="72"/>
      <c r="N768" s="72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127"/>
      <c r="H769" s="127"/>
      <c r="I769" s="127"/>
      <c r="J769" s="127"/>
      <c r="K769" s="72"/>
      <c r="L769" s="72"/>
      <c r="M769" s="72"/>
      <c r="N769" s="72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127"/>
      <c r="H770" s="127"/>
      <c r="I770" s="127"/>
      <c r="J770" s="127"/>
      <c r="K770" s="72"/>
      <c r="L770" s="72"/>
      <c r="M770" s="72"/>
      <c r="N770" s="72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127"/>
      <c r="H771" s="127"/>
      <c r="I771" s="127"/>
      <c r="J771" s="127"/>
      <c r="K771" s="72"/>
      <c r="L771" s="72"/>
      <c r="M771" s="72"/>
      <c r="N771" s="72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127"/>
      <c r="H772" s="127"/>
      <c r="I772" s="127"/>
      <c r="J772" s="127"/>
      <c r="K772" s="72"/>
      <c r="L772" s="72"/>
      <c r="M772" s="72"/>
      <c r="N772" s="72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127"/>
      <c r="H773" s="127"/>
      <c r="I773" s="127"/>
      <c r="J773" s="127"/>
      <c r="K773" s="72"/>
      <c r="L773" s="72"/>
      <c r="M773" s="72"/>
      <c r="N773" s="72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127"/>
      <c r="H774" s="127"/>
      <c r="I774" s="127"/>
      <c r="J774" s="127"/>
      <c r="K774" s="72"/>
      <c r="L774" s="72"/>
      <c r="M774" s="72"/>
      <c r="N774" s="72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127"/>
      <c r="H775" s="127"/>
      <c r="I775" s="127"/>
      <c r="J775" s="127"/>
      <c r="K775" s="72"/>
      <c r="L775" s="72"/>
      <c r="M775" s="72"/>
      <c r="N775" s="72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127"/>
      <c r="H776" s="127"/>
      <c r="I776" s="127"/>
      <c r="J776" s="127"/>
      <c r="K776" s="72"/>
      <c r="L776" s="72"/>
      <c r="M776" s="72"/>
      <c r="N776" s="72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127"/>
      <c r="H777" s="127"/>
      <c r="I777" s="127"/>
      <c r="J777" s="127"/>
      <c r="K777" s="72"/>
      <c r="L777" s="72"/>
      <c r="M777" s="72"/>
      <c r="N777" s="72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127"/>
      <c r="H778" s="127"/>
      <c r="I778" s="127"/>
      <c r="J778" s="127"/>
      <c r="K778" s="72"/>
      <c r="L778" s="72"/>
      <c r="M778" s="72"/>
      <c r="N778" s="72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127"/>
      <c r="H779" s="127"/>
      <c r="I779" s="127"/>
      <c r="J779" s="127"/>
      <c r="K779" s="72"/>
      <c r="L779" s="72"/>
      <c r="M779" s="72"/>
      <c r="N779" s="72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127"/>
      <c r="H780" s="127"/>
      <c r="I780" s="127"/>
      <c r="J780" s="127"/>
      <c r="K780" s="72"/>
      <c r="L780" s="72"/>
      <c r="M780" s="72"/>
      <c r="N780" s="72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127"/>
      <c r="H781" s="127"/>
      <c r="I781" s="127"/>
      <c r="J781" s="127"/>
      <c r="K781" s="72"/>
      <c r="L781" s="72"/>
      <c r="M781" s="72"/>
      <c r="N781" s="72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127"/>
      <c r="H782" s="127"/>
      <c r="I782" s="127"/>
      <c r="J782" s="127"/>
      <c r="K782" s="72"/>
      <c r="L782" s="72"/>
      <c r="M782" s="72"/>
      <c r="N782" s="72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127"/>
      <c r="H783" s="127"/>
      <c r="I783" s="127"/>
      <c r="J783" s="127"/>
      <c r="K783" s="72"/>
      <c r="L783" s="72"/>
      <c r="M783" s="72"/>
      <c r="N783" s="72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127"/>
      <c r="H784" s="127"/>
      <c r="I784" s="127"/>
      <c r="J784" s="127"/>
      <c r="K784" s="72"/>
      <c r="L784" s="72"/>
      <c r="M784" s="72"/>
      <c r="N784" s="72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127"/>
      <c r="H785" s="127"/>
      <c r="I785" s="127"/>
      <c r="J785" s="127"/>
      <c r="K785" s="72"/>
      <c r="L785" s="72"/>
      <c r="M785" s="72"/>
      <c r="N785" s="72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127"/>
      <c r="H786" s="127"/>
      <c r="I786" s="127"/>
      <c r="J786" s="127"/>
      <c r="K786" s="72"/>
      <c r="L786" s="72"/>
      <c r="M786" s="72"/>
      <c r="N786" s="72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127"/>
      <c r="H787" s="127"/>
      <c r="I787" s="127"/>
      <c r="J787" s="127"/>
      <c r="K787" s="72"/>
      <c r="L787" s="72"/>
      <c r="M787" s="72"/>
      <c r="N787" s="72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127"/>
      <c r="H788" s="127"/>
      <c r="I788" s="127"/>
      <c r="J788" s="127"/>
      <c r="K788" s="72"/>
      <c r="L788" s="72"/>
      <c r="M788" s="72"/>
      <c r="N788" s="72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127"/>
      <c r="H789" s="127"/>
      <c r="I789" s="127"/>
      <c r="J789" s="127"/>
      <c r="K789" s="72"/>
      <c r="L789" s="72"/>
      <c r="M789" s="72"/>
      <c r="N789" s="72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127"/>
      <c r="H790" s="127"/>
      <c r="I790" s="127"/>
      <c r="J790" s="127"/>
      <c r="K790" s="72"/>
      <c r="L790" s="72"/>
      <c r="M790" s="72"/>
      <c r="N790" s="72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127"/>
      <c r="H791" s="127"/>
      <c r="I791" s="127"/>
      <c r="J791" s="127"/>
      <c r="K791" s="72"/>
      <c r="L791" s="72"/>
      <c r="M791" s="72"/>
      <c r="N791" s="72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127"/>
      <c r="H792" s="127"/>
      <c r="I792" s="127"/>
      <c r="J792" s="127"/>
      <c r="K792" s="72"/>
      <c r="L792" s="72"/>
      <c r="M792" s="72"/>
      <c r="N792" s="72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127"/>
      <c r="H793" s="127"/>
      <c r="I793" s="127"/>
      <c r="J793" s="127"/>
      <c r="K793" s="72"/>
      <c r="L793" s="72"/>
      <c r="M793" s="72"/>
      <c r="N793" s="72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127"/>
      <c r="H794" s="127"/>
      <c r="I794" s="127"/>
      <c r="J794" s="127"/>
      <c r="K794" s="72"/>
      <c r="L794" s="72"/>
      <c r="M794" s="72"/>
      <c r="N794" s="72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127"/>
      <c r="H795" s="127"/>
      <c r="I795" s="127"/>
      <c r="J795" s="127"/>
      <c r="K795" s="72"/>
      <c r="L795" s="72"/>
      <c r="M795" s="72"/>
      <c r="N795" s="72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127"/>
      <c r="H796" s="127"/>
      <c r="I796" s="127"/>
      <c r="J796" s="127"/>
      <c r="K796" s="72"/>
      <c r="L796" s="72"/>
      <c r="M796" s="72"/>
      <c r="N796" s="72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127"/>
      <c r="H797" s="127"/>
      <c r="I797" s="127"/>
      <c r="J797" s="127"/>
      <c r="K797" s="72"/>
      <c r="L797" s="72"/>
      <c r="M797" s="72"/>
      <c r="N797" s="72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127"/>
      <c r="H798" s="127"/>
      <c r="I798" s="127"/>
      <c r="J798" s="127"/>
      <c r="K798" s="72"/>
      <c r="L798" s="72"/>
      <c r="M798" s="72"/>
      <c r="N798" s="72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127"/>
      <c r="H799" s="127"/>
      <c r="I799" s="127"/>
      <c r="J799" s="127"/>
      <c r="K799" s="72"/>
      <c r="L799" s="72"/>
      <c r="M799" s="72"/>
      <c r="N799" s="72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127"/>
      <c r="H800" s="127"/>
      <c r="I800" s="127"/>
      <c r="J800" s="127"/>
      <c r="K800" s="72"/>
      <c r="L800" s="72"/>
      <c r="M800" s="72"/>
      <c r="N800" s="72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127"/>
      <c r="H801" s="127"/>
      <c r="I801" s="127"/>
      <c r="J801" s="127"/>
      <c r="K801" s="72"/>
      <c r="L801" s="72"/>
      <c r="M801" s="72"/>
      <c r="N801" s="72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127"/>
      <c r="H802" s="127"/>
      <c r="I802" s="127"/>
      <c r="J802" s="127"/>
      <c r="K802" s="72"/>
      <c r="L802" s="72"/>
      <c r="M802" s="72"/>
      <c r="N802" s="72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127"/>
      <c r="H803" s="127"/>
      <c r="I803" s="127"/>
      <c r="J803" s="127"/>
      <c r="K803" s="72"/>
      <c r="L803" s="72"/>
      <c r="M803" s="72"/>
      <c r="N803" s="72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127"/>
      <c r="H804" s="127"/>
      <c r="I804" s="127"/>
      <c r="J804" s="127"/>
      <c r="K804" s="72"/>
      <c r="L804" s="72"/>
      <c r="M804" s="72"/>
      <c r="N804" s="72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127"/>
      <c r="H805" s="127"/>
      <c r="I805" s="127"/>
      <c r="J805" s="127"/>
      <c r="K805" s="72"/>
      <c r="L805" s="72"/>
      <c r="M805" s="72"/>
      <c r="N805" s="72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127"/>
      <c r="H806" s="127"/>
      <c r="I806" s="127"/>
      <c r="J806" s="127"/>
      <c r="K806" s="72"/>
      <c r="L806" s="72"/>
      <c r="M806" s="72"/>
      <c r="N806" s="72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127"/>
      <c r="H807" s="127"/>
      <c r="I807" s="127"/>
      <c r="J807" s="127"/>
      <c r="K807" s="72"/>
      <c r="L807" s="72"/>
      <c r="M807" s="72"/>
      <c r="N807" s="72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127"/>
      <c r="H808" s="127"/>
      <c r="I808" s="127"/>
      <c r="J808" s="127"/>
      <c r="K808" s="72"/>
      <c r="L808" s="72"/>
      <c r="M808" s="72"/>
      <c r="N808" s="72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127"/>
      <c r="H809" s="127"/>
      <c r="I809" s="127"/>
      <c r="J809" s="127"/>
      <c r="K809" s="72"/>
      <c r="L809" s="72"/>
      <c r="M809" s="72"/>
      <c r="N809" s="72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127"/>
      <c r="H810" s="127"/>
      <c r="I810" s="127"/>
      <c r="J810" s="127"/>
      <c r="K810" s="72"/>
      <c r="L810" s="72"/>
      <c r="M810" s="72"/>
      <c r="N810" s="72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127"/>
      <c r="H811" s="127"/>
      <c r="I811" s="127"/>
      <c r="J811" s="127"/>
      <c r="K811" s="72"/>
      <c r="L811" s="72"/>
      <c r="M811" s="72"/>
      <c r="N811" s="72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127"/>
      <c r="H812" s="127"/>
      <c r="I812" s="127"/>
      <c r="J812" s="127"/>
      <c r="K812" s="72"/>
      <c r="L812" s="72"/>
      <c r="M812" s="72"/>
      <c r="N812" s="72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127"/>
      <c r="H813" s="127"/>
      <c r="I813" s="127"/>
      <c r="J813" s="127"/>
      <c r="K813" s="72"/>
      <c r="L813" s="72"/>
      <c r="M813" s="72"/>
      <c r="N813" s="72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127"/>
      <c r="H814" s="127"/>
      <c r="I814" s="127"/>
      <c r="J814" s="127"/>
      <c r="K814" s="72"/>
      <c r="L814" s="72"/>
      <c r="M814" s="72"/>
      <c r="N814" s="72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127"/>
      <c r="H815" s="127"/>
      <c r="I815" s="127"/>
      <c r="J815" s="127"/>
      <c r="K815" s="72"/>
      <c r="L815" s="72"/>
      <c r="M815" s="72"/>
      <c r="N815" s="72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127"/>
      <c r="H816" s="127"/>
      <c r="I816" s="127"/>
      <c r="J816" s="127"/>
      <c r="K816" s="72"/>
      <c r="L816" s="72"/>
      <c r="M816" s="72"/>
      <c r="N816" s="72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127"/>
      <c r="H817" s="127"/>
      <c r="I817" s="127"/>
      <c r="J817" s="127"/>
      <c r="K817" s="72"/>
      <c r="L817" s="72"/>
      <c r="M817" s="72"/>
      <c r="N817" s="72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127"/>
      <c r="H818" s="127"/>
      <c r="I818" s="127"/>
      <c r="J818" s="127"/>
      <c r="K818" s="72"/>
      <c r="L818" s="72"/>
      <c r="M818" s="72"/>
      <c r="N818" s="72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127"/>
      <c r="H819" s="127"/>
      <c r="I819" s="127"/>
      <c r="J819" s="127"/>
      <c r="K819" s="72"/>
      <c r="L819" s="72"/>
      <c r="M819" s="72"/>
      <c r="N819" s="72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127"/>
      <c r="H820" s="127"/>
      <c r="I820" s="127"/>
      <c r="J820" s="127"/>
      <c r="K820" s="72"/>
      <c r="L820" s="72"/>
      <c r="M820" s="72"/>
      <c r="N820" s="72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127"/>
      <c r="H821" s="127"/>
      <c r="I821" s="127"/>
      <c r="J821" s="127"/>
      <c r="K821" s="72"/>
      <c r="L821" s="72"/>
      <c r="M821" s="72"/>
      <c r="N821" s="72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127"/>
      <c r="H822" s="127"/>
      <c r="I822" s="127"/>
      <c r="J822" s="127"/>
      <c r="K822" s="72"/>
      <c r="L822" s="72"/>
      <c r="M822" s="72"/>
      <c r="N822" s="72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127"/>
      <c r="H823" s="127"/>
      <c r="I823" s="127"/>
      <c r="J823" s="127"/>
      <c r="K823" s="72"/>
      <c r="L823" s="72"/>
      <c r="M823" s="72"/>
      <c r="N823" s="72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127"/>
      <c r="H824" s="127"/>
      <c r="I824" s="127"/>
      <c r="J824" s="127"/>
      <c r="K824" s="72"/>
      <c r="L824" s="72"/>
      <c r="M824" s="72"/>
      <c r="N824" s="72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127"/>
      <c r="H825" s="127"/>
      <c r="I825" s="127"/>
      <c r="J825" s="127"/>
      <c r="K825" s="72"/>
      <c r="L825" s="72"/>
      <c r="M825" s="72"/>
      <c r="N825" s="72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127"/>
      <c r="H826" s="127"/>
      <c r="I826" s="127"/>
      <c r="J826" s="127"/>
      <c r="K826" s="72"/>
      <c r="L826" s="72"/>
      <c r="M826" s="72"/>
      <c r="N826" s="72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127"/>
      <c r="H827" s="127"/>
      <c r="I827" s="127"/>
      <c r="J827" s="127"/>
      <c r="K827" s="72"/>
      <c r="L827" s="72"/>
      <c r="M827" s="72"/>
      <c r="N827" s="72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127"/>
      <c r="H828" s="127"/>
      <c r="I828" s="127"/>
      <c r="J828" s="127"/>
      <c r="K828" s="72"/>
      <c r="L828" s="72"/>
      <c r="M828" s="72"/>
      <c r="N828" s="72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127"/>
      <c r="H829" s="127"/>
      <c r="I829" s="127"/>
      <c r="J829" s="127"/>
      <c r="K829" s="72"/>
      <c r="L829" s="72"/>
      <c r="M829" s="72"/>
      <c r="N829" s="72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127"/>
      <c r="H830" s="127"/>
      <c r="I830" s="127"/>
      <c r="J830" s="127"/>
      <c r="K830" s="72"/>
      <c r="L830" s="72"/>
      <c r="M830" s="72"/>
      <c r="N830" s="72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127"/>
      <c r="H831" s="127"/>
      <c r="I831" s="127"/>
      <c r="J831" s="127"/>
      <c r="K831" s="72"/>
      <c r="L831" s="72"/>
      <c r="M831" s="72"/>
      <c r="N831" s="72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127"/>
      <c r="H832" s="127"/>
      <c r="I832" s="127"/>
      <c r="J832" s="127"/>
      <c r="K832" s="72"/>
      <c r="L832" s="72"/>
      <c r="M832" s="72"/>
      <c r="N832" s="72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127"/>
      <c r="H833" s="127"/>
      <c r="I833" s="127"/>
      <c r="J833" s="127"/>
      <c r="K833" s="72"/>
      <c r="L833" s="72"/>
      <c r="M833" s="72"/>
      <c r="N833" s="72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127"/>
      <c r="H834" s="127"/>
      <c r="I834" s="127"/>
      <c r="J834" s="127"/>
      <c r="K834" s="72"/>
      <c r="L834" s="72"/>
      <c r="M834" s="72"/>
      <c r="N834" s="72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127"/>
      <c r="H835" s="127"/>
      <c r="I835" s="127"/>
      <c r="J835" s="127"/>
      <c r="K835" s="72"/>
      <c r="L835" s="72"/>
      <c r="M835" s="72"/>
      <c r="N835" s="72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127"/>
      <c r="H836" s="127"/>
      <c r="I836" s="127"/>
      <c r="J836" s="127"/>
      <c r="K836" s="72"/>
      <c r="L836" s="72"/>
      <c r="M836" s="72"/>
      <c r="N836" s="72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127"/>
      <c r="H837" s="127"/>
      <c r="I837" s="127"/>
      <c r="J837" s="127"/>
      <c r="K837" s="72"/>
      <c r="L837" s="72"/>
      <c r="M837" s="72"/>
      <c r="N837" s="72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127"/>
      <c r="H838" s="127"/>
      <c r="I838" s="127"/>
      <c r="J838" s="127"/>
      <c r="K838" s="72"/>
      <c r="L838" s="72"/>
      <c r="M838" s="72"/>
      <c r="N838" s="72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127"/>
      <c r="H839" s="127"/>
      <c r="I839" s="127"/>
      <c r="J839" s="127"/>
      <c r="K839" s="72"/>
      <c r="L839" s="72"/>
      <c r="M839" s="72"/>
      <c r="N839" s="72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127"/>
      <c r="H840" s="127"/>
      <c r="I840" s="127"/>
      <c r="J840" s="127"/>
      <c r="K840" s="72"/>
      <c r="L840" s="72"/>
      <c r="M840" s="72"/>
      <c r="N840" s="72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127"/>
      <c r="H841" s="127"/>
      <c r="I841" s="127"/>
      <c r="J841" s="127"/>
      <c r="K841" s="72"/>
      <c r="L841" s="72"/>
      <c r="M841" s="72"/>
      <c r="N841" s="72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127"/>
      <c r="H842" s="127"/>
      <c r="I842" s="127"/>
      <c r="J842" s="127"/>
      <c r="K842" s="72"/>
      <c r="L842" s="72"/>
      <c r="M842" s="72"/>
      <c r="N842" s="72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127"/>
      <c r="H843" s="127"/>
      <c r="I843" s="127"/>
      <c r="J843" s="127"/>
      <c r="K843" s="72"/>
      <c r="L843" s="72"/>
      <c r="M843" s="72"/>
      <c r="N843" s="72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127"/>
      <c r="H844" s="127"/>
      <c r="I844" s="127"/>
      <c r="J844" s="127"/>
      <c r="K844" s="72"/>
      <c r="L844" s="72"/>
      <c r="M844" s="72"/>
      <c r="N844" s="72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127"/>
      <c r="H845" s="127"/>
      <c r="I845" s="127"/>
      <c r="J845" s="127"/>
      <c r="K845" s="72"/>
      <c r="L845" s="72"/>
      <c r="M845" s="72"/>
      <c r="N845" s="72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127"/>
      <c r="H846" s="127"/>
      <c r="I846" s="127"/>
      <c r="J846" s="127"/>
      <c r="K846" s="72"/>
      <c r="L846" s="72"/>
      <c r="M846" s="72"/>
      <c r="N846" s="72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127"/>
      <c r="H847" s="127"/>
      <c r="I847" s="127"/>
      <c r="J847" s="127"/>
      <c r="K847" s="72"/>
      <c r="L847" s="72"/>
      <c r="M847" s="72"/>
      <c r="N847" s="72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127"/>
      <c r="H848" s="127"/>
      <c r="I848" s="127"/>
      <c r="J848" s="127"/>
      <c r="K848" s="72"/>
      <c r="L848" s="72"/>
      <c r="M848" s="72"/>
      <c r="N848" s="72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127"/>
      <c r="H849" s="127"/>
      <c r="I849" s="127"/>
      <c r="J849" s="127"/>
      <c r="K849" s="72"/>
      <c r="L849" s="72"/>
      <c r="M849" s="72"/>
      <c r="N849" s="72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127"/>
      <c r="H850" s="127"/>
      <c r="I850" s="127"/>
      <c r="J850" s="127"/>
      <c r="K850" s="72"/>
      <c r="L850" s="72"/>
      <c r="M850" s="72"/>
      <c r="N850" s="72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127"/>
      <c r="H851" s="127"/>
      <c r="I851" s="127"/>
      <c r="J851" s="127"/>
      <c r="K851" s="72"/>
      <c r="L851" s="72"/>
      <c r="M851" s="72"/>
      <c r="N851" s="72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127"/>
      <c r="H852" s="127"/>
      <c r="I852" s="127"/>
      <c r="J852" s="127"/>
      <c r="K852" s="72"/>
      <c r="L852" s="72"/>
      <c r="M852" s="72"/>
      <c r="N852" s="72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127"/>
      <c r="H853" s="127"/>
      <c r="I853" s="127"/>
      <c r="J853" s="127"/>
      <c r="K853" s="72"/>
      <c r="L853" s="72"/>
      <c r="M853" s="72"/>
      <c r="N853" s="72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127"/>
      <c r="H854" s="127"/>
      <c r="I854" s="127"/>
      <c r="J854" s="127"/>
      <c r="K854" s="72"/>
      <c r="L854" s="72"/>
      <c r="M854" s="72"/>
      <c r="N854" s="72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127"/>
      <c r="H855" s="127"/>
      <c r="I855" s="127"/>
      <c r="J855" s="127"/>
      <c r="K855" s="72"/>
      <c r="L855" s="72"/>
      <c r="M855" s="72"/>
      <c r="N855" s="72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127"/>
      <c r="H856" s="127"/>
      <c r="I856" s="127"/>
      <c r="J856" s="127"/>
      <c r="K856" s="72"/>
      <c r="L856" s="72"/>
      <c r="M856" s="72"/>
      <c r="N856" s="72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127"/>
      <c r="H857" s="127"/>
      <c r="I857" s="127"/>
      <c r="J857" s="127"/>
      <c r="K857" s="72"/>
      <c r="L857" s="72"/>
      <c r="M857" s="72"/>
      <c r="N857" s="72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127"/>
      <c r="H858" s="127"/>
      <c r="I858" s="127"/>
      <c r="J858" s="127"/>
      <c r="K858" s="72"/>
      <c r="L858" s="72"/>
      <c r="M858" s="72"/>
      <c r="N858" s="72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127"/>
      <c r="H859" s="127"/>
      <c r="I859" s="127"/>
      <c r="J859" s="127"/>
      <c r="K859" s="72"/>
      <c r="L859" s="72"/>
      <c r="M859" s="72"/>
      <c r="N859" s="72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127"/>
      <c r="H860" s="127"/>
      <c r="I860" s="127"/>
      <c r="J860" s="127"/>
      <c r="K860" s="72"/>
      <c r="L860" s="72"/>
      <c r="M860" s="72"/>
      <c r="N860" s="72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127"/>
      <c r="H861" s="127"/>
      <c r="I861" s="127"/>
      <c r="J861" s="127"/>
      <c r="K861" s="72"/>
      <c r="L861" s="72"/>
      <c r="M861" s="72"/>
      <c r="N861" s="72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127"/>
      <c r="H862" s="127"/>
      <c r="I862" s="127"/>
      <c r="J862" s="127"/>
      <c r="K862" s="72"/>
      <c r="L862" s="72"/>
      <c r="M862" s="72"/>
      <c r="N862" s="72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127"/>
      <c r="H863" s="127"/>
      <c r="I863" s="127"/>
      <c r="J863" s="127"/>
      <c r="K863" s="72"/>
      <c r="L863" s="72"/>
      <c r="M863" s="72"/>
      <c r="N863" s="72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127"/>
      <c r="H864" s="127"/>
      <c r="I864" s="127"/>
      <c r="J864" s="127"/>
      <c r="K864" s="72"/>
      <c r="L864" s="72"/>
      <c r="M864" s="72"/>
      <c r="N864" s="72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127"/>
      <c r="H865" s="127"/>
      <c r="I865" s="127"/>
      <c r="J865" s="127"/>
      <c r="K865" s="72"/>
      <c r="L865" s="72"/>
      <c r="M865" s="72"/>
      <c r="N865" s="72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127"/>
      <c r="H866" s="127"/>
      <c r="I866" s="127"/>
      <c r="J866" s="127"/>
      <c r="K866" s="72"/>
      <c r="L866" s="72"/>
      <c r="M866" s="72"/>
      <c r="N866" s="72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127"/>
      <c r="H867" s="127"/>
      <c r="I867" s="127"/>
      <c r="J867" s="127"/>
      <c r="K867" s="72"/>
      <c r="L867" s="72"/>
      <c r="M867" s="72"/>
      <c r="N867" s="72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127"/>
      <c r="H868" s="127"/>
      <c r="I868" s="127"/>
      <c r="J868" s="127"/>
      <c r="K868" s="72"/>
      <c r="L868" s="72"/>
      <c r="M868" s="72"/>
      <c r="N868" s="72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127"/>
      <c r="H869" s="127"/>
      <c r="I869" s="127"/>
      <c r="J869" s="127"/>
      <c r="K869" s="72"/>
      <c r="L869" s="72"/>
      <c r="M869" s="72"/>
      <c r="N869" s="72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127"/>
      <c r="H870" s="127"/>
      <c r="I870" s="127"/>
      <c r="J870" s="127"/>
      <c r="K870" s="72"/>
      <c r="L870" s="72"/>
      <c r="M870" s="72"/>
      <c r="N870" s="72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127"/>
      <c r="H871" s="127"/>
      <c r="I871" s="127"/>
      <c r="J871" s="127"/>
      <c r="K871" s="72"/>
      <c r="L871" s="72"/>
      <c r="M871" s="72"/>
      <c r="N871" s="72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127"/>
      <c r="H872" s="127"/>
      <c r="I872" s="127"/>
      <c r="J872" s="127"/>
      <c r="K872" s="72"/>
      <c r="L872" s="72"/>
      <c r="M872" s="72"/>
      <c r="N872" s="72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127"/>
      <c r="H873" s="127"/>
      <c r="I873" s="127"/>
      <c r="J873" s="127"/>
      <c r="K873" s="72"/>
      <c r="L873" s="72"/>
      <c r="M873" s="72"/>
      <c r="N873" s="72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127"/>
      <c r="H874" s="127"/>
      <c r="I874" s="127"/>
      <c r="J874" s="127"/>
      <c r="K874" s="72"/>
      <c r="L874" s="72"/>
      <c r="M874" s="72"/>
      <c r="N874" s="72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127"/>
      <c r="H875" s="127"/>
      <c r="I875" s="127"/>
      <c r="J875" s="127"/>
      <c r="K875" s="72"/>
      <c r="L875" s="72"/>
      <c r="M875" s="72"/>
      <c r="N875" s="72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127"/>
      <c r="H876" s="127"/>
      <c r="I876" s="127"/>
      <c r="J876" s="127"/>
      <c r="K876" s="72"/>
      <c r="L876" s="72"/>
      <c r="M876" s="72"/>
      <c r="N876" s="72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127"/>
      <c r="H877" s="127"/>
      <c r="I877" s="127"/>
      <c r="J877" s="127"/>
      <c r="K877" s="72"/>
      <c r="L877" s="72"/>
      <c r="M877" s="72"/>
      <c r="N877" s="72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127"/>
      <c r="H878" s="127"/>
      <c r="I878" s="127"/>
      <c r="J878" s="127"/>
      <c r="K878" s="72"/>
      <c r="L878" s="72"/>
      <c r="M878" s="72"/>
      <c r="N878" s="72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127"/>
      <c r="H879" s="127"/>
      <c r="I879" s="127"/>
      <c r="J879" s="127"/>
      <c r="K879" s="72"/>
      <c r="L879" s="72"/>
      <c r="M879" s="72"/>
      <c r="N879" s="72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127"/>
      <c r="H880" s="127"/>
      <c r="I880" s="127"/>
      <c r="J880" s="127"/>
      <c r="K880" s="72"/>
      <c r="L880" s="72"/>
      <c r="M880" s="72"/>
      <c r="N880" s="72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127"/>
      <c r="H881" s="127"/>
      <c r="I881" s="127"/>
      <c r="J881" s="127"/>
      <c r="K881" s="72"/>
      <c r="L881" s="72"/>
      <c r="M881" s="72"/>
      <c r="N881" s="72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127"/>
      <c r="H882" s="127"/>
      <c r="I882" s="127"/>
      <c r="J882" s="127"/>
      <c r="K882" s="72"/>
      <c r="L882" s="72"/>
      <c r="M882" s="72"/>
      <c r="N882" s="72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127"/>
      <c r="H883" s="127"/>
      <c r="I883" s="127"/>
      <c r="J883" s="127"/>
      <c r="K883" s="72"/>
      <c r="L883" s="72"/>
      <c r="M883" s="72"/>
      <c r="N883" s="72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127"/>
      <c r="H884" s="127"/>
      <c r="I884" s="127"/>
      <c r="J884" s="127"/>
      <c r="K884" s="72"/>
      <c r="L884" s="72"/>
      <c r="M884" s="72"/>
      <c r="N884" s="72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127"/>
      <c r="H885" s="127"/>
      <c r="I885" s="127"/>
      <c r="J885" s="127"/>
      <c r="K885" s="72"/>
      <c r="L885" s="72"/>
      <c r="M885" s="72"/>
      <c r="N885" s="72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127"/>
      <c r="H886" s="127"/>
      <c r="I886" s="127"/>
      <c r="J886" s="127"/>
      <c r="K886" s="72"/>
      <c r="L886" s="72"/>
      <c r="M886" s="72"/>
      <c r="N886" s="72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127"/>
      <c r="H887" s="127"/>
      <c r="I887" s="127"/>
      <c r="J887" s="127"/>
      <c r="K887" s="72"/>
      <c r="L887" s="72"/>
      <c r="M887" s="72"/>
      <c r="N887" s="72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127"/>
      <c r="H888" s="127"/>
      <c r="I888" s="127"/>
      <c r="J888" s="127"/>
      <c r="K888" s="72"/>
      <c r="L888" s="72"/>
      <c r="M888" s="72"/>
      <c r="N888" s="72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127"/>
      <c r="H889" s="127"/>
      <c r="I889" s="127"/>
      <c r="J889" s="127"/>
      <c r="K889" s="72"/>
      <c r="L889" s="72"/>
      <c r="M889" s="72"/>
      <c r="N889" s="72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127"/>
      <c r="H890" s="127"/>
      <c r="I890" s="127"/>
      <c r="J890" s="127"/>
      <c r="K890" s="72"/>
      <c r="L890" s="72"/>
      <c r="M890" s="72"/>
      <c r="N890" s="72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127"/>
      <c r="H891" s="127"/>
      <c r="I891" s="127"/>
      <c r="J891" s="127"/>
      <c r="K891" s="72"/>
      <c r="L891" s="72"/>
      <c r="M891" s="72"/>
      <c r="N891" s="72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127"/>
      <c r="H892" s="127"/>
      <c r="I892" s="127"/>
      <c r="J892" s="127"/>
      <c r="K892" s="72"/>
      <c r="L892" s="72"/>
      <c r="M892" s="72"/>
      <c r="N892" s="72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127"/>
      <c r="H893" s="127"/>
      <c r="I893" s="127"/>
      <c r="J893" s="127"/>
      <c r="K893" s="72"/>
      <c r="L893" s="72"/>
      <c r="M893" s="72"/>
      <c r="N893" s="72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127"/>
      <c r="H894" s="127"/>
      <c r="I894" s="127"/>
      <c r="J894" s="127"/>
      <c r="K894" s="72"/>
      <c r="L894" s="72"/>
      <c r="M894" s="72"/>
      <c r="N894" s="72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127"/>
      <c r="H895" s="127"/>
      <c r="I895" s="127"/>
      <c r="J895" s="127"/>
      <c r="K895" s="72"/>
      <c r="L895" s="72"/>
      <c r="M895" s="72"/>
      <c r="N895" s="72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127"/>
      <c r="H896" s="127"/>
      <c r="I896" s="127"/>
      <c r="J896" s="127"/>
      <c r="K896" s="72"/>
      <c r="L896" s="72"/>
      <c r="M896" s="72"/>
      <c r="N896" s="72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127"/>
      <c r="H897" s="127"/>
      <c r="I897" s="127"/>
      <c r="J897" s="127"/>
      <c r="K897" s="72"/>
      <c r="L897" s="72"/>
      <c r="M897" s="72"/>
      <c r="N897" s="72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127"/>
      <c r="H898" s="127"/>
      <c r="I898" s="127"/>
      <c r="J898" s="127"/>
      <c r="K898" s="72"/>
      <c r="L898" s="72"/>
      <c r="M898" s="72"/>
      <c r="N898" s="72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127"/>
      <c r="H899" s="127"/>
      <c r="I899" s="127"/>
      <c r="J899" s="127"/>
      <c r="K899" s="72"/>
      <c r="L899" s="72"/>
      <c r="M899" s="72"/>
      <c r="N899" s="72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127"/>
      <c r="H900" s="127"/>
      <c r="I900" s="127"/>
      <c r="J900" s="127"/>
      <c r="K900" s="72"/>
      <c r="L900" s="72"/>
      <c r="M900" s="72"/>
      <c r="N900" s="72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127"/>
      <c r="H901" s="127"/>
      <c r="I901" s="127"/>
      <c r="J901" s="127"/>
      <c r="K901" s="72"/>
      <c r="L901" s="72"/>
      <c r="M901" s="72"/>
      <c r="N901" s="72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127"/>
      <c r="H902" s="127"/>
      <c r="I902" s="127"/>
      <c r="J902" s="127"/>
      <c r="K902" s="72"/>
      <c r="L902" s="72"/>
      <c r="M902" s="72"/>
      <c r="N902" s="72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127"/>
      <c r="H903" s="127"/>
      <c r="I903" s="127"/>
      <c r="J903" s="127"/>
      <c r="K903" s="72"/>
      <c r="L903" s="72"/>
      <c r="M903" s="72"/>
      <c r="N903" s="72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127"/>
      <c r="H904" s="127"/>
      <c r="I904" s="127"/>
      <c r="J904" s="127"/>
      <c r="K904" s="72"/>
      <c r="L904" s="72"/>
      <c r="M904" s="72"/>
      <c r="N904" s="72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127"/>
      <c r="H905" s="127"/>
      <c r="I905" s="127"/>
      <c r="J905" s="127"/>
      <c r="K905" s="72"/>
      <c r="L905" s="72"/>
      <c r="M905" s="72"/>
      <c r="N905" s="72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127"/>
      <c r="H906" s="127"/>
      <c r="I906" s="127"/>
      <c r="J906" s="127"/>
      <c r="K906" s="72"/>
      <c r="L906" s="72"/>
      <c r="M906" s="72"/>
      <c r="N906" s="72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127"/>
      <c r="H907" s="127"/>
      <c r="I907" s="127"/>
      <c r="J907" s="127"/>
      <c r="K907" s="72"/>
      <c r="L907" s="72"/>
      <c r="M907" s="72"/>
      <c r="N907" s="72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127"/>
      <c r="H908" s="127"/>
      <c r="I908" s="127"/>
      <c r="J908" s="127"/>
      <c r="K908" s="72"/>
      <c r="L908" s="72"/>
      <c r="M908" s="72"/>
      <c r="N908" s="72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127"/>
      <c r="H909" s="127"/>
      <c r="I909" s="127"/>
      <c r="J909" s="127"/>
      <c r="K909" s="72"/>
      <c r="L909" s="72"/>
      <c r="M909" s="72"/>
      <c r="N909" s="72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127"/>
      <c r="H910" s="127"/>
      <c r="I910" s="127"/>
      <c r="J910" s="127"/>
      <c r="K910" s="72"/>
      <c r="L910" s="72"/>
      <c r="M910" s="72"/>
      <c r="N910" s="72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127"/>
      <c r="H911" s="127"/>
      <c r="I911" s="127"/>
      <c r="J911" s="127"/>
      <c r="K911" s="72"/>
      <c r="L911" s="72"/>
      <c r="M911" s="72"/>
      <c r="N911" s="72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127"/>
      <c r="H912" s="127"/>
      <c r="I912" s="127"/>
      <c r="J912" s="127"/>
      <c r="K912" s="72"/>
      <c r="L912" s="72"/>
      <c r="M912" s="72"/>
      <c r="N912" s="72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127"/>
      <c r="H913" s="127"/>
      <c r="I913" s="127"/>
      <c r="J913" s="127"/>
      <c r="K913" s="72"/>
      <c r="L913" s="72"/>
      <c r="M913" s="72"/>
      <c r="N913" s="72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127"/>
      <c r="H914" s="127"/>
      <c r="I914" s="127"/>
      <c r="J914" s="127"/>
      <c r="K914" s="72"/>
      <c r="L914" s="72"/>
      <c r="M914" s="72"/>
      <c r="N914" s="72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127"/>
      <c r="H915" s="127"/>
      <c r="I915" s="127"/>
      <c r="J915" s="127"/>
      <c r="K915" s="72"/>
      <c r="L915" s="72"/>
      <c r="M915" s="72"/>
      <c r="N915" s="72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127"/>
      <c r="H916" s="127"/>
      <c r="I916" s="127"/>
      <c r="J916" s="127"/>
      <c r="K916" s="72"/>
      <c r="L916" s="72"/>
      <c r="M916" s="72"/>
      <c r="N916" s="72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127"/>
      <c r="H917" s="127"/>
      <c r="I917" s="127"/>
      <c r="J917" s="127"/>
      <c r="K917" s="72"/>
      <c r="L917" s="72"/>
      <c r="M917" s="72"/>
      <c r="N917" s="72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127"/>
      <c r="H918" s="127"/>
      <c r="I918" s="127"/>
      <c r="J918" s="127"/>
      <c r="K918" s="72"/>
      <c r="L918" s="72"/>
      <c r="M918" s="72"/>
      <c r="N918" s="72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127"/>
      <c r="H919" s="127"/>
      <c r="I919" s="127"/>
      <c r="J919" s="127"/>
      <c r="K919" s="72"/>
      <c r="L919" s="72"/>
      <c r="M919" s="72"/>
      <c r="N919" s="72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127"/>
      <c r="H920" s="127"/>
      <c r="I920" s="127"/>
      <c r="J920" s="127"/>
      <c r="K920" s="72"/>
      <c r="L920" s="72"/>
      <c r="M920" s="72"/>
      <c r="N920" s="72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127"/>
      <c r="H921" s="127"/>
      <c r="I921" s="127"/>
      <c r="J921" s="127"/>
      <c r="K921" s="72"/>
      <c r="L921" s="72"/>
      <c r="M921" s="72"/>
      <c r="N921" s="72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127"/>
      <c r="H922" s="127"/>
      <c r="I922" s="127"/>
      <c r="J922" s="127"/>
      <c r="K922" s="72"/>
      <c r="L922" s="72"/>
      <c r="M922" s="72"/>
      <c r="N922" s="72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127"/>
      <c r="H923" s="127"/>
      <c r="I923" s="127"/>
      <c r="J923" s="127"/>
      <c r="K923" s="72"/>
      <c r="L923" s="72"/>
      <c r="M923" s="72"/>
      <c r="N923" s="72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127"/>
      <c r="H924" s="127"/>
      <c r="I924" s="127"/>
      <c r="J924" s="127"/>
      <c r="K924" s="72"/>
      <c r="L924" s="72"/>
      <c r="M924" s="72"/>
      <c r="N924" s="72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127"/>
      <c r="H925" s="127"/>
      <c r="I925" s="127"/>
      <c r="J925" s="127"/>
      <c r="K925" s="72"/>
      <c r="L925" s="72"/>
      <c r="M925" s="72"/>
      <c r="N925" s="72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127"/>
      <c r="H926" s="127"/>
      <c r="I926" s="127"/>
      <c r="J926" s="127"/>
      <c r="K926" s="72"/>
      <c r="L926" s="72"/>
      <c r="M926" s="72"/>
      <c r="N926" s="72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127"/>
      <c r="H927" s="127"/>
      <c r="I927" s="127"/>
      <c r="J927" s="127"/>
      <c r="K927" s="72"/>
      <c r="L927" s="72"/>
      <c r="M927" s="72"/>
      <c r="N927" s="72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127"/>
      <c r="H928" s="127"/>
      <c r="I928" s="127"/>
      <c r="J928" s="127"/>
      <c r="K928" s="72"/>
      <c r="L928" s="72"/>
      <c r="M928" s="72"/>
      <c r="N928" s="72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127"/>
      <c r="H929" s="127"/>
      <c r="I929" s="127"/>
      <c r="J929" s="127"/>
      <c r="K929" s="72"/>
      <c r="L929" s="72"/>
      <c r="M929" s="72"/>
      <c r="N929" s="72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127"/>
      <c r="H930" s="127"/>
      <c r="I930" s="127"/>
      <c r="J930" s="127"/>
      <c r="K930" s="72"/>
      <c r="L930" s="72"/>
      <c r="M930" s="72"/>
      <c r="N930" s="72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127"/>
      <c r="H931" s="127"/>
      <c r="I931" s="127"/>
      <c r="J931" s="127"/>
      <c r="K931" s="72"/>
      <c r="L931" s="72"/>
      <c r="M931" s="72"/>
      <c r="N931" s="72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127"/>
      <c r="H932" s="127"/>
      <c r="I932" s="127"/>
      <c r="J932" s="127"/>
      <c r="K932" s="72"/>
      <c r="L932" s="72"/>
      <c r="M932" s="72"/>
      <c r="N932" s="72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127"/>
      <c r="H933" s="127"/>
      <c r="I933" s="127"/>
      <c r="J933" s="127"/>
      <c r="K933" s="72"/>
      <c r="L933" s="72"/>
      <c r="M933" s="72"/>
      <c r="N933" s="72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127"/>
      <c r="H934" s="127"/>
      <c r="I934" s="127"/>
      <c r="J934" s="127"/>
      <c r="K934" s="72"/>
      <c r="L934" s="72"/>
      <c r="M934" s="72"/>
      <c r="N934" s="72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127"/>
      <c r="H935" s="127"/>
      <c r="I935" s="127"/>
      <c r="J935" s="127"/>
      <c r="K935" s="72"/>
      <c r="L935" s="72"/>
      <c r="M935" s="72"/>
      <c r="N935" s="72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127"/>
      <c r="H936" s="127"/>
      <c r="I936" s="127"/>
      <c r="J936" s="127"/>
      <c r="K936" s="72"/>
      <c r="L936" s="72"/>
      <c r="M936" s="72"/>
      <c r="N936" s="72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127"/>
      <c r="H937" s="127"/>
      <c r="I937" s="127"/>
      <c r="J937" s="127"/>
      <c r="K937" s="72"/>
      <c r="L937" s="72"/>
      <c r="M937" s="72"/>
      <c r="N937" s="72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127"/>
      <c r="H938" s="127"/>
      <c r="I938" s="127"/>
      <c r="J938" s="127"/>
      <c r="K938" s="72"/>
      <c r="L938" s="72"/>
      <c r="M938" s="72"/>
      <c r="N938" s="72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127"/>
      <c r="H939" s="127"/>
      <c r="I939" s="127"/>
      <c r="J939" s="127"/>
      <c r="K939" s="72"/>
      <c r="L939" s="72"/>
      <c r="M939" s="72"/>
      <c r="N939" s="72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127"/>
      <c r="H940" s="127"/>
      <c r="I940" s="127"/>
      <c r="J940" s="127"/>
      <c r="K940" s="72"/>
      <c r="L940" s="72"/>
      <c r="M940" s="72"/>
      <c r="N940" s="72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127"/>
      <c r="H941" s="127"/>
      <c r="I941" s="127"/>
      <c r="J941" s="127"/>
      <c r="K941" s="72"/>
      <c r="L941" s="72"/>
      <c r="M941" s="72"/>
      <c r="N941" s="72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127"/>
      <c r="H942" s="127"/>
      <c r="I942" s="127"/>
      <c r="J942" s="127"/>
      <c r="K942" s="72"/>
      <c r="L942" s="72"/>
      <c r="M942" s="72"/>
      <c r="N942" s="72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127"/>
      <c r="H943" s="127"/>
      <c r="I943" s="127"/>
      <c r="J943" s="127"/>
      <c r="K943" s="72"/>
      <c r="L943" s="72"/>
      <c r="M943" s="72"/>
      <c r="N943" s="72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127"/>
      <c r="H944" s="127"/>
      <c r="I944" s="127"/>
      <c r="J944" s="127"/>
      <c r="K944" s="72"/>
      <c r="L944" s="72"/>
      <c r="M944" s="72"/>
      <c r="N944" s="72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127"/>
      <c r="H945" s="127"/>
      <c r="I945" s="127"/>
      <c r="J945" s="127"/>
      <c r="K945" s="72"/>
      <c r="L945" s="72"/>
      <c r="M945" s="72"/>
      <c r="N945" s="72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127"/>
      <c r="H946" s="127"/>
      <c r="I946" s="127"/>
      <c r="J946" s="127"/>
      <c r="K946" s="72"/>
      <c r="L946" s="72"/>
      <c r="M946" s="72"/>
      <c r="N946" s="72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127"/>
      <c r="H947" s="127"/>
      <c r="I947" s="127"/>
      <c r="J947" s="127"/>
      <c r="K947" s="72"/>
      <c r="L947" s="72"/>
      <c r="M947" s="72"/>
      <c r="N947" s="72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127"/>
      <c r="H948" s="127"/>
      <c r="I948" s="127"/>
      <c r="J948" s="127"/>
      <c r="K948" s="72"/>
      <c r="L948" s="72"/>
      <c r="M948" s="72"/>
      <c r="N948" s="72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127"/>
      <c r="H949" s="127"/>
      <c r="I949" s="127"/>
      <c r="J949" s="127"/>
      <c r="K949" s="72"/>
      <c r="L949" s="72"/>
      <c r="M949" s="72"/>
      <c r="N949" s="72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127"/>
      <c r="H950" s="127"/>
      <c r="I950" s="127"/>
      <c r="J950" s="127"/>
      <c r="K950" s="72"/>
      <c r="L950" s="72"/>
      <c r="M950" s="72"/>
      <c r="N950" s="72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127"/>
      <c r="H951" s="127"/>
      <c r="I951" s="127"/>
      <c r="J951" s="127"/>
      <c r="K951" s="72"/>
      <c r="L951" s="72"/>
      <c r="M951" s="72"/>
      <c r="N951" s="72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127"/>
      <c r="H952" s="127"/>
      <c r="I952" s="127"/>
      <c r="J952" s="127"/>
      <c r="K952" s="72"/>
      <c r="L952" s="72"/>
      <c r="M952" s="72"/>
      <c r="N952" s="72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127"/>
      <c r="H953" s="127"/>
      <c r="I953" s="127"/>
      <c r="J953" s="127"/>
      <c r="K953" s="72"/>
      <c r="L953" s="72"/>
      <c r="M953" s="72"/>
      <c r="N953" s="72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127"/>
      <c r="H954" s="127"/>
      <c r="I954" s="127"/>
      <c r="J954" s="127"/>
      <c r="K954" s="72"/>
      <c r="L954" s="72"/>
      <c r="M954" s="72"/>
      <c r="N954" s="72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127"/>
      <c r="H955" s="127"/>
      <c r="I955" s="127"/>
      <c r="J955" s="127"/>
      <c r="K955" s="72"/>
      <c r="L955" s="72"/>
      <c r="M955" s="72"/>
      <c r="N955" s="72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127"/>
      <c r="H956" s="127"/>
      <c r="I956" s="127"/>
      <c r="J956" s="127"/>
      <c r="K956" s="72"/>
      <c r="L956" s="72"/>
      <c r="M956" s="72"/>
      <c r="N956" s="72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127"/>
      <c r="H957" s="127"/>
      <c r="I957" s="127"/>
      <c r="J957" s="127"/>
      <c r="K957" s="72"/>
      <c r="L957" s="72"/>
      <c r="M957" s="72"/>
      <c r="N957" s="72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127"/>
      <c r="H958" s="127"/>
      <c r="I958" s="127"/>
      <c r="J958" s="127"/>
      <c r="K958" s="72"/>
      <c r="L958" s="72"/>
      <c r="M958" s="72"/>
      <c r="N958" s="72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127"/>
      <c r="H959" s="127"/>
      <c r="I959" s="127"/>
      <c r="J959" s="127"/>
      <c r="K959" s="72"/>
      <c r="L959" s="72"/>
      <c r="M959" s="72"/>
      <c r="N959" s="72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127"/>
      <c r="H960" s="127"/>
      <c r="I960" s="127"/>
      <c r="J960" s="127"/>
      <c r="K960" s="72"/>
      <c r="L960" s="72"/>
      <c r="M960" s="72"/>
      <c r="N960" s="72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127"/>
      <c r="H961" s="127"/>
      <c r="I961" s="127"/>
      <c r="J961" s="127"/>
      <c r="K961" s="72"/>
      <c r="L961" s="72"/>
      <c r="M961" s="72"/>
      <c r="N961" s="72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127"/>
      <c r="H962" s="127"/>
      <c r="I962" s="127"/>
      <c r="J962" s="127"/>
      <c r="K962" s="72"/>
      <c r="L962" s="72"/>
      <c r="M962" s="72"/>
      <c r="N962" s="72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127"/>
      <c r="H963" s="127"/>
      <c r="I963" s="127"/>
      <c r="J963" s="127"/>
      <c r="K963" s="72"/>
      <c r="L963" s="72"/>
      <c r="M963" s="72"/>
      <c r="N963" s="72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127"/>
      <c r="H964" s="127"/>
      <c r="I964" s="127"/>
      <c r="J964" s="127"/>
      <c r="K964" s="72"/>
      <c r="L964" s="72"/>
      <c r="M964" s="72"/>
      <c r="N964" s="72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127"/>
      <c r="H965" s="127"/>
      <c r="I965" s="127"/>
      <c r="J965" s="127"/>
      <c r="K965" s="72"/>
      <c r="L965" s="72"/>
      <c r="M965" s="72"/>
      <c r="N965" s="72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127"/>
      <c r="H966" s="127"/>
      <c r="I966" s="127"/>
      <c r="J966" s="127"/>
      <c r="K966" s="72"/>
      <c r="L966" s="72"/>
      <c r="M966" s="72"/>
      <c r="N966" s="72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127"/>
      <c r="H967" s="127"/>
      <c r="I967" s="127"/>
      <c r="J967" s="127"/>
      <c r="K967" s="72"/>
      <c r="L967" s="72"/>
      <c r="M967" s="72"/>
      <c r="N967" s="72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127"/>
      <c r="H968" s="127"/>
      <c r="I968" s="127"/>
      <c r="J968" s="127"/>
      <c r="K968" s="72"/>
      <c r="L968" s="72"/>
      <c r="M968" s="72"/>
      <c r="N968" s="72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127"/>
      <c r="H969" s="127"/>
      <c r="I969" s="127"/>
      <c r="J969" s="127"/>
      <c r="K969" s="72"/>
      <c r="L969" s="72"/>
      <c r="M969" s="72"/>
      <c r="N969" s="72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127"/>
      <c r="H970" s="127"/>
      <c r="I970" s="127"/>
      <c r="J970" s="127"/>
      <c r="K970" s="72"/>
      <c r="L970" s="72"/>
      <c r="M970" s="72"/>
      <c r="N970" s="72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127"/>
      <c r="H971" s="127"/>
      <c r="I971" s="127"/>
      <c r="J971" s="127"/>
      <c r="K971" s="72"/>
      <c r="L971" s="72"/>
      <c r="M971" s="72"/>
      <c r="N971" s="72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127"/>
      <c r="H972" s="127"/>
      <c r="I972" s="127"/>
      <c r="J972" s="127"/>
      <c r="K972" s="72"/>
      <c r="L972" s="72"/>
      <c r="M972" s="72"/>
      <c r="N972" s="72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127"/>
      <c r="H973" s="127"/>
      <c r="I973" s="127"/>
      <c r="J973" s="127"/>
      <c r="K973" s="72"/>
      <c r="L973" s="72"/>
      <c r="M973" s="72"/>
      <c r="N973" s="72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127"/>
      <c r="H974" s="127"/>
      <c r="I974" s="127"/>
      <c r="J974" s="127"/>
      <c r="K974" s="72"/>
      <c r="L974" s="72"/>
      <c r="M974" s="72"/>
      <c r="N974" s="72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127"/>
      <c r="H975" s="127"/>
      <c r="I975" s="127"/>
      <c r="J975" s="127"/>
      <c r="K975" s="72"/>
      <c r="L975" s="72"/>
      <c r="M975" s="72"/>
      <c r="N975" s="72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127"/>
      <c r="H976" s="127"/>
      <c r="I976" s="127"/>
      <c r="J976" s="127"/>
      <c r="K976" s="72"/>
      <c r="L976" s="72"/>
      <c r="M976" s="72"/>
      <c r="N976" s="72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127"/>
      <c r="H977" s="127"/>
      <c r="I977" s="127"/>
      <c r="J977" s="127"/>
      <c r="K977" s="72"/>
      <c r="L977" s="72"/>
      <c r="M977" s="72"/>
      <c r="N977" s="72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127"/>
      <c r="H978" s="127"/>
      <c r="I978" s="127"/>
      <c r="J978" s="127"/>
      <c r="K978" s="72"/>
      <c r="L978" s="72"/>
      <c r="M978" s="72"/>
      <c r="N978" s="72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127"/>
      <c r="H979" s="127"/>
      <c r="I979" s="127"/>
      <c r="J979" s="127"/>
      <c r="K979" s="72"/>
      <c r="L979" s="72"/>
      <c r="M979" s="72"/>
      <c r="N979" s="72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127"/>
      <c r="H980" s="127"/>
      <c r="I980" s="127"/>
      <c r="J980" s="127"/>
      <c r="K980" s="72"/>
      <c r="L980" s="72"/>
      <c r="M980" s="72"/>
      <c r="N980" s="72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127"/>
      <c r="H981" s="127"/>
      <c r="I981" s="127"/>
      <c r="J981" s="127"/>
      <c r="K981" s="72"/>
      <c r="L981" s="72"/>
      <c r="M981" s="72"/>
      <c r="N981" s="72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127"/>
      <c r="H982" s="127"/>
      <c r="I982" s="127"/>
      <c r="J982" s="127"/>
      <c r="K982" s="72"/>
      <c r="L982" s="72"/>
      <c r="M982" s="72"/>
      <c r="N982" s="72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127"/>
      <c r="H983" s="127"/>
      <c r="I983" s="127"/>
      <c r="J983" s="127"/>
      <c r="K983" s="72"/>
      <c r="L983" s="72"/>
      <c r="M983" s="72"/>
      <c r="N983" s="72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127"/>
      <c r="H984" s="127"/>
      <c r="I984" s="127"/>
      <c r="J984" s="127"/>
      <c r="K984" s="72"/>
      <c r="L984" s="72"/>
      <c r="M984" s="72"/>
      <c r="N984" s="72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127"/>
      <c r="H985" s="127"/>
      <c r="I985" s="127"/>
      <c r="J985" s="127"/>
      <c r="K985" s="72"/>
      <c r="L985" s="72"/>
      <c r="M985" s="72"/>
      <c r="N985" s="72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127"/>
      <c r="H986" s="127"/>
      <c r="I986" s="127"/>
      <c r="J986" s="127"/>
      <c r="K986" s="72"/>
      <c r="L986" s="72"/>
      <c r="M986" s="72"/>
      <c r="N986" s="72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127"/>
      <c r="H987" s="127"/>
      <c r="I987" s="127"/>
      <c r="J987" s="127"/>
      <c r="K987" s="72"/>
      <c r="L987" s="72"/>
      <c r="M987" s="72"/>
      <c r="N987" s="72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127"/>
      <c r="H988" s="127"/>
      <c r="I988" s="127"/>
      <c r="J988" s="127"/>
      <c r="K988" s="72"/>
      <c r="L988" s="72"/>
      <c r="M988" s="72"/>
      <c r="N988" s="72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127"/>
      <c r="H989" s="127"/>
      <c r="I989" s="127"/>
      <c r="J989" s="127"/>
      <c r="K989" s="72"/>
      <c r="L989" s="72"/>
      <c r="M989" s="72"/>
      <c r="N989" s="72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127"/>
      <c r="H990" s="127"/>
      <c r="I990" s="127"/>
      <c r="J990" s="127"/>
      <c r="K990" s="72"/>
      <c r="L990" s="72"/>
      <c r="M990" s="72"/>
      <c r="N990" s="72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127"/>
      <c r="H991" s="127"/>
      <c r="I991" s="127"/>
      <c r="J991" s="127"/>
      <c r="K991" s="72"/>
      <c r="L991" s="72"/>
      <c r="M991" s="72"/>
      <c r="N991" s="72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127"/>
      <c r="H992" s="127"/>
      <c r="I992" s="127"/>
      <c r="J992" s="127"/>
      <c r="K992" s="72"/>
      <c r="L992" s="72"/>
      <c r="M992" s="72"/>
      <c r="N992" s="72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127"/>
      <c r="H993" s="127"/>
      <c r="I993" s="127"/>
      <c r="J993" s="127"/>
      <c r="K993" s="72"/>
      <c r="L993" s="72"/>
      <c r="M993" s="72"/>
      <c r="N993" s="72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127"/>
      <c r="H994" s="127"/>
      <c r="I994" s="127"/>
      <c r="J994" s="127"/>
      <c r="K994" s="72"/>
      <c r="L994" s="72"/>
      <c r="M994" s="72"/>
      <c r="N994" s="72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127"/>
      <c r="H995" s="127"/>
      <c r="I995" s="127"/>
      <c r="J995" s="127"/>
      <c r="K995" s="72"/>
      <c r="L995" s="72"/>
      <c r="M995" s="72"/>
      <c r="N995" s="72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127"/>
      <c r="H996" s="127"/>
      <c r="I996" s="127"/>
      <c r="J996" s="127"/>
      <c r="K996" s="72"/>
      <c r="L996" s="72"/>
      <c r="M996" s="72"/>
      <c r="N996" s="72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127"/>
      <c r="H997" s="127"/>
      <c r="I997" s="127"/>
      <c r="J997" s="127"/>
      <c r="K997" s="72"/>
      <c r="L997" s="72"/>
      <c r="M997" s="72"/>
      <c r="N997" s="72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127"/>
      <c r="H998" s="127"/>
      <c r="I998" s="127"/>
      <c r="J998" s="127"/>
      <c r="K998" s="72"/>
      <c r="L998" s="72"/>
      <c r="M998" s="72"/>
      <c r="N998" s="72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127"/>
      <c r="H999" s="127"/>
      <c r="I999" s="127"/>
      <c r="J999" s="127"/>
      <c r="K999" s="72"/>
      <c r="L999" s="72"/>
      <c r="M999" s="72"/>
      <c r="N999" s="72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127"/>
      <c r="H1000" s="127"/>
      <c r="I1000" s="127"/>
      <c r="J1000" s="127"/>
      <c r="K1000" s="72"/>
      <c r="L1000" s="72"/>
      <c r="M1000" s="72"/>
      <c r="N1000" s="72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47.43"/>
    <col customWidth="1" min="5" max="11" width="10.71"/>
    <col customWidth="1" min="12" max="12" width="10.14"/>
    <col customWidth="1" min="13" max="13" width="11.14"/>
    <col customWidth="1" min="14" max="14" width="8.71"/>
    <col customWidth="1" min="15" max="15" width="10.14"/>
    <col customWidth="1" min="16" max="16" width="10.29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88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37" t="s">
        <v>89</v>
      </c>
      <c r="E7" s="18" t="s">
        <v>26</v>
      </c>
      <c r="F7" s="18">
        <v>4.28</v>
      </c>
      <c r="G7" s="18" t="s">
        <v>26</v>
      </c>
      <c r="H7" s="18" t="s">
        <v>26</v>
      </c>
      <c r="I7" s="18" t="s">
        <v>26</v>
      </c>
      <c r="J7" s="18" t="s">
        <v>26</v>
      </c>
      <c r="K7" s="18" t="s">
        <v>26</v>
      </c>
      <c r="L7" s="18" t="s">
        <v>26</v>
      </c>
      <c r="M7" s="18">
        <v>3.84</v>
      </c>
      <c r="N7" s="18" t="s">
        <v>26</v>
      </c>
      <c r="O7" s="18" t="s">
        <v>26</v>
      </c>
      <c r="P7" s="18">
        <v>5.8</v>
      </c>
      <c r="Q7" s="19">
        <f t="shared" ref="Q7:Q24" si="1">AVERAGE(E7,F7,G7,H7,I7,J7,K7,L7,M7,N7,O7,P7)</f>
        <v>4.64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38" t="s">
        <v>90</v>
      </c>
      <c r="E8" s="85" t="s">
        <v>26</v>
      </c>
      <c r="F8" s="24">
        <v>4.5</v>
      </c>
      <c r="G8" s="85" t="s">
        <v>26</v>
      </c>
      <c r="H8" s="85" t="s">
        <v>26</v>
      </c>
      <c r="I8" s="85" t="s">
        <v>26</v>
      </c>
      <c r="J8" s="85" t="s">
        <v>26</v>
      </c>
      <c r="K8" s="85" t="s">
        <v>26</v>
      </c>
      <c r="L8" s="85" t="s">
        <v>26</v>
      </c>
      <c r="M8" s="85">
        <v>3.26</v>
      </c>
      <c r="N8" s="85" t="s">
        <v>26</v>
      </c>
      <c r="O8" s="85" t="s">
        <v>26</v>
      </c>
      <c r="P8" s="85">
        <v>5.63</v>
      </c>
      <c r="Q8" s="25">
        <f t="shared" si="1"/>
        <v>4.463333333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38" t="s">
        <v>91</v>
      </c>
      <c r="E9" s="85" t="s">
        <v>26</v>
      </c>
      <c r="F9" s="24">
        <v>5.1</v>
      </c>
      <c r="G9" s="85" t="s">
        <v>26</v>
      </c>
      <c r="H9" s="85" t="s">
        <v>26</v>
      </c>
      <c r="I9" s="85" t="s">
        <v>26</v>
      </c>
      <c r="J9" s="85" t="s">
        <v>26</v>
      </c>
      <c r="K9" s="85" t="s">
        <v>26</v>
      </c>
      <c r="L9" s="85" t="s">
        <v>26</v>
      </c>
      <c r="M9" s="85">
        <v>3.41</v>
      </c>
      <c r="N9" s="85" t="s">
        <v>26</v>
      </c>
      <c r="O9" s="85" t="s">
        <v>26</v>
      </c>
      <c r="P9" s="85">
        <v>5.41</v>
      </c>
      <c r="Q9" s="25">
        <f t="shared" si="1"/>
        <v>4.64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37" t="s">
        <v>89</v>
      </c>
      <c r="E10" s="18" t="s">
        <v>26</v>
      </c>
      <c r="F10" s="27">
        <v>10.0</v>
      </c>
      <c r="G10" s="18" t="s">
        <v>26</v>
      </c>
      <c r="H10" s="18" t="s">
        <v>26</v>
      </c>
      <c r="I10" s="18" t="s">
        <v>26</v>
      </c>
      <c r="J10" s="18" t="s">
        <v>26</v>
      </c>
      <c r="K10" s="18" t="s">
        <v>26</v>
      </c>
      <c r="L10" s="18" t="s">
        <v>26</v>
      </c>
      <c r="M10" s="27">
        <v>10.0</v>
      </c>
      <c r="N10" s="18" t="s">
        <v>26</v>
      </c>
      <c r="O10" s="18" t="s">
        <v>26</v>
      </c>
      <c r="P10" s="27">
        <v>14.0</v>
      </c>
      <c r="Q10" s="28">
        <f t="shared" si="1"/>
        <v>11.33333333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38" t="s">
        <v>90</v>
      </c>
      <c r="E11" s="85" t="s">
        <v>26</v>
      </c>
      <c r="F11" s="85">
        <v>4.0</v>
      </c>
      <c r="G11" s="85" t="s">
        <v>26</v>
      </c>
      <c r="H11" s="85" t="s">
        <v>26</v>
      </c>
      <c r="I11" s="85" t="s">
        <v>26</v>
      </c>
      <c r="J11" s="85" t="s">
        <v>26</v>
      </c>
      <c r="K11" s="85" t="s">
        <v>26</v>
      </c>
      <c r="L11" s="85" t="s">
        <v>26</v>
      </c>
      <c r="M11" s="85">
        <v>31.0</v>
      </c>
      <c r="N11" s="85" t="s">
        <v>26</v>
      </c>
      <c r="O11" s="85" t="s">
        <v>26</v>
      </c>
      <c r="P11" s="85">
        <v>3.0</v>
      </c>
      <c r="Q11" s="30">
        <f t="shared" si="1"/>
        <v>12.66666667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38" t="s">
        <v>91</v>
      </c>
      <c r="E12" s="85" t="s">
        <v>26</v>
      </c>
      <c r="F12" s="85">
        <v>6.0</v>
      </c>
      <c r="G12" s="85" t="s">
        <v>26</v>
      </c>
      <c r="H12" s="85" t="s">
        <v>26</v>
      </c>
      <c r="I12" s="85" t="s">
        <v>26</v>
      </c>
      <c r="J12" s="85" t="s">
        <v>26</v>
      </c>
      <c r="K12" s="85" t="s">
        <v>26</v>
      </c>
      <c r="L12" s="85" t="s">
        <v>26</v>
      </c>
      <c r="M12" s="85">
        <v>8.0</v>
      </c>
      <c r="N12" s="85" t="s">
        <v>26</v>
      </c>
      <c r="O12" s="85" t="s">
        <v>26</v>
      </c>
      <c r="P12" s="85">
        <v>3.0</v>
      </c>
      <c r="Q12" s="30">
        <f t="shared" si="1"/>
        <v>5.666666667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37" t="s">
        <v>89</v>
      </c>
      <c r="E13" s="18" t="s">
        <v>26</v>
      </c>
      <c r="F13" s="27">
        <v>18.0</v>
      </c>
      <c r="G13" s="18" t="s">
        <v>26</v>
      </c>
      <c r="H13" s="18" t="s">
        <v>26</v>
      </c>
      <c r="I13" s="18" t="s">
        <v>26</v>
      </c>
      <c r="J13" s="18" t="s">
        <v>26</v>
      </c>
      <c r="K13" s="18" t="s">
        <v>26</v>
      </c>
      <c r="L13" s="18" t="s">
        <v>26</v>
      </c>
      <c r="M13" s="27">
        <v>17.0</v>
      </c>
      <c r="N13" s="18" t="s">
        <v>26</v>
      </c>
      <c r="O13" s="18" t="s">
        <v>26</v>
      </c>
      <c r="P13" s="27">
        <v>68.0</v>
      </c>
      <c r="Q13" s="28">
        <f t="shared" si="1"/>
        <v>34.33333333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38" t="s">
        <v>90</v>
      </c>
      <c r="E14" s="85" t="s">
        <v>26</v>
      </c>
      <c r="F14" s="85">
        <v>15.0</v>
      </c>
      <c r="G14" s="85" t="s">
        <v>26</v>
      </c>
      <c r="H14" s="85" t="s">
        <v>26</v>
      </c>
      <c r="I14" s="85" t="s">
        <v>26</v>
      </c>
      <c r="J14" s="85" t="s">
        <v>26</v>
      </c>
      <c r="K14" s="85" t="s">
        <v>26</v>
      </c>
      <c r="L14" s="85" t="s">
        <v>26</v>
      </c>
      <c r="M14" s="85">
        <v>27.0</v>
      </c>
      <c r="N14" s="85" t="s">
        <v>26</v>
      </c>
      <c r="O14" s="85" t="s">
        <v>26</v>
      </c>
      <c r="P14" s="85">
        <v>88.0</v>
      </c>
      <c r="Q14" s="30">
        <f t="shared" si="1"/>
        <v>43.33333333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38" t="s">
        <v>91</v>
      </c>
      <c r="E15" s="85" t="s">
        <v>26</v>
      </c>
      <c r="F15" s="85">
        <v>20.0</v>
      </c>
      <c r="G15" s="85" t="s">
        <v>26</v>
      </c>
      <c r="H15" s="85" t="s">
        <v>26</v>
      </c>
      <c r="I15" s="85" t="s">
        <v>26</v>
      </c>
      <c r="J15" s="85" t="s">
        <v>26</v>
      </c>
      <c r="K15" s="85" t="s">
        <v>26</v>
      </c>
      <c r="L15" s="85" t="s">
        <v>26</v>
      </c>
      <c r="M15" s="85">
        <v>29.0</v>
      </c>
      <c r="N15" s="85" t="s">
        <v>26</v>
      </c>
      <c r="O15" s="85" t="s">
        <v>26</v>
      </c>
      <c r="P15" s="85">
        <v>75.0</v>
      </c>
      <c r="Q15" s="30">
        <f t="shared" si="1"/>
        <v>41.33333333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37" t="s">
        <v>89</v>
      </c>
      <c r="E16" s="18" t="s">
        <v>26</v>
      </c>
      <c r="F16" s="18">
        <v>7.11</v>
      </c>
      <c r="G16" s="18" t="s">
        <v>26</v>
      </c>
      <c r="H16" s="18" t="s">
        <v>26</v>
      </c>
      <c r="I16" s="18" t="s">
        <v>26</v>
      </c>
      <c r="J16" s="18" t="s">
        <v>26</v>
      </c>
      <c r="K16" s="18" t="s">
        <v>26</v>
      </c>
      <c r="L16" s="18" t="s">
        <v>26</v>
      </c>
      <c r="M16" s="18">
        <v>8.14</v>
      </c>
      <c r="N16" s="18" t="s">
        <v>26</v>
      </c>
      <c r="O16" s="18" t="s">
        <v>26</v>
      </c>
      <c r="P16" s="18">
        <v>7.71</v>
      </c>
      <c r="Q16" s="19">
        <f t="shared" si="1"/>
        <v>7.653333333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38" t="s">
        <v>90</v>
      </c>
      <c r="E17" s="85" t="s">
        <v>26</v>
      </c>
      <c r="F17" s="85">
        <v>7.08</v>
      </c>
      <c r="G17" s="85" t="s">
        <v>26</v>
      </c>
      <c r="H17" s="85" t="s">
        <v>26</v>
      </c>
      <c r="I17" s="85" t="s">
        <v>26</v>
      </c>
      <c r="J17" s="85" t="s">
        <v>26</v>
      </c>
      <c r="K17" s="85" t="s">
        <v>26</v>
      </c>
      <c r="L17" s="85" t="s">
        <v>26</v>
      </c>
      <c r="M17" s="85">
        <v>8.22</v>
      </c>
      <c r="N17" s="85" t="s">
        <v>26</v>
      </c>
      <c r="O17" s="85" t="s">
        <v>26</v>
      </c>
      <c r="P17" s="24">
        <v>7.6</v>
      </c>
      <c r="Q17" s="25">
        <f t="shared" si="1"/>
        <v>7.633333333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38" t="s">
        <v>91</v>
      </c>
      <c r="E18" s="85" t="s">
        <v>26</v>
      </c>
      <c r="F18" s="85">
        <v>7.09</v>
      </c>
      <c r="G18" s="85" t="s">
        <v>26</v>
      </c>
      <c r="H18" s="85" t="s">
        <v>26</v>
      </c>
      <c r="I18" s="85" t="s">
        <v>26</v>
      </c>
      <c r="J18" s="85" t="s">
        <v>26</v>
      </c>
      <c r="K18" s="85" t="s">
        <v>26</v>
      </c>
      <c r="L18" s="85" t="s">
        <v>26</v>
      </c>
      <c r="M18" s="85">
        <v>8.42</v>
      </c>
      <c r="N18" s="85" t="s">
        <v>26</v>
      </c>
      <c r="O18" s="85" t="s">
        <v>26</v>
      </c>
      <c r="P18" s="24">
        <v>7.66</v>
      </c>
      <c r="Q18" s="25">
        <f t="shared" si="1"/>
        <v>7.723333333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92</v>
      </c>
      <c r="C19" s="16">
        <v>1.0</v>
      </c>
      <c r="D19" s="137" t="s">
        <v>89</v>
      </c>
      <c r="E19" s="18" t="s">
        <v>26</v>
      </c>
      <c r="F19" s="18">
        <v>30.0</v>
      </c>
      <c r="G19" s="18" t="s">
        <v>26</v>
      </c>
      <c r="H19" s="18" t="s">
        <v>26</v>
      </c>
      <c r="I19" s="18" t="s">
        <v>26</v>
      </c>
      <c r="J19" s="18" t="s">
        <v>26</v>
      </c>
      <c r="K19" s="18" t="s">
        <v>26</v>
      </c>
      <c r="L19" s="18" t="s">
        <v>26</v>
      </c>
      <c r="M19" s="18">
        <v>29.3</v>
      </c>
      <c r="N19" s="18" t="s">
        <v>26</v>
      </c>
      <c r="O19" s="18" t="s">
        <v>26</v>
      </c>
      <c r="P19" s="18">
        <v>24.15</v>
      </c>
      <c r="Q19" s="19">
        <f t="shared" si="1"/>
        <v>27.81666667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38" t="s">
        <v>90</v>
      </c>
      <c r="E20" s="85" t="s">
        <v>26</v>
      </c>
      <c r="F20" s="24">
        <v>29.8</v>
      </c>
      <c r="G20" s="85" t="s">
        <v>26</v>
      </c>
      <c r="H20" s="85" t="s">
        <v>26</v>
      </c>
      <c r="I20" s="85" t="s">
        <v>26</v>
      </c>
      <c r="J20" s="85" t="s">
        <v>26</v>
      </c>
      <c r="K20" s="85" t="s">
        <v>26</v>
      </c>
      <c r="L20" s="85" t="s">
        <v>26</v>
      </c>
      <c r="M20" s="85">
        <v>28.78</v>
      </c>
      <c r="N20" s="85" t="s">
        <v>26</v>
      </c>
      <c r="O20" s="85" t="s">
        <v>26</v>
      </c>
      <c r="P20" s="24">
        <v>24.9</v>
      </c>
      <c r="Q20" s="25">
        <f t="shared" si="1"/>
        <v>27.82666667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38" t="s">
        <v>91</v>
      </c>
      <c r="E21" s="85" t="s">
        <v>26</v>
      </c>
      <c r="F21" s="24">
        <v>30.1</v>
      </c>
      <c r="G21" s="85" t="s">
        <v>26</v>
      </c>
      <c r="H21" s="85" t="s">
        <v>26</v>
      </c>
      <c r="I21" s="85" t="s">
        <v>26</v>
      </c>
      <c r="J21" s="85" t="s">
        <v>26</v>
      </c>
      <c r="K21" s="85" t="s">
        <v>26</v>
      </c>
      <c r="L21" s="85" t="s">
        <v>26</v>
      </c>
      <c r="M21" s="85">
        <v>28.15</v>
      </c>
      <c r="N21" s="85" t="s">
        <v>26</v>
      </c>
      <c r="O21" s="85" t="s">
        <v>26</v>
      </c>
      <c r="P21" s="24">
        <v>25.5</v>
      </c>
      <c r="Q21" s="25">
        <f t="shared" si="1"/>
        <v>27.91666667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37" t="s">
        <v>89</v>
      </c>
      <c r="E22" s="18" t="s">
        <v>26</v>
      </c>
      <c r="F22" s="27">
        <v>10.0</v>
      </c>
      <c r="G22" s="18" t="s">
        <v>26</v>
      </c>
      <c r="H22" s="18" t="s">
        <v>26</v>
      </c>
      <c r="I22" s="18" t="s">
        <v>26</v>
      </c>
      <c r="J22" s="18" t="s">
        <v>26</v>
      </c>
      <c r="K22" s="18" t="s">
        <v>26</v>
      </c>
      <c r="L22" s="18" t="s">
        <v>26</v>
      </c>
      <c r="M22" s="27">
        <v>15.0</v>
      </c>
      <c r="N22" s="18" t="s">
        <v>26</v>
      </c>
      <c r="O22" s="18" t="s">
        <v>26</v>
      </c>
      <c r="P22" s="27">
        <v>15.0</v>
      </c>
      <c r="Q22" s="28">
        <f t="shared" si="1"/>
        <v>13.33333333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0" customHeight="1">
      <c r="A23" s="20"/>
      <c r="B23" s="21"/>
      <c r="C23" s="22">
        <v>2.0</v>
      </c>
      <c r="D23" s="138" t="s">
        <v>90</v>
      </c>
      <c r="E23" s="85" t="s">
        <v>26</v>
      </c>
      <c r="F23" s="85">
        <v>10.0</v>
      </c>
      <c r="G23" s="85" t="s">
        <v>26</v>
      </c>
      <c r="H23" s="85" t="s">
        <v>26</v>
      </c>
      <c r="I23" s="85" t="s">
        <v>26</v>
      </c>
      <c r="J23" s="85" t="s">
        <v>26</v>
      </c>
      <c r="K23" s="85" t="s">
        <v>26</v>
      </c>
      <c r="L23" s="85" t="s">
        <v>26</v>
      </c>
      <c r="M23" s="85">
        <v>20.0</v>
      </c>
      <c r="N23" s="85" t="s">
        <v>26</v>
      </c>
      <c r="O23" s="85" t="s">
        <v>26</v>
      </c>
      <c r="P23" s="85">
        <v>10.0</v>
      </c>
      <c r="Q23" s="30">
        <f t="shared" si="1"/>
        <v>13.33333333</v>
      </c>
      <c r="R23" s="139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38" t="s">
        <v>91</v>
      </c>
      <c r="E24" s="85" t="s">
        <v>26</v>
      </c>
      <c r="F24" s="85">
        <v>15.0</v>
      </c>
      <c r="G24" s="85" t="s">
        <v>26</v>
      </c>
      <c r="H24" s="85" t="s">
        <v>26</v>
      </c>
      <c r="I24" s="85" t="s">
        <v>26</v>
      </c>
      <c r="J24" s="85" t="s">
        <v>26</v>
      </c>
      <c r="K24" s="85" t="s">
        <v>26</v>
      </c>
      <c r="L24" s="85" t="s">
        <v>26</v>
      </c>
      <c r="M24" s="85">
        <v>20.0</v>
      </c>
      <c r="N24" s="85" t="s">
        <v>26</v>
      </c>
      <c r="O24" s="85" t="s">
        <v>26</v>
      </c>
      <c r="P24" s="85">
        <v>15.0</v>
      </c>
      <c r="Q24" s="30">
        <f t="shared" si="1"/>
        <v>16.66666667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37" t="s">
        <v>89</v>
      </c>
      <c r="E25" s="18" t="s">
        <v>26</v>
      </c>
      <c r="F25" s="32">
        <v>33000.0</v>
      </c>
      <c r="G25" s="18" t="s">
        <v>26</v>
      </c>
      <c r="H25" s="18" t="s">
        <v>26</v>
      </c>
      <c r="I25" s="18" t="s">
        <v>26</v>
      </c>
      <c r="J25" s="18" t="s">
        <v>26</v>
      </c>
      <c r="K25" s="18" t="s">
        <v>26</v>
      </c>
      <c r="L25" s="18" t="s">
        <v>26</v>
      </c>
      <c r="M25" s="18">
        <v>4900.0</v>
      </c>
      <c r="N25" s="18" t="s">
        <v>26</v>
      </c>
      <c r="O25" s="18" t="s">
        <v>26</v>
      </c>
      <c r="P25" s="32">
        <v>92000.0</v>
      </c>
      <c r="Q25" s="33">
        <f t="shared" ref="Q25:Q27" si="2">GEOMEAN(E25,F25,G25,H25,I25,J25,K25,L25,M25,N25,O25,P25)</f>
        <v>24594.19521</v>
      </c>
      <c r="R25" s="17">
        <v>200.0</v>
      </c>
      <c r="S25" s="121">
        <f>geomean(Q25:Q27)</f>
        <v>37885.49217</v>
      </c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38" t="s">
        <v>90</v>
      </c>
      <c r="E26" s="85" t="s">
        <v>26</v>
      </c>
      <c r="F26" s="35">
        <v>13000.0</v>
      </c>
      <c r="G26" s="85" t="s">
        <v>26</v>
      </c>
      <c r="H26" s="85" t="s">
        <v>26</v>
      </c>
      <c r="I26" s="85" t="s">
        <v>26</v>
      </c>
      <c r="J26" s="85" t="s">
        <v>26</v>
      </c>
      <c r="K26" s="85" t="s">
        <v>26</v>
      </c>
      <c r="L26" s="85" t="s">
        <v>26</v>
      </c>
      <c r="M26" s="35">
        <v>160000.0</v>
      </c>
      <c r="N26" s="85" t="s">
        <v>26</v>
      </c>
      <c r="O26" s="85" t="s">
        <v>26</v>
      </c>
      <c r="P26" s="36">
        <v>54000.0</v>
      </c>
      <c r="Q26" s="37">
        <f t="shared" si="2"/>
        <v>48248.7091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38" t="s">
        <v>91</v>
      </c>
      <c r="E27" s="85" t="s">
        <v>26</v>
      </c>
      <c r="F27" s="35">
        <v>33000.0</v>
      </c>
      <c r="G27" s="85" t="s">
        <v>26</v>
      </c>
      <c r="H27" s="85" t="s">
        <v>26</v>
      </c>
      <c r="I27" s="85" t="s">
        <v>26</v>
      </c>
      <c r="J27" s="85" t="s">
        <v>26</v>
      </c>
      <c r="K27" s="85" t="s">
        <v>26</v>
      </c>
      <c r="L27" s="85" t="s">
        <v>26</v>
      </c>
      <c r="M27" s="35">
        <v>54000.0</v>
      </c>
      <c r="N27" s="85" t="s">
        <v>26</v>
      </c>
      <c r="O27" s="85" t="s">
        <v>26</v>
      </c>
      <c r="P27" s="36">
        <v>54000.0</v>
      </c>
      <c r="Q27" s="37">
        <f t="shared" si="2"/>
        <v>45824.79033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93</v>
      </c>
      <c r="C28" s="16">
        <v>1.0</v>
      </c>
      <c r="D28" s="137" t="s">
        <v>89</v>
      </c>
      <c r="E28" s="18" t="s">
        <v>26</v>
      </c>
      <c r="F28" s="39">
        <v>0.185</v>
      </c>
      <c r="G28" s="18" t="s">
        <v>26</v>
      </c>
      <c r="H28" s="18" t="s">
        <v>26</v>
      </c>
      <c r="I28" s="18" t="s">
        <v>26</v>
      </c>
      <c r="J28" s="18" t="s">
        <v>26</v>
      </c>
      <c r="K28" s="18" t="s">
        <v>26</v>
      </c>
      <c r="L28" s="18" t="s">
        <v>26</v>
      </c>
      <c r="M28" s="18" t="s">
        <v>40</v>
      </c>
      <c r="N28" s="18" t="s">
        <v>26</v>
      </c>
      <c r="O28" s="18" t="s">
        <v>26</v>
      </c>
      <c r="P28" s="39">
        <v>0.335</v>
      </c>
      <c r="Q28" s="40">
        <f>AVERAGE(E28,F28,G28,H28,I28,J28,K28,L28,0.045,N28,O28,P28)</f>
        <v>0.1883333333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38" t="s">
        <v>90</v>
      </c>
      <c r="E29" s="85" t="s">
        <v>26</v>
      </c>
      <c r="F29" s="85" t="s">
        <v>40</v>
      </c>
      <c r="G29" s="85" t="s">
        <v>26</v>
      </c>
      <c r="H29" s="85" t="s">
        <v>26</v>
      </c>
      <c r="I29" s="85" t="s">
        <v>26</v>
      </c>
      <c r="J29" s="85" t="s">
        <v>26</v>
      </c>
      <c r="K29" s="85" t="s">
        <v>26</v>
      </c>
      <c r="L29" s="85" t="s">
        <v>26</v>
      </c>
      <c r="M29" s="85">
        <v>0.256</v>
      </c>
      <c r="N29" s="85" t="s">
        <v>26</v>
      </c>
      <c r="O29" s="85" t="s">
        <v>26</v>
      </c>
      <c r="P29" s="41">
        <v>0.533</v>
      </c>
      <c r="Q29" s="42">
        <f>AVERAGE(E29,0.045,G29,H29,I29,J29,K29,L29,M29,N29,O29,P29)</f>
        <v>0.278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38" t="s">
        <v>91</v>
      </c>
      <c r="E30" s="85" t="s">
        <v>26</v>
      </c>
      <c r="F30" s="85">
        <v>0.166</v>
      </c>
      <c r="G30" s="85" t="s">
        <v>26</v>
      </c>
      <c r="H30" s="85" t="s">
        <v>26</v>
      </c>
      <c r="I30" s="85" t="s">
        <v>26</v>
      </c>
      <c r="J30" s="85" t="s">
        <v>26</v>
      </c>
      <c r="K30" s="85" t="s">
        <v>26</v>
      </c>
      <c r="L30" s="85" t="s">
        <v>26</v>
      </c>
      <c r="M30" s="85">
        <v>0.231</v>
      </c>
      <c r="N30" s="85" t="s">
        <v>26</v>
      </c>
      <c r="O30" s="85" t="s">
        <v>26</v>
      </c>
      <c r="P30" s="41">
        <v>0.368</v>
      </c>
      <c r="Q30" s="42">
        <f t="shared" ref="Q30:Q36" si="3">AVERAGE(E30,F30,G30,H30,I30,J30,K30,L30,M30,N30,O30,P30)</f>
        <v>0.255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94</v>
      </c>
      <c r="C31" s="16">
        <v>1.0</v>
      </c>
      <c r="D31" s="137" t="s">
        <v>89</v>
      </c>
      <c r="E31" s="18" t="s">
        <v>26</v>
      </c>
      <c r="F31" s="39">
        <v>0.096</v>
      </c>
      <c r="G31" s="18" t="s">
        <v>26</v>
      </c>
      <c r="H31" s="18" t="s">
        <v>26</v>
      </c>
      <c r="I31" s="18" t="s">
        <v>26</v>
      </c>
      <c r="J31" s="18" t="s">
        <v>26</v>
      </c>
      <c r="K31" s="18" t="s">
        <v>26</v>
      </c>
      <c r="L31" s="18" t="s">
        <v>26</v>
      </c>
      <c r="M31" s="39">
        <v>0.087</v>
      </c>
      <c r="N31" s="18" t="s">
        <v>26</v>
      </c>
      <c r="O31" s="18" t="s">
        <v>26</v>
      </c>
      <c r="P31" s="39">
        <v>0.167</v>
      </c>
      <c r="Q31" s="40">
        <f t="shared" si="3"/>
        <v>0.1166666667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38" t="s">
        <v>90</v>
      </c>
      <c r="E32" s="85" t="s">
        <v>26</v>
      </c>
      <c r="F32" s="85">
        <v>0.068</v>
      </c>
      <c r="G32" s="85" t="s">
        <v>26</v>
      </c>
      <c r="H32" s="85" t="s">
        <v>26</v>
      </c>
      <c r="I32" s="85" t="s">
        <v>26</v>
      </c>
      <c r="J32" s="85" t="s">
        <v>26</v>
      </c>
      <c r="K32" s="85" t="s">
        <v>26</v>
      </c>
      <c r="L32" s="85" t="s">
        <v>26</v>
      </c>
      <c r="M32" s="85">
        <v>0.209</v>
      </c>
      <c r="N32" s="85" t="s">
        <v>26</v>
      </c>
      <c r="O32" s="85" t="s">
        <v>26</v>
      </c>
      <c r="P32" s="41">
        <v>0.215</v>
      </c>
      <c r="Q32" s="42">
        <f t="shared" si="3"/>
        <v>0.164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38" t="s">
        <v>91</v>
      </c>
      <c r="E33" s="85" t="s">
        <v>26</v>
      </c>
      <c r="F33" s="41">
        <v>0.24</v>
      </c>
      <c r="G33" s="85" t="s">
        <v>26</v>
      </c>
      <c r="H33" s="85" t="s">
        <v>26</v>
      </c>
      <c r="I33" s="85" t="s">
        <v>26</v>
      </c>
      <c r="J33" s="85" t="s">
        <v>26</v>
      </c>
      <c r="K33" s="85" t="s">
        <v>26</v>
      </c>
      <c r="L33" s="85" t="s">
        <v>26</v>
      </c>
      <c r="M33" s="85">
        <v>0.171</v>
      </c>
      <c r="N33" s="85" t="s">
        <v>26</v>
      </c>
      <c r="O33" s="85" t="s">
        <v>26</v>
      </c>
      <c r="P33" s="41">
        <v>0.187</v>
      </c>
      <c r="Q33" s="42">
        <f t="shared" si="3"/>
        <v>0.1993333333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137" t="s">
        <v>89</v>
      </c>
      <c r="E34" s="18" t="s">
        <v>26</v>
      </c>
      <c r="F34" s="27">
        <v>48.0</v>
      </c>
      <c r="G34" s="18" t="s">
        <v>26</v>
      </c>
      <c r="H34" s="18" t="s">
        <v>26</v>
      </c>
      <c r="I34" s="18" t="s">
        <v>26</v>
      </c>
      <c r="J34" s="18" t="s">
        <v>26</v>
      </c>
      <c r="K34" s="18" t="s">
        <v>26</v>
      </c>
      <c r="L34" s="18" t="s">
        <v>26</v>
      </c>
      <c r="M34" s="27">
        <v>19.0</v>
      </c>
      <c r="N34" s="18" t="s">
        <v>26</v>
      </c>
      <c r="O34" s="18" t="s">
        <v>26</v>
      </c>
      <c r="P34" s="27">
        <v>5.0</v>
      </c>
      <c r="Q34" s="33">
        <f t="shared" si="3"/>
        <v>24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138" t="s">
        <v>90</v>
      </c>
      <c r="E35" s="85" t="s">
        <v>26</v>
      </c>
      <c r="F35" s="85">
        <v>19.0</v>
      </c>
      <c r="G35" s="85" t="s">
        <v>26</v>
      </c>
      <c r="H35" s="85" t="s">
        <v>26</v>
      </c>
      <c r="I35" s="85" t="s">
        <v>26</v>
      </c>
      <c r="J35" s="85" t="s">
        <v>26</v>
      </c>
      <c r="K35" s="85" t="s">
        <v>26</v>
      </c>
      <c r="L35" s="85" t="s">
        <v>26</v>
      </c>
      <c r="M35" s="85">
        <v>28.0</v>
      </c>
      <c r="N35" s="85" t="s">
        <v>26</v>
      </c>
      <c r="O35" s="85" t="s">
        <v>26</v>
      </c>
      <c r="P35" s="85">
        <v>5.0</v>
      </c>
      <c r="Q35" s="37">
        <f t="shared" si="3"/>
        <v>17.33333333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138" t="s">
        <v>91</v>
      </c>
      <c r="E36" s="85" t="s">
        <v>26</v>
      </c>
      <c r="F36" s="35">
        <v>2980.0</v>
      </c>
      <c r="G36" s="85" t="s">
        <v>26</v>
      </c>
      <c r="H36" s="85" t="s">
        <v>26</v>
      </c>
      <c r="I36" s="85" t="s">
        <v>26</v>
      </c>
      <c r="J36" s="85" t="s">
        <v>26</v>
      </c>
      <c r="K36" s="85" t="s">
        <v>26</v>
      </c>
      <c r="L36" s="85" t="s">
        <v>26</v>
      </c>
      <c r="M36" s="85">
        <v>28.0</v>
      </c>
      <c r="N36" s="85" t="s">
        <v>26</v>
      </c>
      <c r="O36" s="85" t="s">
        <v>26</v>
      </c>
      <c r="P36" s="85">
        <v>5.0</v>
      </c>
      <c r="Q36" s="37">
        <f t="shared" si="3"/>
        <v>1004.333333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127"/>
      <c r="P37" s="72"/>
      <c r="Q37" s="121">
        <f>GEOMEAN(Q25:Q27)</f>
        <v>37885.49217</v>
      </c>
      <c r="R37" s="72"/>
      <c r="S37" s="72"/>
      <c r="T37" s="72"/>
      <c r="U37" s="72"/>
      <c r="V37" s="72"/>
      <c r="W37" s="72"/>
      <c r="X37" s="72"/>
      <c r="Y37" s="72"/>
      <c r="Z37" s="72"/>
    </row>
    <row r="38" ht="15.0" customHeight="1">
      <c r="A38" s="91" t="s">
        <v>43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127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0" customHeight="1"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127"/>
      <c r="P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91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27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127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91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127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127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127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127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127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127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127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127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127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127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127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127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127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127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127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127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127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127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127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127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127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127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127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127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127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127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127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127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127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127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127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127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127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127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127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127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127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127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127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127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127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127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127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127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127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127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127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127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127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127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127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127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127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127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127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127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127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127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127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127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127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127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127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127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127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127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127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127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127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127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127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127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127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127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127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127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127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127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127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127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127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127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127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127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127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127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127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127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127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127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127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127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127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127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127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127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127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127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127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127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127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127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127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127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127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127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127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127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127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127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127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127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127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127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127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127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127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127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127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127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127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127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127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127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127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127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127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127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127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127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127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127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127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127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127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127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127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127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127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127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127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127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127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127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127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127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127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127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127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127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127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127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127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127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127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127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127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127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127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127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127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127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127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127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127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127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127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127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127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127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127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127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127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127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127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127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127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127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127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127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127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127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127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127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127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127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127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127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127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127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127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127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127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127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127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127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127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127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127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127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127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127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127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127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127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127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127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127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127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127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127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127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127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127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127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127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127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127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127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127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127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127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127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127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127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127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127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127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127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127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127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127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127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127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127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127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127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127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127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127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127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127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127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127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127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127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127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127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127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127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127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127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127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127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127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127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127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127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127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127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127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127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127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127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127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127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127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127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127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127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127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127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127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127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127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127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127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127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127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127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127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127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127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127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127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127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127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127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127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127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127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127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127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127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127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127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127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127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127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127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127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127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127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127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127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127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127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127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127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127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127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127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127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127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127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127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127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127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127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127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127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127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127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127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127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127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127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127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127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127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127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127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127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127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127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127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127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127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127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127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127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127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127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127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127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127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127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127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127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127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127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127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127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127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127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127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127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127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127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127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127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127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127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127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127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127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127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127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127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127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127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127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127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127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127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127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127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127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127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127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127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127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127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127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127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127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127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127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127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127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127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127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127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127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127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127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127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127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127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127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127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127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127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127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127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127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127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127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127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127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127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127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127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127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127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127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127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127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127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127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127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127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127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127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127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127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127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127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127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127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127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127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127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127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127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127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127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127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127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127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127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127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127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127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127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127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127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127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127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127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127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127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127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127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127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127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127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127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127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127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127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127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127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127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127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127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127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127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127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127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127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127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127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127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127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127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127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127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127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127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127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127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127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127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127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127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127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127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127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127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127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127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127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127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127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127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127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127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127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127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127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127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127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127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127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127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127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127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127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127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127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127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127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127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127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127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127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127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127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127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127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127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127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127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127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127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127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127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127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127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127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127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127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127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127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127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127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127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127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127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127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127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127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127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127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127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127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127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127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127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127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127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127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127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127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127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127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127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127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127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127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127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127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127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127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127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127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127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127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127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127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127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127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127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127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127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127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127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127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127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127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127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127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127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127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127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127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127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127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127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127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127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127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127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127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127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127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127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127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127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127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127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127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127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127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127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127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127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127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127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127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127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127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127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127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127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127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127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127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127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127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127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127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127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127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127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127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127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127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127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127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127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127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127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127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127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127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127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127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127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127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127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127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127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127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127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127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127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127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127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127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127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127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127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127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127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127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127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127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127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127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127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127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127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127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127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127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127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127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127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127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127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127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127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127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127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127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127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127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127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127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127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127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127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127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127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127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127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127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127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127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127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127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127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127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127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127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127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127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127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127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127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127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127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127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127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127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127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127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127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127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127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127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127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127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127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127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127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127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127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127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127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127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127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127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127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127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127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127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127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127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127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127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127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127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127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127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127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127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127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127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127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127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127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127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127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127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127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127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127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127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127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127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127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127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127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127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127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127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127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127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127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127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127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127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127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127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127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127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127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127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127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127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127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127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127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127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127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127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127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127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127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127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127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127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127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127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127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127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127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127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127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127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127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127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127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127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127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127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127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127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127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127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127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127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127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127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127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127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127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127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127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127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127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127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127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127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127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127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127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127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127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127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127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127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127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127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127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127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127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127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127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127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127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127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127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127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127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127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127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127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127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127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127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127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127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127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127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127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127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127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127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127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127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127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127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127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127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127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127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127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127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127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127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127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127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127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127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127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127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127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127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127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127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127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127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127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127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127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127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127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127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127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127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127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127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127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127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127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127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127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127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127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127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127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127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127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127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127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127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127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127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127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127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127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127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127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127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127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127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127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127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127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127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127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127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127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127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127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127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127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127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127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127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127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127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127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127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127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127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127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127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127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127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127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127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127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127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127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127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127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127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127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127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127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127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127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127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127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127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127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127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127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127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127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127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127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127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127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40:D41"/>
    <mergeCell ref="B42:D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3.43"/>
    <col customWidth="1" min="5" max="11" width="10.71"/>
    <col customWidth="1" min="12" max="12" width="7.71"/>
    <col customWidth="1" min="13" max="13" width="15.86"/>
    <col customWidth="1" min="14" max="14" width="12.29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95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96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47" t="s">
        <v>97</v>
      </c>
      <c r="E7" s="18">
        <v>8.3</v>
      </c>
      <c r="F7" s="120" t="s">
        <v>26</v>
      </c>
      <c r="G7" s="120" t="s">
        <v>26</v>
      </c>
      <c r="H7" s="120" t="s">
        <v>26</v>
      </c>
      <c r="I7" s="120" t="s">
        <v>26</v>
      </c>
      <c r="J7" s="120" t="s">
        <v>26</v>
      </c>
      <c r="K7" s="120" t="s">
        <v>26</v>
      </c>
      <c r="L7" s="120" t="s">
        <v>26</v>
      </c>
      <c r="M7" s="120">
        <v>3.84</v>
      </c>
      <c r="N7" s="18">
        <v>1.06</v>
      </c>
      <c r="O7" s="18">
        <v>0.0</v>
      </c>
      <c r="P7" s="120" t="s">
        <v>26</v>
      </c>
      <c r="Q7" s="19">
        <f t="shared" ref="Q7:Q24" si="1">AVERAGE(E7,F7,G7,H7,I7,J7,K7,L7,M7,N7,O7,P7)</f>
        <v>3.3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50" t="s">
        <v>98</v>
      </c>
      <c r="E8" s="24">
        <v>1.7</v>
      </c>
      <c r="F8" s="24" t="s">
        <v>26</v>
      </c>
      <c r="G8" s="24" t="s">
        <v>26</v>
      </c>
      <c r="H8" s="24" t="s">
        <v>26</v>
      </c>
      <c r="I8" s="24" t="s">
        <v>26</v>
      </c>
      <c r="J8" s="24" t="s">
        <v>26</v>
      </c>
      <c r="K8" s="24" t="s">
        <v>26</v>
      </c>
      <c r="L8" s="24" t="s">
        <v>26</v>
      </c>
      <c r="M8" s="24">
        <v>1.62</v>
      </c>
      <c r="N8" s="24">
        <v>1.04</v>
      </c>
      <c r="O8" s="24">
        <v>2.2</v>
      </c>
      <c r="P8" s="24" t="s">
        <v>26</v>
      </c>
      <c r="Q8" s="25">
        <f t="shared" si="1"/>
        <v>1.64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50" t="s">
        <v>99</v>
      </c>
      <c r="E9" s="24">
        <v>0.0</v>
      </c>
      <c r="F9" s="85" t="s">
        <v>26</v>
      </c>
      <c r="G9" s="85" t="s">
        <v>26</v>
      </c>
      <c r="H9" s="85" t="s">
        <v>26</v>
      </c>
      <c r="I9" s="85" t="s">
        <v>26</v>
      </c>
      <c r="J9" s="85" t="s">
        <v>26</v>
      </c>
      <c r="K9" s="85" t="s">
        <v>26</v>
      </c>
      <c r="L9" s="85" t="s">
        <v>26</v>
      </c>
      <c r="M9" s="85">
        <v>2.81</v>
      </c>
      <c r="N9" s="24">
        <v>0.97</v>
      </c>
      <c r="O9" s="24">
        <v>3.4</v>
      </c>
      <c r="P9" s="85" t="s">
        <v>26</v>
      </c>
      <c r="Q9" s="25">
        <f t="shared" si="1"/>
        <v>1.795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47" t="s">
        <v>97</v>
      </c>
      <c r="E10" s="120">
        <v>21.0</v>
      </c>
      <c r="F10" s="120" t="s">
        <v>26</v>
      </c>
      <c r="G10" s="120" t="s">
        <v>26</v>
      </c>
      <c r="H10" s="120" t="s">
        <v>26</v>
      </c>
      <c r="I10" s="120" t="s">
        <v>26</v>
      </c>
      <c r="J10" s="120" t="s">
        <v>26</v>
      </c>
      <c r="K10" s="120" t="s">
        <v>26</v>
      </c>
      <c r="L10" s="120" t="s">
        <v>26</v>
      </c>
      <c r="M10" s="120">
        <v>30.0</v>
      </c>
      <c r="N10" s="120">
        <v>87.0</v>
      </c>
      <c r="O10" s="120">
        <v>29.0</v>
      </c>
      <c r="P10" s="120" t="s">
        <v>26</v>
      </c>
      <c r="Q10" s="28">
        <f t="shared" si="1"/>
        <v>41.75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50" t="s">
        <v>98</v>
      </c>
      <c r="E11" s="85">
        <v>17.0</v>
      </c>
      <c r="F11" s="24" t="s">
        <v>26</v>
      </c>
      <c r="G11" s="24" t="s">
        <v>26</v>
      </c>
      <c r="H11" s="24" t="s">
        <v>26</v>
      </c>
      <c r="I11" s="24" t="s">
        <v>26</v>
      </c>
      <c r="J11" s="24" t="s">
        <v>26</v>
      </c>
      <c r="K11" s="24" t="s">
        <v>26</v>
      </c>
      <c r="L11" s="24" t="s">
        <v>26</v>
      </c>
      <c r="M11" s="29">
        <v>26.0</v>
      </c>
      <c r="N11" s="29">
        <v>92.0</v>
      </c>
      <c r="O11" s="29">
        <v>133.0</v>
      </c>
      <c r="P11" s="24" t="s">
        <v>26</v>
      </c>
      <c r="Q11" s="30">
        <f t="shared" si="1"/>
        <v>67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50" t="s">
        <v>99</v>
      </c>
      <c r="E12" s="85">
        <v>55.0</v>
      </c>
      <c r="F12" s="85" t="s">
        <v>26</v>
      </c>
      <c r="G12" s="85" t="s">
        <v>26</v>
      </c>
      <c r="H12" s="85" t="s">
        <v>26</v>
      </c>
      <c r="I12" s="85" t="s">
        <v>26</v>
      </c>
      <c r="J12" s="85" t="s">
        <v>26</v>
      </c>
      <c r="K12" s="85" t="s">
        <v>26</v>
      </c>
      <c r="L12" s="85" t="s">
        <v>26</v>
      </c>
      <c r="M12" s="85">
        <v>29.0</v>
      </c>
      <c r="N12" s="85">
        <v>68.0</v>
      </c>
      <c r="O12" s="85">
        <v>22.0</v>
      </c>
      <c r="P12" s="85" t="s">
        <v>26</v>
      </c>
      <c r="Q12" s="30">
        <f t="shared" si="1"/>
        <v>43.5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47" t="s">
        <v>97</v>
      </c>
      <c r="E13" s="120">
        <v>42.0</v>
      </c>
      <c r="F13" s="120" t="s">
        <v>26</v>
      </c>
      <c r="G13" s="120" t="s">
        <v>26</v>
      </c>
      <c r="H13" s="120" t="s">
        <v>26</v>
      </c>
      <c r="I13" s="120" t="s">
        <v>26</v>
      </c>
      <c r="J13" s="120" t="s">
        <v>26</v>
      </c>
      <c r="K13" s="120" t="s">
        <v>26</v>
      </c>
      <c r="L13" s="120" t="s">
        <v>26</v>
      </c>
      <c r="M13" s="120">
        <v>31.0</v>
      </c>
      <c r="N13" s="120">
        <v>25.0</v>
      </c>
      <c r="O13" s="120">
        <v>23.0</v>
      </c>
      <c r="P13" s="120" t="s">
        <v>26</v>
      </c>
      <c r="Q13" s="28">
        <f t="shared" si="1"/>
        <v>30.25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50" t="s">
        <v>98</v>
      </c>
      <c r="E14" s="85">
        <v>24.0</v>
      </c>
      <c r="F14" s="24" t="s">
        <v>26</v>
      </c>
      <c r="G14" s="24" t="s">
        <v>26</v>
      </c>
      <c r="H14" s="24" t="s">
        <v>26</v>
      </c>
      <c r="I14" s="24" t="s">
        <v>26</v>
      </c>
      <c r="J14" s="24" t="s">
        <v>26</v>
      </c>
      <c r="K14" s="24" t="s">
        <v>26</v>
      </c>
      <c r="L14" s="24" t="s">
        <v>26</v>
      </c>
      <c r="M14" s="29">
        <v>33.0</v>
      </c>
      <c r="N14" s="29">
        <v>15.0</v>
      </c>
      <c r="O14" s="29">
        <v>14.0</v>
      </c>
      <c r="P14" s="24" t="s">
        <v>26</v>
      </c>
      <c r="Q14" s="30">
        <f t="shared" si="1"/>
        <v>21.5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50" t="s">
        <v>99</v>
      </c>
      <c r="E15" s="85">
        <v>27.0</v>
      </c>
      <c r="F15" s="85" t="s">
        <v>26</v>
      </c>
      <c r="G15" s="85" t="s">
        <v>26</v>
      </c>
      <c r="H15" s="85" t="s">
        <v>26</v>
      </c>
      <c r="I15" s="85" t="s">
        <v>26</v>
      </c>
      <c r="J15" s="85" t="s">
        <v>26</v>
      </c>
      <c r="K15" s="85" t="s">
        <v>26</v>
      </c>
      <c r="L15" s="85" t="s">
        <v>26</v>
      </c>
      <c r="M15" s="85">
        <v>22.0</v>
      </c>
      <c r="N15" s="85">
        <v>20.0</v>
      </c>
      <c r="O15" s="85">
        <v>20.0</v>
      </c>
      <c r="P15" s="85" t="s">
        <v>26</v>
      </c>
      <c r="Q15" s="30">
        <f t="shared" si="1"/>
        <v>22.25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47" t="s">
        <v>97</v>
      </c>
      <c r="E16" s="120">
        <v>8.04</v>
      </c>
      <c r="F16" s="120" t="s">
        <v>26</v>
      </c>
      <c r="G16" s="120" t="s">
        <v>26</v>
      </c>
      <c r="H16" s="120" t="s">
        <v>26</v>
      </c>
      <c r="I16" s="120" t="s">
        <v>26</v>
      </c>
      <c r="J16" s="120" t="s">
        <v>26</v>
      </c>
      <c r="K16" s="120" t="s">
        <v>26</v>
      </c>
      <c r="L16" s="120" t="s">
        <v>26</v>
      </c>
      <c r="M16" s="120">
        <v>7.61</v>
      </c>
      <c r="N16" s="120">
        <v>7.54</v>
      </c>
      <c r="O16" s="120">
        <v>7.12</v>
      </c>
      <c r="P16" s="120" t="s">
        <v>26</v>
      </c>
      <c r="Q16" s="19">
        <f t="shared" si="1"/>
        <v>7.5775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50" t="s">
        <v>98</v>
      </c>
      <c r="E17" s="85">
        <v>7.82</v>
      </c>
      <c r="F17" s="24" t="s">
        <v>26</v>
      </c>
      <c r="G17" s="24" t="s">
        <v>26</v>
      </c>
      <c r="H17" s="24" t="s">
        <v>26</v>
      </c>
      <c r="I17" s="24" t="s">
        <v>26</v>
      </c>
      <c r="J17" s="24" t="s">
        <v>26</v>
      </c>
      <c r="K17" s="24" t="s">
        <v>26</v>
      </c>
      <c r="L17" s="24" t="s">
        <v>26</v>
      </c>
      <c r="M17" s="24">
        <v>7.5</v>
      </c>
      <c r="N17" s="24">
        <v>7.48</v>
      </c>
      <c r="O17" s="24">
        <v>7.07</v>
      </c>
      <c r="P17" s="24" t="s">
        <v>26</v>
      </c>
      <c r="Q17" s="25">
        <f t="shared" si="1"/>
        <v>7.4675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50" t="s">
        <v>99</v>
      </c>
      <c r="E18" s="85">
        <v>7.47</v>
      </c>
      <c r="F18" s="85" t="s">
        <v>26</v>
      </c>
      <c r="G18" s="85" t="s">
        <v>26</v>
      </c>
      <c r="H18" s="85" t="s">
        <v>26</v>
      </c>
      <c r="I18" s="85" t="s">
        <v>26</v>
      </c>
      <c r="J18" s="85" t="s">
        <v>26</v>
      </c>
      <c r="K18" s="85" t="s">
        <v>26</v>
      </c>
      <c r="L18" s="85" t="s">
        <v>26</v>
      </c>
      <c r="M18" s="24">
        <v>7.9</v>
      </c>
      <c r="N18" s="85">
        <v>7.52</v>
      </c>
      <c r="O18" s="85">
        <v>7.23</v>
      </c>
      <c r="P18" s="85" t="s">
        <v>26</v>
      </c>
      <c r="Q18" s="25">
        <f t="shared" si="1"/>
        <v>7.53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100</v>
      </c>
      <c r="C19" s="16">
        <v>1.0</v>
      </c>
      <c r="D19" s="47" t="s">
        <v>97</v>
      </c>
      <c r="E19" s="18">
        <v>28.2</v>
      </c>
      <c r="F19" s="120" t="s">
        <v>26</v>
      </c>
      <c r="G19" s="120" t="s">
        <v>26</v>
      </c>
      <c r="H19" s="120" t="s">
        <v>26</v>
      </c>
      <c r="I19" s="120" t="s">
        <v>26</v>
      </c>
      <c r="J19" s="120" t="s">
        <v>26</v>
      </c>
      <c r="K19" s="120" t="s">
        <v>26</v>
      </c>
      <c r="L19" s="120" t="s">
        <v>26</v>
      </c>
      <c r="M19" s="120">
        <v>31.03</v>
      </c>
      <c r="N19" s="18">
        <v>31.5</v>
      </c>
      <c r="O19" s="120">
        <v>27.18</v>
      </c>
      <c r="P19" s="120" t="s">
        <v>26</v>
      </c>
      <c r="Q19" s="19">
        <f t="shared" si="1"/>
        <v>29.4775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50" t="s">
        <v>98</v>
      </c>
      <c r="E20" s="24">
        <v>28.1</v>
      </c>
      <c r="F20" s="24" t="s">
        <v>26</v>
      </c>
      <c r="G20" s="24" t="s">
        <v>26</v>
      </c>
      <c r="H20" s="24" t="s">
        <v>26</v>
      </c>
      <c r="I20" s="24" t="s">
        <v>26</v>
      </c>
      <c r="J20" s="24" t="s">
        <v>26</v>
      </c>
      <c r="K20" s="24" t="s">
        <v>26</v>
      </c>
      <c r="L20" s="24" t="s">
        <v>26</v>
      </c>
      <c r="M20" s="24">
        <v>31.0</v>
      </c>
      <c r="N20" s="24">
        <v>30.8</v>
      </c>
      <c r="O20" s="24">
        <v>27.6</v>
      </c>
      <c r="P20" s="24" t="s">
        <v>26</v>
      </c>
      <c r="Q20" s="25">
        <f t="shared" si="1"/>
        <v>29.375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50" t="s">
        <v>99</v>
      </c>
      <c r="E21" s="24">
        <v>27.8</v>
      </c>
      <c r="F21" s="85" t="s">
        <v>26</v>
      </c>
      <c r="G21" s="85" t="s">
        <v>26</v>
      </c>
      <c r="H21" s="85" t="s">
        <v>26</v>
      </c>
      <c r="I21" s="85" t="s">
        <v>26</v>
      </c>
      <c r="J21" s="85" t="s">
        <v>26</v>
      </c>
      <c r="K21" s="85" t="s">
        <v>26</v>
      </c>
      <c r="L21" s="85" t="s">
        <v>26</v>
      </c>
      <c r="M21" s="85">
        <v>32.0</v>
      </c>
      <c r="N21" s="24">
        <v>31.1</v>
      </c>
      <c r="O21" s="85">
        <v>27.28</v>
      </c>
      <c r="P21" s="85" t="s">
        <v>26</v>
      </c>
      <c r="Q21" s="25">
        <f t="shared" si="1"/>
        <v>29.545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47" t="s">
        <v>97</v>
      </c>
      <c r="E22" s="120">
        <v>33.0</v>
      </c>
      <c r="F22" s="120" t="s">
        <v>26</v>
      </c>
      <c r="G22" s="120" t="s">
        <v>26</v>
      </c>
      <c r="H22" s="120" t="s">
        <v>26</v>
      </c>
      <c r="I22" s="120" t="s">
        <v>26</v>
      </c>
      <c r="J22" s="120" t="s">
        <v>26</v>
      </c>
      <c r="K22" s="120" t="s">
        <v>26</v>
      </c>
      <c r="L22" s="120" t="s">
        <v>26</v>
      </c>
      <c r="M22" s="120">
        <v>70.0</v>
      </c>
      <c r="N22" s="120">
        <v>60.0</v>
      </c>
      <c r="O22" s="120">
        <v>70.0</v>
      </c>
      <c r="P22" s="120" t="s">
        <v>26</v>
      </c>
      <c r="Q22" s="28">
        <f t="shared" si="1"/>
        <v>58.25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50" t="s">
        <v>98</v>
      </c>
      <c r="E23" s="85">
        <v>30.0</v>
      </c>
      <c r="F23" s="24" t="s">
        <v>26</v>
      </c>
      <c r="G23" s="24" t="s">
        <v>26</v>
      </c>
      <c r="H23" s="24" t="s">
        <v>26</v>
      </c>
      <c r="I23" s="24" t="s">
        <v>26</v>
      </c>
      <c r="J23" s="24" t="s">
        <v>26</v>
      </c>
      <c r="K23" s="24" t="s">
        <v>26</v>
      </c>
      <c r="L23" s="24" t="s">
        <v>26</v>
      </c>
      <c r="M23" s="29">
        <v>70.0</v>
      </c>
      <c r="N23" s="29">
        <v>60.0</v>
      </c>
      <c r="O23" s="29">
        <v>70.0</v>
      </c>
      <c r="P23" s="24" t="s">
        <v>26</v>
      </c>
      <c r="Q23" s="30">
        <f t="shared" si="1"/>
        <v>57.5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50" t="s">
        <v>99</v>
      </c>
      <c r="E24" s="85">
        <v>38.0</v>
      </c>
      <c r="F24" s="85" t="s">
        <v>26</v>
      </c>
      <c r="G24" s="85" t="s">
        <v>26</v>
      </c>
      <c r="H24" s="85" t="s">
        <v>26</v>
      </c>
      <c r="I24" s="85" t="s">
        <v>26</v>
      </c>
      <c r="J24" s="85" t="s">
        <v>26</v>
      </c>
      <c r="K24" s="85" t="s">
        <v>26</v>
      </c>
      <c r="L24" s="85" t="s">
        <v>26</v>
      </c>
      <c r="M24" s="85">
        <v>60.0</v>
      </c>
      <c r="N24" s="85">
        <v>60.0</v>
      </c>
      <c r="O24" s="85">
        <v>60.0</v>
      </c>
      <c r="P24" s="85" t="s">
        <v>26</v>
      </c>
      <c r="Q24" s="30">
        <f t="shared" si="1"/>
        <v>54.5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47" t="s">
        <v>97</v>
      </c>
      <c r="E25" s="140">
        <v>920000.0</v>
      </c>
      <c r="F25" s="120" t="s">
        <v>26</v>
      </c>
      <c r="G25" s="120" t="s">
        <v>26</v>
      </c>
      <c r="H25" s="120" t="s">
        <v>26</v>
      </c>
      <c r="I25" s="120" t="s">
        <v>26</v>
      </c>
      <c r="J25" s="120" t="s">
        <v>26</v>
      </c>
      <c r="K25" s="120" t="s">
        <v>26</v>
      </c>
      <c r="L25" s="120" t="s">
        <v>26</v>
      </c>
      <c r="M25" s="32">
        <v>2400000.0</v>
      </c>
      <c r="N25" s="31">
        <v>2343620.0</v>
      </c>
      <c r="O25" s="31">
        <v>790000.0</v>
      </c>
      <c r="P25" s="120" t="s">
        <v>26</v>
      </c>
      <c r="Q25" s="33">
        <f t="shared" ref="Q25:Q27" si="2">GEOMEAN(E25,F25,G25,H25,I25,J25,K25,L25,M25,N25,O25,P25)</f>
        <v>1421930.399</v>
      </c>
      <c r="R25" s="17">
        <v>200.0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50" t="s">
        <v>98</v>
      </c>
      <c r="E26" s="141">
        <v>280000.0</v>
      </c>
      <c r="F26" s="24" t="s">
        <v>26</v>
      </c>
      <c r="G26" s="24" t="s">
        <v>26</v>
      </c>
      <c r="H26" s="24" t="s">
        <v>26</v>
      </c>
      <c r="I26" s="24" t="s">
        <v>26</v>
      </c>
      <c r="J26" s="24" t="s">
        <v>26</v>
      </c>
      <c r="K26" s="24" t="s">
        <v>26</v>
      </c>
      <c r="L26" s="24" t="s">
        <v>26</v>
      </c>
      <c r="M26" s="36">
        <v>280000.0</v>
      </c>
      <c r="N26" s="36">
        <v>130000.0</v>
      </c>
      <c r="O26" s="36">
        <v>1100000.0</v>
      </c>
      <c r="P26" s="24" t="s">
        <v>26</v>
      </c>
      <c r="Q26" s="37">
        <f t="shared" si="2"/>
        <v>325396.6107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50" t="s">
        <v>99</v>
      </c>
      <c r="E27" s="141">
        <v>5.4E7</v>
      </c>
      <c r="F27" s="85" t="s">
        <v>26</v>
      </c>
      <c r="G27" s="85" t="s">
        <v>26</v>
      </c>
      <c r="H27" s="85" t="s">
        <v>26</v>
      </c>
      <c r="I27" s="85" t="s">
        <v>26</v>
      </c>
      <c r="J27" s="85" t="s">
        <v>26</v>
      </c>
      <c r="K27" s="85" t="s">
        <v>26</v>
      </c>
      <c r="L27" s="85" t="s">
        <v>26</v>
      </c>
      <c r="M27" s="35">
        <v>54000.0</v>
      </c>
      <c r="N27" s="35">
        <v>2442587.0</v>
      </c>
      <c r="O27" s="35">
        <v>1700000.0</v>
      </c>
      <c r="P27" s="85" t="s">
        <v>26</v>
      </c>
      <c r="Q27" s="37">
        <f t="shared" si="2"/>
        <v>1865398.489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101</v>
      </c>
      <c r="C28" s="16">
        <v>1.0</v>
      </c>
      <c r="D28" s="47" t="s">
        <v>97</v>
      </c>
      <c r="E28" s="142">
        <v>0.23</v>
      </c>
      <c r="F28" s="120" t="s">
        <v>26</v>
      </c>
      <c r="G28" s="120" t="s">
        <v>26</v>
      </c>
      <c r="H28" s="120" t="s">
        <v>26</v>
      </c>
      <c r="I28" s="120" t="s">
        <v>26</v>
      </c>
      <c r="J28" s="120" t="s">
        <v>26</v>
      </c>
      <c r="K28" s="120" t="s">
        <v>26</v>
      </c>
      <c r="L28" s="120" t="s">
        <v>26</v>
      </c>
      <c r="M28" s="120" t="s">
        <v>40</v>
      </c>
      <c r="N28" s="120">
        <v>0.091</v>
      </c>
      <c r="O28" s="120">
        <v>0.086</v>
      </c>
      <c r="P28" s="120" t="s">
        <v>26</v>
      </c>
      <c r="Q28" s="40">
        <f t="shared" ref="Q28:Q30" si="3">AVERAGE(E28,F28,G28,H28,I28,J28,K28,L28,0.045,N28,O28,P28)</f>
        <v>0.113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50" t="s">
        <v>98</v>
      </c>
      <c r="E29" s="143">
        <v>0.159</v>
      </c>
      <c r="F29" s="24" t="s">
        <v>26</v>
      </c>
      <c r="G29" s="24" t="s">
        <v>26</v>
      </c>
      <c r="H29" s="24" t="s">
        <v>26</v>
      </c>
      <c r="I29" s="24" t="s">
        <v>26</v>
      </c>
      <c r="J29" s="24" t="s">
        <v>26</v>
      </c>
      <c r="K29" s="24" t="s">
        <v>26</v>
      </c>
      <c r="L29" s="24" t="s">
        <v>26</v>
      </c>
      <c r="M29" s="24" t="s">
        <v>40</v>
      </c>
      <c r="N29" s="41">
        <v>0.049</v>
      </c>
      <c r="O29" s="41">
        <v>0.173</v>
      </c>
      <c r="P29" s="24" t="s">
        <v>26</v>
      </c>
      <c r="Q29" s="42">
        <f t="shared" si="3"/>
        <v>0.1065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50" t="s">
        <v>99</v>
      </c>
      <c r="E30" s="143">
        <v>0.154</v>
      </c>
      <c r="F30" s="85" t="s">
        <v>26</v>
      </c>
      <c r="G30" s="85" t="s">
        <v>26</v>
      </c>
      <c r="H30" s="85" t="s">
        <v>26</v>
      </c>
      <c r="I30" s="85" t="s">
        <v>26</v>
      </c>
      <c r="J30" s="85" t="s">
        <v>26</v>
      </c>
      <c r="K30" s="85" t="s">
        <v>26</v>
      </c>
      <c r="L30" s="85" t="s">
        <v>26</v>
      </c>
      <c r="M30" s="85" t="s">
        <v>40</v>
      </c>
      <c r="N30" s="41" t="s">
        <v>40</v>
      </c>
      <c r="O30" s="85">
        <v>0.383</v>
      </c>
      <c r="P30" s="85" t="s">
        <v>26</v>
      </c>
      <c r="Q30" s="42">
        <f t="shared" si="3"/>
        <v>0.194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102</v>
      </c>
      <c r="C31" s="16">
        <v>1.0</v>
      </c>
      <c r="D31" s="47" t="s">
        <v>97</v>
      </c>
      <c r="E31" s="142">
        <v>2.829</v>
      </c>
      <c r="F31" s="120" t="s">
        <v>26</v>
      </c>
      <c r="G31" s="120" t="s">
        <v>26</v>
      </c>
      <c r="H31" s="120" t="s">
        <v>26</v>
      </c>
      <c r="I31" s="120" t="s">
        <v>26</v>
      </c>
      <c r="J31" s="120" t="s">
        <v>26</v>
      </c>
      <c r="K31" s="120" t="s">
        <v>26</v>
      </c>
      <c r="L31" s="120" t="s">
        <v>26</v>
      </c>
      <c r="M31" s="120">
        <v>2.066</v>
      </c>
      <c r="N31" s="120">
        <v>1.396</v>
      </c>
      <c r="O31" s="39">
        <v>1.735</v>
      </c>
      <c r="P31" s="120" t="s">
        <v>26</v>
      </c>
      <c r="Q31" s="40">
        <f t="shared" ref="Q31:Q36" si="4">AVERAGE(E31,F31,G31,H31,I31,J31,K31,L31,M31,N31,O31,P31)</f>
        <v>2.0065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50" t="s">
        <v>98</v>
      </c>
      <c r="E32" s="143">
        <v>0.858</v>
      </c>
      <c r="F32" s="24" t="s">
        <v>26</v>
      </c>
      <c r="G32" s="24" t="s">
        <v>26</v>
      </c>
      <c r="H32" s="24" t="s">
        <v>26</v>
      </c>
      <c r="I32" s="24" t="s">
        <v>26</v>
      </c>
      <c r="J32" s="24" t="s">
        <v>26</v>
      </c>
      <c r="K32" s="24" t="s">
        <v>26</v>
      </c>
      <c r="L32" s="24" t="s">
        <v>26</v>
      </c>
      <c r="M32" s="41">
        <v>0.649</v>
      </c>
      <c r="N32" s="41">
        <v>0.324</v>
      </c>
      <c r="O32" s="41">
        <v>0.944</v>
      </c>
      <c r="P32" s="24" t="s">
        <v>26</v>
      </c>
      <c r="Q32" s="42">
        <f t="shared" si="4"/>
        <v>0.69375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50" t="s">
        <v>99</v>
      </c>
      <c r="E33" s="143">
        <v>1.425</v>
      </c>
      <c r="F33" s="85" t="s">
        <v>26</v>
      </c>
      <c r="G33" s="85" t="s">
        <v>26</v>
      </c>
      <c r="H33" s="85" t="s">
        <v>26</v>
      </c>
      <c r="I33" s="85" t="s">
        <v>26</v>
      </c>
      <c r="J33" s="85" t="s">
        <v>26</v>
      </c>
      <c r="K33" s="85" t="s">
        <v>26</v>
      </c>
      <c r="L33" s="85" t="s">
        <v>26</v>
      </c>
      <c r="M33" s="85">
        <v>0.765</v>
      </c>
      <c r="N33" s="85">
        <v>0.608</v>
      </c>
      <c r="O33" s="41">
        <v>0.871</v>
      </c>
      <c r="P33" s="85" t="s">
        <v>26</v>
      </c>
      <c r="Q33" s="42">
        <f t="shared" si="4"/>
        <v>0.91725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47" t="s">
        <v>97</v>
      </c>
      <c r="E34" s="140">
        <v>443.0</v>
      </c>
      <c r="F34" s="120" t="s">
        <v>26</v>
      </c>
      <c r="G34" s="120" t="s">
        <v>26</v>
      </c>
      <c r="H34" s="120" t="s">
        <v>26</v>
      </c>
      <c r="I34" s="120" t="s">
        <v>26</v>
      </c>
      <c r="J34" s="120" t="s">
        <v>26</v>
      </c>
      <c r="K34" s="120" t="s">
        <v>26</v>
      </c>
      <c r="L34" s="120" t="s">
        <v>26</v>
      </c>
      <c r="M34" s="120">
        <v>589.0</v>
      </c>
      <c r="N34" s="120">
        <v>78.0</v>
      </c>
      <c r="O34" s="120">
        <v>21.0</v>
      </c>
      <c r="P34" s="120" t="s">
        <v>26</v>
      </c>
      <c r="Q34" s="33">
        <f t="shared" si="4"/>
        <v>282.75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50" t="s">
        <v>98</v>
      </c>
      <c r="E35" s="141">
        <v>2046.0</v>
      </c>
      <c r="F35" s="24" t="s">
        <v>26</v>
      </c>
      <c r="G35" s="24" t="s">
        <v>26</v>
      </c>
      <c r="H35" s="24" t="s">
        <v>26</v>
      </c>
      <c r="I35" s="24" t="s">
        <v>26</v>
      </c>
      <c r="J35" s="24" t="s">
        <v>26</v>
      </c>
      <c r="K35" s="24" t="s">
        <v>26</v>
      </c>
      <c r="L35" s="24" t="s">
        <v>26</v>
      </c>
      <c r="M35" s="36">
        <v>2055.0</v>
      </c>
      <c r="N35" s="29">
        <v>990.0</v>
      </c>
      <c r="O35" s="29">
        <v>59.0</v>
      </c>
      <c r="P35" s="24" t="s">
        <v>26</v>
      </c>
      <c r="Q35" s="37">
        <f t="shared" si="4"/>
        <v>1287.5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50" t="s">
        <v>99</v>
      </c>
      <c r="E36" s="141">
        <v>1395.0</v>
      </c>
      <c r="F36" s="85" t="s">
        <v>26</v>
      </c>
      <c r="G36" s="85" t="s">
        <v>26</v>
      </c>
      <c r="H36" s="85" t="s">
        <v>26</v>
      </c>
      <c r="I36" s="85" t="s">
        <v>26</v>
      </c>
      <c r="J36" s="85" t="s">
        <v>26</v>
      </c>
      <c r="K36" s="85" t="s">
        <v>26</v>
      </c>
      <c r="L36" s="85" t="s">
        <v>26</v>
      </c>
      <c r="M36" s="36">
        <v>1121.0</v>
      </c>
      <c r="N36" s="85">
        <v>758.0</v>
      </c>
      <c r="O36" s="85">
        <v>7.0</v>
      </c>
      <c r="P36" s="85" t="s">
        <v>26</v>
      </c>
      <c r="Q36" s="37">
        <f t="shared" si="4"/>
        <v>820.25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127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91" t="s">
        <v>43</v>
      </c>
      <c r="D38" s="91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127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127"/>
      <c r="P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126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27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127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127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127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127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127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127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127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127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127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127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127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127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127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127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127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127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127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127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127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127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127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127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127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127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127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127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127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127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127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127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127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127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127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127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127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127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127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127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127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127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127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127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127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127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127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127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127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127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127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127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127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127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127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127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127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127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127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127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127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127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127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127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127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127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127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127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127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127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127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127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127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127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127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127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127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127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127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127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127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127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127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127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127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127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127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127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127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127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127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127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127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127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127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127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127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127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127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127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127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127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127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127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127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127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127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127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127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127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127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127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127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127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127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127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127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127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127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127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127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127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127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127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127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127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127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127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127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127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127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127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127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127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127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127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127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127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127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127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127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127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127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127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127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127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127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127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127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127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127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127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127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127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127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127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127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127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127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127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127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127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127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127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127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127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127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127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127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127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127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127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127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127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127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127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127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127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127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127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127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127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127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127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127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127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127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127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127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127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127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127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127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127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127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127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127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127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127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127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127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127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127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127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127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127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127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127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127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127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127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127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127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127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127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127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127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127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127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127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127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127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127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127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127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127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127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127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127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127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127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127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127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127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127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127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127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127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127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127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127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127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127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127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127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127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127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127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127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127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127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127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127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127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127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127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127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127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127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127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127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127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127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127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127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127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127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127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127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127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127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127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127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127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127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127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127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127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127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127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127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127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127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127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127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127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127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127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127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127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127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127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127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127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127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127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127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127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127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127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127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127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127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127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127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127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127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127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127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127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127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127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127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127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127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127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127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127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127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127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127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127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127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127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127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127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127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127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127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127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127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127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127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127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127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127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127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127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127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127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127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127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127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127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127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127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127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127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127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127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127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127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127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127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127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127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127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127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127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127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127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127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127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127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127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127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127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127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127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127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127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127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127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127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127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127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127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127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127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127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127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127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127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127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127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127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127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127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127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127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127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127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127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127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127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127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127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127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127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127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127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127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127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127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127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127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127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127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127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127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127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127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127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127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127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127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127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127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127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127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127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127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127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127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127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127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127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127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127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127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127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127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127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127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127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127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127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127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127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127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127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127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127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127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127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127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127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127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127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127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127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127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127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127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127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127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127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127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127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127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127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127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127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127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127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127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127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127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127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127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127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127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127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127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127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127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127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127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127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127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127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127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127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127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127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127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127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127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127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127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127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127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127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127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127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127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127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127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127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127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127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127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127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127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127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127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127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127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127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127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127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127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127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127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127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127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127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127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127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127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127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127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127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127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127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127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127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127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127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127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127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127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127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127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127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127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127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127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127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127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127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127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127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127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127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127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127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127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127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127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127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127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127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127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127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127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127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127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127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127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127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127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127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127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127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127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127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127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127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127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127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127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127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127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127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127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127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127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127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127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127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127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127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127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127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127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127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127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127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127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127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127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127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127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127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127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127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127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127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127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127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127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127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127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127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127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127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127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127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127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127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127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127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127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127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127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127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127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127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127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127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127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127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127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127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127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127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127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127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127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127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127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127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127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127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127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127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127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127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127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127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127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127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127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127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127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127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127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127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127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127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127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127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127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127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127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127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127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127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127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127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127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127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127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127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127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127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127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127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127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127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127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127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127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127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127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127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127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127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127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127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127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127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127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127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127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127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127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127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127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127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127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127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127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127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127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127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127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127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127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127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127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127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127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127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127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127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127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127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127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127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127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127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127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127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127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127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127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127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127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127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127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127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127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127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127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127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127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127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127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127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127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127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127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127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127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127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127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127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127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127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127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127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127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127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127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127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127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127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127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127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127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127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127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127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127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127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127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127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127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127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127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127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127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127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127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127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127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127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127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127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127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127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127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127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127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127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127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127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127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127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127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127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127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127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127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127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127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127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127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127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127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127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127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127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127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127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127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127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127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127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127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127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127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127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127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127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127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127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127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127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127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127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127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127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127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127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127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127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127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127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127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127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127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127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127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127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127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127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127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127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127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127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127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127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127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127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127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127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127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127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127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127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127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127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127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127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127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127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127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127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127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127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127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127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127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127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127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127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127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127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127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127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127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127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127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127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127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127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127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127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127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127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127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127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127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127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127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127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127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127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127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127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127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127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127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127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127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127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127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127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127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127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127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127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127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127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127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127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127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127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127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127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127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127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127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127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127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127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127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127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127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127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127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127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127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127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127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127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127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127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127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127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127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127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127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127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127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127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127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127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127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127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127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127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127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127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127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127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127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127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127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127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127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127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127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127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127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127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127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127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127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127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127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127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127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127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127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127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127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127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127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1.29"/>
    <col customWidth="1" min="5" max="11" width="10.71"/>
    <col customWidth="1" min="12" max="12" width="13.57"/>
    <col customWidth="1" min="13" max="13" width="11.43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103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44" t="s">
        <v>104</v>
      </c>
      <c r="E7" s="120" t="s">
        <v>26</v>
      </c>
      <c r="F7" s="18">
        <v>5.11</v>
      </c>
      <c r="G7" s="18">
        <v>4.29</v>
      </c>
      <c r="H7" s="120" t="s">
        <v>26</v>
      </c>
      <c r="I7" s="120" t="s">
        <v>26</v>
      </c>
      <c r="J7" s="18">
        <v>3.3</v>
      </c>
      <c r="K7" s="120" t="s">
        <v>26</v>
      </c>
      <c r="L7" s="18">
        <v>3.45</v>
      </c>
      <c r="M7" s="18">
        <v>4.23</v>
      </c>
      <c r="N7" s="18">
        <v>4.15</v>
      </c>
      <c r="O7" s="18">
        <v>4.19</v>
      </c>
      <c r="P7" s="120" t="s">
        <v>26</v>
      </c>
      <c r="Q7" s="19">
        <f t="shared" ref="Q7:Q8" si="1">AVERAGE(E7,F7,G7,H7,I7,J7,K7,L7,M7,N7,O7,P7)</f>
        <v>4.102857143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45" t="s">
        <v>105</v>
      </c>
      <c r="E8" s="24" t="s">
        <v>26</v>
      </c>
      <c r="F8" s="146">
        <v>5.63</v>
      </c>
      <c r="G8" s="146">
        <v>1.52</v>
      </c>
      <c r="H8" s="24" t="s">
        <v>26</v>
      </c>
      <c r="I8" s="24" t="s">
        <v>26</v>
      </c>
      <c r="J8" s="146">
        <v>2.45</v>
      </c>
      <c r="K8" s="24" t="s">
        <v>26</v>
      </c>
      <c r="L8" s="146">
        <v>3.85</v>
      </c>
      <c r="M8" s="146">
        <v>3.33</v>
      </c>
      <c r="N8" s="146">
        <v>5.04</v>
      </c>
      <c r="O8" s="24">
        <v>4.25</v>
      </c>
      <c r="P8" s="24" t="s">
        <v>26</v>
      </c>
      <c r="Q8" s="25">
        <f t="shared" si="1"/>
        <v>3.724285714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45" t="s">
        <v>106</v>
      </c>
      <c r="E9" s="85" t="s">
        <v>26</v>
      </c>
      <c r="F9" s="147" t="s">
        <v>26</v>
      </c>
      <c r="G9" s="24" t="s">
        <v>26</v>
      </c>
      <c r="H9" s="85" t="s">
        <v>26</v>
      </c>
      <c r="I9" s="85" t="s">
        <v>26</v>
      </c>
      <c r="J9" s="148" t="s">
        <v>26</v>
      </c>
      <c r="K9" s="85" t="s">
        <v>26</v>
      </c>
      <c r="L9" s="147">
        <v>6.02</v>
      </c>
      <c r="M9" s="147">
        <v>2.59</v>
      </c>
      <c r="N9" s="147">
        <v>5.16</v>
      </c>
      <c r="O9" s="85">
        <v>4.02</v>
      </c>
      <c r="P9" s="85" t="s">
        <v>26</v>
      </c>
      <c r="Q9" s="52">
        <v>6.02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44" t="s">
        <v>104</v>
      </c>
      <c r="E10" s="120">
        <v>3.0</v>
      </c>
      <c r="F10" s="27" t="s">
        <v>107</v>
      </c>
      <c r="G10" s="120">
        <v>4.0</v>
      </c>
      <c r="H10" s="120" t="s">
        <v>26</v>
      </c>
      <c r="I10" s="120" t="s">
        <v>26</v>
      </c>
      <c r="J10" s="27">
        <v>11.0</v>
      </c>
      <c r="K10" s="120" t="s">
        <v>26</v>
      </c>
      <c r="L10" s="27">
        <v>2.0</v>
      </c>
      <c r="M10" s="27">
        <v>6.0</v>
      </c>
      <c r="N10" s="27">
        <v>3.0</v>
      </c>
      <c r="O10" s="27">
        <v>2.0</v>
      </c>
      <c r="P10" s="120" t="s">
        <v>26</v>
      </c>
      <c r="Q10" s="28">
        <f>AVERAGE(E10,F10,G10,H10,I10,J10,K10,L10,M10,N10,O10,P10)</f>
        <v>4.428571429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45" t="s">
        <v>105</v>
      </c>
      <c r="E11" s="85">
        <v>3.0</v>
      </c>
      <c r="F11" s="149">
        <v>6.0</v>
      </c>
      <c r="G11" s="29">
        <v>14.0</v>
      </c>
      <c r="H11" s="24" t="s">
        <v>26</v>
      </c>
      <c r="I11" s="24" t="s">
        <v>26</v>
      </c>
      <c r="J11" s="149">
        <v>19.0</v>
      </c>
      <c r="K11" s="24" t="s">
        <v>26</v>
      </c>
      <c r="L11" s="29">
        <v>3.0</v>
      </c>
      <c r="M11" s="149" t="s">
        <v>107</v>
      </c>
      <c r="N11" s="150">
        <v>4.0</v>
      </c>
      <c r="O11" s="29">
        <v>3.0</v>
      </c>
      <c r="P11" s="24" t="s">
        <v>26</v>
      </c>
      <c r="Q11" s="30">
        <f>AVERAGE(E11,F11,G11,H11,I11,J11,K11,L11,2,N11,O11,P11)</f>
        <v>6.75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45" t="s">
        <v>106</v>
      </c>
      <c r="E12" s="85">
        <v>3.0</v>
      </c>
      <c r="F12" s="147" t="s">
        <v>26</v>
      </c>
      <c r="G12" s="85" t="s">
        <v>26</v>
      </c>
      <c r="H12" s="85" t="s">
        <v>26</v>
      </c>
      <c r="I12" s="85" t="s">
        <v>26</v>
      </c>
      <c r="J12" s="148" t="s">
        <v>26</v>
      </c>
      <c r="K12" s="85" t="s">
        <v>26</v>
      </c>
      <c r="L12" s="29">
        <v>13.0</v>
      </c>
      <c r="M12" s="147">
        <v>26.0</v>
      </c>
      <c r="N12" s="147">
        <v>3.0</v>
      </c>
      <c r="O12" s="85">
        <v>3.0</v>
      </c>
      <c r="P12" s="85" t="s">
        <v>26</v>
      </c>
      <c r="Q12" s="30">
        <f t="shared" ref="Q12:Q17" si="2">AVERAGE(E12,F12,G12,H12,I12,J12,K12,L12,M12,N12,O12,P12)</f>
        <v>9.6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44" t="s">
        <v>104</v>
      </c>
      <c r="E13" s="120">
        <v>25.0</v>
      </c>
      <c r="F13" s="27">
        <v>39.0</v>
      </c>
      <c r="G13" s="120">
        <v>15.0</v>
      </c>
      <c r="H13" s="120" t="s">
        <v>26</v>
      </c>
      <c r="I13" s="120" t="s">
        <v>26</v>
      </c>
      <c r="J13" s="27">
        <v>35.0</v>
      </c>
      <c r="K13" s="120" t="s">
        <v>26</v>
      </c>
      <c r="L13" s="27">
        <v>26.0</v>
      </c>
      <c r="M13" s="27">
        <v>15.0</v>
      </c>
      <c r="N13" s="32">
        <v>27.0</v>
      </c>
      <c r="O13" s="27">
        <v>6.0</v>
      </c>
      <c r="P13" s="120" t="s">
        <v>26</v>
      </c>
      <c r="Q13" s="28">
        <f t="shared" si="2"/>
        <v>23.5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45" t="s">
        <v>105</v>
      </c>
      <c r="E14" s="85">
        <v>11.0</v>
      </c>
      <c r="F14" s="149">
        <v>34.0</v>
      </c>
      <c r="G14" s="29">
        <v>5.0</v>
      </c>
      <c r="H14" s="24" t="s">
        <v>26</v>
      </c>
      <c r="I14" s="24" t="s">
        <v>26</v>
      </c>
      <c r="J14" s="149">
        <v>29.0</v>
      </c>
      <c r="K14" s="24" t="s">
        <v>26</v>
      </c>
      <c r="L14" s="29">
        <v>11.0</v>
      </c>
      <c r="M14" s="149">
        <v>63.0</v>
      </c>
      <c r="N14" s="150">
        <v>12.0</v>
      </c>
      <c r="O14" s="29">
        <v>9.0</v>
      </c>
      <c r="P14" s="24" t="s">
        <v>26</v>
      </c>
      <c r="Q14" s="30">
        <f t="shared" si="2"/>
        <v>21.75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45" t="s">
        <v>106</v>
      </c>
      <c r="E15" s="85">
        <v>10.0</v>
      </c>
      <c r="F15" s="147" t="s">
        <v>26</v>
      </c>
      <c r="G15" s="85" t="s">
        <v>26</v>
      </c>
      <c r="H15" s="85" t="s">
        <v>26</v>
      </c>
      <c r="I15" s="85" t="s">
        <v>26</v>
      </c>
      <c r="J15" s="148" t="s">
        <v>26</v>
      </c>
      <c r="K15" s="85" t="s">
        <v>26</v>
      </c>
      <c r="L15" s="29">
        <v>31.0</v>
      </c>
      <c r="M15" s="147">
        <v>20.0</v>
      </c>
      <c r="N15" s="147">
        <v>12.0</v>
      </c>
      <c r="O15" s="85">
        <v>10.0</v>
      </c>
      <c r="P15" s="85" t="s">
        <v>26</v>
      </c>
      <c r="Q15" s="30">
        <f t="shared" si="2"/>
        <v>16.6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44" t="s">
        <v>104</v>
      </c>
      <c r="E16" s="120" t="s">
        <v>26</v>
      </c>
      <c r="F16" s="18">
        <v>7.48</v>
      </c>
      <c r="G16" s="18">
        <v>7.74</v>
      </c>
      <c r="H16" s="120" t="s">
        <v>26</v>
      </c>
      <c r="I16" s="120" t="s">
        <v>26</v>
      </c>
      <c r="J16" s="151">
        <v>7.85</v>
      </c>
      <c r="K16" s="120" t="s">
        <v>26</v>
      </c>
      <c r="L16" s="18">
        <v>8.3</v>
      </c>
      <c r="M16" s="18">
        <v>8.46</v>
      </c>
      <c r="N16" s="18">
        <v>8.27</v>
      </c>
      <c r="O16" s="18">
        <v>7.39</v>
      </c>
      <c r="P16" s="120" t="s">
        <v>26</v>
      </c>
      <c r="Q16" s="19">
        <f t="shared" si="2"/>
        <v>7.927142857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45" t="s">
        <v>105</v>
      </c>
      <c r="E17" s="85" t="s">
        <v>26</v>
      </c>
      <c r="F17" s="146">
        <v>7.23</v>
      </c>
      <c r="G17" s="146">
        <v>7.92</v>
      </c>
      <c r="H17" s="24" t="s">
        <v>26</v>
      </c>
      <c r="I17" s="24" t="s">
        <v>26</v>
      </c>
      <c r="J17" s="152">
        <v>7.78</v>
      </c>
      <c r="K17" s="24" t="s">
        <v>26</v>
      </c>
      <c r="L17" s="24">
        <v>8.16</v>
      </c>
      <c r="M17" s="146">
        <v>8.09</v>
      </c>
      <c r="N17" s="24">
        <v>8.3</v>
      </c>
      <c r="O17" s="24">
        <v>7.4</v>
      </c>
      <c r="P17" s="24" t="s">
        <v>26</v>
      </c>
      <c r="Q17" s="25">
        <f t="shared" si="2"/>
        <v>7.84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45" t="s">
        <v>106</v>
      </c>
      <c r="E18" s="85" t="s">
        <v>26</v>
      </c>
      <c r="F18" s="147" t="s">
        <v>26</v>
      </c>
      <c r="G18" s="24" t="s">
        <v>26</v>
      </c>
      <c r="H18" s="85" t="s">
        <v>26</v>
      </c>
      <c r="I18" s="85" t="s">
        <v>26</v>
      </c>
      <c r="J18" s="148" t="s">
        <v>26</v>
      </c>
      <c r="K18" s="85" t="s">
        <v>26</v>
      </c>
      <c r="L18" s="24">
        <v>8.05</v>
      </c>
      <c r="M18" s="147">
        <v>8.03</v>
      </c>
      <c r="N18" s="24">
        <v>8.31</v>
      </c>
      <c r="O18" s="85">
        <v>7.25</v>
      </c>
      <c r="P18" s="85" t="s">
        <v>26</v>
      </c>
      <c r="Q18" s="52">
        <v>8.05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108</v>
      </c>
      <c r="C19" s="16">
        <v>1.0</v>
      </c>
      <c r="D19" s="144" t="s">
        <v>104</v>
      </c>
      <c r="E19" s="120" t="s">
        <v>26</v>
      </c>
      <c r="F19" s="18">
        <v>27.7</v>
      </c>
      <c r="G19" s="18">
        <v>29.9</v>
      </c>
      <c r="H19" s="120" t="s">
        <v>26</v>
      </c>
      <c r="I19" s="120" t="s">
        <v>26</v>
      </c>
      <c r="J19" s="151">
        <v>29.25</v>
      </c>
      <c r="K19" s="120" t="s">
        <v>26</v>
      </c>
      <c r="L19" s="18">
        <v>29.0</v>
      </c>
      <c r="M19" s="18">
        <v>31.4</v>
      </c>
      <c r="N19" s="18">
        <v>28.8</v>
      </c>
      <c r="O19" s="18">
        <v>28.06</v>
      </c>
      <c r="P19" s="120" t="s">
        <v>26</v>
      </c>
      <c r="Q19" s="19">
        <f t="shared" ref="Q19:Q20" si="3">AVERAGE(E19,F19,G19,H19,I19,J19,K19,L19,M19,N19,O19,P19)</f>
        <v>29.15857143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45" t="s">
        <v>105</v>
      </c>
      <c r="E20" s="85" t="s">
        <v>26</v>
      </c>
      <c r="F20" s="146">
        <v>28.0</v>
      </c>
      <c r="G20" s="146">
        <v>30.6</v>
      </c>
      <c r="H20" s="24" t="s">
        <v>26</v>
      </c>
      <c r="I20" s="24" t="s">
        <v>26</v>
      </c>
      <c r="J20" s="152">
        <v>28.7</v>
      </c>
      <c r="K20" s="24" t="s">
        <v>26</v>
      </c>
      <c r="L20" s="24">
        <v>27.9</v>
      </c>
      <c r="M20" s="146">
        <v>32.3</v>
      </c>
      <c r="N20" s="146">
        <v>28.3</v>
      </c>
      <c r="O20" s="24">
        <v>28.12</v>
      </c>
      <c r="P20" s="24" t="s">
        <v>26</v>
      </c>
      <c r="Q20" s="25">
        <f t="shared" si="3"/>
        <v>29.13142857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45" t="s">
        <v>106</v>
      </c>
      <c r="E21" s="85" t="s">
        <v>26</v>
      </c>
      <c r="F21" s="146" t="s">
        <v>26</v>
      </c>
      <c r="G21" s="24" t="s">
        <v>26</v>
      </c>
      <c r="H21" s="85" t="s">
        <v>26</v>
      </c>
      <c r="I21" s="85" t="s">
        <v>26</v>
      </c>
      <c r="J21" s="148" t="s">
        <v>26</v>
      </c>
      <c r="K21" s="85" t="s">
        <v>26</v>
      </c>
      <c r="L21" s="24">
        <v>28.1</v>
      </c>
      <c r="M21" s="146">
        <v>33.0</v>
      </c>
      <c r="N21" s="146">
        <v>28.7</v>
      </c>
      <c r="O21" s="24">
        <v>28.18</v>
      </c>
      <c r="P21" s="85" t="s">
        <v>26</v>
      </c>
      <c r="Q21" s="52">
        <v>28.1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44" t="s">
        <v>104</v>
      </c>
      <c r="E22" s="120">
        <v>5.0</v>
      </c>
      <c r="F22" s="27">
        <v>10.0</v>
      </c>
      <c r="G22" s="31">
        <v>5.0</v>
      </c>
      <c r="H22" s="120" t="s">
        <v>26</v>
      </c>
      <c r="I22" s="120" t="s">
        <v>26</v>
      </c>
      <c r="J22" s="27">
        <v>20.0</v>
      </c>
      <c r="K22" s="120" t="s">
        <v>26</v>
      </c>
      <c r="L22" s="27">
        <v>5.0</v>
      </c>
      <c r="M22" s="27">
        <v>5.0</v>
      </c>
      <c r="N22" s="32">
        <v>10.0</v>
      </c>
      <c r="O22" s="27">
        <v>10.0</v>
      </c>
      <c r="P22" s="120" t="s">
        <v>26</v>
      </c>
      <c r="Q22" s="28">
        <f t="shared" ref="Q22:Q24" si="4">AVERAGE(E22,F22,G22,H22,I22,J22,K22,L22,M22,N22,O22,P22)</f>
        <v>8.75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45" t="s">
        <v>105</v>
      </c>
      <c r="E23" s="85">
        <v>5.0</v>
      </c>
      <c r="F23" s="149">
        <v>10.0</v>
      </c>
      <c r="G23" s="38">
        <v>15.0</v>
      </c>
      <c r="H23" s="24" t="s">
        <v>26</v>
      </c>
      <c r="I23" s="24" t="s">
        <v>26</v>
      </c>
      <c r="J23" s="149">
        <v>20.0</v>
      </c>
      <c r="K23" s="24" t="s">
        <v>26</v>
      </c>
      <c r="L23" s="29">
        <v>10.0</v>
      </c>
      <c r="M23" s="149">
        <v>5.0</v>
      </c>
      <c r="N23" s="150">
        <v>10.0</v>
      </c>
      <c r="O23" s="29">
        <v>10.0</v>
      </c>
      <c r="P23" s="24" t="s">
        <v>26</v>
      </c>
      <c r="Q23" s="30">
        <f t="shared" si="4"/>
        <v>10.625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45" t="s">
        <v>106</v>
      </c>
      <c r="E24" s="85">
        <v>5.0</v>
      </c>
      <c r="F24" s="147" t="s">
        <v>26</v>
      </c>
      <c r="G24" s="24" t="s">
        <v>26</v>
      </c>
      <c r="H24" s="85" t="s">
        <v>26</v>
      </c>
      <c r="I24" s="85" t="s">
        <v>26</v>
      </c>
      <c r="J24" s="148" t="s">
        <v>26</v>
      </c>
      <c r="K24" s="85" t="s">
        <v>26</v>
      </c>
      <c r="L24" s="29">
        <v>10.0</v>
      </c>
      <c r="M24" s="147">
        <v>10.0</v>
      </c>
      <c r="N24" s="147">
        <v>10.0</v>
      </c>
      <c r="O24" s="85">
        <v>10.0</v>
      </c>
      <c r="P24" s="85" t="s">
        <v>26</v>
      </c>
      <c r="Q24" s="30">
        <f t="shared" si="4"/>
        <v>9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44" t="s">
        <v>104</v>
      </c>
      <c r="E25" s="31">
        <v>7900.0</v>
      </c>
      <c r="F25" s="32">
        <v>54000.0</v>
      </c>
      <c r="G25" s="31">
        <v>240000.0</v>
      </c>
      <c r="H25" s="120" t="s">
        <v>26</v>
      </c>
      <c r="I25" s="120" t="s">
        <v>26</v>
      </c>
      <c r="J25" s="31" t="s">
        <v>109</v>
      </c>
      <c r="K25" s="120" t="s">
        <v>26</v>
      </c>
      <c r="L25" s="32">
        <v>4000.0</v>
      </c>
      <c r="M25" s="32">
        <v>49000.0</v>
      </c>
      <c r="N25" s="32">
        <v>7900.0</v>
      </c>
      <c r="O25" s="32">
        <v>3500000.0</v>
      </c>
      <c r="P25" s="120" t="s">
        <v>26</v>
      </c>
      <c r="Q25" s="153">
        <f>GEOMEAN(E25,F25,G25,H25,I25,J25,K25,L25,M25,N25,Y22,P25)</f>
        <v>23264.07964</v>
      </c>
      <c r="R25" s="17">
        <v>200.0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45" t="s">
        <v>105</v>
      </c>
      <c r="E26" s="35">
        <v>35000.0</v>
      </c>
      <c r="F26" s="150">
        <v>240000.0</v>
      </c>
      <c r="G26" s="38">
        <v>240000.0</v>
      </c>
      <c r="H26" s="24" t="s">
        <v>26</v>
      </c>
      <c r="I26" s="24" t="s">
        <v>26</v>
      </c>
      <c r="J26" s="38" t="s">
        <v>109</v>
      </c>
      <c r="K26" s="24" t="s">
        <v>26</v>
      </c>
      <c r="L26" s="36">
        <v>220000.0</v>
      </c>
      <c r="M26" s="150">
        <v>170000.0</v>
      </c>
      <c r="N26" s="150">
        <v>46000.0</v>
      </c>
      <c r="O26" s="36">
        <v>1300000.0</v>
      </c>
      <c r="P26" s="24" t="s">
        <v>26</v>
      </c>
      <c r="Q26" s="154">
        <f t="shared" ref="Q26:Q27" si="5">GEOMEAN(E26,F26,G26,H26,I26,J26,K26,L26,M26,N26,O26,P26)</f>
        <v>172303.7618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45" t="s">
        <v>106</v>
      </c>
      <c r="E27" s="35">
        <v>54000.0</v>
      </c>
      <c r="F27" s="38" t="s">
        <v>26</v>
      </c>
      <c r="G27" s="24" t="s">
        <v>26</v>
      </c>
      <c r="H27" s="85" t="s">
        <v>26</v>
      </c>
      <c r="I27" s="85" t="s">
        <v>26</v>
      </c>
      <c r="J27" s="148" t="s">
        <v>26</v>
      </c>
      <c r="K27" s="85" t="s">
        <v>26</v>
      </c>
      <c r="L27" s="36">
        <v>540000.0</v>
      </c>
      <c r="M27" s="150">
        <v>24000.0</v>
      </c>
      <c r="N27" s="150">
        <v>70000.0</v>
      </c>
      <c r="O27" s="36">
        <v>2100000.0</v>
      </c>
      <c r="P27" s="85" t="s">
        <v>26</v>
      </c>
      <c r="Q27" s="154">
        <f t="shared" si="5"/>
        <v>159390.7886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110</v>
      </c>
      <c r="C28" s="16">
        <v>1.0</v>
      </c>
      <c r="D28" s="144" t="s">
        <v>104</v>
      </c>
      <c r="E28" s="39">
        <v>0.49</v>
      </c>
      <c r="F28" s="39">
        <v>0.281</v>
      </c>
      <c r="G28" s="18" t="s">
        <v>40</v>
      </c>
      <c r="H28" s="120" t="s">
        <v>26</v>
      </c>
      <c r="I28" s="120" t="s">
        <v>26</v>
      </c>
      <c r="J28" s="39">
        <v>0.213</v>
      </c>
      <c r="K28" s="120" t="s">
        <v>26</v>
      </c>
      <c r="L28" s="39">
        <v>0.351</v>
      </c>
      <c r="M28" s="39">
        <v>0.372</v>
      </c>
      <c r="N28" s="39">
        <v>0.209</v>
      </c>
      <c r="O28" s="39">
        <v>0.399</v>
      </c>
      <c r="P28" s="120" t="s">
        <v>26</v>
      </c>
      <c r="Q28" s="40">
        <f>AVERAGE(E28,F28,0.045,H28,I28,J28,K28,L28,M28,N28,O28,P28)</f>
        <v>0.295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45" t="s">
        <v>105</v>
      </c>
      <c r="E29" s="85">
        <v>0.476</v>
      </c>
      <c r="F29" s="148">
        <v>0.162</v>
      </c>
      <c r="G29" s="146" t="s">
        <v>40</v>
      </c>
      <c r="H29" s="24" t="s">
        <v>26</v>
      </c>
      <c r="I29" s="24" t="s">
        <v>26</v>
      </c>
      <c r="J29" s="148">
        <v>0.173</v>
      </c>
      <c r="K29" s="24" t="s">
        <v>26</v>
      </c>
      <c r="L29" s="41">
        <v>0.548</v>
      </c>
      <c r="M29" s="148" t="s">
        <v>40</v>
      </c>
      <c r="N29" s="148">
        <v>0.255</v>
      </c>
      <c r="O29" s="41">
        <v>0.414</v>
      </c>
      <c r="P29" s="24" t="s">
        <v>26</v>
      </c>
      <c r="Q29" s="42">
        <f>AVERAGE(E29,F29,0.045,H29,I29,J29,K29,L29,0.045,N29,O29,P29)</f>
        <v>0.26475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45" t="s">
        <v>106</v>
      </c>
      <c r="E30" s="85">
        <v>0.301</v>
      </c>
      <c r="F30" s="147" t="s">
        <v>26</v>
      </c>
      <c r="G30" s="147" t="s">
        <v>26</v>
      </c>
      <c r="H30" s="85" t="s">
        <v>26</v>
      </c>
      <c r="I30" s="85" t="s">
        <v>26</v>
      </c>
      <c r="J30" s="85" t="s">
        <v>26</v>
      </c>
      <c r="K30" s="85" t="s">
        <v>26</v>
      </c>
      <c r="L30" s="41">
        <v>0.561</v>
      </c>
      <c r="M30" s="147" t="s">
        <v>40</v>
      </c>
      <c r="N30" s="148">
        <v>0.305</v>
      </c>
      <c r="O30" s="85">
        <v>0.396</v>
      </c>
      <c r="P30" s="85" t="s">
        <v>26</v>
      </c>
      <c r="Q30" s="42">
        <f>AVERAGE(E30,F30,G30,H30,I30,J30,K30,L30,0.045,N30,O30,P30)</f>
        <v>0.3216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111</v>
      </c>
      <c r="C31" s="16">
        <v>1.0</v>
      </c>
      <c r="D31" s="144" t="s">
        <v>104</v>
      </c>
      <c r="E31" s="120">
        <v>0.115</v>
      </c>
      <c r="F31" s="39">
        <v>0.105</v>
      </c>
      <c r="G31" s="39">
        <v>0.14</v>
      </c>
      <c r="H31" s="120" t="s">
        <v>26</v>
      </c>
      <c r="I31" s="120" t="s">
        <v>26</v>
      </c>
      <c r="J31" s="39">
        <v>0.103</v>
      </c>
      <c r="K31" s="120" t="s">
        <v>26</v>
      </c>
      <c r="L31" s="39">
        <v>0.08</v>
      </c>
      <c r="M31" s="39">
        <v>0.128</v>
      </c>
      <c r="N31" s="39">
        <v>0.151</v>
      </c>
      <c r="O31" s="39">
        <v>0.06</v>
      </c>
      <c r="P31" s="120" t="s">
        <v>26</v>
      </c>
      <c r="Q31" s="40">
        <f t="shared" ref="Q31:Q36" si="6">AVERAGE(E31,F31,G31,H31,I31,J31,K31,L31,M31,N31,O31,P31)</f>
        <v>0.11025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45" t="s">
        <v>105</v>
      </c>
      <c r="E32" s="85">
        <v>0.086</v>
      </c>
      <c r="F32" s="148">
        <v>0.106</v>
      </c>
      <c r="G32" s="148">
        <v>0.178</v>
      </c>
      <c r="H32" s="24" t="s">
        <v>26</v>
      </c>
      <c r="I32" s="24" t="s">
        <v>26</v>
      </c>
      <c r="J32" s="148">
        <v>0.13</v>
      </c>
      <c r="K32" s="24" t="s">
        <v>26</v>
      </c>
      <c r="L32" s="41">
        <v>0.096</v>
      </c>
      <c r="M32" s="148">
        <v>0.1</v>
      </c>
      <c r="N32" s="148">
        <v>0.105</v>
      </c>
      <c r="O32" s="41">
        <v>0.065</v>
      </c>
      <c r="P32" s="24" t="s">
        <v>26</v>
      </c>
      <c r="Q32" s="42">
        <f t="shared" si="6"/>
        <v>0.10825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45" t="s">
        <v>106</v>
      </c>
      <c r="E33" s="85">
        <v>0.092</v>
      </c>
      <c r="F33" s="147" t="s">
        <v>26</v>
      </c>
      <c r="G33" s="147" t="s">
        <v>26</v>
      </c>
      <c r="H33" s="85" t="s">
        <v>26</v>
      </c>
      <c r="I33" s="85" t="s">
        <v>26</v>
      </c>
      <c r="J33" s="148" t="s">
        <v>26</v>
      </c>
      <c r="K33" s="85" t="s">
        <v>26</v>
      </c>
      <c r="L33" s="41">
        <v>0.118</v>
      </c>
      <c r="M33" s="147">
        <v>0.134</v>
      </c>
      <c r="N33" s="148">
        <v>0.089</v>
      </c>
      <c r="O33" s="85">
        <v>0.065</v>
      </c>
      <c r="P33" s="85" t="s">
        <v>26</v>
      </c>
      <c r="Q33" s="42">
        <f t="shared" si="6"/>
        <v>0.0996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155"/>
      <c r="B34" s="15" t="s">
        <v>42</v>
      </c>
      <c r="C34" s="156">
        <v>1.0</v>
      </c>
      <c r="D34" s="144" t="s">
        <v>104</v>
      </c>
      <c r="E34" s="120">
        <v>11.0</v>
      </c>
      <c r="F34" s="27">
        <v>6.0</v>
      </c>
      <c r="G34" s="27">
        <v>10.0</v>
      </c>
      <c r="H34" s="120" t="s">
        <v>26</v>
      </c>
      <c r="I34" s="120" t="s">
        <v>26</v>
      </c>
      <c r="J34" s="27">
        <v>6.0</v>
      </c>
      <c r="K34" s="120" t="s">
        <v>26</v>
      </c>
      <c r="L34" s="27">
        <v>8.0</v>
      </c>
      <c r="M34" s="27">
        <v>11.0</v>
      </c>
      <c r="N34" s="32">
        <v>6.0</v>
      </c>
      <c r="O34" s="27">
        <v>17.0</v>
      </c>
      <c r="P34" s="120" t="s">
        <v>26</v>
      </c>
      <c r="Q34" s="33">
        <f t="shared" si="6"/>
        <v>9.375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155"/>
      <c r="B35" s="21"/>
      <c r="C35" s="157">
        <v>2.0</v>
      </c>
      <c r="D35" s="145" t="s">
        <v>105</v>
      </c>
      <c r="E35" s="35">
        <v>1255.0</v>
      </c>
      <c r="F35" s="150">
        <v>1644.0</v>
      </c>
      <c r="G35" s="38">
        <v>1536.0</v>
      </c>
      <c r="H35" s="24" t="s">
        <v>26</v>
      </c>
      <c r="I35" s="24" t="s">
        <v>26</v>
      </c>
      <c r="J35" s="38">
        <v>177.0</v>
      </c>
      <c r="K35" s="24" t="s">
        <v>26</v>
      </c>
      <c r="L35" s="29">
        <v>19.0</v>
      </c>
      <c r="M35" s="150">
        <v>1588.0</v>
      </c>
      <c r="N35" s="150">
        <v>56.0</v>
      </c>
      <c r="O35" s="29">
        <v>19.0</v>
      </c>
      <c r="P35" s="24" t="s">
        <v>26</v>
      </c>
      <c r="Q35" s="37">
        <f t="shared" si="6"/>
        <v>786.75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155"/>
      <c r="B36" s="26"/>
      <c r="C36" s="157">
        <v>3.0</v>
      </c>
      <c r="D36" s="145" t="s">
        <v>106</v>
      </c>
      <c r="E36" s="35">
        <v>1348.0</v>
      </c>
      <c r="F36" s="149" t="s">
        <v>26</v>
      </c>
      <c r="G36" s="147" t="s">
        <v>26</v>
      </c>
      <c r="H36" s="85" t="s">
        <v>26</v>
      </c>
      <c r="I36" s="85" t="s">
        <v>26</v>
      </c>
      <c r="J36" s="148" t="s">
        <v>26</v>
      </c>
      <c r="K36" s="85" t="s">
        <v>26</v>
      </c>
      <c r="L36" s="29">
        <v>621.0</v>
      </c>
      <c r="M36" s="150">
        <v>6236.0</v>
      </c>
      <c r="N36" s="147">
        <v>62.0</v>
      </c>
      <c r="O36" s="36">
        <v>20.0</v>
      </c>
      <c r="P36" s="85" t="s">
        <v>26</v>
      </c>
      <c r="Q36" s="37">
        <f t="shared" si="6"/>
        <v>1657.4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158"/>
      <c r="C37" s="72"/>
      <c r="D37" s="72"/>
      <c r="E37" s="72"/>
      <c r="F37" s="72"/>
      <c r="G37" s="72"/>
      <c r="H37" s="72"/>
      <c r="I37" s="72"/>
      <c r="J37" s="72"/>
      <c r="K37" s="127"/>
      <c r="L37" s="127"/>
      <c r="M37" s="72"/>
      <c r="N37" s="72"/>
      <c r="O37" s="72"/>
      <c r="P37" s="72"/>
      <c r="Q37" s="159">
        <f>GEOMEAN(Q25:Q27)</f>
        <v>86128.71175</v>
      </c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91" t="s">
        <v>43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127"/>
      <c r="L40" s="127"/>
      <c r="M40" s="72"/>
      <c r="N40" s="72"/>
      <c r="O40" s="72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127"/>
      <c r="L41" s="127"/>
      <c r="M41" s="72"/>
      <c r="N41" s="72"/>
      <c r="O41" s="72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127"/>
      <c r="L42" s="127"/>
      <c r="M42" s="72"/>
      <c r="N42" s="72"/>
      <c r="O42" s="72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127"/>
      <c r="L43" s="127"/>
      <c r="M43" s="72"/>
      <c r="N43" s="72"/>
      <c r="O43" s="72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127"/>
      <c r="L44" s="127"/>
      <c r="M44" s="72"/>
      <c r="N44" s="72"/>
      <c r="O44" s="72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127"/>
      <c r="L45" s="127"/>
      <c r="M45" s="72"/>
      <c r="N45" s="72"/>
      <c r="O45" s="72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127"/>
      <c r="L46" s="127"/>
      <c r="M46" s="72"/>
      <c r="N46" s="72"/>
      <c r="O46" s="72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127"/>
      <c r="L47" s="127"/>
      <c r="M47" s="72"/>
      <c r="N47" s="72"/>
      <c r="O47" s="72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127"/>
      <c r="L48" s="127"/>
      <c r="M48" s="72"/>
      <c r="N48" s="72"/>
      <c r="O48" s="72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127"/>
      <c r="L49" s="127"/>
      <c r="M49" s="72"/>
      <c r="N49" s="72"/>
      <c r="O49" s="72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127"/>
      <c r="L50" s="127"/>
      <c r="M50" s="72"/>
      <c r="N50" s="72"/>
      <c r="O50" s="72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127"/>
      <c r="L51" s="127"/>
      <c r="M51" s="72"/>
      <c r="N51" s="72"/>
      <c r="O51" s="72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127"/>
      <c r="L52" s="127"/>
      <c r="M52" s="72"/>
      <c r="N52" s="72"/>
      <c r="O52" s="72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127"/>
      <c r="L53" s="127"/>
      <c r="M53" s="72"/>
      <c r="N53" s="72"/>
      <c r="O53" s="72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127"/>
      <c r="L54" s="127"/>
      <c r="M54" s="72"/>
      <c r="N54" s="72"/>
      <c r="O54" s="72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127"/>
      <c r="L55" s="127"/>
      <c r="M55" s="72"/>
      <c r="N55" s="72"/>
      <c r="O55" s="72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127"/>
      <c r="L56" s="127"/>
      <c r="M56" s="72"/>
      <c r="N56" s="72"/>
      <c r="O56" s="72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127"/>
      <c r="L57" s="127"/>
      <c r="M57" s="72"/>
      <c r="N57" s="72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127"/>
      <c r="L58" s="127"/>
      <c r="M58" s="72"/>
      <c r="N58" s="72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127"/>
      <c r="L59" s="127"/>
      <c r="M59" s="72"/>
      <c r="N59" s="72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127"/>
      <c r="L60" s="127"/>
      <c r="M60" s="72"/>
      <c r="N60" s="72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127"/>
      <c r="L61" s="127"/>
      <c r="M61" s="72"/>
      <c r="N61" s="72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127"/>
      <c r="L62" s="127"/>
      <c r="M62" s="72"/>
      <c r="N62" s="72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127"/>
      <c r="L63" s="127"/>
      <c r="M63" s="72"/>
      <c r="N63" s="72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127"/>
      <c r="L64" s="127"/>
      <c r="M64" s="72"/>
      <c r="N64" s="72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127"/>
      <c r="L65" s="127"/>
      <c r="M65" s="72"/>
      <c r="N65" s="72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127"/>
      <c r="L66" s="127"/>
      <c r="M66" s="72"/>
      <c r="N66" s="72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127"/>
      <c r="L67" s="127"/>
      <c r="M67" s="72"/>
      <c r="N67" s="72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127"/>
      <c r="L68" s="127"/>
      <c r="M68" s="72"/>
      <c r="N68" s="72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127"/>
      <c r="L69" s="127"/>
      <c r="M69" s="72"/>
      <c r="N69" s="72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127"/>
      <c r="L70" s="127"/>
      <c r="M70" s="72"/>
      <c r="N70" s="72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127"/>
      <c r="L71" s="127"/>
      <c r="M71" s="72"/>
      <c r="N71" s="72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127"/>
      <c r="L72" s="127"/>
      <c r="M72" s="72"/>
      <c r="N72" s="72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127"/>
      <c r="L73" s="127"/>
      <c r="M73" s="72"/>
      <c r="N73" s="72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127"/>
      <c r="L74" s="127"/>
      <c r="M74" s="72"/>
      <c r="N74" s="72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127"/>
      <c r="L75" s="127"/>
      <c r="M75" s="72"/>
      <c r="N75" s="72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127"/>
      <c r="L76" s="127"/>
      <c r="M76" s="72"/>
      <c r="N76" s="72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127"/>
      <c r="L77" s="127"/>
      <c r="M77" s="72"/>
      <c r="N77" s="72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127"/>
      <c r="L78" s="127"/>
      <c r="M78" s="72"/>
      <c r="N78" s="72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127"/>
      <c r="L79" s="127"/>
      <c r="M79" s="72"/>
      <c r="N79" s="72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127"/>
      <c r="L80" s="127"/>
      <c r="M80" s="72"/>
      <c r="N80" s="72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127"/>
      <c r="L81" s="127"/>
      <c r="M81" s="72"/>
      <c r="N81" s="72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127"/>
      <c r="L82" s="127"/>
      <c r="M82" s="72"/>
      <c r="N82" s="72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127"/>
      <c r="L83" s="127"/>
      <c r="M83" s="72"/>
      <c r="N83" s="72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127"/>
      <c r="L84" s="127"/>
      <c r="M84" s="72"/>
      <c r="N84" s="72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127"/>
      <c r="L85" s="127"/>
      <c r="M85" s="72"/>
      <c r="N85" s="72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127"/>
      <c r="L86" s="127"/>
      <c r="M86" s="72"/>
      <c r="N86" s="72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127"/>
      <c r="L87" s="127"/>
      <c r="M87" s="72"/>
      <c r="N87" s="72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127"/>
      <c r="L88" s="127"/>
      <c r="M88" s="72"/>
      <c r="N88" s="72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127"/>
      <c r="L89" s="127"/>
      <c r="M89" s="72"/>
      <c r="N89" s="72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127"/>
      <c r="L90" s="127"/>
      <c r="M90" s="72"/>
      <c r="N90" s="72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127"/>
      <c r="L91" s="127"/>
      <c r="M91" s="72"/>
      <c r="N91" s="72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127"/>
      <c r="L92" s="127"/>
      <c r="M92" s="72"/>
      <c r="N92" s="72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127"/>
      <c r="L93" s="127"/>
      <c r="M93" s="72"/>
      <c r="N93" s="72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127"/>
      <c r="L94" s="127"/>
      <c r="M94" s="72"/>
      <c r="N94" s="72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127"/>
      <c r="L95" s="127"/>
      <c r="M95" s="72"/>
      <c r="N95" s="72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127"/>
      <c r="L96" s="127"/>
      <c r="M96" s="72"/>
      <c r="N96" s="72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127"/>
      <c r="L97" s="127"/>
      <c r="M97" s="72"/>
      <c r="N97" s="72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127"/>
      <c r="L98" s="127"/>
      <c r="M98" s="72"/>
      <c r="N98" s="72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127"/>
      <c r="L99" s="127"/>
      <c r="M99" s="72"/>
      <c r="N99" s="72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127"/>
      <c r="L100" s="127"/>
      <c r="M100" s="72"/>
      <c r="N100" s="72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127"/>
      <c r="L101" s="127"/>
      <c r="M101" s="72"/>
      <c r="N101" s="72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127"/>
      <c r="L102" s="127"/>
      <c r="M102" s="72"/>
      <c r="N102" s="72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127"/>
      <c r="L103" s="127"/>
      <c r="M103" s="72"/>
      <c r="N103" s="72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127"/>
      <c r="L104" s="127"/>
      <c r="M104" s="72"/>
      <c r="N104" s="72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127"/>
      <c r="L105" s="127"/>
      <c r="M105" s="72"/>
      <c r="N105" s="72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127"/>
      <c r="L106" s="127"/>
      <c r="M106" s="72"/>
      <c r="N106" s="72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127"/>
      <c r="L107" s="127"/>
      <c r="M107" s="72"/>
      <c r="N107" s="72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127"/>
      <c r="L108" s="127"/>
      <c r="M108" s="72"/>
      <c r="N108" s="72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127"/>
      <c r="L109" s="127"/>
      <c r="M109" s="72"/>
      <c r="N109" s="72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127"/>
      <c r="L110" s="127"/>
      <c r="M110" s="72"/>
      <c r="N110" s="72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127"/>
      <c r="L111" s="127"/>
      <c r="M111" s="72"/>
      <c r="N111" s="72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127"/>
      <c r="L112" s="127"/>
      <c r="M112" s="72"/>
      <c r="N112" s="72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127"/>
      <c r="L113" s="127"/>
      <c r="M113" s="72"/>
      <c r="N113" s="72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127"/>
      <c r="L114" s="127"/>
      <c r="M114" s="72"/>
      <c r="N114" s="72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127"/>
      <c r="L115" s="127"/>
      <c r="M115" s="72"/>
      <c r="N115" s="72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127"/>
      <c r="L116" s="127"/>
      <c r="M116" s="72"/>
      <c r="N116" s="72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127"/>
      <c r="L117" s="127"/>
      <c r="M117" s="72"/>
      <c r="N117" s="72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127"/>
      <c r="L118" s="127"/>
      <c r="M118" s="72"/>
      <c r="N118" s="72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127"/>
      <c r="L119" s="127"/>
      <c r="M119" s="72"/>
      <c r="N119" s="72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127"/>
      <c r="L120" s="127"/>
      <c r="M120" s="72"/>
      <c r="N120" s="72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127"/>
      <c r="L121" s="127"/>
      <c r="M121" s="72"/>
      <c r="N121" s="72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127"/>
      <c r="L122" s="127"/>
      <c r="M122" s="72"/>
      <c r="N122" s="72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127"/>
      <c r="L123" s="127"/>
      <c r="M123" s="72"/>
      <c r="N123" s="72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127"/>
      <c r="L124" s="127"/>
      <c r="M124" s="72"/>
      <c r="N124" s="72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127"/>
      <c r="L125" s="127"/>
      <c r="M125" s="72"/>
      <c r="N125" s="72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127"/>
      <c r="L126" s="127"/>
      <c r="M126" s="72"/>
      <c r="N126" s="72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127"/>
      <c r="L127" s="127"/>
      <c r="M127" s="72"/>
      <c r="N127" s="72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127"/>
      <c r="L128" s="127"/>
      <c r="M128" s="72"/>
      <c r="N128" s="72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127"/>
      <c r="L129" s="127"/>
      <c r="M129" s="72"/>
      <c r="N129" s="72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127"/>
      <c r="L130" s="127"/>
      <c r="M130" s="72"/>
      <c r="N130" s="72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127"/>
      <c r="L131" s="127"/>
      <c r="M131" s="72"/>
      <c r="N131" s="72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127"/>
      <c r="L132" s="127"/>
      <c r="M132" s="72"/>
      <c r="N132" s="72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127"/>
      <c r="L133" s="127"/>
      <c r="M133" s="72"/>
      <c r="N133" s="72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127"/>
      <c r="L134" s="127"/>
      <c r="M134" s="72"/>
      <c r="N134" s="72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127"/>
      <c r="L135" s="127"/>
      <c r="M135" s="72"/>
      <c r="N135" s="72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127"/>
      <c r="L136" s="127"/>
      <c r="M136" s="72"/>
      <c r="N136" s="72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127"/>
      <c r="L137" s="127"/>
      <c r="M137" s="72"/>
      <c r="N137" s="72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127"/>
      <c r="L138" s="127"/>
      <c r="M138" s="72"/>
      <c r="N138" s="72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127"/>
      <c r="L139" s="127"/>
      <c r="M139" s="72"/>
      <c r="N139" s="72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127"/>
      <c r="L140" s="127"/>
      <c r="M140" s="72"/>
      <c r="N140" s="72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127"/>
      <c r="L141" s="127"/>
      <c r="M141" s="72"/>
      <c r="N141" s="72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127"/>
      <c r="L142" s="127"/>
      <c r="M142" s="72"/>
      <c r="N142" s="72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127"/>
      <c r="L143" s="127"/>
      <c r="M143" s="72"/>
      <c r="N143" s="72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127"/>
      <c r="L144" s="127"/>
      <c r="M144" s="72"/>
      <c r="N144" s="72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127"/>
      <c r="L145" s="127"/>
      <c r="M145" s="72"/>
      <c r="N145" s="72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127"/>
      <c r="L146" s="127"/>
      <c r="M146" s="72"/>
      <c r="N146" s="72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127"/>
      <c r="L147" s="127"/>
      <c r="M147" s="72"/>
      <c r="N147" s="72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127"/>
      <c r="L148" s="127"/>
      <c r="M148" s="72"/>
      <c r="N148" s="72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127"/>
      <c r="L149" s="127"/>
      <c r="M149" s="72"/>
      <c r="N149" s="72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127"/>
      <c r="L150" s="127"/>
      <c r="M150" s="72"/>
      <c r="N150" s="72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127"/>
      <c r="L151" s="127"/>
      <c r="M151" s="72"/>
      <c r="N151" s="72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127"/>
      <c r="L152" s="127"/>
      <c r="M152" s="72"/>
      <c r="N152" s="72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127"/>
      <c r="L153" s="127"/>
      <c r="M153" s="72"/>
      <c r="N153" s="72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127"/>
      <c r="L154" s="127"/>
      <c r="M154" s="72"/>
      <c r="N154" s="72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127"/>
      <c r="L155" s="127"/>
      <c r="M155" s="72"/>
      <c r="N155" s="72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127"/>
      <c r="L156" s="127"/>
      <c r="M156" s="72"/>
      <c r="N156" s="72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127"/>
      <c r="L157" s="127"/>
      <c r="M157" s="72"/>
      <c r="N157" s="72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127"/>
      <c r="L158" s="127"/>
      <c r="M158" s="72"/>
      <c r="N158" s="72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127"/>
      <c r="L159" s="127"/>
      <c r="M159" s="72"/>
      <c r="N159" s="72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127"/>
      <c r="L160" s="127"/>
      <c r="M160" s="72"/>
      <c r="N160" s="72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127"/>
      <c r="L161" s="127"/>
      <c r="M161" s="72"/>
      <c r="N161" s="72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127"/>
      <c r="L162" s="127"/>
      <c r="M162" s="72"/>
      <c r="N162" s="72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127"/>
      <c r="L163" s="127"/>
      <c r="M163" s="72"/>
      <c r="N163" s="72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127"/>
      <c r="L164" s="127"/>
      <c r="M164" s="72"/>
      <c r="N164" s="72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127"/>
      <c r="L165" s="127"/>
      <c r="M165" s="72"/>
      <c r="N165" s="72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127"/>
      <c r="L166" s="127"/>
      <c r="M166" s="72"/>
      <c r="N166" s="72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127"/>
      <c r="L167" s="127"/>
      <c r="M167" s="72"/>
      <c r="N167" s="72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127"/>
      <c r="L168" s="127"/>
      <c r="M168" s="72"/>
      <c r="N168" s="72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127"/>
      <c r="L169" s="127"/>
      <c r="M169" s="72"/>
      <c r="N169" s="72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127"/>
      <c r="L170" s="127"/>
      <c r="M170" s="72"/>
      <c r="N170" s="72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127"/>
      <c r="L171" s="127"/>
      <c r="M171" s="72"/>
      <c r="N171" s="72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127"/>
      <c r="L172" s="127"/>
      <c r="M172" s="72"/>
      <c r="N172" s="72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127"/>
      <c r="L173" s="127"/>
      <c r="M173" s="72"/>
      <c r="N173" s="72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127"/>
      <c r="L174" s="127"/>
      <c r="M174" s="72"/>
      <c r="N174" s="72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127"/>
      <c r="L175" s="127"/>
      <c r="M175" s="72"/>
      <c r="N175" s="72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127"/>
      <c r="L176" s="127"/>
      <c r="M176" s="72"/>
      <c r="N176" s="72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127"/>
      <c r="L177" s="127"/>
      <c r="M177" s="72"/>
      <c r="N177" s="72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127"/>
      <c r="L178" s="127"/>
      <c r="M178" s="72"/>
      <c r="N178" s="72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127"/>
      <c r="L179" s="127"/>
      <c r="M179" s="72"/>
      <c r="N179" s="72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127"/>
      <c r="L180" s="127"/>
      <c r="M180" s="72"/>
      <c r="N180" s="72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127"/>
      <c r="L181" s="127"/>
      <c r="M181" s="72"/>
      <c r="N181" s="72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127"/>
      <c r="L182" s="127"/>
      <c r="M182" s="72"/>
      <c r="N182" s="72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127"/>
      <c r="L183" s="127"/>
      <c r="M183" s="72"/>
      <c r="N183" s="72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127"/>
      <c r="L184" s="127"/>
      <c r="M184" s="72"/>
      <c r="N184" s="72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127"/>
      <c r="L185" s="127"/>
      <c r="M185" s="72"/>
      <c r="N185" s="72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127"/>
      <c r="L186" s="127"/>
      <c r="M186" s="72"/>
      <c r="N186" s="72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127"/>
      <c r="L187" s="127"/>
      <c r="M187" s="72"/>
      <c r="N187" s="72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127"/>
      <c r="L188" s="127"/>
      <c r="M188" s="72"/>
      <c r="N188" s="72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127"/>
      <c r="L189" s="127"/>
      <c r="M189" s="72"/>
      <c r="N189" s="72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127"/>
      <c r="L190" s="127"/>
      <c r="M190" s="72"/>
      <c r="N190" s="72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127"/>
      <c r="L191" s="127"/>
      <c r="M191" s="72"/>
      <c r="N191" s="72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127"/>
      <c r="L192" s="127"/>
      <c r="M192" s="72"/>
      <c r="N192" s="72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127"/>
      <c r="L193" s="127"/>
      <c r="M193" s="72"/>
      <c r="N193" s="72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127"/>
      <c r="L194" s="127"/>
      <c r="M194" s="72"/>
      <c r="N194" s="72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127"/>
      <c r="L195" s="127"/>
      <c r="M195" s="72"/>
      <c r="N195" s="72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127"/>
      <c r="L196" s="127"/>
      <c r="M196" s="72"/>
      <c r="N196" s="72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127"/>
      <c r="L197" s="127"/>
      <c r="M197" s="72"/>
      <c r="N197" s="72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127"/>
      <c r="L198" s="127"/>
      <c r="M198" s="72"/>
      <c r="N198" s="72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127"/>
      <c r="L199" s="127"/>
      <c r="M199" s="72"/>
      <c r="N199" s="72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127"/>
      <c r="L200" s="127"/>
      <c r="M200" s="72"/>
      <c r="N200" s="72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127"/>
      <c r="L201" s="127"/>
      <c r="M201" s="72"/>
      <c r="N201" s="72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127"/>
      <c r="L202" s="127"/>
      <c r="M202" s="72"/>
      <c r="N202" s="72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127"/>
      <c r="L203" s="127"/>
      <c r="M203" s="72"/>
      <c r="N203" s="72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127"/>
      <c r="L204" s="127"/>
      <c r="M204" s="72"/>
      <c r="N204" s="72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127"/>
      <c r="L205" s="127"/>
      <c r="M205" s="72"/>
      <c r="N205" s="72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127"/>
      <c r="L206" s="127"/>
      <c r="M206" s="72"/>
      <c r="N206" s="72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127"/>
      <c r="L207" s="127"/>
      <c r="M207" s="72"/>
      <c r="N207" s="72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127"/>
      <c r="L208" s="127"/>
      <c r="M208" s="72"/>
      <c r="N208" s="72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127"/>
      <c r="L209" s="127"/>
      <c r="M209" s="72"/>
      <c r="N209" s="72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127"/>
      <c r="L210" s="127"/>
      <c r="M210" s="72"/>
      <c r="N210" s="72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127"/>
      <c r="L211" s="127"/>
      <c r="M211" s="72"/>
      <c r="N211" s="72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127"/>
      <c r="L212" s="127"/>
      <c r="M212" s="72"/>
      <c r="N212" s="72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127"/>
      <c r="L213" s="127"/>
      <c r="M213" s="72"/>
      <c r="N213" s="72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127"/>
      <c r="L214" s="127"/>
      <c r="M214" s="72"/>
      <c r="N214" s="72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127"/>
      <c r="L215" s="127"/>
      <c r="M215" s="72"/>
      <c r="N215" s="72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127"/>
      <c r="L216" s="127"/>
      <c r="M216" s="72"/>
      <c r="N216" s="72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127"/>
      <c r="L217" s="127"/>
      <c r="M217" s="72"/>
      <c r="N217" s="72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127"/>
      <c r="L218" s="127"/>
      <c r="M218" s="72"/>
      <c r="N218" s="72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127"/>
      <c r="L219" s="127"/>
      <c r="M219" s="72"/>
      <c r="N219" s="72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127"/>
      <c r="L220" s="127"/>
      <c r="M220" s="72"/>
      <c r="N220" s="72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127"/>
      <c r="L221" s="127"/>
      <c r="M221" s="72"/>
      <c r="N221" s="72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127"/>
      <c r="L222" s="127"/>
      <c r="M222" s="72"/>
      <c r="N222" s="72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127"/>
      <c r="L223" s="127"/>
      <c r="M223" s="72"/>
      <c r="N223" s="72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127"/>
      <c r="L224" s="127"/>
      <c r="M224" s="72"/>
      <c r="N224" s="72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127"/>
      <c r="L225" s="127"/>
      <c r="M225" s="72"/>
      <c r="N225" s="72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127"/>
      <c r="L226" s="127"/>
      <c r="M226" s="72"/>
      <c r="N226" s="72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127"/>
      <c r="L227" s="127"/>
      <c r="M227" s="72"/>
      <c r="N227" s="72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127"/>
      <c r="L228" s="127"/>
      <c r="M228" s="72"/>
      <c r="N228" s="72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127"/>
      <c r="L229" s="127"/>
      <c r="M229" s="72"/>
      <c r="N229" s="72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127"/>
      <c r="L230" s="127"/>
      <c r="M230" s="72"/>
      <c r="N230" s="72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127"/>
      <c r="L231" s="127"/>
      <c r="M231" s="72"/>
      <c r="N231" s="72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127"/>
      <c r="L232" s="127"/>
      <c r="M232" s="72"/>
      <c r="N232" s="72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127"/>
      <c r="L233" s="127"/>
      <c r="M233" s="72"/>
      <c r="N233" s="72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127"/>
      <c r="L234" s="127"/>
      <c r="M234" s="72"/>
      <c r="N234" s="72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127"/>
      <c r="L235" s="127"/>
      <c r="M235" s="72"/>
      <c r="N235" s="72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127"/>
      <c r="L236" s="127"/>
      <c r="M236" s="72"/>
      <c r="N236" s="72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127"/>
      <c r="L237" s="127"/>
      <c r="M237" s="72"/>
      <c r="N237" s="72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127"/>
      <c r="L238" s="127"/>
      <c r="M238" s="72"/>
      <c r="N238" s="72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127"/>
      <c r="L239" s="127"/>
      <c r="M239" s="72"/>
      <c r="N239" s="72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127"/>
      <c r="L240" s="127"/>
      <c r="M240" s="72"/>
      <c r="N240" s="72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127"/>
      <c r="L241" s="127"/>
      <c r="M241" s="72"/>
      <c r="N241" s="72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127"/>
      <c r="L242" s="127"/>
      <c r="M242" s="72"/>
      <c r="N242" s="72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127"/>
      <c r="L243" s="127"/>
      <c r="M243" s="72"/>
      <c r="N243" s="72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127"/>
      <c r="L244" s="127"/>
      <c r="M244" s="72"/>
      <c r="N244" s="72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127"/>
      <c r="L245" s="127"/>
      <c r="M245" s="72"/>
      <c r="N245" s="72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127"/>
      <c r="L246" s="127"/>
      <c r="M246" s="72"/>
      <c r="N246" s="72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127"/>
      <c r="L247" s="127"/>
      <c r="M247" s="72"/>
      <c r="N247" s="72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127"/>
      <c r="L248" s="127"/>
      <c r="M248" s="72"/>
      <c r="N248" s="72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127"/>
      <c r="L249" s="127"/>
      <c r="M249" s="72"/>
      <c r="N249" s="72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127"/>
      <c r="L250" s="127"/>
      <c r="M250" s="72"/>
      <c r="N250" s="72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127"/>
      <c r="L251" s="127"/>
      <c r="M251" s="72"/>
      <c r="N251" s="72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127"/>
      <c r="L252" s="127"/>
      <c r="M252" s="72"/>
      <c r="N252" s="72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127"/>
      <c r="L253" s="127"/>
      <c r="M253" s="72"/>
      <c r="N253" s="72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127"/>
      <c r="L254" s="127"/>
      <c r="M254" s="72"/>
      <c r="N254" s="72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127"/>
      <c r="L255" s="127"/>
      <c r="M255" s="72"/>
      <c r="N255" s="72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127"/>
      <c r="L256" s="127"/>
      <c r="M256" s="72"/>
      <c r="N256" s="72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127"/>
      <c r="L257" s="127"/>
      <c r="M257" s="72"/>
      <c r="N257" s="72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127"/>
      <c r="L258" s="127"/>
      <c r="M258" s="72"/>
      <c r="N258" s="72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127"/>
      <c r="L259" s="127"/>
      <c r="M259" s="72"/>
      <c r="N259" s="72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127"/>
      <c r="L260" s="127"/>
      <c r="M260" s="72"/>
      <c r="N260" s="72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127"/>
      <c r="L261" s="127"/>
      <c r="M261" s="72"/>
      <c r="N261" s="72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127"/>
      <c r="L262" s="127"/>
      <c r="M262" s="72"/>
      <c r="N262" s="72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127"/>
      <c r="L263" s="127"/>
      <c r="M263" s="72"/>
      <c r="N263" s="72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127"/>
      <c r="L264" s="127"/>
      <c r="M264" s="72"/>
      <c r="N264" s="72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127"/>
      <c r="L265" s="127"/>
      <c r="M265" s="72"/>
      <c r="N265" s="72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127"/>
      <c r="L266" s="127"/>
      <c r="M266" s="72"/>
      <c r="N266" s="72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127"/>
      <c r="L267" s="127"/>
      <c r="M267" s="72"/>
      <c r="N267" s="72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127"/>
      <c r="L268" s="127"/>
      <c r="M268" s="72"/>
      <c r="N268" s="72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127"/>
      <c r="L269" s="127"/>
      <c r="M269" s="72"/>
      <c r="N269" s="72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127"/>
      <c r="L270" s="127"/>
      <c r="M270" s="72"/>
      <c r="N270" s="72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127"/>
      <c r="L271" s="127"/>
      <c r="M271" s="72"/>
      <c r="N271" s="72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127"/>
      <c r="L272" s="127"/>
      <c r="M272" s="72"/>
      <c r="N272" s="72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127"/>
      <c r="L273" s="127"/>
      <c r="M273" s="72"/>
      <c r="N273" s="72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127"/>
      <c r="L274" s="127"/>
      <c r="M274" s="72"/>
      <c r="N274" s="72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127"/>
      <c r="L275" s="127"/>
      <c r="M275" s="72"/>
      <c r="N275" s="72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127"/>
      <c r="L276" s="127"/>
      <c r="M276" s="72"/>
      <c r="N276" s="72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127"/>
      <c r="L277" s="127"/>
      <c r="M277" s="72"/>
      <c r="N277" s="72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127"/>
      <c r="L278" s="127"/>
      <c r="M278" s="72"/>
      <c r="N278" s="72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127"/>
      <c r="L279" s="127"/>
      <c r="M279" s="72"/>
      <c r="N279" s="72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127"/>
      <c r="L280" s="127"/>
      <c r="M280" s="72"/>
      <c r="N280" s="72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127"/>
      <c r="L281" s="127"/>
      <c r="M281" s="72"/>
      <c r="N281" s="72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127"/>
      <c r="L282" s="127"/>
      <c r="M282" s="72"/>
      <c r="N282" s="72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127"/>
      <c r="L283" s="127"/>
      <c r="M283" s="72"/>
      <c r="N283" s="72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127"/>
      <c r="L284" s="127"/>
      <c r="M284" s="72"/>
      <c r="N284" s="72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127"/>
      <c r="L285" s="127"/>
      <c r="M285" s="72"/>
      <c r="N285" s="72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127"/>
      <c r="L286" s="127"/>
      <c r="M286" s="72"/>
      <c r="N286" s="72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127"/>
      <c r="L287" s="127"/>
      <c r="M287" s="72"/>
      <c r="N287" s="72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127"/>
      <c r="L288" s="127"/>
      <c r="M288" s="72"/>
      <c r="N288" s="72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127"/>
      <c r="L289" s="127"/>
      <c r="M289" s="72"/>
      <c r="N289" s="72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127"/>
      <c r="L290" s="127"/>
      <c r="M290" s="72"/>
      <c r="N290" s="72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127"/>
      <c r="L291" s="127"/>
      <c r="M291" s="72"/>
      <c r="N291" s="72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127"/>
      <c r="L292" s="127"/>
      <c r="M292" s="72"/>
      <c r="N292" s="72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127"/>
      <c r="L293" s="127"/>
      <c r="M293" s="72"/>
      <c r="N293" s="72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127"/>
      <c r="L294" s="127"/>
      <c r="M294" s="72"/>
      <c r="N294" s="72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127"/>
      <c r="L295" s="127"/>
      <c r="M295" s="72"/>
      <c r="N295" s="72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127"/>
      <c r="L296" s="127"/>
      <c r="M296" s="72"/>
      <c r="N296" s="72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127"/>
      <c r="L297" s="127"/>
      <c r="M297" s="72"/>
      <c r="N297" s="72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127"/>
      <c r="L298" s="127"/>
      <c r="M298" s="72"/>
      <c r="N298" s="72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127"/>
      <c r="L299" s="127"/>
      <c r="M299" s="72"/>
      <c r="N299" s="72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127"/>
      <c r="L300" s="127"/>
      <c r="M300" s="72"/>
      <c r="N300" s="72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127"/>
      <c r="L301" s="127"/>
      <c r="M301" s="72"/>
      <c r="N301" s="72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127"/>
      <c r="L302" s="127"/>
      <c r="M302" s="72"/>
      <c r="N302" s="72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127"/>
      <c r="L303" s="127"/>
      <c r="M303" s="72"/>
      <c r="N303" s="72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127"/>
      <c r="L304" s="127"/>
      <c r="M304" s="72"/>
      <c r="N304" s="72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127"/>
      <c r="L305" s="127"/>
      <c r="M305" s="72"/>
      <c r="N305" s="72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127"/>
      <c r="L306" s="127"/>
      <c r="M306" s="72"/>
      <c r="N306" s="72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127"/>
      <c r="L307" s="127"/>
      <c r="M307" s="72"/>
      <c r="N307" s="72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127"/>
      <c r="L308" s="127"/>
      <c r="M308" s="72"/>
      <c r="N308" s="72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127"/>
      <c r="L309" s="127"/>
      <c r="M309" s="72"/>
      <c r="N309" s="72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127"/>
      <c r="L310" s="127"/>
      <c r="M310" s="72"/>
      <c r="N310" s="72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127"/>
      <c r="L311" s="127"/>
      <c r="M311" s="72"/>
      <c r="N311" s="72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127"/>
      <c r="L312" s="127"/>
      <c r="M312" s="72"/>
      <c r="N312" s="72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127"/>
      <c r="L313" s="127"/>
      <c r="M313" s="72"/>
      <c r="N313" s="72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127"/>
      <c r="L314" s="127"/>
      <c r="M314" s="72"/>
      <c r="N314" s="72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127"/>
      <c r="L315" s="127"/>
      <c r="M315" s="72"/>
      <c r="N315" s="72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127"/>
      <c r="L316" s="127"/>
      <c r="M316" s="72"/>
      <c r="N316" s="72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127"/>
      <c r="L317" s="127"/>
      <c r="M317" s="72"/>
      <c r="N317" s="72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127"/>
      <c r="L318" s="127"/>
      <c r="M318" s="72"/>
      <c r="N318" s="72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127"/>
      <c r="L319" s="127"/>
      <c r="M319" s="72"/>
      <c r="N319" s="72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127"/>
      <c r="L320" s="127"/>
      <c r="M320" s="72"/>
      <c r="N320" s="72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127"/>
      <c r="L321" s="127"/>
      <c r="M321" s="72"/>
      <c r="N321" s="72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127"/>
      <c r="L322" s="127"/>
      <c r="M322" s="72"/>
      <c r="N322" s="72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127"/>
      <c r="L323" s="127"/>
      <c r="M323" s="72"/>
      <c r="N323" s="72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127"/>
      <c r="L324" s="127"/>
      <c r="M324" s="72"/>
      <c r="N324" s="72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127"/>
      <c r="L325" s="127"/>
      <c r="M325" s="72"/>
      <c r="N325" s="72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127"/>
      <c r="L326" s="127"/>
      <c r="M326" s="72"/>
      <c r="N326" s="72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127"/>
      <c r="L327" s="127"/>
      <c r="M327" s="72"/>
      <c r="N327" s="72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127"/>
      <c r="L328" s="127"/>
      <c r="M328" s="72"/>
      <c r="N328" s="72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127"/>
      <c r="L329" s="127"/>
      <c r="M329" s="72"/>
      <c r="N329" s="72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127"/>
      <c r="L330" s="127"/>
      <c r="M330" s="72"/>
      <c r="N330" s="72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127"/>
      <c r="L331" s="127"/>
      <c r="M331" s="72"/>
      <c r="N331" s="72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127"/>
      <c r="L332" s="127"/>
      <c r="M332" s="72"/>
      <c r="N332" s="72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127"/>
      <c r="L333" s="127"/>
      <c r="M333" s="72"/>
      <c r="N333" s="72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127"/>
      <c r="L334" s="127"/>
      <c r="M334" s="72"/>
      <c r="N334" s="72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127"/>
      <c r="L335" s="127"/>
      <c r="M335" s="72"/>
      <c r="N335" s="72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127"/>
      <c r="L336" s="127"/>
      <c r="M336" s="72"/>
      <c r="N336" s="72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127"/>
      <c r="L337" s="127"/>
      <c r="M337" s="72"/>
      <c r="N337" s="72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127"/>
      <c r="L338" s="127"/>
      <c r="M338" s="72"/>
      <c r="N338" s="72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127"/>
      <c r="L339" s="127"/>
      <c r="M339" s="72"/>
      <c r="N339" s="72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127"/>
      <c r="L340" s="127"/>
      <c r="M340" s="72"/>
      <c r="N340" s="72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127"/>
      <c r="L341" s="127"/>
      <c r="M341" s="72"/>
      <c r="N341" s="72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127"/>
      <c r="L342" s="127"/>
      <c r="M342" s="72"/>
      <c r="N342" s="72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127"/>
      <c r="L343" s="127"/>
      <c r="M343" s="72"/>
      <c r="N343" s="72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127"/>
      <c r="L344" s="127"/>
      <c r="M344" s="72"/>
      <c r="N344" s="72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127"/>
      <c r="L345" s="127"/>
      <c r="M345" s="72"/>
      <c r="N345" s="72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127"/>
      <c r="L346" s="127"/>
      <c r="M346" s="72"/>
      <c r="N346" s="72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127"/>
      <c r="L347" s="127"/>
      <c r="M347" s="72"/>
      <c r="N347" s="72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127"/>
      <c r="L348" s="127"/>
      <c r="M348" s="72"/>
      <c r="N348" s="72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127"/>
      <c r="L349" s="127"/>
      <c r="M349" s="72"/>
      <c r="N349" s="72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127"/>
      <c r="L350" s="127"/>
      <c r="M350" s="72"/>
      <c r="N350" s="72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127"/>
      <c r="L351" s="127"/>
      <c r="M351" s="72"/>
      <c r="N351" s="72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127"/>
      <c r="L352" s="127"/>
      <c r="M352" s="72"/>
      <c r="N352" s="72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127"/>
      <c r="L353" s="127"/>
      <c r="M353" s="72"/>
      <c r="N353" s="72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127"/>
      <c r="L354" s="127"/>
      <c r="M354" s="72"/>
      <c r="N354" s="72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127"/>
      <c r="L355" s="127"/>
      <c r="M355" s="72"/>
      <c r="N355" s="72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127"/>
      <c r="L356" s="127"/>
      <c r="M356" s="72"/>
      <c r="N356" s="72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127"/>
      <c r="L357" s="127"/>
      <c r="M357" s="72"/>
      <c r="N357" s="72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127"/>
      <c r="L358" s="127"/>
      <c r="M358" s="72"/>
      <c r="N358" s="72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127"/>
      <c r="L359" s="127"/>
      <c r="M359" s="72"/>
      <c r="N359" s="72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127"/>
      <c r="L360" s="127"/>
      <c r="M360" s="72"/>
      <c r="N360" s="72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127"/>
      <c r="L361" s="127"/>
      <c r="M361" s="72"/>
      <c r="N361" s="72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127"/>
      <c r="L362" s="127"/>
      <c r="M362" s="72"/>
      <c r="N362" s="72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127"/>
      <c r="L363" s="127"/>
      <c r="M363" s="72"/>
      <c r="N363" s="72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127"/>
      <c r="L364" s="127"/>
      <c r="M364" s="72"/>
      <c r="N364" s="72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127"/>
      <c r="L365" s="127"/>
      <c r="M365" s="72"/>
      <c r="N365" s="72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127"/>
      <c r="L366" s="127"/>
      <c r="M366" s="72"/>
      <c r="N366" s="72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127"/>
      <c r="L367" s="127"/>
      <c r="M367" s="72"/>
      <c r="N367" s="72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127"/>
      <c r="L368" s="127"/>
      <c r="M368" s="72"/>
      <c r="N368" s="72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127"/>
      <c r="L369" s="127"/>
      <c r="M369" s="72"/>
      <c r="N369" s="72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127"/>
      <c r="L370" s="127"/>
      <c r="M370" s="72"/>
      <c r="N370" s="72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127"/>
      <c r="L371" s="127"/>
      <c r="M371" s="72"/>
      <c r="N371" s="72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127"/>
      <c r="L372" s="127"/>
      <c r="M372" s="72"/>
      <c r="N372" s="72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127"/>
      <c r="L373" s="127"/>
      <c r="M373" s="72"/>
      <c r="N373" s="72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127"/>
      <c r="L374" s="127"/>
      <c r="M374" s="72"/>
      <c r="N374" s="72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127"/>
      <c r="L375" s="127"/>
      <c r="M375" s="72"/>
      <c r="N375" s="72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127"/>
      <c r="L376" s="127"/>
      <c r="M376" s="72"/>
      <c r="N376" s="72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127"/>
      <c r="L377" s="127"/>
      <c r="M377" s="72"/>
      <c r="N377" s="72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127"/>
      <c r="L378" s="127"/>
      <c r="M378" s="72"/>
      <c r="N378" s="72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127"/>
      <c r="L379" s="127"/>
      <c r="M379" s="72"/>
      <c r="N379" s="72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127"/>
      <c r="L380" s="127"/>
      <c r="M380" s="72"/>
      <c r="N380" s="72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127"/>
      <c r="L381" s="127"/>
      <c r="M381" s="72"/>
      <c r="N381" s="72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127"/>
      <c r="L382" s="127"/>
      <c r="M382" s="72"/>
      <c r="N382" s="72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127"/>
      <c r="L383" s="127"/>
      <c r="M383" s="72"/>
      <c r="N383" s="72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127"/>
      <c r="L384" s="127"/>
      <c r="M384" s="72"/>
      <c r="N384" s="72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127"/>
      <c r="L385" s="127"/>
      <c r="M385" s="72"/>
      <c r="N385" s="72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127"/>
      <c r="L386" s="127"/>
      <c r="M386" s="72"/>
      <c r="N386" s="72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127"/>
      <c r="L387" s="127"/>
      <c r="M387" s="72"/>
      <c r="N387" s="72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127"/>
      <c r="L388" s="127"/>
      <c r="M388" s="72"/>
      <c r="N388" s="72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127"/>
      <c r="L389" s="127"/>
      <c r="M389" s="72"/>
      <c r="N389" s="72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127"/>
      <c r="L390" s="127"/>
      <c r="M390" s="72"/>
      <c r="N390" s="72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127"/>
      <c r="L391" s="127"/>
      <c r="M391" s="72"/>
      <c r="N391" s="72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127"/>
      <c r="L392" s="127"/>
      <c r="M392" s="72"/>
      <c r="N392" s="72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127"/>
      <c r="L393" s="127"/>
      <c r="M393" s="72"/>
      <c r="N393" s="72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127"/>
      <c r="L394" s="127"/>
      <c r="M394" s="72"/>
      <c r="N394" s="72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127"/>
      <c r="L395" s="127"/>
      <c r="M395" s="72"/>
      <c r="N395" s="72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127"/>
      <c r="L396" s="127"/>
      <c r="M396" s="72"/>
      <c r="N396" s="72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127"/>
      <c r="L397" s="127"/>
      <c r="M397" s="72"/>
      <c r="N397" s="72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127"/>
      <c r="L398" s="127"/>
      <c r="M398" s="72"/>
      <c r="N398" s="72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127"/>
      <c r="L399" s="127"/>
      <c r="M399" s="72"/>
      <c r="N399" s="72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127"/>
      <c r="L400" s="127"/>
      <c r="M400" s="72"/>
      <c r="N400" s="72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127"/>
      <c r="L401" s="127"/>
      <c r="M401" s="72"/>
      <c r="N401" s="72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127"/>
      <c r="L402" s="127"/>
      <c r="M402" s="72"/>
      <c r="N402" s="72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127"/>
      <c r="L403" s="127"/>
      <c r="M403" s="72"/>
      <c r="N403" s="72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127"/>
      <c r="L404" s="127"/>
      <c r="M404" s="72"/>
      <c r="N404" s="72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127"/>
      <c r="L405" s="127"/>
      <c r="M405" s="72"/>
      <c r="N405" s="72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127"/>
      <c r="L406" s="127"/>
      <c r="M406" s="72"/>
      <c r="N406" s="72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127"/>
      <c r="L407" s="127"/>
      <c r="M407" s="72"/>
      <c r="N407" s="72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127"/>
      <c r="L408" s="127"/>
      <c r="M408" s="72"/>
      <c r="N408" s="72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127"/>
      <c r="L409" s="127"/>
      <c r="M409" s="72"/>
      <c r="N409" s="72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127"/>
      <c r="L410" s="127"/>
      <c r="M410" s="72"/>
      <c r="N410" s="72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127"/>
      <c r="L411" s="127"/>
      <c r="M411" s="72"/>
      <c r="N411" s="72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127"/>
      <c r="L412" s="127"/>
      <c r="M412" s="72"/>
      <c r="N412" s="72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127"/>
      <c r="L413" s="127"/>
      <c r="M413" s="72"/>
      <c r="N413" s="72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127"/>
      <c r="L414" s="127"/>
      <c r="M414" s="72"/>
      <c r="N414" s="72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127"/>
      <c r="L415" s="127"/>
      <c r="M415" s="72"/>
      <c r="N415" s="72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127"/>
      <c r="L416" s="127"/>
      <c r="M416" s="72"/>
      <c r="N416" s="72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127"/>
      <c r="L417" s="127"/>
      <c r="M417" s="72"/>
      <c r="N417" s="72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127"/>
      <c r="L418" s="127"/>
      <c r="M418" s="72"/>
      <c r="N418" s="72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127"/>
      <c r="L419" s="127"/>
      <c r="M419" s="72"/>
      <c r="N419" s="72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127"/>
      <c r="L420" s="127"/>
      <c r="M420" s="72"/>
      <c r="N420" s="72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127"/>
      <c r="L421" s="127"/>
      <c r="M421" s="72"/>
      <c r="N421" s="72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127"/>
      <c r="L422" s="127"/>
      <c r="M422" s="72"/>
      <c r="N422" s="72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127"/>
      <c r="L423" s="127"/>
      <c r="M423" s="72"/>
      <c r="N423" s="72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127"/>
      <c r="L424" s="127"/>
      <c r="M424" s="72"/>
      <c r="N424" s="72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127"/>
      <c r="L425" s="127"/>
      <c r="M425" s="72"/>
      <c r="N425" s="72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127"/>
      <c r="L426" s="127"/>
      <c r="M426" s="72"/>
      <c r="N426" s="72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127"/>
      <c r="L427" s="127"/>
      <c r="M427" s="72"/>
      <c r="N427" s="72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127"/>
      <c r="L428" s="127"/>
      <c r="M428" s="72"/>
      <c r="N428" s="72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127"/>
      <c r="L429" s="127"/>
      <c r="M429" s="72"/>
      <c r="N429" s="72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127"/>
      <c r="L430" s="127"/>
      <c r="M430" s="72"/>
      <c r="N430" s="72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127"/>
      <c r="L431" s="127"/>
      <c r="M431" s="72"/>
      <c r="N431" s="72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127"/>
      <c r="L432" s="127"/>
      <c r="M432" s="72"/>
      <c r="N432" s="72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127"/>
      <c r="L433" s="127"/>
      <c r="M433" s="72"/>
      <c r="N433" s="72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127"/>
      <c r="L434" s="127"/>
      <c r="M434" s="72"/>
      <c r="N434" s="72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127"/>
      <c r="L435" s="127"/>
      <c r="M435" s="72"/>
      <c r="N435" s="72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127"/>
      <c r="L436" s="127"/>
      <c r="M436" s="72"/>
      <c r="N436" s="72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127"/>
      <c r="L437" s="127"/>
      <c r="M437" s="72"/>
      <c r="N437" s="72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127"/>
      <c r="L438" s="127"/>
      <c r="M438" s="72"/>
      <c r="N438" s="72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127"/>
      <c r="L439" s="127"/>
      <c r="M439" s="72"/>
      <c r="N439" s="72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127"/>
      <c r="L440" s="127"/>
      <c r="M440" s="72"/>
      <c r="N440" s="72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127"/>
      <c r="L441" s="127"/>
      <c r="M441" s="72"/>
      <c r="N441" s="72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127"/>
      <c r="L442" s="127"/>
      <c r="M442" s="72"/>
      <c r="N442" s="72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127"/>
      <c r="L443" s="127"/>
      <c r="M443" s="72"/>
      <c r="N443" s="72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127"/>
      <c r="L444" s="127"/>
      <c r="M444" s="72"/>
      <c r="N444" s="72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127"/>
      <c r="L445" s="127"/>
      <c r="M445" s="72"/>
      <c r="N445" s="72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127"/>
      <c r="L446" s="127"/>
      <c r="M446" s="72"/>
      <c r="N446" s="72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127"/>
      <c r="L447" s="127"/>
      <c r="M447" s="72"/>
      <c r="N447" s="72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127"/>
      <c r="L448" s="127"/>
      <c r="M448" s="72"/>
      <c r="N448" s="72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127"/>
      <c r="L449" s="127"/>
      <c r="M449" s="72"/>
      <c r="N449" s="72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127"/>
      <c r="L450" s="127"/>
      <c r="M450" s="72"/>
      <c r="N450" s="72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127"/>
      <c r="L451" s="127"/>
      <c r="M451" s="72"/>
      <c r="N451" s="72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127"/>
      <c r="L452" s="127"/>
      <c r="M452" s="72"/>
      <c r="N452" s="72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127"/>
      <c r="L453" s="127"/>
      <c r="M453" s="72"/>
      <c r="N453" s="72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127"/>
      <c r="L454" s="127"/>
      <c r="M454" s="72"/>
      <c r="N454" s="72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127"/>
      <c r="L455" s="127"/>
      <c r="M455" s="72"/>
      <c r="N455" s="72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127"/>
      <c r="L456" s="127"/>
      <c r="M456" s="72"/>
      <c r="N456" s="72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127"/>
      <c r="L457" s="127"/>
      <c r="M457" s="72"/>
      <c r="N457" s="72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127"/>
      <c r="L458" s="127"/>
      <c r="M458" s="72"/>
      <c r="N458" s="72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127"/>
      <c r="L459" s="127"/>
      <c r="M459" s="72"/>
      <c r="N459" s="72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127"/>
      <c r="L460" s="127"/>
      <c r="M460" s="72"/>
      <c r="N460" s="72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127"/>
      <c r="L461" s="127"/>
      <c r="M461" s="72"/>
      <c r="N461" s="72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127"/>
      <c r="L462" s="127"/>
      <c r="M462" s="72"/>
      <c r="N462" s="72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127"/>
      <c r="L463" s="127"/>
      <c r="M463" s="72"/>
      <c r="N463" s="72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127"/>
      <c r="L464" s="127"/>
      <c r="M464" s="72"/>
      <c r="N464" s="72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127"/>
      <c r="L465" s="127"/>
      <c r="M465" s="72"/>
      <c r="N465" s="72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127"/>
      <c r="L466" s="127"/>
      <c r="M466" s="72"/>
      <c r="N466" s="72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127"/>
      <c r="L467" s="127"/>
      <c r="M467" s="72"/>
      <c r="N467" s="72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127"/>
      <c r="L468" s="127"/>
      <c r="M468" s="72"/>
      <c r="N468" s="72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127"/>
      <c r="L469" s="127"/>
      <c r="M469" s="72"/>
      <c r="N469" s="72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127"/>
      <c r="L470" s="127"/>
      <c r="M470" s="72"/>
      <c r="N470" s="72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127"/>
      <c r="L471" s="127"/>
      <c r="M471" s="72"/>
      <c r="N471" s="72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127"/>
      <c r="L472" s="127"/>
      <c r="M472" s="72"/>
      <c r="N472" s="72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127"/>
      <c r="L473" s="127"/>
      <c r="M473" s="72"/>
      <c r="N473" s="72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127"/>
      <c r="L474" s="127"/>
      <c r="M474" s="72"/>
      <c r="N474" s="72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127"/>
      <c r="L475" s="127"/>
      <c r="M475" s="72"/>
      <c r="N475" s="72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127"/>
      <c r="L476" s="127"/>
      <c r="M476" s="72"/>
      <c r="N476" s="72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127"/>
      <c r="L477" s="127"/>
      <c r="M477" s="72"/>
      <c r="N477" s="72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127"/>
      <c r="L478" s="127"/>
      <c r="M478" s="72"/>
      <c r="N478" s="72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127"/>
      <c r="L479" s="127"/>
      <c r="M479" s="72"/>
      <c r="N479" s="72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127"/>
      <c r="L480" s="127"/>
      <c r="M480" s="72"/>
      <c r="N480" s="72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127"/>
      <c r="L481" s="127"/>
      <c r="M481" s="72"/>
      <c r="N481" s="72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127"/>
      <c r="L482" s="127"/>
      <c r="M482" s="72"/>
      <c r="N482" s="72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127"/>
      <c r="L483" s="127"/>
      <c r="M483" s="72"/>
      <c r="N483" s="72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127"/>
      <c r="L484" s="127"/>
      <c r="M484" s="72"/>
      <c r="N484" s="72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127"/>
      <c r="L485" s="127"/>
      <c r="M485" s="72"/>
      <c r="N485" s="72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127"/>
      <c r="L486" s="127"/>
      <c r="M486" s="72"/>
      <c r="N486" s="72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127"/>
      <c r="L487" s="127"/>
      <c r="M487" s="72"/>
      <c r="N487" s="72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127"/>
      <c r="L488" s="127"/>
      <c r="M488" s="72"/>
      <c r="N488" s="72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127"/>
      <c r="L489" s="127"/>
      <c r="M489" s="72"/>
      <c r="N489" s="72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127"/>
      <c r="L490" s="127"/>
      <c r="M490" s="72"/>
      <c r="N490" s="72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127"/>
      <c r="L491" s="127"/>
      <c r="M491" s="72"/>
      <c r="N491" s="72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127"/>
      <c r="L492" s="127"/>
      <c r="M492" s="72"/>
      <c r="N492" s="72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127"/>
      <c r="L493" s="127"/>
      <c r="M493" s="72"/>
      <c r="N493" s="72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127"/>
      <c r="L494" s="127"/>
      <c r="M494" s="72"/>
      <c r="N494" s="72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127"/>
      <c r="L495" s="127"/>
      <c r="M495" s="72"/>
      <c r="N495" s="72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127"/>
      <c r="L496" s="127"/>
      <c r="M496" s="72"/>
      <c r="N496" s="72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127"/>
      <c r="L497" s="127"/>
      <c r="M497" s="72"/>
      <c r="N497" s="72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127"/>
      <c r="L498" s="127"/>
      <c r="M498" s="72"/>
      <c r="N498" s="72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127"/>
      <c r="L499" s="127"/>
      <c r="M499" s="72"/>
      <c r="N499" s="72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127"/>
      <c r="L500" s="127"/>
      <c r="M500" s="72"/>
      <c r="N500" s="72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127"/>
      <c r="L501" s="127"/>
      <c r="M501" s="72"/>
      <c r="N501" s="72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127"/>
      <c r="L502" s="127"/>
      <c r="M502" s="72"/>
      <c r="N502" s="72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127"/>
      <c r="L503" s="127"/>
      <c r="M503" s="72"/>
      <c r="N503" s="72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127"/>
      <c r="L504" s="127"/>
      <c r="M504" s="72"/>
      <c r="N504" s="72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127"/>
      <c r="L505" s="127"/>
      <c r="M505" s="72"/>
      <c r="N505" s="72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127"/>
      <c r="L506" s="127"/>
      <c r="M506" s="72"/>
      <c r="N506" s="72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127"/>
      <c r="L507" s="127"/>
      <c r="M507" s="72"/>
      <c r="N507" s="72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127"/>
      <c r="L508" s="127"/>
      <c r="M508" s="72"/>
      <c r="N508" s="72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127"/>
      <c r="L509" s="127"/>
      <c r="M509" s="72"/>
      <c r="N509" s="72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127"/>
      <c r="L510" s="127"/>
      <c r="M510" s="72"/>
      <c r="N510" s="72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127"/>
      <c r="L511" s="127"/>
      <c r="M511" s="72"/>
      <c r="N511" s="72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127"/>
      <c r="L512" s="127"/>
      <c r="M512" s="72"/>
      <c r="N512" s="72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127"/>
      <c r="L513" s="127"/>
      <c r="M513" s="72"/>
      <c r="N513" s="72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127"/>
      <c r="L514" s="127"/>
      <c r="M514" s="72"/>
      <c r="N514" s="72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127"/>
      <c r="L515" s="127"/>
      <c r="M515" s="72"/>
      <c r="N515" s="72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127"/>
      <c r="L516" s="127"/>
      <c r="M516" s="72"/>
      <c r="N516" s="72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127"/>
      <c r="L517" s="127"/>
      <c r="M517" s="72"/>
      <c r="N517" s="72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127"/>
      <c r="L518" s="127"/>
      <c r="M518" s="72"/>
      <c r="N518" s="72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127"/>
      <c r="L519" s="127"/>
      <c r="M519" s="72"/>
      <c r="N519" s="72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127"/>
      <c r="L520" s="127"/>
      <c r="M520" s="72"/>
      <c r="N520" s="72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127"/>
      <c r="L521" s="127"/>
      <c r="M521" s="72"/>
      <c r="N521" s="72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127"/>
      <c r="L522" s="127"/>
      <c r="M522" s="72"/>
      <c r="N522" s="72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127"/>
      <c r="L523" s="127"/>
      <c r="M523" s="72"/>
      <c r="N523" s="72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127"/>
      <c r="L524" s="127"/>
      <c r="M524" s="72"/>
      <c r="N524" s="72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127"/>
      <c r="L525" s="127"/>
      <c r="M525" s="72"/>
      <c r="N525" s="72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127"/>
      <c r="L526" s="127"/>
      <c r="M526" s="72"/>
      <c r="N526" s="72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127"/>
      <c r="L527" s="127"/>
      <c r="M527" s="72"/>
      <c r="N527" s="72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127"/>
      <c r="L528" s="127"/>
      <c r="M528" s="72"/>
      <c r="N528" s="72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127"/>
      <c r="L529" s="127"/>
      <c r="M529" s="72"/>
      <c r="N529" s="72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127"/>
      <c r="L530" s="127"/>
      <c r="M530" s="72"/>
      <c r="N530" s="72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127"/>
      <c r="L531" s="127"/>
      <c r="M531" s="72"/>
      <c r="N531" s="72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127"/>
      <c r="L532" s="127"/>
      <c r="M532" s="72"/>
      <c r="N532" s="72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127"/>
      <c r="L533" s="127"/>
      <c r="M533" s="72"/>
      <c r="N533" s="72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127"/>
      <c r="L534" s="127"/>
      <c r="M534" s="72"/>
      <c r="N534" s="72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127"/>
      <c r="L535" s="127"/>
      <c r="M535" s="72"/>
      <c r="N535" s="72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127"/>
      <c r="L536" s="127"/>
      <c r="M536" s="72"/>
      <c r="N536" s="72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127"/>
      <c r="L537" s="127"/>
      <c r="M537" s="72"/>
      <c r="N537" s="72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127"/>
      <c r="L538" s="127"/>
      <c r="M538" s="72"/>
      <c r="N538" s="72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127"/>
      <c r="L539" s="127"/>
      <c r="M539" s="72"/>
      <c r="N539" s="72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127"/>
      <c r="L540" s="127"/>
      <c r="M540" s="72"/>
      <c r="N540" s="72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127"/>
      <c r="L541" s="127"/>
      <c r="M541" s="72"/>
      <c r="N541" s="72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127"/>
      <c r="L542" s="127"/>
      <c r="M542" s="72"/>
      <c r="N542" s="72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127"/>
      <c r="L543" s="127"/>
      <c r="M543" s="72"/>
      <c r="N543" s="72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127"/>
      <c r="L544" s="127"/>
      <c r="M544" s="72"/>
      <c r="N544" s="72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127"/>
      <c r="L545" s="127"/>
      <c r="M545" s="72"/>
      <c r="N545" s="72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127"/>
      <c r="L546" s="127"/>
      <c r="M546" s="72"/>
      <c r="N546" s="72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127"/>
      <c r="L547" s="127"/>
      <c r="M547" s="72"/>
      <c r="N547" s="72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127"/>
      <c r="L548" s="127"/>
      <c r="M548" s="72"/>
      <c r="N548" s="72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127"/>
      <c r="L549" s="127"/>
      <c r="M549" s="72"/>
      <c r="N549" s="72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127"/>
      <c r="L550" s="127"/>
      <c r="M550" s="72"/>
      <c r="N550" s="72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127"/>
      <c r="L551" s="127"/>
      <c r="M551" s="72"/>
      <c r="N551" s="72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127"/>
      <c r="L552" s="127"/>
      <c r="M552" s="72"/>
      <c r="N552" s="72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127"/>
      <c r="L553" s="127"/>
      <c r="M553" s="72"/>
      <c r="N553" s="72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127"/>
      <c r="L554" s="127"/>
      <c r="M554" s="72"/>
      <c r="N554" s="72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127"/>
      <c r="L555" s="127"/>
      <c r="M555" s="72"/>
      <c r="N555" s="72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127"/>
      <c r="L556" s="127"/>
      <c r="M556" s="72"/>
      <c r="N556" s="72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127"/>
      <c r="L557" s="127"/>
      <c r="M557" s="72"/>
      <c r="N557" s="72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127"/>
      <c r="L558" s="127"/>
      <c r="M558" s="72"/>
      <c r="N558" s="72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127"/>
      <c r="L559" s="127"/>
      <c r="M559" s="72"/>
      <c r="N559" s="72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127"/>
      <c r="L560" s="127"/>
      <c r="M560" s="72"/>
      <c r="N560" s="72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127"/>
      <c r="L561" s="127"/>
      <c r="M561" s="72"/>
      <c r="N561" s="72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127"/>
      <c r="L562" s="127"/>
      <c r="M562" s="72"/>
      <c r="N562" s="72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127"/>
      <c r="L563" s="127"/>
      <c r="M563" s="72"/>
      <c r="N563" s="72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127"/>
      <c r="L564" s="127"/>
      <c r="M564" s="72"/>
      <c r="N564" s="72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127"/>
      <c r="L565" s="127"/>
      <c r="M565" s="72"/>
      <c r="N565" s="72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127"/>
      <c r="L566" s="127"/>
      <c r="M566" s="72"/>
      <c r="N566" s="72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127"/>
      <c r="L567" s="127"/>
      <c r="M567" s="72"/>
      <c r="N567" s="72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127"/>
      <c r="L568" s="127"/>
      <c r="M568" s="72"/>
      <c r="N568" s="72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127"/>
      <c r="L569" s="127"/>
      <c r="M569" s="72"/>
      <c r="N569" s="72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127"/>
      <c r="L570" s="127"/>
      <c r="M570" s="72"/>
      <c r="N570" s="72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127"/>
      <c r="L571" s="127"/>
      <c r="M571" s="72"/>
      <c r="N571" s="72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127"/>
      <c r="L572" s="127"/>
      <c r="M572" s="72"/>
      <c r="N572" s="72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127"/>
      <c r="L573" s="127"/>
      <c r="M573" s="72"/>
      <c r="N573" s="72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127"/>
      <c r="L574" s="127"/>
      <c r="M574" s="72"/>
      <c r="N574" s="72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127"/>
      <c r="L575" s="127"/>
      <c r="M575" s="72"/>
      <c r="N575" s="72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127"/>
      <c r="L576" s="127"/>
      <c r="M576" s="72"/>
      <c r="N576" s="72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127"/>
      <c r="L577" s="127"/>
      <c r="M577" s="72"/>
      <c r="N577" s="72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127"/>
      <c r="L578" s="127"/>
      <c r="M578" s="72"/>
      <c r="N578" s="72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127"/>
      <c r="L579" s="127"/>
      <c r="M579" s="72"/>
      <c r="N579" s="72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127"/>
      <c r="L580" s="127"/>
      <c r="M580" s="72"/>
      <c r="N580" s="72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127"/>
      <c r="L581" s="127"/>
      <c r="M581" s="72"/>
      <c r="N581" s="72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127"/>
      <c r="L582" s="127"/>
      <c r="M582" s="72"/>
      <c r="N582" s="72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127"/>
      <c r="L583" s="127"/>
      <c r="M583" s="72"/>
      <c r="N583" s="72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127"/>
      <c r="L584" s="127"/>
      <c r="M584" s="72"/>
      <c r="N584" s="72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127"/>
      <c r="L585" s="127"/>
      <c r="M585" s="72"/>
      <c r="N585" s="72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127"/>
      <c r="L586" s="127"/>
      <c r="M586" s="72"/>
      <c r="N586" s="72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127"/>
      <c r="L587" s="127"/>
      <c r="M587" s="72"/>
      <c r="N587" s="72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127"/>
      <c r="L588" s="127"/>
      <c r="M588" s="72"/>
      <c r="N588" s="72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127"/>
      <c r="L589" s="127"/>
      <c r="M589" s="72"/>
      <c r="N589" s="72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127"/>
      <c r="L590" s="127"/>
      <c r="M590" s="72"/>
      <c r="N590" s="72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127"/>
      <c r="L591" s="127"/>
      <c r="M591" s="72"/>
      <c r="N591" s="72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127"/>
      <c r="L592" s="127"/>
      <c r="M592" s="72"/>
      <c r="N592" s="72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127"/>
      <c r="L593" s="127"/>
      <c r="M593" s="72"/>
      <c r="N593" s="72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127"/>
      <c r="L594" s="127"/>
      <c r="M594" s="72"/>
      <c r="N594" s="72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127"/>
      <c r="L595" s="127"/>
      <c r="M595" s="72"/>
      <c r="N595" s="72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127"/>
      <c r="L596" s="127"/>
      <c r="M596" s="72"/>
      <c r="N596" s="72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127"/>
      <c r="L597" s="127"/>
      <c r="M597" s="72"/>
      <c r="N597" s="72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127"/>
      <c r="L598" s="127"/>
      <c r="M598" s="72"/>
      <c r="N598" s="72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127"/>
      <c r="L599" s="127"/>
      <c r="M599" s="72"/>
      <c r="N599" s="72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127"/>
      <c r="L600" s="127"/>
      <c r="M600" s="72"/>
      <c r="N600" s="72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127"/>
      <c r="L601" s="127"/>
      <c r="M601" s="72"/>
      <c r="N601" s="72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127"/>
      <c r="L602" s="127"/>
      <c r="M602" s="72"/>
      <c r="N602" s="72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127"/>
      <c r="L603" s="127"/>
      <c r="M603" s="72"/>
      <c r="N603" s="72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127"/>
      <c r="L604" s="127"/>
      <c r="M604" s="72"/>
      <c r="N604" s="72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127"/>
      <c r="L605" s="127"/>
      <c r="M605" s="72"/>
      <c r="N605" s="72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127"/>
      <c r="L606" s="127"/>
      <c r="M606" s="72"/>
      <c r="N606" s="72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127"/>
      <c r="L607" s="127"/>
      <c r="M607" s="72"/>
      <c r="N607" s="72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127"/>
      <c r="L608" s="127"/>
      <c r="M608" s="72"/>
      <c r="N608" s="72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127"/>
      <c r="L609" s="127"/>
      <c r="M609" s="72"/>
      <c r="N609" s="72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127"/>
      <c r="L610" s="127"/>
      <c r="M610" s="72"/>
      <c r="N610" s="72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127"/>
      <c r="L611" s="127"/>
      <c r="M611" s="72"/>
      <c r="N611" s="72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127"/>
      <c r="L612" s="127"/>
      <c r="M612" s="72"/>
      <c r="N612" s="72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127"/>
      <c r="L613" s="127"/>
      <c r="M613" s="72"/>
      <c r="N613" s="72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127"/>
      <c r="L614" s="127"/>
      <c r="M614" s="72"/>
      <c r="N614" s="72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127"/>
      <c r="L615" s="127"/>
      <c r="M615" s="72"/>
      <c r="N615" s="72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127"/>
      <c r="L616" s="127"/>
      <c r="M616" s="72"/>
      <c r="N616" s="72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127"/>
      <c r="L617" s="127"/>
      <c r="M617" s="72"/>
      <c r="N617" s="72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127"/>
      <c r="L618" s="127"/>
      <c r="M618" s="72"/>
      <c r="N618" s="72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127"/>
      <c r="L619" s="127"/>
      <c r="M619" s="72"/>
      <c r="N619" s="72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127"/>
      <c r="L620" s="127"/>
      <c r="M620" s="72"/>
      <c r="N620" s="72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127"/>
      <c r="L621" s="127"/>
      <c r="M621" s="72"/>
      <c r="N621" s="72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127"/>
      <c r="L622" s="127"/>
      <c r="M622" s="72"/>
      <c r="N622" s="72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127"/>
      <c r="L623" s="127"/>
      <c r="M623" s="72"/>
      <c r="N623" s="72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127"/>
      <c r="L624" s="127"/>
      <c r="M624" s="72"/>
      <c r="N624" s="72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127"/>
      <c r="L625" s="127"/>
      <c r="M625" s="72"/>
      <c r="N625" s="72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127"/>
      <c r="L626" s="127"/>
      <c r="M626" s="72"/>
      <c r="N626" s="72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127"/>
      <c r="L627" s="127"/>
      <c r="M627" s="72"/>
      <c r="N627" s="72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127"/>
      <c r="L628" s="127"/>
      <c r="M628" s="72"/>
      <c r="N628" s="72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127"/>
      <c r="L629" s="127"/>
      <c r="M629" s="72"/>
      <c r="N629" s="72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127"/>
      <c r="L630" s="127"/>
      <c r="M630" s="72"/>
      <c r="N630" s="72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127"/>
      <c r="L631" s="127"/>
      <c r="M631" s="72"/>
      <c r="N631" s="72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127"/>
      <c r="L632" s="127"/>
      <c r="M632" s="72"/>
      <c r="N632" s="72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127"/>
      <c r="L633" s="127"/>
      <c r="M633" s="72"/>
      <c r="N633" s="72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127"/>
      <c r="L634" s="127"/>
      <c r="M634" s="72"/>
      <c r="N634" s="72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127"/>
      <c r="L635" s="127"/>
      <c r="M635" s="72"/>
      <c r="N635" s="72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127"/>
      <c r="L636" s="127"/>
      <c r="M636" s="72"/>
      <c r="N636" s="72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127"/>
      <c r="L637" s="127"/>
      <c r="M637" s="72"/>
      <c r="N637" s="72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127"/>
      <c r="L638" s="127"/>
      <c r="M638" s="72"/>
      <c r="N638" s="72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127"/>
      <c r="L639" s="127"/>
      <c r="M639" s="72"/>
      <c r="N639" s="72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127"/>
      <c r="L640" s="127"/>
      <c r="M640" s="72"/>
      <c r="N640" s="72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127"/>
      <c r="L641" s="127"/>
      <c r="M641" s="72"/>
      <c r="N641" s="72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127"/>
      <c r="L642" s="127"/>
      <c r="M642" s="72"/>
      <c r="N642" s="72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127"/>
      <c r="L643" s="127"/>
      <c r="M643" s="72"/>
      <c r="N643" s="72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127"/>
      <c r="L644" s="127"/>
      <c r="M644" s="72"/>
      <c r="N644" s="72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127"/>
      <c r="L645" s="127"/>
      <c r="M645" s="72"/>
      <c r="N645" s="72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127"/>
      <c r="L646" s="127"/>
      <c r="M646" s="72"/>
      <c r="N646" s="72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127"/>
      <c r="L647" s="127"/>
      <c r="M647" s="72"/>
      <c r="N647" s="72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127"/>
      <c r="L648" s="127"/>
      <c r="M648" s="72"/>
      <c r="N648" s="72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127"/>
      <c r="L649" s="127"/>
      <c r="M649" s="72"/>
      <c r="N649" s="72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127"/>
      <c r="L650" s="127"/>
      <c r="M650" s="72"/>
      <c r="N650" s="72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127"/>
      <c r="L651" s="127"/>
      <c r="M651" s="72"/>
      <c r="N651" s="72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127"/>
      <c r="L652" s="127"/>
      <c r="M652" s="72"/>
      <c r="N652" s="72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127"/>
      <c r="L653" s="127"/>
      <c r="M653" s="72"/>
      <c r="N653" s="72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127"/>
      <c r="L654" s="127"/>
      <c r="M654" s="72"/>
      <c r="N654" s="72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127"/>
      <c r="L655" s="127"/>
      <c r="M655" s="72"/>
      <c r="N655" s="72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127"/>
      <c r="L656" s="127"/>
      <c r="M656" s="72"/>
      <c r="N656" s="72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127"/>
      <c r="L657" s="127"/>
      <c r="M657" s="72"/>
      <c r="N657" s="72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127"/>
      <c r="L658" s="127"/>
      <c r="M658" s="72"/>
      <c r="N658" s="72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127"/>
      <c r="L659" s="127"/>
      <c r="M659" s="72"/>
      <c r="N659" s="72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127"/>
      <c r="L660" s="127"/>
      <c r="M660" s="72"/>
      <c r="N660" s="72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127"/>
      <c r="L661" s="127"/>
      <c r="M661" s="72"/>
      <c r="N661" s="72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127"/>
      <c r="L662" s="127"/>
      <c r="M662" s="72"/>
      <c r="N662" s="72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127"/>
      <c r="L663" s="127"/>
      <c r="M663" s="72"/>
      <c r="N663" s="72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127"/>
      <c r="L664" s="127"/>
      <c r="M664" s="72"/>
      <c r="N664" s="72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127"/>
      <c r="L665" s="127"/>
      <c r="M665" s="72"/>
      <c r="N665" s="72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127"/>
      <c r="L666" s="127"/>
      <c r="M666" s="72"/>
      <c r="N666" s="72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127"/>
      <c r="L667" s="127"/>
      <c r="M667" s="72"/>
      <c r="N667" s="72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127"/>
      <c r="L668" s="127"/>
      <c r="M668" s="72"/>
      <c r="N668" s="72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127"/>
      <c r="L669" s="127"/>
      <c r="M669" s="72"/>
      <c r="N669" s="72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127"/>
      <c r="L670" s="127"/>
      <c r="M670" s="72"/>
      <c r="N670" s="72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127"/>
      <c r="L671" s="127"/>
      <c r="M671" s="72"/>
      <c r="N671" s="72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127"/>
      <c r="L672" s="127"/>
      <c r="M672" s="72"/>
      <c r="N672" s="72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127"/>
      <c r="L673" s="127"/>
      <c r="M673" s="72"/>
      <c r="N673" s="72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127"/>
      <c r="L674" s="127"/>
      <c r="M674" s="72"/>
      <c r="N674" s="72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127"/>
      <c r="L675" s="127"/>
      <c r="M675" s="72"/>
      <c r="N675" s="72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127"/>
      <c r="L676" s="127"/>
      <c r="M676" s="72"/>
      <c r="N676" s="72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127"/>
      <c r="L677" s="127"/>
      <c r="M677" s="72"/>
      <c r="N677" s="72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127"/>
      <c r="L678" s="127"/>
      <c r="M678" s="72"/>
      <c r="N678" s="72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127"/>
      <c r="L679" s="127"/>
      <c r="M679" s="72"/>
      <c r="N679" s="72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127"/>
      <c r="L680" s="127"/>
      <c r="M680" s="72"/>
      <c r="N680" s="72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127"/>
      <c r="L681" s="127"/>
      <c r="M681" s="72"/>
      <c r="N681" s="72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127"/>
      <c r="L682" s="127"/>
      <c r="M682" s="72"/>
      <c r="N682" s="72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127"/>
      <c r="L683" s="127"/>
      <c r="M683" s="72"/>
      <c r="N683" s="72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127"/>
      <c r="L684" s="127"/>
      <c r="M684" s="72"/>
      <c r="N684" s="72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127"/>
      <c r="L685" s="127"/>
      <c r="M685" s="72"/>
      <c r="N685" s="72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127"/>
      <c r="L686" s="127"/>
      <c r="M686" s="72"/>
      <c r="N686" s="72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127"/>
      <c r="L687" s="127"/>
      <c r="M687" s="72"/>
      <c r="N687" s="72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127"/>
      <c r="L688" s="127"/>
      <c r="M688" s="72"/>
      <c r="N688" s="72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127"/>
      <c r="L689" s="127"/>
      <c r="M689" s="72"/>
      <c r="N689" s="72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127"/>
      <c r="L690" s="127"/>
      <c r="M690" s="72"/>
      <c r="N690" s="72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127"/>
      <c r="L691" s="127"/>
      <c r="M691" s="72"/>
      <c r="N691" s="72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127"/>
      <c r="L692" s="127"/>
      <c r="M692" s="72"/>
      <c r="N692" s="72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127"/>
      <c r="L693" s="127"/>
      <c r="M693" s="72"/>
      <c r="N693" s="72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127"/>
      <c r="L694" s="127"/>
      <c r="M694" s="72"/>
      <c r="N694" s="72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127"/>
      <c r="L695" s="127"/>
      <c r="M695" s="72"/>
      <c r="N695" s="72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127"/>
      <c r="L696" s="127"/>
      <c r="M696" s="72"/>
      <c r="N696" s="72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127"/>
      <c r="L697" s="127"/>
      <c r="M697" s="72"/>
      <c r="N697" s="72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127"/>
      <c r="L698" s="127"/>
      <c r="M698" s="72"/>
      <c r="N698" s="72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127"/>
      <c r="L699" s="127"/>
      <c r="M699" s="72"/>
      <c r="N699" s="72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127"/>
      <c r="L700" s="127"/>
      <c r="M700" s="72"/>
      <c r="N700" s="72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127"/>
      <c r="L701" s="127"/>
      <c r="M701" s="72"/>
      <c r="N701" s="72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127"/>
      <c r="L702" s="127"/>
      <c r="M702" s="72"/>
      <c r="N702" s="72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127"/>
      <c r="L703" s="127"/>
      <c r="M703" s="72"/>
      <c r="N703" s="72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127"/>
      <c r="L704" s="127"/>
      <c r="M704" s="72"/>
      <c r="N704" s="72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127"/>
      <c r="L705" s="127"/>
      <c r="M705" s="72"/>
      <c r="N705" s="72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127"/>
      <c r="L706" s="127"/>
      <c r="M706" s="72"/>
      <c r="N706" s="72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127"/>
      <c r="L707" s="127"/>
      <c r="M707" s="72"/>
      <c r="N707" s="72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127"/>
      <c r="L708" s="127"/>
      <c r="M708" s="72"/>
      <c r="N708" s="72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127"/>
      <c r="L709" s="127"/>
      <c r="M709" s="72"/>
      <c r="N709" s="72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127"/>
      <c r="L710" s="127"/>
      <c r="M710" s="72"/>
      <c r="N710" s="72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127"/>
      <c r="L711" s="127"/>
      <c r="M711" s="72"/>
      <c r="N711" s="72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127"/>
      <c r="L712" s="127"/>
      <c r="M712" s="72"/>
      <c r="N712" s="72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127"/>
      <c r="L713" s="127"/>
      <c r="M713" s="72"/>
      <c r="N713" s="72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127"/>
      <c r="L714" s="127"/>
      <c r="M714" s="72"/>
      <c r="N714" s="72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127"/>
      <c r="L715" s="127"/>
      <c r="M715" s="72"/>
      <c r="N715" s="72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127"/>
      <c r="L716" s="127"/>
      <c r="M716" s="72"/>
      <c r="N716" s="72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127"/>
      <c r="L717" s="127"/>
      <c r="M717" s="72"/>
      <c r="N717" s="72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127"/>
      <c r="L718" s="127"/>
      <c r="M718" s="72"/>
      <c r="N718" s="72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127"/>
      <c r="L719" s="127"/>
      <c r="M719" s="72"/>
      <c r="N719" s="72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127"/>
      <c r="L720" s="127"/>
      <c r="M720" s="72"/>
      <c r="N720" s="72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127"/>
      <c r="L721" s="127"/>
      <c r="M721" s="72"/>
      <c r="N721" s="72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127"/>
      <c r="L722" s="127"/>
      <c r="M722" s="72"/>
      <c r="N722" s="72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127"/>
      <c r="L723" s="127"/>
      <c r="M723" s="72"/>
      <c r="N723" s="72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127"/>
      <c r="L724" s="127"/>
      <c r="M724" s="72"/>
      <c r="N724" s="72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127"/>
      <c r="L725" s="127"/>
      <c r="M725" s="72"/>
      <c r="N725" s="72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127"/>
      <c r="L726" s="127"/>
      <c r="M726" s="72"/>
      <c r="N726" s="72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127"/>
      <c r="L727" s="127"/>
      <c r="M727" s="72"/>
      <c r="N727" s="72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127"/>
      <c r="L728" s="127"/>
      <c r="M728" s="72"/>
      <c r="N728" s="72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127"/>
      <c r="L729" s="127"/>
      <c r="M729" s="72"/>
      <c r="N729" s="72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127"/>
      <c r="L730" s="127"/>
      <c r="M730" s="72"/>
      <c r="N730" s="72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127"/>
      <c r="L731" s="127"/>
      <c r="M731" s="72"/>
      <c r="N731" s="72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127"/>
      <c r="L732" s="127"/>
      <c r="M732" s="72"/>
      <c r="N732" s="72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127"/>
      <c r="L733" s="127"/>
      <c r="M733" s="72"/>
      <c r="N733" s="72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127"/>
      <c r="L734" s="127"/>
      <c r="M734" s="72"/>
      <c r="N734" s="72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127"/>
      <c r="L735" s="127"/>
      <c r="M735" s="72"/>
      <c r="N735" s="72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127"/>
      <c r="L736" s="127"/>
      <c r="M736" s="72"/>
      <c r="N736" s="72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127"/>
      <c r="L737" s="127"/>
      <c r="M737" s="72"/>
      <c r="N737" s="72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127"/>
      <c r="L738" s="127"/>
      <c r="M738" s="72"/>
      <c r="N738" s="72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127"/>
      <c r="L739" s="127"/>
      <c r="M739" s="72"/>
      <c r="N739" s="72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127"/>
      <c r="L740" s="127"/>
      <c r="M740" s="72"/>
      <c r="N740" s="72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127"/>
      <c r="L741" s="127"/>
      <c r="M741" s="72"/>
      <c r="N741" s="72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127"/>
      <c r="L742" s="127"/>
      <c r="M742" s="72"/>
      <c r="N742" s="72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127"/>
      <c r="L743" s="127"/>
      <c r="M743" s="72"/>
      <c r="N743" s="72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127"/>
      <c r="L744" s="127"/>
      <c r="M744" s="72"/>
      <c r="N744" s="72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127"/>
      <c r="L745" s="127"/>
      <c r="M745" s="72"/>
      <c r="N745" s="72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127"/>
      <c r="L746" s="127"/>
      <c r="M746" s="72"/>
      <c r="N746" s="72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127"/>
      <c r="L747" s="127"/>
      <c r="M747" s="72"/>
      <c r="N747" s="72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127"/>
      <c r="L748" s="127"/>
      <c r="M748" s="72"/>
      <c r="N748" s="72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127"/>
      <c r="L749" s="127"/>
      <c r="M749" s="72"/>
      <c r="N749" s="72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127"/>
      <c r="L750" s="127"/>
      <c r="M750" s="72"/>
      <c r="N750" s="72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127"/>
      <c r="L751" s="127"/>
      <c r="M751" s="72"/>
      <c r="N751" s="72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127"/>
      <c r="L752" s="127"/>
      <c r="M752" s="72"/>
      <c r="N752" s="72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127"/>
      <c r="L753" s="127"/>
      <c r="M753" s="72"/>
      <c r="N753" s="72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127"/>
      <c r="L754" s="127"/>
      <c r="M754" s="72"/>
      <c r="N754" s="72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127"/>
      <c r="L755" s="127"/>
      <c r="M755" s="72"/>
      <c r="N755" s="72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127"/>
      <c r="L756" s="127"/>
      <c r="M756" s="72"/>
      <c r="N756" s="72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127"/>
      <c r="L757" s="127"/>
      <c r="M757" s="72"/>
      <c r="N757" s="72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127"/>
      <c r="L758" s="127"/>
      <c r="M758" s="72"/>
      <c r="N758" s="72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127"/>
      <c r="L759" s="127"/>
      <c r="M759" s="72"/>
      <c r="N759" s="72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127"/>
      <c r="L760" s="127"/>
      <c r="M760" s="72"/>
      <c r="N760" s="72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127"/>
      <c r="L761" s="127"/>
      <c r="M761" s="72"/>
      <c r="N761" s="72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127"/>
      <c r="L762" s="127"/>
      <c r="M762" s="72"/>
      <c r="N762" s="72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127"/>
      <c r="L763" s="127"/>
      <c r="M763" s="72"/>
      <c r="N763" s="72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127"/>
      <c r="L764" s="127"/>
      <c r="M764" s="72"/>
      <c r="N764" s="72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127"/>
      <c r="L765" s="127"/>
      <c r="M765" s="72"/>
      <c r="N765" s="72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127"/>
      <c r="L766" s="127"/>
      <c r="M766" s="72"/>
      <c r="N766" s="72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127"/>
      <c r="L767" s="127"/>
      <c r="M767" s="72"/>
      <c r="N767" s="72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127"/>
      <c r="L768" s="127"/>
      <c r="M768" s="72"/>
      <c r="N768" s="72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127"/>
      <c r="L769" s="127"/>
      <c r="M769" s="72"/>
      <c r="N769" s="72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127"/>
      <c r="L770" s="127"/>
      <c r="M770" s="72"/>
      <c r="N770" s="72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127"/>
      <c r="L771" s="127"/>
      <c r="M771" s="72"/>
      <c r="N771" s="72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127"/>
      <c r="L772" s="127"/>
      <c r="M772" s="72"/>
      <c r="N772" s="72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127"/>
      <c r="L773" s="127"/>
      <c r="M773" s="72"/>
      <c r="N773" s="72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127"/>
      <c r="L774" s="127"/>
      <c r="M774" s="72"/>
      <c r="N774" s="72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127"/>
      <c r="L775" s="127"/>
      <c r="M775" s="72"/>
      <c r="N775" s="72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127"/>
      <c r="L776" s="127"/>
      <c r="M776" s="72"/>
      <c r="N776" s="72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127"/>
      <c r="L777" s="127"/>
      <c r="M777" s="72"/>
      <c r="N777" s="72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127"/>
      <c r="L778" s="127"/>
      <c r="M778" s="72"/>
      <c r="N778" s="72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127"/>
      <c r="L779" s="127"/>
      <c r="M779" s="72"/>
      <c r="N779" s="72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127"/>
      <c r="L780" s="127"/>
      <c r="M780" s="72"/>
      <c r="N780" s="72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127"/>
      <c r="L781" s="127"/>
      <c r="M781" s="72"/>
      <c r="N781" s="72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127"/>
      <c r="L782" s="127"/>
      <c r="M782" s="72"/>
      <c r="N782" s="72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127"/>
      <c r="L783" s="127"/>
      <c r="M783" s="72"/>
      <c r="N783" s="72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127"/>
      <c r="L784" s="127"/>
      <c r="M784" s="72"/>
      <c r="N784" s="72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127"/>
      <c r="L785" s="127"/>
      <c r="M785" s="72"/>
      <c r="N785" s="72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127"/>
      <c r="L786" s="127"/>
      <c r="M786" s="72"/>
      <c r="N786" s="72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127"/>
      <c r="L787" s="127"/>
      <c r="M787" s="72"/>
      <c r="N787" s="72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127"/>
      <c r="L788" s="127"/>
      <c r="M788" s="72"/>
      <c r="N788" s="72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127"/>
      <c r="L789" s="127"/>
      <c r="M789" s="72"/>
      <c r="N789" s="72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127"/>
      <c r="L790" s="127"/>
      <c r="M790" s="72"/>
      <c r="N790" s="72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127"/>
      <c r="L791" s="127"/>
      <c r="M791" s="72"/>
      <c r="N791" s="72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127"/>
      <c r="L792" s="127"/>
      <c r="M792" s="72"/>
      <c r="N792" s="72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127"/>
      <c r="L793" s="127"/>
      <c r="M793" s="72"/>
      <c r="N793" s="72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127"/>
      <c r="L794" s="127"/>
      <c r="M794" s="72"/>
      <c r="N794" s="72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127"/>
      <c r="L795" s="127"/>
      <c r="M795" s="72"/>
      <c r="N795" s="72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127"/>
      <c r="L796" s="127"/>
      <c r="M796" s="72"/>
      <c r="N796" s="72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127"/>
      <c r="L797" s="127"/>
      <c r="M797" s="72"/>
      <c r="N797" s="72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127"/>
      <c r="L798" s="127"/>
      <c r="M798" s="72"/>
      <c r="N798" s="72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127"/>
      <c r="L799" s="127"/>
      <c r="M799" s="72"/>
      <c r="N799" s="72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127"/>
      <c r="L800" s="127"/>
      <c r="M800" s="72"/>
      <c r="N800" s="72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127"/>
      <c r="L801" s="127"/>
      <c r="M801" s="72"/>
      <c r="N801" s="72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127"/>
      <c r="L802" s="127"/>
      <c r="M802" s="72"/>
      <c r="N802" s="72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127"/>
      <c r="L803" s="127"/>
      <c r="M803" s="72"/>
      <c r="N803" s="72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127"/>
      <c r="L804" s="127"/>
      <c r="M804" s="72"/>
      <c r="N804" s="72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127"/>
      <c r="L805" s="127"/>
      <c r="M805" s="72"/>
      <c r="N805" s="72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127"/>
      <c r="L806" s="127"/>
      <c r="M806" s="72"/>
      <c r="N806" s="72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127"/>
      <c r="L807" s="127"/>
      <c r="M807" s="72"/>
      <c r="N807" s="72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127"/>
      <c r="L808" s="127"/>
      <c r="M808" s="72"/>
      <c r="N808" s="72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127"/>
      <c r="L809" s="127"/>
      <c r="M809" s="72"/>
      <c r="N809" s="72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127"/>
      <c r="L810" s="127"/>
      <c r="M810" s="72"/>
      <c r="N810" s="72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127"/>
      <c r="L811" s="127"/>
      <c r="M811" s="72"/>
      <c r="N811" s="72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127"/>
      <c r="L812" s="127"/>
      <c r="M812" s="72"/>
      <c r="N812" s="72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127"/>
      <c r="L813" s="127"/>
      <c r="M813" s="72"/>
      <c r="N813" s="72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127"/>
      <c r="L814" s="127"/>
      <c r="M814" s="72"/>
      <c r="N814" s="72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127"/>
      <c r="L815" s="127"/>
      <c r="M815" s="72"/>
      <c r="N815" s="72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127"/>
      <c r="L816" s="127"/>
      <c r="M816" s="72"/>
      <c r="N816" s="72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127"/>
      <c r="L817" s="127"/>
      <c r="M817" s="72"/>
      <c r="N817" s="72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127"/>
      <c r="L818" s="127"/>
      <c r="M818" s="72"/>
      <c r="N818" s="72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127"/>
      <c r="L819" s="127"/>
      <c r="M819" s="72"/>
      <c r="N819" s="72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127"/>
      <c r="L820" s="127"/>
      <c r="M820" s="72"/>
      <c r="N820" s="72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127"/>
      <c r="L821" s="127"/>
      <c r="M821" s="72"/>
      <c r="N821" s="72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127"/>
      <c r="L822" s="127"/>
      <c r="M822" s="72"/>
      <c r="N822" s="72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127"/>
      <c r="L823" s="127"/>
      <c r="M823" s="72"/>
      <c r="N823" s="72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127"/>
      <c r="L824" s="127"/>
      <c r="M824" s="72"/>
      <c r="N824" s="72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127"/>
      <c r="L825" s="127"/>
      <c r="M825" s="72"/>
      <c r="N825" s="72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127"/>
      <c r="L826" s="127"/>
      <c r="M826" s="72"/>
      <c r="N826" s="72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127"/>
      <c r="L827" s="127"/>
      <c r="M827" s="72"/>
      <c r="N827" s="72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127"/>
      <c r="L828" s="127"/>
      <c r="M828" s="72"/>
      <c r="N828" s="72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127"/>
      <c r="L829" s="127"/>
      <c r="M829" s="72"/>
      <c r="N829" s="72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127"/>
      <c r="L830" s="127"/>
      <c r="M830" s="72"/>
      <c r="N830" s="72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127"/>
      <c r="L831" s="127"/>
      <c r="M831" s="72"/>
      <c r="N831" s="72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127"/>
      <c r="L832" s="127"/>
      <c r="M832" s="72"/>
      <c r="N832" s="72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127"/>
      <c r="L833" s="127"/>
      <c r="M833" s="72"/>
      <c r="N833" s="72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127"/>
      <c r="L834" s="127"/>
      <c r="M834" s="72"/>
      <c r="N834" s="72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127"/>
      <c r="L835" s="127"/>
      <c r="M835" s="72"/>
      <c r="N835" s="72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127"/>
      <c r="L836" s="127"/>
      <c r="M836" s="72"/>
      <c r="N836" s="72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127"/>
      <c r="L837" s="127"/>
      <c r="M837" s="72"/>
      <c r="N837" s="72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127"/>
      <c r="L838" s="127"/>
      <c r="M838" s="72"/>
      <c r="N838" s="72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127"/>
      <c r="L839" s="127"/>
      <c r="M839" s="72"/>
      <c r="N839" s="72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127"/>
      <c r="L840" s="127"/>
      <c r="M840" s="72"/>
      <c r="N840" s="72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127"/>
      <c r="L841" s="127"/>
      <c r="M841" s="72"/>
      <c r="N841" s="72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127"/>
      <c r="L842" s="127"/>
      <c r="M842" s="72"/>
      <c r="N842" s="72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127"/>
      <c r="L843" s="127"/>
      <c r="M843" s="72"/>
      <c r="N843" s="72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127"/>
      <c r="L844" s="127"/>
      <c r="M844" s="72"/>
      <c r="N844" s="72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127"/>
      <c r="L845" s="127"/>
      <c r="M845" s="72"/>
      <c r="N845" s="72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127"/>
      <c r="L846" s="127"/>
      <c r="M846" s="72"/>
      <c r="N846" s="72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127"/>
      <c r="L847" s="127"/>
      <c r="M847" s="72"/>
      <c r="N847" s="72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127"/>
      <c r="L848" s="127"/>
      <c r="M848" s="72"/>
      <c r="N848" s="72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127"/>
      <c r="L849" s="127"/>
      <c r="M849" s="72"/>
      <c r="N849" s="72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127"/>
      <c r="L850" s="127"/>
      <c r="M850" s="72"/>
      <c r="N850" s="72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127"/>
      <c r="L851" s="127"/>
      <c r="M851" s="72"/>
      <c r="N851" s="72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127"/>
      <c r="L852" s="127"/>
      <c r="M852" s="72"/>
      <c r="N852" s="72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127"/>
      <c r="L853" s="127"/>
      <c r="M853" s="72"/>
      <c r="N853" s="72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127"/>
      <c r="L854" s="127"/>
      <c r="M854" s="72"/>
      <c r="N854" s="72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127"/>
      <c r="L855" s="127"/>
      <c r="M855" s="72"/>
      <c r="N855" s="72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127"/>
      <c r="L856" s="127"/>
      <c r="M856" s="72"/>
      <c r="N856" s="72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127"/>
      <c r="L857" s="127"/>
      <c r="M857" s="72"/>
      <c r="N857" s="72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127"/>
      <c r="L858" s="127"/>
      <c r="M858" s="72"/>
      <c r="N858" s="72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127"/>
      <c r="L859" s="127"/>
      <c r="M859" s="72"/>
      <c r="N859" s="72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127"/>
      <c r="L860" s="127"/>
      <c r="M860" s="72"/>
      <c r="N860" s="72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127"/>
      <c r="L861" s="127"/>
      <c r="M861" s="72"/>
      <c r="N861" s="72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127"/>
      <c r="L862" s="127"/>
      <c r="M862" s="72"/>
      <c r="N862" s="72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127"/>
      <c r="L863" s="127"/>
      <c r="M863" s="72"/>
      <c r="N863" s="72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127"/>
      <c r="L864" s="127"/>
      <c r="M864" s="72"/>
      <c r="N864" s="72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127"/>
      <c r="L865" s="127"/>
      <c r="M865" s="72"/>
      <c r="N865" s="72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127"/>
      <c r="L866" s="127"/>
      <c r="M866" s="72"/>
      <c r="N866" s="72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127"/>
      <c r="L867" s="127"/>
      <c r="M867" s="72"/>
      <c r="N867" s="72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127"/>
      <c r="L868" s="127"/>
      <c r="M868" s="72"/>
      <c r="N868" s="72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127"/>
      <c r="L869" s="127"/>
      <c r="M869" s="72"/>
      <c r="N869" s="72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127"/>
      <c r="L870" s="127"/>
      <c r="M870" s="72"/>
      <c r="N870" s="72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127"/>
      <c r="L871" s="127"/>
      <c r="M871" s="72"/>
      <c r="N871" s="72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127"/>
      <c r="L872" s="127"/>
      <c r="M872" s="72"/>
      <c r="N872" s="72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127"/>
      <c r="L873" s="127"/>
      <c r="M873" s="72"/>
      <c r="N873" s="72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127"/>
      <c r="L874" s="127"/>
      <c r="M874" s="72"/>
      <c r="N874" s="72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127"/>
      <c r="L875" s="127"/>
      <c r="M875" s="72"/>
      <c r="N875" s="72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127"/>
      <c r="L876" s="127"/>
      <c r="M876" s="72"/>
      <c r="N876" s="72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127"/>
      <c r="L877" s="127"/>
      <c r="M877" s="72"/>
      <c r="N877" s="72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127"/>
      <c r="L878" s="127"/>
      <c r="M878" s="72"/>
      <c r="N878" s="72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127"/>
      <c r="L879" s="127"/>
      <c r="M879" s="72"/>
      <c r="N879" s="72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127"/>
      <c r="L880" s="127"/>
      <c r="M880" s="72"/>
      <c r="N880" s="72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127"/>
      <c r="L881" s="127"/>
      <c r="M881" s="72"/>
      <c r="N881" s="72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127"/>
      <c r="L882" s="127"/>
      <c r="M882" s="72"/>
      <c r="N882" s="72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127"/>
      <c r="L883" s="127"/>
      <c r="M883" s="72"/>
      <c r="N883" s="72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127"/>
      <c r="L884" s="127"/>
      <c r="M884" s="72"/>
      <c r="N884" s="72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127"/>
      <c r="L885" s="127"/>
      <c r="M885" s="72"/>
      <c r="N885" s="72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127"/>
      <c r="L886" s="127"/>
      <c r="M886" s="72"/>
      <c r="N886" s="72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127"/>
      <c r="L887" s="127"/>
      <c r="M887" s="72"/>
      <c r="N887" s="72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127"/>
      <c r="L888" s="127"/>
      <c r="M888" s="72"/>
      <c r="N888" s="72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127"/>
      <c r="L889" s="127"/>
      <c r="M889" s="72"/>
      <c r="N889" s="72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127"/>
      <c r="L890" s="127"/>
      <c r="M890" s="72"/>
      <c r="N890" s="72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127"/>
      <c r="L891" s="127"/>
      <c r="M891" s="72"/>
      <c r="N891" s="72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127"/>
      <c r="L892" s="127"/>
      <c r="M892" s="72"/>
      <c r="N892" s="72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127"/>
      <c r="L893" s="127"/>
      <c r="M893" s="72"/>
      <c r="N893" s="72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127"/>
      <c r="L894" s="127"/>
      <c r="M894" s="72"/>
      <c r="N894" s="72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127"/>
      <c r="L895" s="127"/>
      <c r="M895" s="72"/>
      <c r="N895" s="72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127"/>
      <c r="L896" s="127"/>
      <c r="M896" s="72"/>
      <c r="N896" s="72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127"/>
      <c r="L897" s="127"/>
      <c r="M897" s="72"/>
      <c r="N897" s="72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127"/>
      <c r="L898" s="127"/>
      <c r="M898" s="72"/>
      <c r="N898" s="72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127"/>
      <c r="L899" s="127"/>
      <c r="M899" s="72"/>
      <c r="N899" s="72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127"/>
      <c r="L900" s="127"/>
      <c r="M900" s="72"/>
      <c r="N900" s="72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127"/>
      <c r="L901" s="127"/>
      <c r="M901" s="72"/>
      <c r="N901" s="72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127"/>
      <c r="L902" s="127"/>
      <c r="M902" s="72"/>
      <c r="N902" s="72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127"/>
      <c r="L903" s="127"/>
      <c r="M903" s="72"/>
      <c r="N903" s="72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127"/>
      <c r="L904" s="127"/>
      <c r="M904" s="72"/>
      <c r="N904" s="72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127"/>
      <c r="L905" s="127"/>
      <c r="M905" s="72"/>
      <c r="N905" s="72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127"/>
      <c r="L906" s="127"/>
      <c r="M906" s="72"/>
      <c r="N906" s="72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127"/>
      <c r="L907" s="127"/>
      <c r="M907" s="72"/>
      <c r="N907" s="72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127"/>
      <c r="L908" s="127"/>
      <c r="M908" s="72"/>
      <c r="N908" s="72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127"/>
      <c r="L909" s="127"/>
      <c r="M909" s="72"/>
      <c r="N909" s="72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127"/>
      <c r="L910" s="127"/>
      <c r="M910" s="72"/>
      <c r="N910" s="72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127"/>
      <c r="L911" s="127"/>
      <c r="M911" s="72"/>
      <c r="N911" s="72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127"/>
      <c r="L912" s="127"/>
      <c r="M912" s="72"/>
      <c r="N912" s="72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127"/>
      <c r="L913" s="127"/>
      <c r="M913" s="72"/>
      <c r="N913" s="72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127"/>
      <c r="L914" s="127"/>
      <c r="M914" s="72"/>
      <c r="N914" s="72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127"/>
      <c r="L915" s="127"/>
      <c r="M915" s="72"/>
      <c r="N915" s="72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127"/>
      <c r="L916" s="127"/>
      <c r="M916" s="72"/>
      <c r="N916" s="72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127"/>
      <c r="L917" s="127"/>
      <c r="M917" s="72"/>
      <c r="N917" s="72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127"/>
      <c r="L918" s="127"/>
      <c r="M918" s="72"/>
      <c r="N918" s="72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127"/>
      <c r="L919" s="127"/>
      <c r="M919" s="72"/>
      <c r="N919" s="72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127"/>
      <c r="L920" s="127"/>
      <c r="M920" s="72"/>
      <c r="N920" s="72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127"/>
      <c r="L921" s="127"/>
      <c r="M921" s="72"/>
      <c r="N921" s="72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127"/>
      <c r="L922" s="127"/>
      <c r="M922" s="72"/>
      <c r="N922" s="72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127"/>
      <c r="L923" s="127"/>
      <c r="M923" s="72"/>
      <c r="N923" s="72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127"/>
      <c r="L924" s="127"/>
      <c r="M924" s="72"/>
      <c r="N924" s="72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127"/>
      <c r="L925" s="127"/>
      <c r="M925" s="72"/>
      <c r="N925" s="72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127"/>
      <c r="L926" s="127"/>
      <c r="M926" s="72"/>
      <c r="N926" s="72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127"/>
      <c r="L927" s="127"/>
      <c r="M927" s="72"/>
      <c r="N927" s="72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127"/>
      <c r="L928" s="127"/>
      <c r="M928" s="72"/>
      <c r="N928" s="72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127"/>
      <c r="L929" s="127"/>
      <c r="M929" s="72"/>
      <c r="N929" s="72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127"/>
      <c r="L930" s="127"/>
      <c r="M930" s="72"/>
      <c r="N930" s="72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127"/>
      <c r="L931" s="127"/>
      <c r="M931" s="72"/>
      <c r="N931" s="72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127"/>
      <c r="L932" s="127"/>
      <c r="M932" s="72"/>
      <c r="N932" s="72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127"/>
      <c r="L933" s="127"/>
      <c r="M933" s="72"/>
      <c r="N933" s="72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127"/>
      <c r="L934" s="127"/>
      <c r="M934" s="72"/>
      <c r="N934" s="72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127"/>
      <c r="L935" s="127"/>
      <c r="M935" s="72"/>
      <c r="N935" s="72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127"/>
      <c r="L936" s="127"/>
      <c r="M936" s="72"/>
      <c r="N936" s="72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127"/>
      <c r="L937" s="127"/>
      <c r="M937" s="72"/>
      <c r="N937" s="72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127"/>
      <c r="L938" s="127"/>
      <c r="M938" s="72"/>
      <c r="N938" s="72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127"/>
      <c r="L939" s="127"/>
      <c r="M939" s="72"/>
      <c r="N939" s="72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127"/>
      <c r="L940" s="127"/>
      <c r="M940" s="72"/>
      <c r="N940" s="72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127"/>
      <c r="L941" s="127"/>
      <c r="M941" s="72"/>
      <c r="N941" s="72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127"/>
      <c r="L942" s="127"/>
      <c r="M942" s="72"/>
      <c r="N942" s="72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127"/>
      <c r="L943" s="127"/>
      <c r="M943" s="72"/>
      <c r="N943" s="72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127"/>
      <c r="L944" s="127"/>
      <c r="M944" s="72"/>
      <c r="N944" s="72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127"/>
      <c r="L945" s="127"/>
      <c r="M945" s="72"/>
      <c r="N945" s="72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127"/>
      <c r="L946" s="127"/>
      <c r="M946" s="72"/>
      <c r="N946" s="72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127"/>
      <c r="L947" s="127"/>
      <c r="M947" s="72"/>
      <c r="N947" s="72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127"/>
      <c r="L948" s="127"/>
      <c r="M948" s="72"/>
      <c r="N948" s="72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127"/>
      <c r="L949" s="127"/>
      <c r="M949" s="72"/>
      <c r="N949" s="72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127"/>
      <c r="L950" s="127"/>
      <c r="M950" s="72"/>
      <c r="N950" s="72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127"/>
      <c r="L951" s="127"/>
      <c r="M951" s="72"/>
      <c r="N951" s="72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127"/>
      <c r="L952" s="127"/>
      <c r="M952" s="72"/>
      <c r="N952" s="72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127"/>
      <c r="L953" s="127"/>
      <c r="M953" s="72"/>
      <c r="N953" s="72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127"/>
      <c r="L954" s="127"/>
      <c r="M954" s="72"/>
      <c r="N954" s="72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127"/>
      <c r="L955" s="127"/>
      <c r="M955" s="72"/>
      <c r="N955" s="72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127"/>
      <c r="L956" s="127"/>
      <c r="M956" s="72"/>
      <c r="N956" s="72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127"/>
      <c r="L957" s="127"/>
      <c r="M957" s="72"/>
      <c r="N957" s="72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127"/>
      <c r="L958" s="127"/>
      <c r="M958" s="72"/>
      <c r="N958" s="72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127"/>
      <c r="L959" s="127"/>
      <c r="M959" s="72"/>
      <c r="N959" s="72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127"/>
      <c r="L960" s="127"/>
      <c r="M960" s="72"/>
      <c r="N960" s="72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127"/>
      <c r="L961" s="127"/>
      <c r="M961" s="72"/>
      <c r="N961" s="72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127"/>
      <c r="L962" s="127"/>
      <c r="M962" s="72"/>
      <c r="N962" s="72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127"/>
      <c r="L963" s="127"/>
      <c r="M963" s="72"/>
      <c r="N963" s="72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127"/>
      <c r="L964" s="127"/>
      <c r="M964" s="72"/>
      <c r="N964" s="72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127"/>
      <c r="L965" s="127"/>
      <c r="M965" s="72"/>
      <c r="N965" s="72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127"/>
      <c r="L966" s="127"/>
      <c r="M966" s="72"/>
      <c r="N966" s="72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127"/>
      <c r="L967" s="127"/>
      <c r="M967" s="72"/>
      <c r="N967" s="72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127"/>
      <c r="L968" s="127"/>
      <c r="M968" s="72"/>
      <c r="N968" s="72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127"/>
      <c r="L969" s="127"/>
      <c r="M969" s="72"/>
      <c r="N969" s="72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127"/>
      <c r="L970" s="127"/>
      <c r="M970" s="72"/>
      <c r="N970" s="72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127"/>
      <c r="L971" s="127"/>
      <c r="M971" s="72"/>
      <c r="N971" s="72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127"/>
      <c r="L972" s="127"/>
      <c r="M972" s="72"/>
      <c r="N972" s="72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127"/>
      <c r="L973" s="127"/>
      <c r="M973" s="72"/>
      <c r="N973" s="72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127"/>
      <c r="L974" s="127"/>
      <c r="M974" s="72"/>
      <c r="N974" s="72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127"/>
      <c r="L975" s="127"/>
      <c r="M975" s="72"/>
      <c r="N975" s="72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127"/>
      <c r="L976" s="127"/>
      <c r="M976" s="72"/>
      <c r="N976" s="72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127"/>
      <c r="L977" s="127"/>
      <c r="M977" s="72"/>
      <c r="N977" s="72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127"/>
      <c r="L978" s="127"/>
      <c r="M978" s="72"/>
      <c r="N978" s="72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127"/>
      <c r="L979" s="127"/>
      <c r="M979" s="72"/>
      <c r="N979" s="72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127"/>
      <c r="L980" s="127"/>
      <c r="M980" s="72"/>
      <c r="N980" s="72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127"/>
      <c r="L981" s="127"/>
      <c r="M981" s="72"/>
      <c r="N981" s="72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127"/>
      <c r="L982" s="127"/>
      <c r="M982" s="72"/>
      <c r="N982" s="72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127"/>
      <c r="L983" s="127"/>
      <c r="M983" s="72"/>
      <c r="N983" s="72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127"/>
      <c r="L984" s="127"/>
      <c r="M984" s="72"/>
      <c r="N984" s="72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127"/>
      <c r="L985" s="127"/>
      <c r="M985" s="72"/>
      <c r="N985" s="72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127"/>
      <c r="L986" s="127"/>
      <c r="M986" s="72"/>
      <c r="N986" s="72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127"/>
      <c r="L987" s="127"/>
      <c r="M987" s="72"/>
      <c r="N987" s="72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127"/>
      <c r="L988" s="127"/>
      <c r="M988" s="72"/>
      <c r="N988" s="72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127"/>
      <c r="L989" s="127"/>
      <c r="M989" s="72"/>
      <c r="N989" s="72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127"/>
      <c r="L990" s="127"/>
      <c r="M990" s="72"/>
      <c r="N990" s="72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127"/>
      <c r="L991" s="127"/>
      <c r="M991" s="72"/>
      <c r="N991" s="72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127"/>
      <c r="L992" s="127"/>
      <c r="M992" s="72"/>
      <c r="N992" s="72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127"/>
      <c r="L993" s="127"/>
      <c r="M993" s="72"/>
      <c r="N993" s="72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127"/>
      <c r="L994" s="127"/>
      <c r="M994" s="72"/>
      <c r="N994" s="72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127"/>
      <c r="L995" s="127"/>
      <c r="M995" s="72"/>
      <c r="N995" s="72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127"/>
      <c r="L996" s="127"/>
      <c r="M996" s="72"/>
      <c r="N996" s="72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127"/>
      <c r="L997" s="127"/>
      <c r="M997" s="72"/>
      <c r="N997" s="72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127"/>
      <c r="L998" s="127"/>
      <c r="M998" s="72"/>
      <c r="N998" s="72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127"/>
      <c r="L999" s="127"/>
      <c r="M999" s="72"/>
      <c r="N999" s="72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127"/>
      <c r="L1000" s="127"/>
      <c r="M1000" s="72"/>
      <c r="N1000" s="72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scale="7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3.43"/>
    <col customWidth="1" min="5" max="11" width="10.71"/>
    <col customWidth="1" min="12" max="12" width="8.57"/>
    <col customWidth="1" min="13" max="13" width="12.57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112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60" t="s">
        <v>113</v>
      </c>
      <c r="E7" s="18">
        <v>2.1</v>
      </c>
      <c r="F7" s="18">
        <v>1.38</v>
      </c>
      <c r="G7" s="18">
        <v>2.12</v>
      </c>
      <c r="H7" s="120" t="s">
        <v>26</v>
      </c>
      <c r="I7" s="120" t="s">
        <v>26</v>
      </c>
      <c r="J7" s="120" t="s">
        <v>26</v>
      </c>
      <c r="K7" s="120" t="s">
        <v>26</v>
      </c>
      <c r="L7" s="120" t="s">
        <v>26</v>
      </c>
      <c r="M7" s="120" t="s">
        <v>26</v>
      </c>
      <c r="N7" s="120" t="s">
        <v>26</v>
      </c>
      <c r="O7" s="120" t="s">
        <v>26</v>
      </c>
      <c r="P7" s="120" t="s">
        <v>26</v>
      </c>
      <c r="Q7" s="19">
        <f t="shared" ref="Q7:Q24" si="1">AVERAGE(E7,F7,G7,H7,I7,J7,K7,L7,M7,N7,O7,P7)</f>
        <v>1.866666667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61" t="s">
        <v>114</v>
      </c>
      <c r="E8" s="24">
        <v>2.02</v>
      </c>
      <c r="F8" s="24">
        <v>0.97</v>
      </c>
      <c r="G8" s="24">
        <v>2.69</v>
      </c>
      <c r="H8" s="24" t="s">
        <v>26</v>
      </c>
      <c r="I8" s="24" t="s">
        <v>26</v>
      </c>
      <c r="J8" s="24" t="s">
        <v>26</v>
      </c>
      <c r="K8" s="24" t="s">
        <v>26</v>
      </c>
      <c r="L8" s="24" t="s">
        <v>26</v>
      </c>
      <c r="M8" s="24" t="s">
        <v>26</v>
      </c>
      <c r="N8" s="24" t="s">
        <v>26</v>
      </c>
      <c r="O8" s="24" t="s">
        <v>26</v>
      </c>
      <c r="P8" s="24" t="s">
        <v>26</v>
      </c>
      <c r="Q8" s="25">
        <f t="shared" si="1"/>
        <v>1.893333333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61" t="s">
        <v>115</v>
      </c>
      <c r="E9" s="24">
        <v>2.81</v>
      </c>
      <c r="F9" s="24">
        <v>1.01</v>
      </c>
      <c r="G9" s="24">
        <v>1.52</v>
      </c>
      <c r="H9" s="85" t="s">
        <v>26</v>
      </c>
      <c r="I9" s="85" t="s">
        <v>26</v>
      </c>
      <c r="J9" s="85" t="s">
        <v>26</v>
      </c>
      <c r="K9" s="85" t="s">
        <v>26</v>
      </c>
      <c r="L9" s="85" t="s">
        <v>26</v>
      </c>
      <c r="M9" s="85" t="s">
        <v>26</v>
      </c>
      <c r="N9" s="85" t="s">
        <v>26</v>
      </c>
      <c r="O9" s="85" t="s">
        <v>26</v>
      </c>
      <c r="P9" s="85" t="s">
        <v>26</v>
      </c>
      <c r="Q9" s="25">
        <f t="shared" si="1"/>
        <v>1.78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60" t="s">
        <v>113</v>
      </c>
      <c r="E10" s="27">
        <v>10.0</v>
      </c>
      <c r="F10" s="120">
        <v>14.0</v>
      </c>
      <c r="G10" s="120">
        <v>61.0</v>
      </c>
      <c r="H10" s="120" t="s">
        <v>26</v>
      </c>
      <c r="I10" s="120" t="s">
        <v>26</v>
      </c>
      <c r="J10" s="120" t="s">
        <v>26</v>
      </c>
      <c r="K10" s="120" t="s">
        <v>26</v>
      </c>
      <c r="L10" s="120" t="s">
        <v>26</v>
      </c>
      <c r="M10" s="120" t="s">
        <v>26</v>
      </c>
      <c r="N10" s="120" t="s">
        <v>26</v>
      </c>
      <c r="O10" s="120" t="s">
        <v>26</v>
      </c>
      <c r="P10" s="120" t="s">
        <v>26</v>
      </c>
      <c r="Q10" s="28">
        <f t="shared" si="1"/>
        <v>28.33333333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61" t="s">
        <v>114</v>
      </c>
      <c r="E11" s="29">
        <v>22.0</v>
      </c>
      <c r="F11" s="29">
        <v>18.0</v>
      </c>
      <c r="G11" s="29">
        <v>29.0</v>
      </c>
      <c r="H11" s="24" t="s">
        <v>26</v>
      </c>
      <c r="I11" s="24" t="s">
        <v>26</v>
      </c>
      <c r="J11" s="24" t="s">
        <v>26</v>
      </c>
      <c r="K11" s="24" t="s">
        <v>26</v>
      </c>
      <c r="L11" s="24" t="s">
        <v>26</v>
      </c>
      <c r="M11" s="24" t="s">
        <v>26</v>
      </c>
      <c r="N11" s="24" t="s">
        <v>26</v>
      </c>
      <c r="O11" s="24" t="s">
        <v>26</v>
      </c>
      <c r="P11" s="24" t="s">
        <v>26</v>
      </c>
      <c r="Q11" s="30">
        <f t="shared" si="1"/>
        <v>23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61" t="s">
        <v>115</v>
      </c>
      <c r="E12" s="29">
        <v>41.0</v>
      </c>
      <c r="F12" s="85">
        <v>12.0</v>
      </c>
      <c r="G12" s="85">
        <v>23.0</v>
      </c>
      <c r="H12" s="85" t="s">
        <v>26</v>
      </c>
      <c r="I12" s="85" t="s">
        <v>26</v>
      </c>
      <c r="J12" s="85" t="s">
        <v>26</v>
      </c>
      <c r="K12" s="85" t="s">
        <v>26</v>
      </c>
      <c r="L12" s="85" t="s">
        <v>26</v>
      </c>
      <c r="M12" s="85" t="s">
        <v>26</v>
      </c>
      <c r="N12" s="85" t="s">
        <v>26</v>
      </c>
      <c r="O12" s="85" t="s">
        <v>26</v>
      </c>
      <c r="P12" s="85" t="s">
        <v>26</v>
      </c>
      <c r="Q12" s="30">
        <f t="shared" si="1"/>
        <v>25.33333333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60" t="s">
        <v>113</v>
      </c>
      <c r="E13" s="27">
        <v>25.0</v>
      </c>
      <c r="F13" s="120">
        <v>9.0</v>
      </c>
      <c r="G13" s="120">
        <v>15.0</v>
      </c>
      <c r="H13" s="120" t="s">
        <v>26</v>
      </c>
      <c r="I13" s="120" t="s">
        <v>26</v>
      </c>
      <c r="J13" s="120" t="s">
        <v>26</v>
      </c>
      <c r="K13" s="120" t="s">
        <v>26</v>
      </c>
      <c r="L13" s="120" t="s">
        <v>26</v>
      </c>
      <c r="M13" s="120" t="s">
        <v>26</v>
      </c>
      <c r="N13" s="120" t="s">
        <v>26</v>
      </c>
      <c r="O13" s="120" t="s">
        <v>26</v>
      </c>
      <c r="P13" s="120" t="s">
        <v>26</v>
      </c>
      <c r="Q13" s="28">
        <f t="shared" si="1"/>
        <v>16.33333333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61" t="s">
        <v>114</v>
      </c>
      <c r="E14" s="29">
        <v>35.0</v>
      </c>
      <c r="F14" s="85">
        <v>30.0</v>
      </c>
      <c r="G14" s="29">
        <v>37.0</v>
      </c>
      <c r="H14" s="24" t="s">
        <v>26</v>
      </c>
      <c r="I14" s="24" t="s">
        <v>26</v>
      </c>
      <c r="J14" s="24" t="s">
        <v>26</v>
      </c>
      <c r="K14" s="24" t="s">
        <v>26</v>
      </c>
      <c r="L14" s="24" t="s">
        <v>26</v>
      </c>
      <c r="M14" s="24" t="s">
        <v>26</v>
      </c>
      <c r="N14" s="24" t="s">
        <v>26</v>
      </c>
      <c r="O14" s="24" t="s">
        <v>26</v>
      </c>
      <c r="P14" s="24" t="s">
        <v>26</v>
      </c>
      <c r="Q14" s="30">
        <f t="shared" si="1"/>
        <v>34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61" t="s">
        <v>115</v>
      </c>
      <c r="E15" s="29">
        <v>52.0</v>
      </c>
      <c r="F15" s="85">
        <v>60.0</v>
      </c>
      <c r="G15" s="85">
        <v>118.0</v>
      </c>
      <c r="H15" s="85" t="s">
        <v>26</v>
      </c>
      <c r="I15" s="85" t="s">
        <v>26</v>
      </c>
      <c r="J15" s="85" t="s">
        <v>26</v>
      </c>
      <c r="K15" s="85" t="s">
        <v>26</v>
      </c>
      <c r="L15" s="85" t="s">
        <v>26</v>
      </c>
      <c r="M15" s="85" t="s">
        <v>26</v>
      </c>
      <c r="N15" s="85" t="s">
        <v>26</v>
      </c>
      <c r="O15" s="85" t="s">
        <v>26</v>
      </c>
      <c r="P15" s="85" t="s">
        <v>26</v>
      </c>
      <c r="Q15" s="30">
        <f t="shared" si="1"/>
        <v>76.66666667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60" t="s">
        <v>113</v>
      </c>
      <c r="E16" s="18">
        <v>7.03</v>
      </c>
      <c r="F16" s="18">
        <v>7.38</v>
      </c>
      <c r="G16" s="18">
        <v>7.56</v>
      </c>
      <c r="H16" s="120" t="s">
        <v>26</v>
      </c>
      <c r="I16" s="120" t="s">
        <v>26</v>
      </c>
      <c r="J16" s="120" t="s">
        <v>26</v>
      </c>
      <c r="K16" s="120" t="s">
        <v>26</v>
      </c>
      <c r="L16" s="120" t="s">
        <v>26</v>
      </c>
      <c r="M16" s="120" t="s">
        <v>26</v>
      </c>
      <c r="N16" s="120" t="s">
        <v>26</v>
      </c>
      <c r="O16" s="120" t="s">
        <v>26</v>
      </c>
      <c r="P16" s="120" t="s">
        <v>26</v>
      </c>
      <c r="Q16" s="19">
        <f t="shared" si="1"/>
        <v>7.323333333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61" t="s">
        <v>114</v>
      </c>
      <c r="E17" s="24">
        <v>7.05</v>
      </c>
      <c r="F17" s="24">
        <v>7.2</v>
      </c>
      <c r="G17" s="24">
        <v>7.65</v>
      </c>
      <c r="H17" s="24" t="s">
        <v>26</v>
      </c>
      <c r="I17" s="24" t="s">
        <v>26</v>
      </c>
      <c r="J17" s="24" t="s">
        <v>26</v>
      </c>
      <c r="K17" s="24" t="s">
        <v>26</v>
      </c>
      <c r="L17" s="24" t="s">
        <v>26</v>
      </c>
      <c r="M17" s="24" t="s">
        <v>26</v>
      </c>
      <c r="N17" s="24" t="s">
        <v>26</v>
      </c>
      <c r="O17" s="24" t="s">
        <v>26</v>
      </c>
      <c r="P17" s="24" t="s">
        <v>26</v>
      </c>
      <c r="Q17" s="25">
        <f t="shared" si="1"/>
        <v>7.3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61" t="s">
        <v>115</v>
      </c>
      <c r="E18" s="24">
        <v>7.21</v>
      </c>
      <c r="F18" s="24">
        <v>7.2</v>
      </c>
      <c r="G18" s="24">
        <v>7.57</v>
      </c>
      <c r="H18" s="85" t="s">
        <v>26</v>
      </c>
      <c r="I18" s="85" t="s">
        <v>26</v>
      </c>
      <c r="J18" s="85" t="s">
        <v>26</v>
      </c>
      <c r="K18" s="85" t="s">
        <v>26</v>
      </c>
      <c r="L18" s="85" t="s">
        <v>26</v>
      </c>
      <c r="M18" s="85" t="s">
        <v>26</v>
      </c>
      <c r="N18" s="85" t="s">
        <v>26</v>
      </c>
      <c r="O18" s="85" t="s">
        <v>26</v>
      </c>
      <c r="P18" s="85" t="s">
        <v>26</v>
      </c>
      <c r="Q18" s="25">
        <f t="shared" si="1"/>
        <v>7.326666667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116</v>
      </c>
      <c r="C19" s="16">
        <v>1.0</v>
      </c>
      <c r="D19" s="160" t="s">
        <v>113</v>
      </c>
      <c r="E19" s="18">
        <v>27.43</v>
      </c>
      <c r="F19" s="18">
        <v>24.4</v>
      </c>
      <c r="G19" s="18">
        <v>30.4</v>
      </c>
      <c r="H19" s="120" t="s">
        <v>26</v>
      </c>
      <c r="I19" s="120" t="s">
        <v>26</v>
      </c>
      <c r="J19" s="120" t="s">
        <v>26</v>
      </c>
      <c r="K19" s="120" t="s">
        <v>26</v>
      </c>
      <c r="L19" s="120" t="s">
        <v>26</v>
      </c>
      <c r="M19" s="120" t="s">
        <v>26</v>
      </c>
      <c r="N19" s="120" t="s">
        <v>26</v>
      </c>
      <c r="O19" s="120" t="s">
        <v>26</v>
      </c>
      <c r="P19" s="120" t="s">
        <v>26</v>
      </c>
      <c r="Q19" s="19">
        <f t="shared" si="1"/>
        <v>27.41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61" t="s">
        <v>114</v>
      </c>
      <c r="E20" s="24">
        <v>28.3</v>
      </c>
      <c r="F20" s="24">
        <v>25.1</v>
      </c>
      <c r="G20" s="24">
        <v>30.5</v>
      </c>
      <c r="H20" s="24" t="s">
        <v>26</v>
      </c>
      <c r="I20" s="24" t="s">
        <v>26</v>
      </c>
      <c r="J20" s="24" t="s">
        <v>26</v>
      </c>
      <c r="K20" s="24" t="s">
        <v>26</v>
      </c>
      <c r="L20" s="24" t="s">
        <v>26</v>
      </c>
      <c r="M20" s="24" t="s">
        <v>26</v>
      </c>
      <c r="N20" s="24" t="s">
        <v>26</v>
      </c>
      <c r="O20" s="24" t="s">
        <v>26</v>
      </c>
      <c r="P20" s="24" t="s">
        <v>26</v>
      </c>
      <c r="Q20" s="25">
        <f t="shared" si="1"/>
        <v>27.96666667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61" t="s">
        <v>115</v>
      </c>
      <c r="E21" s="24">
        <v>29.4</v>
      </c>
      <c r="F21" s="24">
        <v>24.8</v>
      </c>
      <c r="G21" s="24">
        <v>29.7</v>
      </c>
      <c r="H21" s="85" t="s">
        <v>26</v>
      </c>
      <c r="I21" s="85" t="s">
        <v>26</v>
      </c>
      <c r="J21" s="85" t="s">
        <v>26</v>
      </c>
      <c r="K21" s="85" t="s">
        <v>26</v>
      </c>
      <c r="L21" s="85" t="s">
        <v>26</v>
      </c>
      <c r="M21" s="85" t="s">
        <v>26</v>
      </c>
      <c r="N21" s="85" t="s">
        <v>26</v>
      </c>
      <c r="O21" s="85" t="s">
        <v>26</v>
      </c>
      <c r="P21" s="85" t="s">
        <v>26</v>
      </c>
      <c r="Q21" s="25">
        <f t="shared" si="1"/>
        <v>27.96666667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60" t="s">
        <v>113</v>
      </c>
      <c r="E22" s="27">
        <v>20.0</v>
      </c>
      <c r="F22" s="120">
        <v>15.0</v>
      </c>
      <c r="G22" s="27">
        <v>25.0</v>
      </c>
      <c r="H22" s="120" t="s">
        <v>26</v>
      </c>
      <c r="I22" s="120" t="s">
        <v>26</v>
      </c>
      <c r="J22" s="120" t="s">
        <v>26</v>
      </c>
      <c r="K22" s="120" t="s">
        <v>26</v>
      </c>
      <c r="L22" s="120" t="s">
        <v>26</v>
      </c>
      <c r="M22" s="120" t="s">
        <v>26</v>
      </c>
      <c r="N22" s="120" t="s">
        <v>26</v>
      </c>
      <c r="O22" s="120" t="s">
        <v>26</v>
      </c>
      <c r="P22" s="120" t="s">
        <v>26</v>
      </c>
      <c r="Q22" s="28">
        <f t="shared" si="1"/>
        <v>20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61" t="s">
        <v>114</v>
      </c>
      <c r="E23" s="29">
        <v>40.0</v>
      </c>
      <c r="F23" s="85">
        <v>40.0</v>
      </c>
      <c r="G23" s="29">
        <v>50.0</v>
      </c>
      <c r="H23" s="24" t="s">
        <v>26</v>
      </c>
      <c r="I23" s="24" t="s">
        <v>26</v>
      </c>
      <c r="J23" s="24" t="s">
        <v>26</v>
      </c>
      <c r="K23" s="24" t="s">
        <v>26</v>
      </c>
      <c r="L23" s="24" t="s">
        <v>26</v>
      </c>
      <c r="M23" s="24" t="s">
        <v>26</v>
      </c>
      <c r="N23" s="24" t="s">
        <v>26</v>
      </c>
      <c r="O23" s="24" t="s">
        <v>26</v>
      </c>
      <c r="P23" s="24" t="s">
        <v>26</v>
      </c>
      <c r="Q23" s="30">
        <f t="shared" si="1"/>
        <v>43.33333333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61" t="s">
        <v>115</v>
      </c>
      <c r="E24" s="29">
        <v>30.0</v>
      </c>
      <c r="F24" s="85">
        <v>30.0</v>
      </c>
      <c r="G24" s="29">
        <v>38.0</v>
      </c>
      <c r="H24" s="85" t="s">
        <v>26</v>
      </c>
      <c r="I24" s="85" t="s">
        <v>26</v>
      </c>
      <c r="J24" s="85" t="s">
        <v>26</v>
      </c>
      <c r="K24" s="85" t="s">
        <v>26</v>
      </c>
      <c r="L24" s="85" t="s">
        <v>26</v>
      </c>
      <c r="M24" s="85" t="s">
        <v>26</v>
      </c>
      <c r="N24" s="85" t="s">
        <v>26</v>
      </c>
      <c r="O24" s="85" t="s">
        <v>26</v>
      </c>
      <c r="P24" s="85" t="s">
        <v>26</v>
      </c>
      <c r="Q24" s="30">
        <f t="shared" si="1"/>
        <v>32.66666667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60" t="s">
        <v>113</v>
      </c>
      <c r="E25" s="32">
        <v>170000.0</v>
      </c>
      <c r="F25" s="31">
        <v>350000.0</v>
      </c>
      <c r="G25" s="32">
        <v>240000.0</v>
      </c>
      <c r="H25" s="120" t="s">
        <v>26</v>
      </c>
      <c r="I25" s="120" t="s">
        <v>26</v>
      </c>
      <c r="J25" s="120" t="s">
        <v>26</v>
      </c>
      <c r="K25" s="120" t="s">
        <v>26</v>
      </c>
      <c r="L25" s="120" t="s">
        <v>26</v>
      </c>
      <c r="M25" s="120" t="s">
        <v>26</v>
      </c>
      <c r="N25" s="120" t="s">
        <v>26</v>
      </c>
      <c r="O25" s="120" t="s">
        <v>26</v>
      </c>
      <c r="P25" s="120" t="s">
        <v>26</v>
      </c>
      <c r="Q25" s="153">
        <f t="shared" ref="Q25:Q27" si="2">GEOMEAN(E25,F25,G25,H25,I25,J25,K25,L25,M25,N25,O25,P25)</f>
        <v>242610.3936</v>
      </c>
      <c r="R25" s="17">
        <v>200.0</v>
      </c>
      <c r="S25" s="159">
        <f>geomean(Q25:Q27)</f>
        <v>458638.4263</v>
      </c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61" t="s">
        <v>114</v>
      </c>
      <c r="E26" s="36">
        <v>2564029.0</v>
      </c>
      <c r="F26" s="35">
        <v>170000.0</v>
      </c>
      <c r="G26" s="36">
        <v>350000.0</v>
      </c>
      <c r="H26" s="24" t="s">
        <v>26</v>
      </c>
      <c r="I26" s="24" t="s">
        <v>26</v>
      </c>
      <c r="J26" s="24" t="s">
        <v>26</v>
      </c>
      <c r="K26" s="24" t="s">
        <v>26</v>
      </c>
      <c r="L26" s="24" t="s">
        <v>26</v>
      </c>
      <c r="M26" s="24" t="s">
        <v>26</v>
      </c>
      <c r="N26" s="24" t="s">
        <v>26</v>
      </c>
      <c r="O26" s="24" t="s">
        <v>26</v>
      </c>
      <c r="P26" s="24" t="s">
        <v>26</v>
      </c>
      <c r="Q26" s="154">
        <f t="shared" si="2"/>
        <v>534334.6029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61" t="s">
        <v>115</v>
      </c>
      <c r="E27" s="36">
        <v>920000.0</v>
      </c>
      <c r="F27" s="35">
        <v>280000.0</v>
      </c>
      <c r="G27" s="36">
        <v>1600000.0</v>
      </c>
      <c r="H27" s="85" t="s">
        <v>26</v>
      </c>
      <c r="I27" s="85" t="s">
        <v>26</v>
      </c>
      <c r="J27" s="85" t="s">
        <v>26</v>
      </c>
      <c r="K27" s="85" t="s">
        <v>26</v>
      </c>
      <c r="L27" s="85" t="s">
        <v>26</v>
      </c>
      <c r="M27" s="85" t="s">
        <v>26</v>
      </c>
      <c r="N27" s="85" t="s">
        <v>26</v>
      </c>
      <c r="O27" s="85" t="s">
        <v>26</v>
      </c>
      <c r="P27" s="85" t="s">
        <v>26</v>
      </c>
      <c r="Q27" s="154">
        <f t="shared" si="2"/>
        <v>744198.1975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117</v>
      </c>
      <c r="C28" s="16">
        <v>1.0</v>
      </c>
      <c r="D28" s="160" t="s">
        <v>113</v>
      </c>
      <c r="E28" s="39">
        <v>0.046</v>
      </c>
      <c r="F28" s="39" t="s">
        <v>40</v>
      </c>
      <c r="G28" s="39">
        <v>0.1</v>
      </c>
      <c r="H28" s="120" t="s">
        <v>26</v>
      </c>
      <c r="I28" s="120" t="s">
        <v>26</v>
      </c>
      <c r="J28" s="120" t="s">
        <v>26</v>
      </c>
      <c r="K28" s="120" t="s">
        <v>26</v>
      </c>
      <c r="L28" s="120" t="s">
        <v>26</v>
      </c>
      <c r="M28" s="120" t="s">
        <v>26</v>
      </c>
      <c r="N28" s="120" t="s">
        <v>26</v>
      </c>
      <c r="O28" s="120" t="s">
        <v>26</v>
      </c>
      <c r="P28" s="120" t="s">
        <v>26</v>
      </c>
      <c r="Q28" s="40">
        <f>AVERAGE(E28,0.045,G28,H28,I28,J28,K28,L28,M28,N28,O28,P28)</f>
        <v>0.06366666667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61" t="s">
        <v>114</v>
      </c>
      <c r="E29" s="41">
        <v>0.068</v>
      </c>
      <c r="F29" s="41">
        <v>0.19</v>
      </c>
      <c r="G29" s="41">
        <v>0.91</v>
      </c>
      <c r="H29" s="24" t="s">
        <v>26</v>
      </c>
      <c r="I29" s="24" t="s">
        <v>26</v>
      </c>
      <c r="J29" s="24" t="s">
        <v>26</v>
      </c>
      <c r="K29" s="24" t="s">
        <v>26</v>
      </c>
      <c r="L29" s="24" t="s">
        <v>26</v>
      </c>
      <c r="M29" s="24" t="s">
        <v>26</v>
      </c>
      <c r="N29" s="24" t="s">
        <v>26</v>
      </c>
      <c r="O29" s="24" t="s">
        <v>26</v>
      </c>
      <c r="P29" s="24" t="s">
        <v>26</v>
      </c>
      <c r="Q29" s="42">
        <f t="shared" ref="Q29:Q36" si="3">AVERAGE(E29,F29,G29,H29,I29,J29,K29,L29,M29,N29,O29,P29)</f>
        <v>0.3893333333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61" t="s">
        <v>115</v>
      </c>
      <c r="E30" s="41">
        <v>0.225</v>
      </c>
      <c r="F30" s="85">
        <v>0.106</v>
      </c>
      <c r="G30" s="41">
        <v>0.148</v>
      </c>
      <c r="H30" s="85" t="s">
        <v>26</v>
      </c>
      <c r="I30" s="85" t="s">
        <v>26</v>
      </c>
      <c r="J30" s="85" t="s">
        <v>26</v>
      </c>
      <c r="K30" s="85" t="s">
        <v>26</v>
      </c>
      <c r="L30" s="85" t="s">
        <v>26</v>
      </c>
      <c r="M30" s="85" t="s">
        <v>26</v>
      </c>
      <c r="N30" s="85" t="s">
        <v>26</v>
      </c>
      <c r="O30" s="85" t="s">
        <v>26</v>
      </c>
      <c r="P30" s="85" t="s">
        <v>26</v>
      </c>
      <c r="Q30" s="42">
        <f t="shared" si="3"/>
        <v>0.1596666667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118</v>
      </c>
      <c r="C31" s="16">
        <v>1.0</v>
      </c>
      <c r="D31" s="160" t="s">
        <v>113</v>
      </c>
      <c r="E31" s="39">
        <v>0.832</v>
      </c>
      <c r="F31" s="39">
        <v>0.707</v>
      </c>
      <c r="G31" s="39">
        <v>0.71</v>
      </c>
      <c r="H31" s="120" t="s">
        <v>26</v>
      </c>
      <c r="I31" s="120" t="s">
        <v>26</v>
      </c>
      <c r="J31" s="120" t="s">
        <v>26</v>
      </c>
      <c r="K31" s="120" t="s">
        <v>26</v>
      </c>
      <c r="L31" s="120" t="s">
        <v>26</v>
      </c>
      <c r="M31" s="120" t="s">
        <v>26</v>
      </c>
      <c r="N31" s="120" t="s">
        <v>26</v>
      </c>
      <c r="O31" s="120" t="s">
        <v>26</v>
      </c>
      <c r="P31" s="120" t="s">
        <v>26</v>
      </c>
      <c r="Q31" s="40">
        <f t="shared" si="3"/>
        <v>0.7496666667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61" t="s">
        <v>114</v>
      </c>
      <c r="E32" s="41">
        <v>0.742</v>
      </c>
      <c r="F32" s="41">
        <v>0.67</v>
      </c>
      <c r="G32" s="41">
        <v>0.916</v>
      </c>
      <c r="H32" s="24" t="s">
        <v>26</v>
      </c>
      <c r="I32" s="24" t="s">
        <v>26</v>
      </c>
      <c r="J32" s="24" t="s">
        <v>26</v>
      </c>
      <c r="K32" s="24" t="s">
        <v>26</v>
      </c>
      <c r="L32" s="24" t="s">
        <v>26</v>
      </c>
      <c r="M32" s="24" t="s">
        <v>26</v>
      </c>
      <c r="N32" s="24" t="s">
        <v>26</v>
      </c>
      <c r="O32" s="24" t="s">
        <v>26</v>
      </c>
      <c r="P32" s="24" t="s">
        <v>26</v>
      </c>
      <c r="Q32" s="42">
        <f t="shared" si="3"/>
        <v>0.776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61" t="s">
        <v>115</v>
      </c>
      <c r="E33" s="41">
        <v>0.659</v>
      </c>
      <c r="F33" s="85">
        <v>0.708</v>
      </c>
      <c r="G33" s="41">
        <v>0.902</v>
      </c>
      <c r="H33" s="85" t="s">
        <v>26</v>
      </c>
      <c r="I33" s="85" t="s">
        <v>26</v>
      </c>
      <c r="J33" s="85" t="s">
        <v>26</v>
      </c>
      <c r="K33" s="85" t="s">
        <v>26</v>
      </c>
      <c r="L33" s="85" t="s">
        <v>26</v>
      </c>
      <c r="M33" s="85" t="s">
        <v>26</v>
      </c>
      <c r="N33" s="85" t="s">
        <v>26</v>
      </c>
      <c r="O33" s="85" t="s">
        <v>26</v>
      </c>
      <c r="P33" s="85" t="s">
        <v>26</v>
      </c>
      <c r="Q33" s="42">
        <f t="shared" si="3"/>
        <v>0.7563333333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160" t="s">
        <v>113</v>
      </c>
      <c r="E34" s="32">
        <v>1432.0</v>
      </c>
      <c r="F34" s="31">
        <v>577.0</v>
      </c>
      <c r="G34" s="32">
        <v>644.0</v>
      </c>
      <c r="H34" s="120" t="s">
        <v>26</v>
      </c>
      <c r="I34" s="120" t="s">
        <v>26</v>
      </c>
      <c r="J34" s="120" t="s">
        <v>26</v>
      </c>
      <c r="K34" s="120" t="s">
        <v>26</v>
      </c>
      <c r="L34" s="120" t="s">
        <v>26</v>
      </c>
      <c r="M34" s="120" t="s">
        <v>26</v>
      </c>
      <c r="N34" s="120" t="s">
        <v>26</v>
      </c>
      <c r="O34" s="120" t="s">
        <v>26</v>
      </c>
      <c r="P34" s="120" t="s">
        <v>26</v>
      </c>
      <c r="Q34" s="33">
        <f t="shared" si="3"/>
        <v>884.3333333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161" t="s">
        <v>114</v>
      </c>
      <c r="E35" s="36">
        <v>7393.0</v>
      </c>
      <c r="F35" s="35">
        <v>7786.0</v>
      </c>
      <c r="G35" s="36">
        <v>10445.0</v>
      </c>
      <c r="H35" s="24" t="s">
        <v>26</v>
      </c>
      <c r="I35" s="24" t="s">
        <v>26</v>
      </c>
      <c r="J35" s="24" t="s">
        <v>26</v>
      </c>
      <c r="K35" s="24" t="s">
        <v>26</v>
      </c>
      <c r="L35" s="24" t="s">
        <v>26</v>
      </c>
      <c r="M35" s="24" t="s">
        <v>26</v>
      </c>
      <c r="N35" s="24" t="s">
        <v>26</v>
      </c>
      <c r="O35" s="24" t="s">
        <v>26</v>
      </c>
      <c r="P35" s="24" t="s">
        <v>26</v>
      </c>
      <c r="Q35" s="37">
        <f t="shared" si="3"/>
        <v>8541.333333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161" t="s">
        <v>115</v>
      </c>
      <c r="E36" s="36">
        <v>7951.0</v>
      </c>
      <c r="F36" s="38">
        <v>10478.0</v>
      </c>
      <c r="G36" s="36">
        <v>4436.0</v>
      </c>
      <c r="H36" s="85" t="s">
        <v>26</v>
      </c>
      <c r="I36" s="85" t="s">
        <v>26</v>
      </c>
      <c r="J36" s="85" t="s">
        <v>26</v>
      </c>
      <c r="K36" s="85" t="s">
        <v>26</v>
      </c>
      <c r="L36" s="85" t="s">
        <v>26</v>
      </c>
      <c r="M36" s="85" t="s">
        <v>26</v>
      </c>
      <c r="N36" s="85" t="s">
        <v>26</v>
      </c>
      <c r="O36" s="85" t="s">
        <v>26</v>
      </c>
      <c r="P36" s="85" t="s">
        <v>26</v>
      </c>
      <c r="Q36" s="37">
        <f t="shared" si="3"/>
        <v>7621.666667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127"/>
      <c r="O37" s="127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91" t="s">
        <v>43</v>
      </c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127"/>
      <c r="O38" s="127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127"/>
      <c r="O39" s="127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127"/>
      <c r="N40" s="127"/>
      <c r="O40" s="127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127"/>
      <c r="N41" s="127"/>
      <c r="O41" s="127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127"/>
      <c r="N42" s="127"/>
      <c r="O42" s="127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127"/>
      <c r="N43" s="127"/>
      <c r="O43" s="127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127"/>
      <c r="O44" s="127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127"/>
      <c r="O45" s="127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127"/>
      <c r="O46" s="127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127"/>
      <c r="O47" s="127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127"/>
      <c r="O48" s="127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127"/>
      <c r="O49" s="127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127"/>
      <c r="O50" s="127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127"/>
      <c r="O51" s="127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127"/>
      <c r="O52" s="127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127"/>
      <c r="O53" s="127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127"/>
      <c r="O54" s="127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127"/>
      <c r="O55" s="127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127"/>
      <c r="O56" s="127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127"/>
      <c r="O57" s="127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127"/>
      <c r="O58" s="127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127"/>
      <c r="O59" s="127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127"/>
      <c r="O60" s="127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127"/>
      <c r="O61" s="127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127"/>
      <c r="O62" s="127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127"/>
      <c r="O63" s="127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127"/>
      <c r="O64" s="127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127"/>
      <c r="O65" s="127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127"/>
      <c r="O66" s="127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127"/>
      <c r="O67" s="127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127"/>
      <c r="O68" s="127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127"/>
      <c r="O69" s="127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127"/>
      <c r="O70" s="127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127"/>
      <c r="O71" s="127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127"/>
      <c r="O72" s="127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127"/>
      <c r="O73" s="127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127"/>
      <c r="O74" s="127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127"/>
      <c r="O75" s="127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127"/>
      <c r="O76" s="127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127"/>
      <c r="O77" s="127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127"/>
      <c r="O78" s="127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127"/>
      <c r="O79" s="127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127"/>
      <c r="O80" s="127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127"/>
      <c r="O81" s="127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127"/>
      <c r="O82" s="127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127"/>
      <c r="O83" s="127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127"/>
      <c r="O84" s="127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127"/>
      <c r="O85" s="127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127"/>
      <c r="O86" s="127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127"/>
      <c r="O87" s="127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127"/>
      <c r="O88" s="127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127"/>
      <c r="O89" s="127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127"/>
      <c r="O90" s="127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127"/>
      <c r="O91" s="127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127"/>
      <c r="O92" s="127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127"/>
      <c r="O93" s="127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127"/>
      <c r="O94" s="127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127"/>
      <c r="O95" s="127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127"/>
      <c r="O96" s="127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127"/>
      <c r="O97" s="127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127"/>
      <c r="O98" s="127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127"/>
      <c r="O99" s="127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127"/>
      <c r="O100" s="127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127"/>
      <c r="O101" s="127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127"/>
      <c r="O102" s="127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127"/>
      <c r="O103" s="127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127"/>
      <c r="O104" s="127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127"/>
      <c r="O105" s="127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127"/>
      <c r="O106" s="127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127"/>
      <c r="O107" s="127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127"/>
      <c r="O108" s="127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127"/>
      <c r="O109" s="127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127"/>
      <c r="O110" s="127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127"/>
      <c r="O111" s="127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127"/>
      <c r="O112" s="127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127"/>
      <c r="O113" s="127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127"/>
      <c r="O114" s="127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127"/>
      <c r="O115" s="127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127"/>
      <c r="O116" s="127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127"/>
      <c r="O117" s="127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127"/>
      <c r="O118" s="127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127"/>
      <c r="O119" s="127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127"/>
      <c r="O120" s="127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127"/>
      <c r="O121" s="127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127"/>
      <c r="O122" s="127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127"/>
      <c r="O123" s="127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127"/>
      <c r="O124" s="127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127"/>
      <c r="O125" s="127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127"/>
      <c r="O126" s="127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127"/>
      <c r="O127" s="127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127"/>
      <c r="O128" s="127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127"/>
      <c r="O129" s="127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127"/>
      <c r="O130" s="127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127"/>
      <c r="O131" s="127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127"/>
      <c r="O132" s="127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127"/>
      <c r="O133" s="127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127"/>
      <c r="O134" s="127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127"/>
      <c r="O135" s="127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127"/>
      <c r="O136" s="127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127"/>
      <c r="O137" s="127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127"/>
      <c r="O138" s="127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127"/>
      <c r="O139" s="127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127"/>
      <c r="O140" s="127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127"/>
      <c r="O141" s="127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127"/>
      <c r="O142" s="127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127"/>
      <c r="O143" s="127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127"/>
      <c r="O144" s="127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127"/>
      <c r="O145" s="127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127"/>
      <c r="O146" s="127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127"/>
      <c r="O147" s="127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127"/>
      <c r="O148" s="127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127"/>
      <c r="O149" s="127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127"/>
      <c r="O150" s="127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127"/>
      <c r="O151" s="127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127"/>
      <c r="O152" s="127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127"/>
      <c r="O153" s="127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127"/>
      <c r="O154" s="127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127"/>
      <c r="O155" s="127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127"/>
      <c r="O156" s="127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127"/>
      <c r="O157" s="127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127"/>
      <c r="O158" s="127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127"/>
      <c r="O159" s="127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127"/>
      <c r="O160" s="127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127"/>
      <c r="O161" s="127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127"/>
      <c r="O162" s="127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127"/>
      <c r="O163" s="127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127"/>
      <c r="O164" s="127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127"/>
      <c r="O165" s="127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127"/>
      <c r="O166" s="127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127"/>
      <c r="O167" s="127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127"/>
      <c r="O168" s="127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127"/>
      <c r="O169" s="127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127"/>
      <c r="O170" s="127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127"/>
      <c r="O171" s="127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127"/>
      <c r="O172" s="127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127"/>
      <c r="O173" s="127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127"/>
      <c r="O174" s="127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127"/>
      <c r="O175" s="127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127"/>
      <c r="O176" s="127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127"/>
      <c r="O177" s="127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127"/>
      <c r="O178" s="127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127"/>
      <c r="O179" s="127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127"/>
      <c r="O180" s="127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127"/>
      <c r="O181" s="127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127"/>
      <c r="O182" s="127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127"/>
      <c r="O183" s="127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127"/>
      <c r="O184" s="127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127"/>
      <c r="O185" s="127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127"/>
      <c r="O186" s="127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127"/>
      <c r="O187" s="127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127"/>
      <c r="O188" s="127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127"/>
      <c r="O189" s="127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127"/>
      <c r="O190" s="127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127"/>
      <c r="O191" s="127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127"/>
      <c r="O192" s="127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127"/>
      <c r="O193" s="127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127"/>
      <c r="O194" s="127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127"/>
      <c r="O195" s="127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127"/>
      <c r="O196" s="127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127"/>
      <c r="O197" s="127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127"/>
      <c r="O198" s="127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127"/>
      <c r="O199" s="127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127"/>
      <c r="O200" s="127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127"/>
      <c r="O201" s="127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127"/>
      <c r="O202" s="127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127"/>
      <c r="O203" s="127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127"/>
      <c r="O204" s="127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127"/>
      <c r="O205" s="127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127"/>
      <c r="O206" s="127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127"/>
      <c r="O207" s="127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127"/>
      <c r="O208" s="127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127"/>
      <c r="O209" s="127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127"/>
      <c r="O210" s="127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127"/>
      <c r="O211" s="127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127"/>
      <c r="O212" s="127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127"/>
      <c r="O213" s="127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127"/>
      <c r="O214" s="127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127"/>
      <c r="O215" s="127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127"/>
      <c r="O216" s="127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127"/>
      <c r="O217" s="127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127"/>
      <c r="O218" s="127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127"/>
      <c r="O219" s="127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127"/>
      <c r="O220" s="127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127"/>
      <c r="O221" s="127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127"/>
      <c r="O222" s="127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127"/>
      <c r="O223" s="127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127"/>
      <c r="O224" s="127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127"/>
      <c r="O225" s="127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127"/>
      <c r="O226" s="127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127"/>
      <c r="O227" s="127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127"/>
      <c r="O228" s="127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127"/>
      <c r="O229" s="127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127"/>
      <c r="O230" s="127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127"/>
      <c r="O231" s="127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127"/>
      <c r="O232" s="127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127"/>
      <c r="O233" s="127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127"/>
      <c r="O234" s="127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127"/>
      <c r="O235" s="127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127"/>
      <c r="O236" s="127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127"/>
      <c r="O237" s="127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127"/>
      <c r="O238" s="127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127"/>
      <c r="O239" s="127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127"/>
      <c r="O240" s="127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127"/>
      <c r="O241" s="127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127"/>
      <c r="O242" s="127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127"/>
      <c r="O243" s="127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127"/>
      <c r="O244" s="127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127"/>
      <c r="O245" s="127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127"/>
      <c r="O246" s="127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127"/>
      <c r="O247" s="127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127"/>
      <c r="O248" s="127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127"/>
      <c r="O249" s="127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127"/>
      <c r="O250" s="127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127"/>
      <c r="O251" s="127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127"/>
      <c r="O252" s="127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127"/>
      <c r="O253" s="127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127"/>
      <c r="O254" s="127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127"/>
      <c r="O255" s="127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127"/>
      <c r="O256" s="127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127"/>
      <c r="O257" s="127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127"/>
      <c r="O258" s="127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127"/>
      <c r="O259" s="127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127"/>
      <c r="O260" s="127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127"/>
      <c r="O261" s="127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127"/>
      <c r="O262" s="127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127"/>
      <c r="O263" s="127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127"/>
      <c r="O264" s="127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127"/>
      <c r="O265" s="127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127"/>
      <c r="O266" s="127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127"/>
      <c r="O267" s="127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127"/>
      <c r="O268" s="127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127"/>
      <c r="O269" s="127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127"/>
      <c r="O270" s="127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127"/>
      <c r="O271" s="127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127"/>
      <c r="O272" s="127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127"/>
      <c r="O273" s="127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127"/>
      <c r="O274" s="127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127"/>
      <c r="O275" s="127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127"/>
      <c r="O276" s="127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127"/>
      <c r="O277" s="127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127"/>
      <c r="O278" s="127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127"/>
      <c r="O279" s="127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127"/>
      <c r="O280" s="127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127"/>
      <c r="O281" s="127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127"/>
      <c r="O282" s="127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127"/>
      <c r="O283" s="127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127"/>
      <c r="O284" s="127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127"/>
      <c r="O285" s="127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127"/>
      <c r="O286" s="127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127"/>
      <c r="O287" s="127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127"/>
      <c r="O288" s="127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127"/>
      <c r="O289" s="127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127"/>
      <c r="O290" s="127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127"/>
      <c r="O291" s="127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127"/>
      <c r="O292" s="127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127"/>
      <c r="O293" s="127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127"/>
      <c r="O294" s="127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127"/>
      <c r="O295" s="127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127"/>
      <c r="O296" s="127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127"/>
      <c r="O297" s="127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127"/>
      <c r="O298" s="127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127"/>
      <c r="O299" s="127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127"/>
      <c r="O300" s="127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127"/>
      <c r="O301" s="127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127"/>
      <c r="O302" s="127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127"/>
      <c r="O303" s="127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127"/>
      <c r="O304" s="127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127"/>
      <c r="O305" s="127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127"/>
      <c r="O306" s="127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127"/>
      <c r="O307" s="127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127"/>
      <c r="O308" s="127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127"/>
      <c r="O309" s="127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127"/>
      <c r="O310" s="127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127"/>
      <c r="O311" s="127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127"/>
      <c r="O312" s="127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127"/>
      <c r="O313" s="127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127"/>
      <c r="O314" s="127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127"/>
      <c r="O315" s="127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127"/>
      <c r="O316" s="127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127"/>
      <c r="O317" s="127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127"/>
      <c r="O318" s="127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127"/>
      <c r="O319" s="127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127"/>
      <c r="O320" s="127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127"/>
      <c r="O321" s="127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127"/>
      <c r="O322" s="127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127"/>
      <c r="O323" s="127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127"/>
      <c r="O324" s="127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127"/>
      <c r="O325" s="127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127"/>
      <c r="O326" s="127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127"/>
      <c r="O327" s="127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127"/>
      <c r="O328" s="127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127"/>
      <c r="O329" s="127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127"/>
      <c r="O330" s="127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127"/>
      <c r="O331" s="127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127"/>
      <c r="O332" s="127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127"/>
      <c r="O333" s="127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127"/>
      <c r="O334" s="127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127"/>
      <c r="O335" s="127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127"/>
      <c r="O336" s="127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127"/>
      <c r="O337" s="127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127"/>
      <c r="O338" s="127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127"/>
      <c r="O339" s="127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127"/>
      <c r="O340" s="127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127"/>
      <c r="O341" s="127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127"/>
      <c r="O342" s="127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127"/>
      <c r="O343" s="127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127"/>
      <c r="O344" s="127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127"/>
      <c r="O345" s="127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127"/>
      <c r="O346" s="127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127"/>
      <c r="O347" s="127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127"/>
      <c r="O348" s="127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127"/>
      <c r="O349" s="127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127"/>
      <c r="O350" s="127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127"/>
      <c r="O351" s="127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127"/>
      <c r="O352" s="127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127"/>
      <c r="O353" s="127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127"/>
      <c r="O354" s="127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127"/>
      <c r="O355" s="127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127"/>
      <c r="O356" s="127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127"/>
      <c r="O357" s="127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127"/>
      <c r="O358" s="127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127"/>
      <c r="O359" s="127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127"/>
      <c r="O360" s="127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127"/>
      <c r="O361" s="127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127"/>
      <c r="O362" s="127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127"/>
      <c r="O363" s="127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127"/>
      <c r="O364" s="127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127"/>
      <c r="O365" s="127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127"/>
      <c r="O366" s="127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127"/>
      <c r="O367" s="127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127"/>
      <c r="O368" s="127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127"/>
      <c r="O369" s="127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127"/>
      <c r="O370" s="127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127"/>
      <c r="O371" s="127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127"/>
      <c r="O372" s="127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127"/>
      <c r="O373" s="127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127"/>
      <c r="O374" s="127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127"/>
      <c r="O375" s="127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127"/>
      <c r="O376" s="127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127"/>
      <c r="O377" s="127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127"/>
      <c r="O378" s="127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127"/>
      <c r="O379" s="127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127"/>
      <c r="O380" s="127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127"/>
      <c r="O381" s="127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127"/>
      <c r="O382" s="127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127"/>
      <c r="O383" s="127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127"/>
      <c r="O384" s="127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127"/>
      <c r="O385" s="127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127"/>
      <c r="O386" s="127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127"/>
      <c r="O387" s="127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127"/>
      <c r="O388" s="127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127"/>
      <c r="O389" s="127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127"/>
      <c r="O390" s="127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127"/>
      <c r="O391" s="127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127"/>
      <c r="O392" s="127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127"/>
      <c r="O393" s="127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127"/>
      <c r="O394" s="127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127"/>
      <c r="O395" s="127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127"/>
      <c r="O396" s="127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127"/>
      <c r="O397" s="127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127"/>
      <c r="O398" s="127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127"/>
      <c r="O399" s="127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127"/>
      <c r="O400" s="127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127"/>
      <c r="O401" s="127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127"/>
      <c r="O402" s="127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127"/>
      <c r="O403" s="127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127"/>
      <c r="O404" s="127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127"/>
      <c r="O405" s="127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127"/>
      <c r="O406" s="127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127"/>
      <c r="O407" s="127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127"/>
      <c r="O408" s="127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127"/>
      <c r="O409" s="127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127"/>
      <c r="O410" s="127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127"/>
      <c r="O411" s="127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127"/>
      <c r="O412" s="127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127"/>
      <c r="O413" s="127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127"/>
      <c r="O414" s="127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127"/>
      <c r="O415" s="127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127"/>
      <c r="O416" s="127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127"/>
      <c r="O417" s="127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127"/>
      <c r="O418" s="127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127"/>
      <c r="O419" s="127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127"/>
      <c r="O420" s="127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127"/>
      <c r="O421" s="127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127"/>
      <c r="O422" s="127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127"/>
      <c r="O423" s="127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127"/>
      <c r="O424" s="127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127"/>
      <c r="O425" s="127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127"/>
      <c r="O426" s="127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127"/>
      <c r="O427" s="127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127"/>
      <c r="O428" s="127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127"/>
      <c r="O429" s="127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127"/>
      <c r="O430" s="127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127"/>
      <c r="O431" s="127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127"/>
      <c r="O432" s="127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127"/>
      <c r="O433" s="127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127"/>
      <c r="O434" s="127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127"/>
      <c r="O435" s="127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127"/>
      <c r="O436" s="127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127"/>
      <c r="O437" s="127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127"/>
      <c r="O438" s="127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127"/>
      <c r="O439" s="127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127"/>
      <c r="O440" s="127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127"/>
      <c r="O441" s="127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127"/>
      <c r="O442" s="127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127"/>
      <c r="O443" s="127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127"/>
      <c r="O444" s="127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127"/>
      <c r="O445" s="127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127"/>
      <c r="O446" s="127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127"/>
      <c r="O447" s="127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127"/>
      <c r="O448" s="127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127"/>
      <c r="O449" s="127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127"/>
      <c r="O450" s="127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127"/>
      <c r="O451" s="127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127"/>
      <c r="O452" s="127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127"/>
      <c r="O453" s="127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127"/>
      <c r="O454" s="127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127"/>
      <c r="O455" s="127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127"/>
      <c r="O456" s="127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127"/>
      <c r="O457" s="127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127"/>
      <c r="O458" s="127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127"/>
      <c r="O459" s="127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127"/>
      <c r="O460" s="127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127"/>
      <c r="O461" s="127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127"/>
      <c r="O462" s="127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127"/>
      <c r="O463" s="127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127"/>
      <c r="O464" s="127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127"/>
      <c r="O465" s="127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127"/>
      <c r="O466" s="127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127"/>
      <c r="O467" s="127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127"/>
      <c r="O468" s="127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127"/>
      <c r="O469" s="127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127"/>
      <c r="O470" s="127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127"/>
      <c r="O471" s="127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127"/>
      <c r="O472" s="127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127"/>
      <c r="O473" s="127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127"/>
      <c r="O474" s="127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127"/>
      <c r="O475" s="127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127"/>
      <c r="O476" s="127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127"/>
      <c r="O477" s="127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127"/>
      <c r="O478" s="127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127"/>
      <c r="O479" s="127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127"/>
      <c r="O480" s="127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127"/>
      <c r="O481" s="127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127"/>
      <c r="O482" s="127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127"/>
      <c r="O483" s="127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127"/>
      <c r="O484" s="127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127"/>
      <c r="O485" s="127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127"/>
      <c r="O486" s="127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127"/>
      <c r="O487" s="127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127"/>
      <c r="O488" s="127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127"/>
      <c r="O489" s="127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127"/>
      <c r="O490" s="127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127"/>
      <c r="O491" s="127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127"/>
      <c r="O492" s="127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127"/>
      <c r="O493" s="127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127"/>
      <c r="O494" s="127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127"/>
      <c r="O495" s="127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127"/>
      <c r="O496" s="127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127"/>
      <c r="O497" s="127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127"/>
      <c r="O498" s="127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127"/>
      <c r="O499" s="127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127"/>
      <c r="O500" s="127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127"/>
      <c r="O501" s="127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127"/>
      <c r="O502" s="127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127"/>
      <c r="O503" s="127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127"/>
      <c r="O504" s="127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127"/>
      <c r="O505" s="127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127"/>
      <c r="O506" s="127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127"/>
      <c r="O507" s="127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127"/>
      <c r="O508" s="127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127"/>
      <c r="O509" s="127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127"/>
      <c r="O510" s="127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127"/>
      <c r="O511" s="127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127"/>
      <c r="O512" s="127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127"/>
      <c r="O513" s="127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127"/>
      <c r="O514" s="127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127"/>
      <c r="O515" s="127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127"/>
      <c r="O516" s="127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127"/>
      <c r="O517" s="127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127"/>
      <c r="O518" s="127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127"/>
      <c r="O519" s="127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127"/>
      <c r="O520" s="127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127"/>
      <c r="O521" s="127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127"/>
      <c r="O522" s="127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127"/>
      <c r="O523" s="127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127"/>
      <c r="O524" s="127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127"/>
      <c r="O525" s="127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127"/>
      <c r="O526" s="127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127"/>
      <c r="O527" s="127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127"/>
      <c r="O528" s="127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127"/>
      <c r="O529" s="127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127"/>
      <c r="O530" s="127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127"/>
      <c r="O531" s="127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127"/>
      <c r="O532" s="127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127"/>
      <c r="O533" s="127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127"/>
      <c r="O534" s="127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127"/>
      <c r="O535" s="127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127"/>
      <c r="O536" s="127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127"/>
      <c r="O537" s="127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127"/>
      <c r="O538" s="127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127"/>
      <c r="O539" s="127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127"/>
      <c r="O540" s="127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127"/>
      <c r="O541" s="127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127"/>
      <c r="O542" s="127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127"/>
      <c r="O543" s="127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127"/>
      <c r="O544" s="127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127"/>
      <c r="O545" s="127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127"/>
      <c r="O546" s="127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127"/>
      <c r="O547" s="127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127"/>
      <c r="O548" s="127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127"/>
      <c r="O549" s="127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127"/>
      <c r="O550" s="127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127"/>
      <c r="O551" s="127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127"/>
      <c r="O552" s="127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127"/>
      <c r="O553" s="127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127"/>
      <c r="O554" s="127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127"/>
      <c r="O555" s="127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127"/>
      <c r="O556" s="127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127"/>
      <c r="O557" s="127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127"/>
      <c r="O558" s="127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127"/>
      <c r="O559" s="127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127"/>
      <c r="O560" s="127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127"/>
      <c r="O561" s="127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127"/>
      <c r="O562" s="127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127"/>
      <c r="O563" s="127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127"/>
      <c r="O564" s="127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127"/>
      <c r="O565" s="127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127"/>
      <c r="O566" s="127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127"/>
      <c r="O567" s="127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127"/>
      <c r="O568" s="127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127"/>
      <c r="O569" s="127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127"/>
      <c r="O570" s="127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127"/>
      <c r="O571" s="127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127"/>
      <c r="O572" s="127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127"/>
      <c r="O573" s="127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127"/>
      <c r="O574" s="127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127"/>
      <c r="O575" s="127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127"/>
      <c r="O576" s="127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127"/>
      <c r="O577" s="127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127"/>
      <c r="O578" s="127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127"/>
      <c r="O579" s="127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127"/>
      <c r="O580" s="127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127"/>
      <c r="O581" s="127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127"/>
      <c r="O582" s="127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127"/>
      <c r="O583" s="127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127"/>
      <c r="O584" s="127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127"/>
      <c r="O585" s="127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127"/>
      <c r="O586" s="127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127"/>
      <c r="O587" s="127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127"/>
      <c r="O588" s="127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127"/>
      <c r="O589" s="127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127"/>
      <c r="O590" s="127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127"/>
      <c r="O591" s="127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127"/>
      <c r="O592" s="127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127"/>
      <c r="O593" s="127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127"/>
      <c r="O594" s="127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127"/>
      <c r="O595" s="127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127"/>
      <c r="O596" s="127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127"/>
      <c r="O597" s="127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127"/>
      <c r="O598" s="127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127"/>
      <c r="O599" s="127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127"/>
      <c r="O600" s="127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127"/>
      <c r="O601" s="127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127"/>
      <c r="O602" s="127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127"/>
      <c r="O603" s="127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127"/>
      <c r="O604" s="127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127"/>
      <c r="O605" s="127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127"/>
      <c r="O606" s="127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127"/>
      <c r="O607" s="127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127"/>
      <c r="O608" s="127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127"/>
      <c r="O609" s="127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127"/>
      <c r="O610" s="127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127"/>
      <c r="O611" s="127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127"/>
      <c r="O612" s="127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127"/>
      <c r="O613" s="127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127"/>
      <c r="O614" s="127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127"/>
      <c r="O615" s="127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127"/>
      <c r="O616" s="127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127"/>
      <c r="O617" s="127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127"/>
      <c r="O618" s="127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127"/>
      <c r="O619" s="127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127"/>
      <c r="O620" s="127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127"/>
      <c r="O621" s="127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127"/>
      <c r="O622" s="127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127"/>
      <c r="O623" s="127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127"/>
      <c r="O624" s="127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127"/>
      <c r="O625" s="127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127"/>
      <c r="O626" s="127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127"/>
      <c r="O627" s="127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127"/>
      <c r="O628" s="127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127"/>
      <c r="O629" s="127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127"/>
      <c r="O630" s="127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127"/>
      <c r="O631" s="127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127"/>
      <c r="O632" s="127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127"/>
      <c r="O633" s="127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127"/>
      <c r="O634" s="127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127"/>
      <c r="O635" s="127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127"/>
      <c r="O636" s="127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127"/>
      <c r="O637" s="127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127"/>
      <c r="O638" s="127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127"/>
      <c r="O639" s="127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127"/>
      <c r="O640" s="127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127"/>
      <c r="O641" s="127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127"/>
      <c r="O642" s="127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127"/>
      <c r="O643" s="127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127"/>
      <c r="O644" s="127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127"/>
      <c r="O645" s="127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127"/>
      <c r="O646" s="127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127"/>
      <c r="O647" s="127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127"/>
      <c r="O648" s="127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127"/>
      <c r="O649" s="127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127"/>
      <c r="O650" s="127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127"/>
      <c r="O651" s="127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127"/>
      <c r="O652" s="127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127"/>
      <c r="O653" s="127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127"/>
      <c r="O654" s="127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127"/>
      <c r="O655" s="127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127"/>
      <c r="O656" s="127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127"/>
      <c r="O657" s="127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127"/>
      <c r="O658" s="127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127"/>
      <c r="O659" s="127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127"/>
      <c r="O660" s="127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127"/>
      <c r="O661" s="127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127"/>
      <c r="O662" s="127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127"/>
      <c r="O663" s="127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127"/>
      <c r="O664" s="127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127"/>
      <c r="O665" s="127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127"/>
      <c r="O666" s="127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127"/>
      <c r="O667" s="127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127"/>
      <c r="O668" s="127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127"/>
      <c r="O669" s="127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127"/>
      <c r="O670" s="127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127"/>
      <c r="O671" s="127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127"/>
      <c r="O672" s="127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127"/>
      <c r="O673" s="127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127"/>
      <c r="O674" s="127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127"/>
      <c r="O675" s="127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127"/>
      <c r="O676" s="127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127"/>
      <c r="O677" s="127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127"/>
      <c r="O678" s="127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127"/>
      <c r="O679" s="127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127"/>
      <c r="O680" s="127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127"/>
      <c r="O681" s="127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127"/>
      <c r="O682" s="127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127"/>
      <c r="O683" s="127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127"/>
      <c r="O684" s="127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127"/>
      <c r="O685" s="127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127"/>
      <c r="O686" s="127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127"/>
      <c r="O687" s="127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127"/>
      <c r="O688" s="127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127"/>
      <c r="O689" s="127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127"/>
      <c r="O690" s="127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127"/>
      <c r="O691" s="127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127"/>
      <c r="O692" s="127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127"/>
      <c r="O693" s="127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127"/>
      <c r="O694" s="127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127"/>
      <c r="O695" s="127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127"/>
      <c r="O696" s="127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127"/>
      <c r="O697" s="127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127"/>
      <c r="O698" s="127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127"/>
      <c r="O699" s="127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127"/>
      <c r="O700" s="127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127"/>
      <c r="O701" s="127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127"/>
      <c r="O702" s="127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127"/>
      <c r="O703" s="127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127"/>
      <c r="O704" s="127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127"/>
      <c r="O705" s="127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127"/>
      <c r="O706" s="127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127"/>
      <c r="O707" s="127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127"/>
      <c r="O708" s="127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127"/>
      <c r="O709" s="127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127"/>
      <c r="O710" s="127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127"/>
      <c r="O711" s="127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127"/>
      <c r="O712" s="127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127"/>
      <c r="O713" s="127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127"/>
      <c r="O714" s="127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127"/>
      <c r="O715" s="127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127"/>
      <c r="O716" s="127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127"/>
      <c r="O717" s="127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127"/>
      <c r="O718" s="127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127"/>
      <c r="O719" s="127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127"/>
      <c r="O720" s="127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127"/>
      <c r="O721" s="127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127"/>
      <c r="O722" s="127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127"/>
      <c r="O723" s="127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127"/>
      <c r="O724" s="127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127"/>
      <c r="O725" s="127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127"/>
      <c r="O726" s="127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127"/>
      <c r="O727" s="127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127"/>
      <c r="O728" s="127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127"/>
      <c r="O729" s="127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127"/>
      <c r="O730" s="127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127"/>
      <c r="O731" s="127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127"/>
      <c r="O732" s="127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127"/>
      <c r="O733" s="127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127"/>
      <c r="O734" s="127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127"/>
      <c r="O735" s="127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127"/>
      <c r="O736" s="127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127"/>
      <c r="O737" s="127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127"/>
      <c r="O738" s="127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127"/>
      <c r="O739" s="127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127"/>
      <c r="O740" s="127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127"/>
      <c r="O741" s="127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127"/>
      <c r="O742" s="127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127"/>
      <c r="O743" s="127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127"/>
      <c r="O744" s="127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127"/>
      <c r="O745" s="127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127"/>
      <c r="O746" s="127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127"/>
      <c r="O747" s="127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127"/>
      <c r="O748" s="127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127"/>
      <c r="O749" s="127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127"/>
      <c r="O750" s="127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127"/>
      <c r="O751" s="127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127"/>
      <c r="O752" s="127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127"/>
      <c r="O753" s="127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127"/>
      <c r="O754" s="127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127"/>
      <c r="O755" s="127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127"/>
      <c r="O756" s="127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127"/>
      <c r="O757" s="127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127"/>
      <c r="O758" s="127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127"/>
      <c r="O759" s="127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127"/>
      <c r="O760" s="127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127"/>
      <c r="O761" s="127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127"/>
      <c r="O762" s="127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127"/>
      <c r="O763" s="127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127"/>
      <c r="O764" s="127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127"/>
      <c r="O765" s="127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127"/>
      <c r="O766" s="127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127"/>
      <c r="O767" s="127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127"/>
      <c r="O768" s="127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127"/>
      <c r="O769" s="127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127"/>
      <c r="O770" s="127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127"/>
      <c r="O771" s="127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127"/>
      <c r="O772" s="127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127"/>
      <c r="O773" s="127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127"/>
      <c r="O774" s="127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127"/>
      <c r="O775" s="127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127"/>
      <c r="O776" s="127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127"/>
      <c r="O777" s="127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127"/>
      <c r="O778" s="127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127"/>
      <c r="O779" s="127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127"/>
      <c r="O780" s="127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127"/>
      <c r="O781" s="127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127"/>
      <c r="O782" s="127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127"/>
      <c r="O783" s="127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127"/>
      <c r="O784" s="127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127"/>
      <c r="O785" s="127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127"/>
      <c r="O786" s="127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127"/>
      <c r="O787" s="127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127"/>
      <c r="O788" s="127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127"/>
      <c r="O789" s="127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127"/>
      <c r="O790" s="127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127"/>
      <c r="O791" s="127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127"/>
      <c r="O792" s="127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127"/>
      <c r="O793" s="127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127"/>
      <c r="O794" s="127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127"/>
      <c r="O795" s="127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127"/>
      <c r="O796" s="127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127"/>
      <c r="O797" s="127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127"/>
      <c r="O798" s="127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127"/>
      <c r="O799" s="127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127"/>
      <c r="O800" s="127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127"/>
      <c r="O801" s="127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127"/>
      <c r="O802" s="127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127"/>
      <c r="O803" s="127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127"/>
      <c r="O804" s="127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127"/>
      <c r="O805" s="127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127"/>
      <c r="O806" s="127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127"/>
      <c r="O807" s="127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127"/>
      <c r="O808" s="127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127"/>
      <c r="O809" s="127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127"/>
      <c r="O810" s="127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127"/>
      <c r="O811" s="127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127"/>
      <c r="O812" s="127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127"/>
      <c r="O813" s="127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127"/>
      <c r="O814" s="127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127"/>
      <c r="O815" s="127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127"/>
      <c r="O816" s="127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127"/>
      <c r="O817" s="127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127"/>
      <c r="O818" s="127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127"/>
      <c r="O819" s="127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127"/>
      <c r="O820" s="127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127"/>
      <c r="O821" s="127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127"/>
      <c r="O822" s="127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127"/>
      <c r="O823" s="127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127"/>
      <c r="O824" s="127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127"/>
      <c r="O825" s="127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127"/>
      <c r="O826" s="127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127"/>
      <c r="O827" s="127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127"/>
      <c r="O828" s="127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127"/>
      <c r="O829" s="127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127"/>
      <c r="O830" s="127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127"/>
      <c r="O831" s="127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127"/>
      <c r="O832" s="127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127"/>
      <c r="O833" s="127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127"/>
      <c r="O834" s="127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127"/>
      <c r="O835" s="127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127"/>
      <c r="O836" s="127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127"/>
      <c r="O837" s="127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127"/>
      <c r="O838" s="127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127"/>
      <c r="O839" s="127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127"/>
      <c r="O840" s="127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127"/>
      <c r="O841" s="127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127"/>
      <c r="O842" s="127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127"/>
      <c r="O843" s="127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127"/>
      <c r="O844" s="127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127"/>
      <c r="O845" s="127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127"/>
      <c r="O846" s="127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127"/>
      <c r="O847" s="127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127"/>
      <c r="O848" s="127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127"/>
      <c r="O849" s="127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127"/>
      <c r="O850" s="127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127"/>
      <c r="O851" s="127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127"/>
      <c r="O852" s="127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127"/>
      <c r="O853" s="127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127"/>
      <c r="O854" s="127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127"/>
      <c r="O855" s="127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127"/>
      <c r="O856" s="127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127"/>
      <c r="O857" s="127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127"/>
      <c r="O858" s="127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127"/>
      <c r="O859" s="127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127"/>
      <c r="O860" s="127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127"/>
      <c r="O861" s="127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127"/>
      <c r="O862" s="127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127"/>
      <c r="O863" s="127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127"/>
      <c r="O864" s="127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127"/>
      <c r="O865" s="127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127"/>
      <c r="O866" s="127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127"/>
      <c r="O867" s="127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127"/>
      <c r="O868" s="127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127"/>
      <c r="O869" s="127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127"/>
      <c r="O870" s="127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127"/>
      <c r="O871" s="127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127"/>
      <c r="O872" s="127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127"/>
      <c r="O873" s="127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127"/>
      <c r="O874" s="127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127"/>
      <c r="O875" s="127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127"/>
      <c r="O876" s="127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127"/>
      <c r="O877" s="127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127"/>
      <c r="O878" s="127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127"/>
      <c r="O879" s="127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127"/>
      <c r="O880" s="127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127"/>
      <c r="O881" s="127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127"/>
      <c r="O882" s="127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127"/>
      <c r="O883" s="127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127"/>
      <c r="O884" s="127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127"/>
      <c r="O885" s="127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127"/>
      <c r="O886" s="127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127"/>
      <c r="O887" s="127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127"/>
      <c r="O888" s="127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127"/>
      <c r="O889" s="127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127"/>
      <c r="O890" s="127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127"/>
      <c r="O891" s="127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127"/>
      <c r="O892" s="127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127"/>
      <c r="O893" s="127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127"/>
      <c r="O894" s="127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127"/>
      <c r="O895" s="127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127"/>
      <c r="O896" s="127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127"/>
      <c r="O897" s="127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127"/>
      <c r="O898" s="127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127"/>
      <c r="O899" s="127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127"/>
      <c r="O900" s="127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127"/>
      <c r="O901" s="127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127"/>
      <c r="O902" s="127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127"/>
      <c r="O903" s="127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127"/>
      <c r="O904" s="127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127"/>
      <c r="O905" s="127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127"/>
      <c r="O906" s="127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127"/>
      <c r="O907" s="127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127"/>
      <c r="O908" s="127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127"/>
      <c r="O909" s="127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127"/>
      <c r="O910" s="127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127"/>
      <c r="O911" s="127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127"/>
      <c r="O912" s="127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127"/>
      <c r="O913" s="127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127"/>
      <c r="O914" s="127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127"/>
      <c r="O915" s="127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127"/>
      <c r="O916" s="127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127"/>
      <c r="O917" s="127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127"/>
      <c r="O918" s="127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127"/>
      <c r="O919" s="127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127"/>
      <c r="O920" s="127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127"/>
      <c r="O921" s="127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127"/>
      <c r="O922" s="127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127"/>
      <c r="O923" s="127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127"/>
      <c r="O924" s="127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127"/>
      <c r="O925" s="127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127"/>
      <c r="O926" s="127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127"/>
      <c r="O927" s="127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127"/>
      <c r="O928" s="127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127"/>
      <c r="O929" s="127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127"/>
      <c r="O930" s="127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127"/>
      <c r="O931" s="127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127"/>
      <c r="O932" s="127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127"/>
      <c r="O933" s="127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127"/>
      <c r="O934" s="127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127"/>
      <c r="O935" s="127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127"/>
      <c r="O936" s="127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127"/>
      <c r="O937" s="127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127"/>
      <c r="O938" s="127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127"/>
      <c r="O939" s="127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127"/>
      <c r="O940" s="127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127"/>
      <c r="O941" s="127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127"/>
      <c r="O942" s="127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127"/>
      <c r="O943" s="127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127"/>
      <c r="O944" s="127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127"/>
      <c r="O945" s="127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127"/>
      <c r="O946" s="127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127"/>
      <c r="O947" s="127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127"/>
      <c r="O948" s="127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127"/>
      <c r="O949" s="127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127"/>
      <c r="O950" s="127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127"/>
      <c r="O951" s="127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127"/>
      <c r="O952" s="127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127"/>
      <c r="O953" s="127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127"/>
      <c r="O954" s="127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127"/>
      <c r="O955" s="127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127"/>
      <c r="O956" s="127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127"/>
      <c r="O957" s="127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127"/>
      <c r="O958" s="127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127"/>
      <c r="O959" s="127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127"/>
      <c r="O960" s="127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127"/>
      <c r="O961" s="127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127"/>
      <c r="O962" s="127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127"/>
      <c r="O963" s="127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127"/>
      <c r="O964" s="127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127"/>
      <c r="O965" s="127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127"/>
      <c r="O966" s="127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127"/>
      <c r="O967" s="127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127"/>
      <c r="O968" s="127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127"/>
      <c r="O969" s="127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127"/>
      <c r="O970" s="127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127"/>
      <c r="O971" s="127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127"/>
      <c r="O972" s="127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127"/>
      <c r="O973" s="127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127"/>
      <c r="O974" s="127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127"/>
      <c r="O975" s="127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127"/>
      <c r="O976" s="127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127"/>
      <c r="O977" s="127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127"/>
      <c r="O978" s="127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127"/>
      <c r="O979" s="127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127"/>
      <c r="O980" s="127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127"/>
      <c r="O981" s="127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127"/>
      <c r="O982" s="127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127"/>
      <c r="O983" s="127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127"/>
      <c r="O984" s="127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127"/>
      <c r="O985" s="127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127"/>
      <c r="O986" s="127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127"/>
      <c r="O987" s="127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127"/>
      <c r="O988" s="127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127"/>
      <c r="O989" s="127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127"/>
      <c r="O990" s="127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127"/>
      <c r="O991" s="127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127"/>
      <c r="O992" s="127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127"/>
      <c r="O993" s="127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127"/>
      <c r="O994" s="127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127"/>
      <c r="O995" s="127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127"/>
      <c r="O996" s="127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127"/>
      <c r="O997" s="127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127"/>
      <c r="O998" s="127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127"/>
      <c r="O999" s="127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127"/>
      <c r="O1000" s="127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3" width="8.71"/>
    <col customWidth="1" min="4" max="4" width="19.14"/>
    <col customWidth="1" min="5" max="11" width="10.71"/>
    <col customWidth="1" min="12" max="12" width="10.86"/>
    <col customWidth="1" min="13" max="13" width="11.14"/>
    <col customWidth="1" min="14" max="14" width="9.14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>
      <c r="A5" s="94" t="s">
        <v>119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</row>
    <row r="7" ht="15.0" customHeight="1">
      <c r="A7" s="80" t="s">
        <v>23</v>
      </c>
      <c r="B7" s="15" t="s">
        <v>24</v>
      </c>
      <c r="C7" s="81">
        <v>1.0</v>
      </c>
      <c r="D7" s="162" t="s">
        <v>120</v>
      </c>
      <c r="E7" s="84">
        <v>5.7</v>
      </c>
      <c r="F7" s="163" t="s">
        <v>26</v>
      </c>
      <c r="G7" s="163" t="s">
        <v>26</v>
      </c>
      <c r="H7" s="163" t="s">
        <v>26</v>
      </c>
      <c r="I7" s="163" t="s">
        <v>26</v>
      </c>
      <c r="J7" s="163" t="s">
        <v>26</v>
      </c>
      <c r="K7" s="84">
        <v>2.12</v>
      </c>
      <c r="L7" s="163" t="s">
        <v>26</v>
      </c>
      <c r="M7" s="84">
        <v>0.35</v>
      </c>
      <c r="N7" s="84">
        <v>2.01</v>
      </c>
      <c r="O7" s="163" t="s">
        <v>26</v>
      </c>
      <c r="P7" s="163" t="s">
        <v>26</v>
      </c>
      <c r="Q7" s="19">
        <f t="shared" ref="Q7:Q24" si="1">AVERAGE(E7,F7,G7,H7,I7,J7,K7,L7,M7,N7,O7,P7)</f>
        <v>2.545</v>
      </c>
      <c r="R7" s="17">
        <v>5.0</v>
      </c>
    </row>
    <row r="8">
      <c r="A8" s="20"/>
      <c r="B8" s="21"/>
      <c r="C8" s="22">
        <v>2.0</v>
      </c>
      <c r="D8" s="23" t="s">
        <v>121</v>
      </c>
      <c r="E8" s="24">
        <v>1.5</v>
      </c>
      <c r="F8" s="164" t="s">
        <v>26</v>
      </c>
      <c r="G8" s="164" t="s">
        <v>26</v>
      </c>
      <c r="H8" s="164" t="s">
        <v>26</v>
      </c>
      <c r="I8" s="164" t="s">
        <v>26</v>
      </c>
      <c r="J8" s="164" t="s">
        <v>26</v>
      </c>
      <c r="K8" s="24">
        <v>1.67</v>
      </c>
      <c r="L8" s="164" t="s">
        <v>26</v>
      </c>
      <c r="M8" s="24">
        <v>0.38</v>
      </c>
      <c r="N8" s="24">
        <v>2.0</v>
      </c>
      <c r="O8" s="164" t="s">
        <v>26</v>
      </c>
      <c r="P8" s="164" t="s">
        <v>26</v>
      </c>
      <c r="Q8" s="25">
        <f t="shared" si="1"/>
        <v>1.3875</v>
      </c>
      <c r="R8" s="23">
        <v>5.0</v>
      </c>
    </row>
    <row r="9">
      <c r="A9" s="20"/>
      <c r="B9" s="26"/>
      <c r="C9" s="22">
        <v>3.0</v>
      </c>
      <c r="D9" s="23" t="s">
        <v>122</v>
      </c>
      <c r="E9" s="24">
        <v>7.9</v>
      </c>
      <c r="F9" s="164" t="s">
        <v>26</v>
      </c>
      <c r="G9" s="164" t="s">
        <v>26</v>
      </c>
      <c r="H9" s="164" t="s">
        <v>26</v>
      </c>
      <c r="I9" s="164" t="s">
        <v>26</v>
      </c>
      <c r="J9" s="164" t="s">
        <v>26</v>
      </c>
      <c r="K9" s="24">
        <v>1.98</v>
      </c>
      <c r="L9" s="164" t="s">
        <v>26</v>
      </c>
      <c r="M9" s="24">
        <v>0.7</v>
      </c>
      <c r="N9" s="24">
        <v>1.56</v>
      </c>
      <c r="O9" s="164" t="s">
        <v>26</v>
      </c>
      <c r="P9" s="164" t="s">
        <v>26</v>
      </c>
      <c r="Q9" s="25">
        <f t="shared" si="1"/>
        <v>3.035</v>
      </c>
      <c r="R9" s="23">
        <v>5.0</v>
      </c>
    </row>
    <row r="10" ht="15.0" customHeight="1">
      <c r="A10" s="20"/>
      <c r="B10" s="15" t="s">
        <v>31</v>
      </c>
      <c r="C10" s="16">
        <v>1.0</v>
      </c>
      <c r="D10" s="162" t="s">
        <v>120</v>
      </c>
      <c r="E10" s="86">
        <v>23.0</v>
      </c>
      <c r="F10" s="163" t="s">
        <v>26</v>
      </c>
      <c r="G10" s="163" t="s">
        <v>26</v>
      </c>
      <c r="H10" s="163" t="s">
        <v>26</v>
      </c>
      <c r="I10" s="163" t="s">
        <v>26</v>
      </c>
      <c r="J10" s="163" t="s">
        <v>26</v>
      </c>
      <c r="K10" s="86">
        <v>16.0</v>
      </c>
      <c r="L10" s="163" t="s">
        <v>26</v>
      </c>
      <c r="M10" s="86">
        <v>75.0</v>
      </c>
      <c r="N10" s="86">
        <v>31.0</v>
      </c>
      <c r="O10" s="163" t="s">
        <v>26</v>
      </c>
      <c r="P10" s="163" t="s">
        <v>26</v>
      </c>
      <c r="Q10" s="28">
        <f t="shared" si="1"/>
        <v>36.25</v>
      </c>
      <c r="R10" s="17">
        <v>7.0</v>
      </c>
    </row>
    <row r="11">
      <c r="A11" s="20"/>
      <c r="B11" s="21"/>
      <c r="C11" s="22">
        <v>2.0</v>
      </c>
      <c r="D11" s="23" t="s">
        <v>121</v>
      </c>
      <c r="E11" s="29">
        <v>34.0</v>
      </c>
      <c r="F11" s="164" t="s">
        <v>26</v>
      </c>
      <c r="G11" s="164" t="s">
        <v>26</v>
      </c>
      <c r="H11" s="164" t="s">
        <v>26</v>
      </c>
      <c r="I11" s="164" t="s">
        <v>26</v>
      </c>
      <c r="J11" s="164" t="s">
        <v>26</v>
      </c>
      <c r="K11" s="29">
        <v>8.0</v>
      </c>
      <c r="L11" s="164" t="s">
        <v>26</v>
      </c>
      <c r="M11" s="29">
        <v>71.0</v>
      </c>
      <c r="N11" s="29">
        <v>20.0</v>
      </c>
      <c r="O11" s="164" t="s">
        <v>26</v>
      </c>
      <c r="P11" s="164" t="s">
        <v>26</v>
      </c>
      <c r="Q11" s="30">
        <f t="shared" si="1"/>
        <v>33.25</v>
      </c>
      <c r="R11" s="23">
        <v>7.0</v>
      </c>
    </row>
    <row r="12">
      <c r="A12" s="20"/>
      <c r="B12" s="26"/>
      <c r="C12" s="22">
        <v>3.0</v>
      </c>
      <c r="D12" s="23" t="s">
        <v>122</v>
      </c>
      <c r="E12" s="29">
        <v>16.0</v>
      </c>
      <c r="F12" s="164" t="s">
        <v>26</v>
      </c>
      <c r="G12" s="164" t="s">
        <v>26</v>
      </c>
      <c r="H12" s="164" t="s">
        <v>26</v>
      </c>
      <c r="I12" s="164" t="s">
        <v>26</v>
      </c>
      <c r="J12" s="164" t="s">
        <v>26</v>
      </c>
      <c r="K12" s="29">
        <v>32.0</v>
      </c>
      <c r="L12" s="164" t="s">
        <v>26</v>
      </c>
      <c r="M12" s="29">
        <v>29.0</v>
      </c>
      <c r="N12" s="29">
        <v>7.0</v>
      </c>
      <c r="O12" s="164" t="s">
        <v>26</v>
      </c>
      <c r="P12" s="164" t="s">
        <v>26</v>
      </c>
      <c r="Q12" s="30">
        <f t="shared" si="1"/>
        <v>21</v>
      </c>
      <c r="R12" s="23">
        <v>7.0</v>
      </c>
    </row>
    <row r="13" ht="15.0" customHeight="1">
      <c r="A13" s="20"/>
      <c r="B13" s="15" t="s">
        <v>32</v>
      </c>
      <c r="C13" s="16">
        <v>1.0</v>
      </c>
      <c r="D13" s="162" t="s">
        <v>120</v>
      </c>
      <c r="E13" s="86">
        <v>27.0</v>
      </c>
      <c r="F13" s="163" t="s">
        <v>26</v>
      </c>
      <c r="G13" s="163" t="s">
        <v>26</v>
      </c>
      <c r="H13" s="163" t="s">
        <v>26</v>
      </c>
      <c r="I13" s="163" t="s">
        <v>26</v>
      </c>
      <c r="J13" s="163" t="s">
        <v>26</v>
      </c>
      <c r="K13" s="86">
        <v>60.0</v>
      </c>
      <c r="L13" s="163" t="s">
        <v>26</v>
      </c>
      <c r="M13" s="86">
        <v>49.0</v>
      </c>
      <c r="N13" s="88">
        <v>74.0</v>
      </c>
      <c r="O13" s="163" t="s">
        <v>26</v>
      </c>
      <c r="P13" s="163" t="s">
        <v>26</v>
      </c>
      <c r="Q13" s="28">
        <f t="shared" si="1"/>
        <v>52.5</v>
      </c>
      <c r="R13" s="17">
        <v>80.0</v>
      </c>
    </row>
    <row r="14">
      <c r="A14" s="20"/>
      <c r="B14" s="21"/>
      <c r="C14" s="22">
        <v>2.0</v>
      </c>
      <c r="D14" s="23" t="s">
        <v>121</v>
      </c>
      <c r="E14" s="29">
        <v>30.0</v>
      </c>
      <c r="F14" s="164" t="s">
        <v>26</v>
      </c>
      <c r="G14" s="164" t="s">
        <v>26</v>
      </c>
      <c r="H14" s="164" t="s">
        <v>26</v>
      </c>
      <c r="I14" s="164" t="s">
        <v>26</v>
      </c>
      <c r="J14" s="164" t="s">
        <v>26</v>
      </c>
      <c r="K14" s="29">
        <v>53.0</v>
      </c>
      <c r="L14" s="164" t="s">
        <v>26</v>
      </c>
      <c r="M14" s="29">
        <v>64.0</v>
      </c>
      <c r="N14" s="36">
        <v>53.0</v>
      </c>
      <c r="O14" s="164" t="s">
        <v>26</v>
      </c>
      <c r="P14" s="164" t="s">
        <v>26</v>
      </c>
      <c r="Q14" s="30">
        <f t="shared" si="1"/>
        <v>50</v>
      </c>
      <c r="R14" s="23">
        <v>80.0</v>
      </c>
    </row>
    <row r="15">
      <c r="A15" s="20"/>
      <c r="B15" s="26"/>
      <c r="C15" s="22">
        <v>3.0</v>
      </c>
      <c r="D15" s="23" t="s">
        <v>122</v>
      </c>
      <c r="E15" s="29">
        <v>18.0</v>
      </c>
      <c r="F15" s="164" t="s">
        <v>26</v>
      </c>
      <c r="G15" s="164" t="s">
        <v>26</v>
      </c>
      <c r="H15" s="164" t="s">
        <v>26</v>
      </c>
      <c r="I15" s="164" t="s">
        <v>26</v>
      </c>
      <c r="J15" s="164" t="s">
        <v>26</v>
      </c>
      <c r="K15" s="29">
        <v>31.0</v>
      </c>
      <c r="L15" s="164" t="s">
        <v>26</v>
      </c>
      <c r="M15" s="29">
        <v>24.0</v>
      </c>
      <c r="N15" s="36">
        <v>110.0</v>
      </c>
      <c r="O15" s="164" t="s">
        <v>26</v>
      </c>
      <c r="P15" s="164" t="s">
        <v>26</v>
      </c>
      <c r="Q15" s="30">
        <f t="shared" si="1"/>
        <v>45.75</v>
      </c>
      <c r="R15" s="23">
        <v>80.0</v>
      </c>
    </row>
    <row r="16">
      <c r="A16" s="20"/>
      <c r="B16" s="15" t="s">
        <v>33</v>
      </c>
      <c r="C16" s="16">
        <v>1.0</v>
      </c>
      <c r="D16" s="162" t="s">
        <v>120</v>
      </c>
      <c r="E16" s="84">
        <v>7.39</v>
      </c>
      <c r="F16" s="163" t="s">
        <v>26</v>
      </c>
      <c r="G16" s="163" t="s">
        <v>26</v>
      </c>
      <c r="H16" s="163" t="s">
        <v>26</v>
      </c>
      <c r="I16" s="163" t="s">
        <v>26</v>
      </c>
      <c r="J16" s="163" t="s">
        <v>26</v>
      </c>
      <c r="K16" s="84">
        <v>7.36</v>
      </c>
      <c r="L16" s="163" t="s">
        <v>26</v>
      </c>
      <c r="M16" s="84">
        <v>7.61</v>
      </c>
      <c r="N16" s="165">
        <v>7.38</v>
      </c>
      <c r="O16" s="163" t="s">
        <v>26</v>
      </c>
      <c r="P16" s="163" t="s">
        <v>26</v>
      </c>
      <c r="Q16" s="19">
        <f t="shared" si="1"/>
        <v>7.435</v>
      </c>
      <c r="R16" s="18" t="s">
        <v>34</v>
      </c>
    </row>
    <row r="17">
      <c r="A17" s="20"/>
      <c r="B17" s="21"/>
      <c r="C17" s="22">
        <v>2.0</v>
      </c>
      <c r="D17" s="23" t="s">
        <v>121</v>
      </c>
      <c r="E17" s="24">
        <v>7.54</v>
      </c>
      <c r="F17" s="164" t="s">
        <v>26</v>
      </c>
      <c r="G17" s="164" t="s">
        <v>26</v>
      </c>
      <c r="H17" s="164" t="s">
        <v>26</v>
      </c>
      <c r="I17" s="164" t="s">
        <v>26</v>
      </c>
      <c r="J17" s="164" t="s">
        <v>26</v>
      </c>
      <c r="K17" s="24">
        <v>7.38</v>
      </c>
      <c r="L17" s="164" t="s">
        <v>26</v>
      </c>
      <c r="M17" s="24">
        <v>7.53</v>
      </c>
      <c r="N17" s="166">
        <v>7.54</v>
      </c>
      <c r="O17" s="164" t="s">
        <v>26</v>
      </c>
      <c r="P17" s="164" t="s">
        <v>26</v>
      </c>
      <c r="Q17" s="25">
        <f t="shared" si="1"/>
        <v>7.4975</v>
      </c>
      <c r="R17" s="24" t="s">
        <v>34</v>
      </c>
    </row>
    <row r="18">
      <c r="A18" s="20"/>
      <c r="B18" s="26"/>
      <c r="C18" s="22">
        <v>3.0</v>
      </c>
      <c r="D18" s="23" t="s">
        <v>122</v>
      </c>
      <c r="E18" s="24">
        <v>7.18</v>
      </c>
      <c r="F18" s="164" t="s">
        <v>26</v>
      </c>
      <c r="G18" s="164" t="s">
        <v>26</v>
      </c>
      <c r="H18" s="164" t="s">
        <v>26</v>
      </c>
      <c r="I18" s="164" t="s">
        <v>26</v>
      </c>
      <c r="J18" s="164" t="s">
        <v>26</v>
      </c>
      <c r="K18" s="24">
        <v>7.21</v>
      </c>
      <c r="L18" s="164" t="s">
        <v>26</v>
      </c>
      <c r="M18" s="24">
        <v>7.55</v>
      </c>
      <c r="N18" s="166">
        <v>7.56</v>
      </c>
      <c r="O18" s="164" t="s">
        <v>26</v>
      </c>
      <c r="P18" s="164" t="s">
        <v>26</v>
      </c>
      <c r="Q18" s="25">
        <f t="shared" si="1"/>
        <v>7.375</v>
      </c>
      <c r="R18" s="24" t="s">
        <v>34</v>
      </c>
    </row>
    <row r="19" ht="15.0" customHeight="1">
      <c r="A19" s="20"/>
      <c r="B19" s="15" t="s">
        <v>123</v>
      </c>
      <c r="C19" s="16">
        <v>1.0</v>
      </c>
      <c r="D19" s="162" t="s">
        <v>120</v>
      </c>
      <c r="E19" s="84">
        <v>28.43</v>
      </c>
      <c r="F19" s="163" t="s">
        <v>26</v>
      </c>
      <c r="G19" s="163" t="s">
        <v>26</v>
      </c>
      <c r="H19" s="163" t="s">
        <v>26</v>
      </c>
      <c r="I19" s="163" t="s">
        <v>26</v>
      </c>
      <c r="J19" s="163" t="s">
        <v>26</v>
      </c>
      <c r="K19" s="163">
        <v>30.9</v>
      </c>
      <c r="L19" s="163" t="s">
        <v>26</v>
      </c>
      <c r="M19" s="84">
        <v>31.1</v>
      </c>
      <c r="N19" s="84">
        <v>30.2</v>
      </c>
      <c r="O19" s="163" t="s">
        <v>26</v>
      </c>
      <c r="P19" s="163" t="s">
        <v>26</v>
      </c>
      <c r="Q19" s="19">
        <f t="shared" si="1"/>
        <v>30.1575</v>
      </c>
      <c r="R19" s="18" t="s">
        <v>36</v>
      </c>
    </row>
    <row r="20">
      <c r="A20" s="20"/>
      <c r="B20" s="21"/>
      <c r="C20" s="22">
        <v>2.0</v>
      </c>
      <c r="D20" s="23" t="s">
        <v>121</v>
      </c>
      <c r="E20" s="24">
        <v>28.95</v>
      </c>
      <c r="F20" s="164" t="s">
        <v>26</v>
      </c>
      <c r="G20" s="164" t="s">
        <v>26</v>
      </c>
      <c r="H20" s="164" t="s">
        <v>26</v>
      </c>
      <c r="I20" s="164" t="s">
        <v>26</v>
      </c>
      <c r="J20" s="164" t="s">
        <v>26</v>
      </c>
      <c r="K20" s="164">
        <v>31.6</v>
      </c>
      <c r="L20" s="164" t="s">
        <v>26</v>
      </c>
      <c r="M20" s="24">
        <v>31.1</v>
      </c>
      <c r="N20" s="24">
        <v>30.9</v>
      </c>
      <c r="O20" s="164" t="s">
        <v>26</v>
      </c>
      <c r="P20" s="164" t="s">
        <v>26</v>
      </c>
      <c r="Q20" s="25">
        <f t="shared" si="1"/>
        <v>30.6375</v>
      </c>
      <c r="R20" s="24" t="s">
        <v>36</v>
      </c>
    </row>
    <row r="21" ht="15.75" customHeight="1">
      <c r="A21" s="20"/>
      <c r="B21" s="26"/>
      <c r="C21" s="22">
        <v>3.0</v>
      </c>
      <c r="D21" s="23" t="s">
        <v>122</v>
      </c>
      <c r="E21" s="24">
        <v>31.6</v>
      </c>
      <c r="F21" s="164" t="s">
        <v>26</v>
      </c>
      <c r="G21" s="164" t="s">
        <v>26</v>
      </c>
      <c r="H21" s="164" t="s">
        <v>26</v>
      </c>
      <c r="I21" s="164" t="s">
        <v>26</v>
      </c>
      <c r="J21" s="164" t="s">
        <v>26</v>
      </c>
      <c r="K21" s="164">
        <v>33.2</v>
      </c>
      <c r="L21" s="164" t="s">
        <v>26</v>
      </c>
      <c r="M21" s="24">
        <v>32.0</v>
      </c>
      <c r="N21" s="24">
        <v>32.0</v>
      </c>
      <c r="O21" s="164" t="s">
        <v>26</v>
      </c>
      <c r="P21" s="164" t="s">
        <v>26</v>
      </c>
      <c r="Q21" s="25">
        <f t="shared" si="1"/>
        <v>32.2</v>
      </c>
      <c r="R21" s="24" t="s">
        <v>36</v>
      </c>
    </row>
    <row r="22" ht="15.0" customHeight="1">
      <c r="A22" s="20"/>
      <c r="B22" s="15" t="s">
        <v>37</v>
      </c>
      <c r="C22" s="16">
        <v>1.0</v>
      </c>
      <c r="D22" s="162" t="s">
        <v>120</v>
      </c>
      <c r="E22" s="86">
        <v>50.0</v>
      </c>
      <c r="F22" s="163" t="s">
        <v>26</v>
      </c>
      <c r="G22" s="163" t="s">
        <v>26</v>
      </c>
      <c r="H22" s="163" t="s">
        <v>26</v>
      </c>
      <c r="I22" s="163" t="s">
        <v>26</v>
      </c>
      <c r="J22" s="163" t="s">
        <v>26</v>
      </c>
      <c r="K22" s="86">
        <v>100.0</v>
      </c>
      <c r="L22" s="163" t="s">
        <v>26</v>
      </c>
      <c r="M22" s="86">
        <v>130.0</v>
      </c>
      <c r="N22" s="88">
        <v>125.0</v>
      </c>
      <c r="O22" s="163" t="s">
        <v>26</v>
      </c>
      <c r="P22" s="163" t="s">
        <v>26</v>
      </c>
      <c r="Q22" s="28">
        <f t="shared" si="1"/>
        <v>101.25</v>
      </c>
      <c r="R22" s="17">
        <v>75.0</v>
      </c>
    </row>
    <row r="23" ht="15.75" customHeight="1">
      <c r="A23" s="20"/>
      <c r="B23" s="21"/>
      <c r="C23" s="22">
        <v>2.0</v>
      </c>
      <c r="D23" s="23" t="s">
        <v>121</v>
      </c>
      <c r="E23" s="29">
        <v>80.0</v>
      </c>
      <c r="F23" s="164" t="s">
        <v>26</v>
      </c>
      <c r="G23" s="164" t="s">
        <v>26</v>
      </c>
      <c r="H23" s="164" t="s">
        <v>26</v>
      </c>
      <c r="I23" s="164" t="s">
        <v>26</v>
      </c>
      <c r="J23" s="164" t="s">
        <v>26</v>
      </c>
      <c r="K23" s="29">
        <v>50.0</v>
      </c>
      <c r="L23" s="164" t="s">
        <v>26</v>
      </c>
      <c r="M23" s="29">
        <v>130.0</v>
      </c>
      <c r="N23" s="36">
        <v>125.0</v>
      </c>
      <c r="O23" s="164" t="s">
        <v>26</v>
      </c>
      <c r="P23" s="164" t="s">
        <v>26</v>
      </c>
      <c r="Q23" s="30">
        <f t="shared" si="1"/>
        <v>96.25</v>
      </c>
      <c r="R23" s="23">
        <v>75.0</v>
      </c>
    </row>
    <row r="24" ht="15.75" customHeight="1">
      <c r="A24" s="20"/>
      <c r="B24" s="26"/>
      <c r="C24" s="22">
        <v>3.0</v>
      </c>
      <c r="D24" s="23" t="s">
        <v>122</v>
      </c>
      <c r="E24" s="29">
        <v>40.0</v>
      </c>
      <c r="F24" s="164" t="s">
        <v>26</v>
      </c>
      <c r="G24" s="164" t="s">
        <v>26</v>
      </c>
      <c r="H24" s="164" t="s">
        <v>26</v>
      </c>
      <c r="I24" s="164" t="s">
        <v>26</v>
      </c>
      <c r="J24" s="164" t="s">
        <v>26</v>
      </c>
      <c r="K24" s="29">
        <v>30.0</v>
      </c>
      <c r="L24" s="164" t="s">
        <v>26</v>
      </c>
      <c r="M24" s="29">
        <v>50.0</v>
      </c>
      <c r="N24" s="36">
        <v>70.0</v>
      </c>
      <c r="O24" s="164" t="s">
        <v>26</v>
      </c>
      <c r="P24" s="164" t="s">
        <v>26</v>
      </c>
      <c r="Q24" s="30">
        <f t="shared" si="1"/>
        <v>47.5</v>
      </c>
      <c r="R24" s="23">
        <v>75.0</v>
      </c>
    </row>
    <row r="25" ht="15.0" customHeight="1">
      <c r="A25" s="20"/>
      <c r="B25" s="15" t="s">
        <v>38</v>
      </c>
      <c r="C25" s="16">
        <v>1.0</v>
      </c>
      <c r="D25" s="162" t="s">
        <v>120</v>
      </c>
      <c r="E25" s="88">
        <v>240000.0</v>
      </c>
      <c r="F25" s="163" t="s">
        <v>26</v>
      </c>
      <c r="G25" s="163" t="s">
        <v>26</v>
      </c>
      <c r="H25" s="163" t="s">
        <v>26</v>
      </c>
      <c r="I25" s="163" t="s">
        <v>26</v>
      </c>
      <c r="J25" s="163" t="s">
        <v>26</v>
      </c>
      <c r="K25" s="87">
        <v>240000.0</v>
      </c>
      <c r="L25" s="163" t="s">
        <v>26</v>
      </c>
      <c r="M25" s="88">
        <v>350000.0</v>
      </c>
      <c r="N25" s="88">
        <v>130000.0</v>
      </c>
      <c r="O25" s="163" t="s">
        <v>26</v>
      </c>
      <c r="P25" s="163" t="s">
        <v>26</v>
      </c>
      <c r="Q25" s="33">
        <f t="shared" ref="Q25:Q27" si="2">GEOMEAN(E25,F25,G25,H25,I25,J25,K25,L25,M25,N25,O25,P25)</f>
        <v>226260.358</v>
      </c>
      <c r="R25" s="17">
        <v>200.0</v>
      </c>
      <c r="S25" s="34">
        <f>GEOMEAN(Q25:Q27)</f>
        <v>209438.6263</v>
      </c>
    </row>
    <row r="26" ht="15.75" customHeight="1">
      <c r="A26" s="20"/>
      <c r="B26" s="21"/>
      <c r="C26" s="22">
        <v>2.0</v>
      </c>
      <c r="D26" s="23" t="s">
        <v>121</v>
      </c>
      <c r="E26" s="36">
        <v>170000.0</v>
      </c>
      <c r="F26" s="164" t="s">
        <v>26</v>
      </c>
      <c r="G26" s="164" t="s">
        <v>26</v>
      </c>
      <c r="H26" s="164" t="s">
        <v>26</v>
      </c>
      <c r="I26" s="164" t="s">
        <v>26</v>
      </c>
      <c r="J26" s="164" t="s">
        <v>26</v>
      </c>
      <c r="K26" s="35">
        <v>350000.0</v>
      </c>
      <c r="L26" s="164" t="s">
        <v>26</v>
      </c>
      <c r="M26" s="36">
        <v>920000.0</v>
      </c>
      <c r="N26" s="36">
        <v>220000.0</v>
      </c>
      <c r="O26" s="164" t="s">
        <v>26</v>
      </c>
      <c r="P26" s="164" t="s">
        <v>26</v>
      </c>
      <c r="Q26" s="37">
        <f t="shared" si="2"/>
        <v>331269.8175</v>
      </c>
      <c r="R26" s="23">
        <v>200.0</v>
      </c>
    </row>
    <row r="27" ht="15.75" customHeight="1">
      <c r="A27" s="20"/>
      <c r="B27" s="26"/>
      <c r="C27" s="22">
        <v>3.0</v>
      </c>
      <c r="D27" s="23" t="s">
        <v>122</v>
      </c>
      <c r="E27" s="36">
        <v>140000.0</v>
      </c>
      <c r="F27" s="164" t="s">
        <v>26</v>
      </c>
      <c r="G27" s="164" t="s">
        <v>26</v>
      </c>
      <c r="H27" s="164" t="s">
        <v>26</v>
      </c>
      <c r="I27" s="164" t="s">
        <v>26</v>
      </c>
      <c r="J27" s="164" t="s">
        <v>26</v>
      </c>
      <c r="K27" s="35">
        <v>350000.0</v>
      </c>
      <c r="L27" s="164" t="s">
        <v>26</v>
      </c>
      <c r="M27" s="36">
        <v>49000.0</v>
      </c>
      <c r="N27" s="36">
        <v>94000.0</v>
      </c>
      <c r="O27" s="164" t="s">
        <v>26</v>
      </c>
      <c r="P27" s="164" t="s">
        <v>26</v>
      </c>
      <c r="Q27" s="37">
        <f t="shared" si="2"/>
        <v>122568.8195</v>
      </c>
      <c r="R27" s="23">
        <v>200.0</v>
      </c>
    </row>
    <row r="28" ht="15.0" customHeight="1">
      <c r="A28" s="20"/>
      <c r="B28" s="15" t="s">
        <v>124</v>
      </c>
      <c r="C28" s="16">
        <v>1.0</v>
      </c>
      <c r="D28" s="162" t="s">
        <v>120</v>
      </c>
      <c r="E28" s="90">
        <v>0.756</v>
      </c>
      <c r="F28" s="163" t="s">
        <v>26</v>
      </c>
      <c r="G28" s="163" t="s">
        <v>26</v>
      </c>
      <c r="H28" s="163" t="s">
        <v>26</v>
      </c>
      <c r="I28" s="163" t="s">
        <v>26</v>
      </c>
      <c r="J28" s="163" t="s">
        <v>26</v>
      </c>
      <c r="K28" s="90">
        <v>1.0</v>
      </c>
      <c r="L28" s="163" t="s">
        <v>26</v>
      </c>
      <c r="M28" s="90">
        <v>0.112</v>
      </c>
      <c r="N28" s="90">
        <v>2.514</v>
      </c>
      <c r="O28" s="163" t="s">
        <v>26</v>
      </c>
      <c r="P28" s="163" t="s">
        <v>26</v>
      </c>
      <c r="Q28" s="40">
        <f t="shared" ref="Q28:Q36" si="3">AVERAGE(E28,F28,G28,H28,I28,J28,K28,L28,M28,N28,O28,P28)</f>
        <v>1.0955</v>
      </c>
      <c r="R28" s="17">
        <v>7.0</v>
      </c>
    </row>
    <row r="29" ht="15.75" customHeight="1">
      <c r="A29" s="20"/>
      <c r="B29" s="21"/>
      <c r="C29" s="22">
        <v>2.0</v>
      </c>
      <c r="D29" s="23" t="s">
        <v>121</v>
      </c>
      <c r="E29" s="41">
        <v>0.12</v>
      </c>
      <c r="F29" s="164" t="s">
        <v>26</v>
      </c>
      <c r="G29" s="164" t="s">
        <v>26</v>
      </c>
      <c r="H29" s="164" t="s">
        <v>26</v>
      </c>
      <c r="I29" s="164" t="s">
        <v>26</v>
      </c>
      <c r="J29" s="164" t="s">
        <v>26</v>
      </c>
      <c r="K29" s="41">
        <v>0.294</v>
      </c>
      <c r="L29" s="164" t="s">
        <v>26</v>
      </c>
      <c r="M29" s="41">
        <v>0.52</v>
      </c>
      <c r="N29" s="41">
        <v>2.676</v>
      </c>
      <c r="O29" s="164" t="s">
        <v>26</v>
      </c>
      <c r="P29" s="164" t="s">
        <v>26</v>
      </c>
      <c r="Q29" s="42">
        <f t="shared" si="3"/>
        <v>0.9025</v>
      </c>
      <c r="R29" s="23">
        <v>7.0</v>
      </c>
    </row>
    <row r="30" ht="15.75" customHeight="1">
      <c r="A30" s="20"/>
      <c r="B30" s="26"/>
      <c r="C30" s="22">
        <v>3.0</v>
      </c>
      <c r="D30" s="23" t="s">
        <v>122</v>
      </c>
      <c r="E30" s="41">
        <v>1.32</v>
      </c>
      <c r="F30" s="164" t="s">
        <v>26</v>
      </c>
      <c r="G30" s="164" t="s">
        <v>26</v>
      </c>
      <c r="H30" s="164" t="s">
        <v>26</v>
      </c>
      <c r="I30" s="164" t="s">
        <v>26</v>
      </c>
      <c r="J30" s="164" t="s">
        <v>26</v>
      </c>
      <c r="K30" s="41">
        <v>0.254</v>
      </c>
      <c r="L30" s="164" t="s">
        <v>26</v>
      </c>
      <c r="M30" s="41">
        <v>1.827</v>
      </c>
      <c r="N30" s="41">
        <v>3.59</v>
      </c>
      <c r="O30" s="164" t="s">
        <v>26</v>
      </c>
      <c r="P30" s="164" t="s">
        <v>26</v>
      </c>
      <c r="Q30" s="42">
        <f t="shared" si="3"/>
        <v>1.74775</v>
      </c>
      <c r="R30" s="23">
        <v>7.0</v>
      </c>
    </row>
    <row r="31" ht="15.0" customHeight="1">
      <c r="A31" s="20"/>
      <c r="B31" s="15" t="s">
        <v>125</v>
      </c>
      <c r="C31" s="16">
        <v>1.0</v>
      </c>
      <c r="D31" s="162" t="s">
        <v>120</v>
      </c>
      <c r="E31" s="90">
        <v>4.758</v>
      </c>
      <c r="F31" s="163" t="s">
        <v>26</v>
      </c>
      <c r="G31" s="163" t="s">
        <v>26</v>
      </c>
      <c r="H31" s="163" t="s">
        <v>26</v>
      </c>
      <c r="I31" s="163" t="s">
        <v>26</v>
      </c>
      <c r="J31" s="163" t="s">
        <v>26</v>
      </c>
      <c r="K31" s="90">
        <v>2.907</v>
      </c>
      <c r="L31" s="163" t="s">
        <v>26</v>
      </c>
      <c r="M31" s="90">
        <v>3.131</v>
      </c>
      <c r="N31" s="90">
        <v>1.653</v>
      </c>
      <c r="O31" s="163" t="s">
        <v>26</v>
      </c>
      <c r="P31" s="163" t="s">
        <v>26</v>
      </c>
      <c r="Q31" s="40">
        <f t="shared" si="3"/>
        <v>3.11225</v>
      </c>
      <c r="R31" s="17">
        <v>0.5</v>
      </c>
    </row>
    <row r="32" ht="15.75" customHeight="1">
      <c r="A32" s="20"/>
      <c r="B32" s="21"/>
      <c r="C32" s="22">
        <v>2.0</v>
      </c>
      <c r="D32" s="23" t="s">
        <v>121</v>
      </c>
      <c r="E32" s="41">
        <v>5.908</v>
      </c>
      <c r="F32" s="164" t="s">
        <v>26</v>
      </c>
      <c r="G32" s="164" t="s">
        <v>26</v>
      </c>
      <c r="H32" s="164" t="s">
        <v>26</v>
      </c>
      <c r="I32" s="164" t="s">
        <v>26</v>
      </c>
      <c r="J32" s="164" t="s">
        <v>26</v>
      </c>
      <c r="K32" s="41">
        <v>2.728</v>
      </c>
      <c r="L32" s="164" t="s">
        <v>26</v>
      </c>
      <c r="M32" s="41">
        <v>1.737</v>
      </c>
      <c r="N32" s="41">
        <v>1.262</v>
      </c>
      <c r="O32" s="164" t="s">
        <v>26</v>
      </c>
      <c r="P32" s="164" t="s">
        <v>26</v>
      </c>
      <c r="Q32" s="42">
        <f t="shared" si="3"/>
        <v>2.90875</v>
      </c>
      <c r="R32" s="23">
        <v>0.5</v>
      </c>
    </row>
    <row r="33" ht="15.75" customHeight="1">
      <c r="A33" s="20"/>
      <c r="B33" s="26"/>
      <c r="C33" s="22">
        <v>3.0</v>
      </c>
      <c r="D33" s="23" t="s">
        <v>122</v>
      </c>
      <c r="E33" s="41">
        <v>3.852</v>
      </c>
      <c r="F33" s="164" t="s">
        <v>26</v>
      </c>
      <c r="G33" s="164" t="s">
        <v>26</v>
      </c>
      <c r="H33" s="164" t="s">
        <v>26</v>
      </c>
      <c r="I33" s="164" t="s">
        <v>26</v>
      </c>
      <c r="J33" s="164" t="s">
        <v>26</v>
      </c>
      <c r="K33" s="41">
        <v>1.865</v>
      </c>
      <c r="L33" s="164" t="s">
        <v>26</v>
      </c>
      <c r="M33" s="41">
        <v>1.475</v>
      </c>
      <c r="N33" s="41">
        <v>1.459</v>
      </c>
      <c r="O33" s="164" t="s">
        <v>26</v>
      </c>
      <c r="P33" s="164" t="s">
        <v>26</v>
      </c>
      <c r="Q33" s="42">
        <f t="shared" si="3"/>
        <v>2.16275</v>
      </c>
      <c r="R33" s="23">
        <v>0.5</v>
      </c>
    </row>
    <row r="34" ht="15.0" customHeight="1">
      <c r="A34" s="20"/>
      <c r="B34" s="15" t="s">
        <v>42</v>
      </c>
      <c r="C34" s="16">
        <v>1.0</v>
      </c>
      <c r="D34" s="162" t="s">
        <v>120</v>
      </c>
      <c r="E34" s="86">
        <v>18.6</v>
      </c>
      <c r="F34" s="163" t="s">
        <v>26</v>
      </c>
      <c r="G34" s="163" t="s">
        <v>26</v>
      </c>
      <c r="H34" s="163" t="s">
        <v>26</v>
      </c>
      <c r="I34" s="163" t="s">
        <v>26</v>
      </c>
      <c r="J34" s="163" t="s">
        <v>26</v>
      </c>
      <c r="K34" s="86">
        <v>16.0</v>
      </c>
      <c r="L34" s="163" t="s">
        <v>26</v>
      </c>
      <c r="M34" s="86">
        <v>42.0</v>
      </c>
      <c r="N34" s="88">
        <v>52.0</v>
      </c>
      <c r="O34" s="163" t="s">
        <v>26</v>
      </c>
      <c r="P34" s="163" t="s">
        <v>26</v>
      </c>
      <c r="Q34" s="28">
        <f t="shared" si="3"/>
        <v>32.15</v>
      </c>
      <c r="R34" s="17">
        <v>350.0</v>
      </c>
    </row>
    <row r="35" ht="15.75" customHeight="1">
      <c r="A35" s="20"/>
      <c r="B35" s="21"/>
      <c r="C35" s="22">
        <v>2.0</v>
      </c>
      <c r="D35" s="23" t="s">
        <v>121</v>
      </c>
      <c r="E35" s="29">
        <v>24.2</v>
      </c>
      <c r="F35" s="164" t="s">
        <v>26</v>
      </c>
      <c r="G35" s="164" t="s">
        <v>26</v>
      </c>
      <c r="H35" s="164" t="s">
        <v>26</v>
      </c>
      <c r="I35" s="164" t="s">
        <v>26</v>
      </c>
      <c r="J35" s="164" t="s">
        <v>26</v>
      </c>
      <c r="K35" s="29">
        <v>20.0</v>
      </c>
      <c r="L35" s="164" t="s">
        <v>26</v>
      </c>
      <c r="M35" s="29">
        <v>39.0</v>
      </c>
      <c r="N35" s="36">
        <v>47.0</v>
      </c>
      <c r="O35" s="164" t="s">
        <v>26</v>
      </c>
      <c r="P35" s="164" t="s">
        <v>26</v>
      </c>
      <c r="Q35" s="30">
        <f t="shared" si="3"/>
        <v>32.55</v>
      </c>
      <c r="R35" s="23">
        <v>350.0</v>
      </c>
    </row>
    <row r="36" ht="15.75" customHeight="1">
      <c r="A36" s="20"/>
      <c r="B36" s="26"/>
      <c r="C36" s="22">
        <v>3.0</v>
      </c>
      <c r="D36" s="23" t="s">
        <v>122</v>
      </c>
      <c r="E36" s="29">
        <v>30.2</v>
      </c>
      <c r="F36" s="164" t="s">
        <v>26</v>
      </c>
      <c r="G36" s="164" t="s">
        <v>26</v>
      </c>
      <c r="H36" s="164" t="s">
        <v>26</v>
      </c>
      <c r="I36" s="164" t="s">
        <v>26</v>
      </c>
      <c r="J36" s="164" t="s">
        <v>26</v>
      </c>
      <c r="K36" s="29">
        <v>26.0</v>
      </c>
      <c r="L36" s="164" t="s">
        <v>26</v>
      </c>
      <c r="M36" s="29">
        <v>31.0</v>
      </c>
      <c r="N36" s="36">
        <v>19.0</v>
      </c>
      <c r="O36" s="164" t="s">
        <v>26</v>
      </c>
      <c r="P36" s="164" t="s">
        <v>26</v>
      </c>
      <c r="Q36" s="30">
        <f t="shared" si="3"/>
        <v>26.55</v>
      </c>
      <c r="R36" s="23">
        <v>350.0</v>
      </c>
    </row>
    <row r="37" ht="15.75" customHeight="1">
      <c r="Q37" s="72"/>
      <c r="R37" s="72"/>
    </row>
    <row r="38" ht="15.75" customHeight="1">
      <c r="A38" s="91" t="s">
        <v>43</v>
      </c>
      <c r="Q38" s="72"/>
      <c r="R38" s="7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7.71"/>
    <col customWidth="1" min="5" max="6" width="10.71"/>
    <col customWidth="1" min="7" max="7" width="12.86"/>
    <col customWidth="1" min="8" max="11" width="10.71"/>
    <col customWidth="1" min="12" max="12" width="10.0"/>
    <col customWidth="1" min="13" max="13" width="11.14"/>
    <col customWidth="1" min="14" max="14" width="16.43"/>
    <col customWidth="1" min="15" max="15" width="10.86"/>
    <col customWidth="1" min="16" max="16" width="12.0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126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54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60" t="s">
        <v>127</v>
      </c>
      <c r="E7" s="18" t="s">
        <v>26</v>
      </c>
      <c r="F7" s="18">
        <v>3.8</v>
      </c>
      <c r="G7" s="18">
        <v>2.2</v>
      </c>
      <c r="H7" s="18" t="s">
        <v>26</v>
      </c>
      <c r="I7" s="18" t="s">
        <v>26</v>
      </c>
      <c r="J7" s="18" t="s">
        <v>26</v>
      </c>
      <c r="K7" s="18" t="s">
        <v>26</v>
      </c>
      <c r="L7" s="18">
        <v>2.18</v>
      </c>
      <c r="M7" s="18">
        <v>3.22</v>
      </c>
      <c r="N7" s="18">
        <v>1.49</v>
      </c>
      <c r="O7" s="18" t="s">
        <v>26</v>
      </c>
      <c r="P7" s="18" t="s">
        <v>26</v>
      </c>
      <c r="Q7" s="19">
        <f t="shared" ref="Q7:Q24" si="1">AVERAGE(E7,F7,G7,H7,I7,J7,K7,L7,M7,N7,O7,P7)</f>
        <v>2.578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61" t="s">
        <v>128</v>
      </c>
      <c r="E8" s="24" t="s">
        <v>26</v>
      </c>
      <c r="F8" s="24">
        <v>4.01</v>
      </c>
      <c r="G8" s="24">
        <v>1.83</v>
      </c>
      <c r="H8" s="24" t="s">
        <v>26</v>
      </c>
      <c r="I8" s="24" t="s">
        <v>26</v>
      </c>
      <c r="J8" s="24" t="s">
        <v>26</v>
      </c>
      <c r="K8" s="24" t="s">
        <v>26</v>
      </c>
      <c r="L8" s="24">
        <v>1.65</v>
      </c>
      <c r="M8" s="24">
        <v>3.27</v>
      </c>
      <c r="N8" s="24">
        <v>2.22</v>
      </c>
      <c r="O8" s="24" t="s">
        <v>26</v>
      </c>
      <c r="P8" s="24" t="s">
        <v>26</v>
      </c>
      <c r="Q8" s="25">
        <f t="shared" si="1"/>
        <v>2.596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61" t="s">
        <v>129</v>
      </c>
      <c r="E9" s="24" t="s">
        <v>26</v>
      </c>
      <c r="F9" s="24">
        <v>4.15</v>
      </c>
      <c r="G9" s="24">
        <v>2.04</v>
      </c>
      <c r="H9" s="24" t="s">
        <v>26</v>
      </c>
      <c r="I9" s="24" t="s">
        <v>26</v>
      </c>
      <c r="J9" s="24" t="s">
        <v>26</v>
      </c>
      <c r="K9" s="24" t="s">
        <v>26</v>
      </c>
      <c r="L9" s="24">
        <v>2.36</v>
      </c>
      <c r="M9" s="24">
        <v>3.3</v>
      </c>
      <c r="N9" s="24">
        <v>1.99</v>
      </c>
      <c r="O9" s="24" t="s">
        <v>26</v>
      </c>
      <c r="P9" s="24" t="s">
        <v>26</v>
      </c>
      <c r="Q9" s="25">
        <f t="shared" si="1"/>
        <v>2.768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60" t="s">
        <v>127</v>
      </c>
      <c r="E10" s="18" t="s">
        <v>26</v>
      </c>
      <c r="F10" s="27">
        <v>6.0</v>
      </c>
      <c r="G10" s="27">
        <v>19.0</v>
      </c>
      <c r="H10" s="18" t="s">
        <v>26</v>
      </c>
      <c r="I10" s="18" t="s">
        <v>26</v>
      </c>
      <c r="J10" s="18" t="s">
        <v>26</v>
      </c>
      <c r="K10" s="18" t="s">
        <v>26</v>
      </c>
      <c r="L10" s="27">
        <v>37.0</v>
      </c>
      <c r="M10" s="27">
        <v>18.0</v>
      </c>
      <c r="N10" s="27">
        <v>9.0</v>
      </c>
      <c r="O10" s="18" t="s">
        <v>26</v>
      </c>
      <c r="P10" s="18" t="s">
        <v>26</v>
      </c>
      <c r="Q10" s="28">
        <f t="shared" si="1"/>
        <v>17.8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61" t="s">
        <v>128</v>
      </c>
      <c r="E11" s="24" t="s">
        <v>26</v>
      </c>
      <c r="F11" s="85">
        <v>15.0</v>
      </c>
      <c r="G11" s="29">
        <v>13.0</v>
      </c>
      <c r="H11" s="24" t="s">
        <v>26</v>
      </c>
      <c r="I11" s="24" t="s">
        <v>26</v>
      </c>
      <c r="J11" s="24" t="s">
        <v>26</v>
      </c>
      <c r="K11" s="24" t="s">
        <v>26</v>
      </c>
      <c r="L11" s="29">
        <v>10.0</v>
      </c>
      <c r="M11" s="29">
        <v>15.0</v>
      </c>
      <c r="N11" s="29">
        <v>8.0</v>
      </c>
      <c r="O11" s="24" t="s">
        <v>26</v>
      </c>
      <c r="P11" s="24" t="s">
        <v>26</v>
      </c>
      <c r="Q11" s="30">
        <f t="shared" si="1"/>
        <v>12.2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61" t="s">
        <v>129</v>
      </c>
      <c r="E12" s="24" t="s">
        <v>26</v>
      </c>
      <c r="F12" s="85">
        <v>13.0</v>
      </c>
      <c r="G12" s="29">
        <v>5.0</v>
      </c>
      <c r="H12" s="24" t="s">
        <v>26</v>
      </c>
      <c r="I12" s="24" t="s">
        <v>26</v>
      </c>
      <c r="J12" s="24" t="s">
        <v>26</v>
      </c>
      <c r="K12" s="24" t="s">
        <v>26</v>
      </c>
      <c r="L12" s="29">
        <v>16.0</v>
      </c>
      <c r="M12" s="29">
        <v>15.0</v>
      </c>
      <c r="N12" s="29">
        <v>21.0</v>
      </c>
      <c r="O12" s="24" t="s">
        <v>26</v>
      </c>
      <c r="P12" s="24" t="s">
        <v>26</v>
      </c>
      <c r="Q12" s="30">
        <f t="shared" si="1"/>
        <v>14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60" t="s">
        <v>127</v>
      </c>
      <c r="E13" s="18" t="s">
        <v>26</v>
      </c>
      <c r="F13" s="120">
        <v>20.0</v>
      </c>
      <c r="G13" s="27">
        <v>14.0</v>
      </c>
      <c r="H13" s="18" t="s">
        <v>26</v>
      </c>
      <c r="I13" s="18" t="s">
        <v>26</v>
      </c>
      <c r="J13" s="18" t="s">
        <v>26</v>
      </c>
      <c r="K13" s="18" t="s">
        <v>26</v>
      </c>
      <c r="L13" s="27">
        <v>22.0</v>
      </c>
      <c r="M13" s="27">
        <v>35.0</v>
      </c>
      <c r="N13" s="27">
        <v>163.0</v>
      </c>
      <c r="O13" s="18" t="s">
        <v>26</v>
      </c>
      <c r="P13" s="18" t="s">
        <v>26</v>
      </c>
      <c r="Q13" s="28">
        <f t="shared" si="1"/>
        <v>50.8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61" t="s">
        <v>128</v>
      </c>
      <c r="E14" s="24" t="s">
        <v>26</v>
      </c>
      <c r="F14" s="85">
        <v>18.0</v>
      </c>
      <c r="G14" s="29">
        <v>11.0</v>
      </c>
      <c r="H14" s="24" t="s">
        <v>26</v>
      </c>
      <c r="I14" s="24" t="s">
        <v>26</v>
      </c>
      <c r="J14" s="24" t="s">
        <v>26</v>
      </c>
      <c r="K14" s="24" t="s">
        <v>26</v>
      </c>
      <c r="L14" s="29">
        <v>22.0</v>
      </c>
      <c r="M14" s="29">
        <v>54.0</v>
      </c>
      <c r="N14" s="29">
        <v>160.0</v>
      </c>
      <c r="O14" s="24" t="s">
        <v>26</v>
      </c>
      <c r="P14" s="24" t="s">
        <v>26</v>
      </c>
      <c r="Q14" s="30">
        <f t="shared" si="1"/>
        <v>53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61" t="s">
        <v>129</v>
      </c>
      <c r="E15" s="24" t="s">
        <v>26</v>
      </c>
      <c r="F15" s="85">
        <v>15.0</v>
      </c>
      <c r="G15" s="29">
        <v>20.0</v>
      </c>
      <c r="H15" s="24" t="s">
        <v>26</v>
      </c>
      <c r="I15" s="24" t="s">
        <v>26</v>
      </c>
      <c r="J15" s="24" t="s">
        <v>26</v>
      </c>
      <c r="K15" s="24" t="s">
        <v>26</v>
      </c>
      <c r="L15" s="29">
        <v>13.0</v>
      </c>
      <c r="M15" s="29">
        <v>65.0</v>
      </c>
      <c r="N15" s="29">
        <v>173.0</v>
      </c>
      <c r="O15" s="24" t="s">
        <v>26</v>
      </c>
      <c r="P15" s="24" t="s">
        <v>26</v>
      </c>
      <c r="Q15" s="30">
        <f t="shared" si="1"/>
        <v>57.2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60" t="s">
        <v>127</v>
      </c>
      <c r="E16" s="18" t="s">
        <v>26</v>
      </c>
      <c r="F16" s="18">
        <v>7.08</v>
      </c>
      <c r="G16" s="18">
        <v>7.55</v>
      </c>
      <c r="H16" s="18" t="s">
        <v>26</v>
      </c>
      <c r="I16" s="18" t="s">
        <v>26</v>
      </c>
      <c r="J16" s="18" t="s">
        <v>26</v>
      </c>
      <c r="K16" s="18" t="s">
        <v>26</v>
      </c>
      <c r="L16" s="18">
        <v>7.99</v>
      </c>
      <c r="M16" s="18">
        <v>8.43</v>
      </c>
      <c r="N16" s="18">
        <v>8.44</v>
      </c>
      <c r="O16" s="18" t="s">
        <v>26</v>
      </c>
      <c r="P16" s="18" t="s">
        <v>26</v>
      </c>
      <c r="Q16" s="19">
        <f t="shared" si="1"/>
        <v>7.898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61" t="s">
        <v>128</v>
      </c>
      <c r="E17" s="24" t="s">
        <v>26</v>
      </c>
      <c r="F17" s="85">
        <v>7.21</v>
      </c>
      <c r="G17" s="24">
        <v>7.48</v>
      </c>
      <c r="H17" s="24" t="s">
        <v>26</v>
      </c>
      <c r="I17" s="24" t="s">
        <v>26</v>
      </c>
      <c r="J17" s="24" t="s">
        <v>26</v>
      </c>
      <c r="K17" s="24" t="s">
        <v>26</v>
      </c>
      <c r="L17" s="24">
        <v>7.98</v>
      </c>
      <c r="M17" s="24">
        <v>8.38</v>
      </c>
      <c r="N17" s="24">
        <v>8.1</v>
      </c>
      <c r="O17" s="24" t="s">
        <v>26</v>
      </c>
      <c r="P17" s="24" t="s">
        <v>26</v>
      </c>
      <c r="Q17" s="25">
        <f t="shared" si="1"/>
        <v>7.83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61" t="s">
        <v>129</v>
      </c>
      <c r="E18" s="24" t="s">
        <v>26</v>
      </c>
      <c r="F18" s="85">
        <v>7.25</v>
      </c>
      <c r="G18" s="24">
        <v>7.6</v>
      </c>
      <c r="H18" s="24" t="s">
        <v>26</v>
      </c>
      <c r="I18" s="24" t="s">
        <v>26</v>
      </c>
      <c r="J18" s="24" t="s">
        <v>26</v>
      </c>
      <c r="K18" s="24" t="s">
        <v>26</v>
      </c>
      <c r="L18" s="24">
        <v>7.99</v>
      </c>
      <c r="M18" s="24">
        <v>8.45</v>
      </c>
      <c r="N18" s="24">
        <v>8.16</v>
      </c>
      <c r="O18" s="24" t="s">
        <v>26</v>
      </c>
      <c r="P18" s="24" t="s">
        <v>26</v>
      </c>
      <c r="Q18" s="25">
        <f t="shared" si="1"/>
        <v>7.89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130</v>
      </c>
      <c r="C19" s="16">
        <v>1.0</v>
      </c>
      <c r="D19" s="160" t="s">
        <v>127</v>
      </c>
      <c r="E19" s="18" t="s">
        <v>26</v>
      </c>
      <c r="F19" s="18">
        <v>29.7</v>
      </c>
      <c r="G19" s="18">
        <v>29.7</v>
      </c>
      <c r="H19" s="18" t="s">
        <v>26</v>
      </c>
      <c r="I19" s="18" t="s">
        <v>26</v>
      </c>
      <c r="J19" s="18" t="s">
        <v>26</v>
      </c>
      <c r="K19" s="18" t="s">
        <v>26</v>
      </c>
      <c r="L19" s="18">
        <v>30.2</v>
      </c>
      <c r="M19" s="18">
        <v>32.12</v>
      </c>
      <c r="N19" s="18">
        <v>29.16</v>
      </c>
      <c r="O19" s="18" t="s">
        <v>26</v>
      </c>
      <c r="P19" s="18" t="s">
        <v>26</v>
      </c>
      <c r="Q19" s="19">
        <f t="shared" si="1"/>
        <v>30.176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61" t="s">
        <v>128</v>
      </c>
      <c r="E20" s="24" t="s">
        <v>26</v>
      </c>
      <c r="F20" s="24">
        <v>29.3</v>
      </c>
      <c r="G20" s="24">
        <v>30.15</v>
      </c>
      <c r="H20" s="24" t="s">
        <v>26</v>
      </c>
      <c r="I20" s="24" t="s">
        <v>26</v>
      </c>
      <c r="J20" s="24" t="s">
        <v>26</v>
      </c>
      <c r="K20" s="24" t="s">
        <v>26</v>
      </c>
      <c r="L20" s="24">
        <v>30.0</v>
      </c>
      <c r="M20" s="24">
        <v>30.48</v>
      </c>
      <c r="N20" s="24">
        <v>28.91</v>
      </c>
      <c r="O20" s="24" t="s">
        <v>26</v>
      </c>
      <c r="P20" s="24" t="s">
        <v>26</v>
      </c>
      <c r="Q20" s="25">
        <f t="shared" si="1"/>
        <v>29.768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61" t="s">
        <v>129</v>
      </c>
      <c r="E21" s="24" t="s">
        <v>26</v>
      </c>
      <c r="F21" s="24">
        <v>29.8</v>
      </c>
      <c r="G21" s="24">
        <v>30.2</v>
      </c>
      <c r="H21" s="24" t="s">
        <v>26</v>
      </c>
      <c r="I21" s="24" t="s">
        <v>26</v>
      </c>
      <c r="J21" s="24" t="s">
        <v>26</v>
      </c>
      <c r="K21" s="24" t="s">
        <v>26</v>
      </c>
      <c r="L21" s="24">
        <v>30.0</v>
      </c>
      <c r="M21" s="24">
        <v>30.75</v>
      </c>
      <c r="N21" s="24">
        <v>29.32</v>
      </c>
      <c r="O21" s="24" t="s">
        <v>26</v>
      </c>
      <c r="P21" s="24" t="s">
        <v>26</v>
      </c>
      <c r="Q21" s="25">
        <f t="shared" si="1"/>
        <v>30.014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60" t="s">
        <v>127</v>
      </c>
      <c r="E22" s="18" t="s">
        <v>26</v>
      </c>
      <c r="F22" s="120">
        <v>20.0</v>
      </c>
      <c r="G22" s="27">
        <v>25.0</v>
      </c>
      <c r="H22" s="18" t="s">
        <v>26</v>
      </c>
      <c r="I22" s="18" t="s">
        <v>26</v>
      </c>
      <c r="J22" s="18" t="s">
        <v>26</v>
      </c>
      <c r="K22" s="18" t="s">
        <v>26</v>
      </c>
      <c r="L22" s="27">
        <v>40.0</v>
      </c>
      <c r="M22" s="27">
        <v>30.0</v>
      </c>
      <c r="N22" s="27">
        <v>25.0</v>
      </c>
      <c r="O22" s="18" t="s">
        <v>26</v>
      </c>
      <c r="P22" s="18" t="s">
        <v>26</v>
      </c>
      <c r="Q22" s="28">
        <f t="shared" si="1"/>
        <v>28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61" t="s">
        <v>128</v>
      </c>
      <c r="E23" s="24" t="s">
        <v>26</v>
      </c>
      <c r="F23" s="85">
        <v>20.0</v>
      </c>
      <c r="G23" s="29">
        <v>15.0</v>
      </c>
      <c r="H23" s="24" t="s">
        <v>26</v>
      </c>
      <c r="I23" s="24" t="s">
        <v>26</v>
      </c>
      <c r="J23" s="24" t="s">
        <v>26</v>
      </c>
      <c r="K23" s="24" t="s">
        <v>26</v>
      </c>
      <c r="L23" s="29">
        <v>30.0</v>
      </c>
      <c r="M23" s="29">
        <v>40.0</v>
      </c>
      <c r="N23" s="29">
        <v>30.0</v>
      </c>
      <c r="O23" s="24" t="s">
        <v>26</v>
      </c>
      <c r="P23" s="24" t="s">
        <v>26</v>
      </c>
      <c r="Q23" s="30">
        <f t="shared" si="1"/>
        <v>27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61" t="s">
        <v>129</v>
      </c>
      <c r="E24" s="24" t="s">
        <v>26</v>
      </c>
      <c r="F24" s="167">
        <v>20.0</v>
      </c>
      <c r="G24" s="29">
        <v>15.0</v>
      </c>
      <c r="H24" s="24" t="s">
        <v>26</v>
      </c>
      <c r="I24" s="24" t="s">
        <v>26</v>
      </c>
      <c r="J24" s="24" t="s">
        <v>26</v>
      </c>
      <c r="K24" s="24" t="s">
        <v>26</v>
      </c>
      <c r="L24" s="29">
        <v>40.0</v>
      </c>
      <c r="M24" s="29">
        <v>40.0</v>
      </c>
      <c r="N24" s="29">
        <v>30.0</v>
      </c>
      <c r="O24" s="24" t="s">
        <v>26</v>
      </c>
      <c r="P24" s="24" t="s">
        <v>26</v>
      </c>
      <c r="Q24" s="30">
        <f t="shared" si="1"/>
        <v>29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60" t="s">
        <v>127</v>
      </c>
      <c r="E25" s="18" t="s">
        <v>26</v>
      </c>
      <c r="F25" s="110">
        <v>79000.0</v>
      </c>
      <c r="G25" s="32">
        <v>130000.0</v>
      </c>
      <c r="H25" s="18" t="s">
        <v>26</v>
      </c>
      <c r="I25" s="18" t="s">
        <v>26</v>
      </c>
      <c r="J25" s="18" t="s">
        <v>26</v>
      </c>
      <c r="K25" s="18" t="s">
        <v>26</v>
      </c>
      <c r="L25" s="32">
        <v>23000.0</v>
      </c>
      <c r="M25" s="32">
        <v>49000.0</v>
      </c>
      <c r="N25" s="32">
        <v>46000.0</v>
      </c>
      <c r="O25" s="18" t="s">
        <v>26</v>
      </c>
      <c r="P25" s="18" t="s">
        <v>26</v>
      </c>
      <c r="Q25" s="168">
        <f t="shared" ref="Q25:Q27" si="2">GEOMEAN(E25,F25,G25,H25,I25,J25,K25,L25,M25,N25,O25,P25)</f>
        <v>55622.49149</v>
      </c>
      <c r="R25" s="17">
        <v>200.0</v>
      </c>
      <c r="S25" s="121">
        <f>geomean(Q25:Q27)</f>
        <v>82009.10668</v>
      </c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61" t="s">
        <v>128</v>
      </c>
      <c r="E26" s="24" t="s">
        <v>26</v>
      </c>
      <c r="F26" s="111">
        <v>46000.0</v>
      </c>
      <c r="G26" s="36">
        <v>1700000.0</v>
      </c>
      <c r="H26" s="24" t="s">
        <v>26</v>
      </c>
      <c r="I26" s="24" t="s">
        <v>26</v>
      </c>
      <c r="J26" s="24" t="s">
        <v>26</v>
      </c>
      <c r="K26" s="24" t="s">
        <v>26</v>
      </c>
      <c r="L26" s="36">
        <v>33000.0</v>
      </c>
      <c r="M26" s="36">
        <v>130000.0</v>
      </c>
      <c r="N26" s="36">
        <v>130000.0</v>
      </c>
      <c r="O26" s="24" t="s">
        <v>26</v>
      </c>
      <c r="P26" s="24" t="s">
        <v>26</v>
      </c>
      <c r="Q26" s="169">
        <f t="shared" si="2"/>
        <v>134252.2211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61" t="s">
        <v>129</v>
      </c>
      <c r="E27" s="24" t="s">
        <v>26</v>
      </c>
      <c r="F27" s="111">
        <v>240000.0</v>
      </c>
      <c r="G27" s="36">
        <v>22000.0</v>
      </c>
      <c r="H27" s="24" t="s">
        <v>26</v>
      </c>
      <c r="I27" s="24" t="s">
        <v>26</v>
      </c>
      <c r="J27" s="24" t="s">
        <v>26</v>
      </c>
      <c r="K27" s="24" t="s">
        <v>26</v>
      </c>
      <c r="L27" s="36">
        <v>31000.0</v>
      </c>
      <c r="M27" s="36">
        <v>170000.0</v>
      </c>
      <c r="N27" s="36">
        <v>79000.0</v>
      </c>
      <c r="O27" s="24" t="s">
        <v>26</v>
      </c>
      <c r="P27" s="24" t="s">
        <v>26</v>
      </c>
      <c r="Q27" s="169">
        <f t="shared" si="2"/>
        <v>73860.85417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131</v>
      </c>
      <c r="C28" s="16">
        <v>1.0</v>
      </c>
      <c r="D28" s="160" t="s">
        <v>127</v>
      </c>
      <c r="E28" s="18" t="s">
        <v>26</v>
      </c>
      <c r="F28" s="39">
        <v>0.764</v>
      </c>
      <c r="G28" s="39">
        <v>0.239</v>
      </c>
      <c r="H28" s="18" t="s">
        <v>26</v>
      </c>
      <c r="I28" s="18" t="s">
        <v>26</v>
      </c>
      <c r="J28" s="18" t="s">
        <v>26</v>
      </c>
      <c r="K28" s="18" t="s">
        <v>26</v>
      </c>
      <c r="L28" s="18" t="s">
        <v>40</v>
      </c>
      <c r="M28" s="39">
        <v>0.168</v>
      </c>
      <c r="N28" s="39">
        <v>0.678</v>
      </c>
      <c r="O28" s="18" t="s">
        <v>26</v>
      </c>
      <c r="P28" s="18" t="s">
        <v>26</v>
      </c>
      <c r="Q28" s="40">
        <f>AVERAGE(E28,F28,G28,H28,I28,J28,K28,0.045,M28,N28,O28,P28)</f>
        <v>0.3788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61" t="s">
        <v>128</v>
      </c>
      <c r="E29" s="24" t="s">
        <v>26</v>
      </c>
      <c r="F29" s="41">
        <v>0.545</v>
      </c>
      <c r="G29" s="41">
        <v>0.118</v>
      </c>
      <c r="H29" s="24" t="s">
        <v>26</v>
      </c>
      <c r="I29" s="24" t="s">
        <v>26</v>
      </c>
      <c r="J29" s="24" t="s">
        <v>26</v>
      </c>
      <c r="K29" s="24" t="s">
        <v>26</v>
      </c>
      <c r="L29" s="41">
        <v>0.094</v>
      </c>
      <c r="M29" s="41">
        <v>0.306</v>
      </c>
      <c r="N29" s="41">
        <v>0.553</v>
      </c>
      <c r="O29" s="24" t="s">
        <v>26</v>
      </c>
      <c r="P29" s="24" t="s">
        <v>26</v>
      </c>
      <c r="Q29" s="42">
        <f>AVERAGE(E29,F29,G29,H29,I29,J29,K29,L29,M29,N29,O29,P29)</f>
        <v>0.3232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61" t="s">
        <v>129</v>
      </c>
      <c r="E30" s="24" t="s">
        <v>26</v>
      </c>
      <c r="F30" s="41">
        <v>0.463</v>
      </c>
      <c r="G30" s="41">
        <v>0.078</v>
      </c>
      <c r="H30" s="24" t="s">
        <v>26</v>
      </c>
      <c r="I30" s="24" t="s">
        <v>26</v>
      </c>
      <c r="J30" s="24" t="s">
        <v>26</v>
      </c>
      <c r="K30" s="24" t="s">
        <v>26</v>
      </c>
      <c r="L30" s="24" t="s">
        <v>40</v>
      </c>
      <c r="M30" s="41">
        <v>0.188</v>
      </c>
      <c r="N30" s="41">
        <v>0.746</v>
      </c>
      <c r="O30" s="24" t="s">
        <v>26</v>
      </c>
      <c r="P30" s="24" t="s">
        <v>26</v>
      </c>
      <c r="Q30" s="42">
        <f>AVERAGE(E30,F30,G30,H30,I30,J30,K30,L30,0.045,N30,O30,P30)</f>
        <v>0.333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132</v>
      </c>
      <c r="C31" s="16">
        <v>1.0</v>
      </c>
      <c r="D31" s="160" t="s">
        <v>127</v>
      </c>
      <c r="E31" s="18" t="s">
        <v>26</v>
      </c>
      <c r="F31" s="39">
        <v>0.181</v>
      </c>
      <c r="G31" s="39">
        <v>0.233</v>
      </c>
      <c r="H31" s="18" t="s">
        <v>26</v>
      </c>
      <c r="I31" s="18" t="s">
        <v>26</v>
      </c>
      <c r="J31" s="18" t="s">
        <v>26</v>
      </c>
      <c r="K31" s="18" t="s">
        <v>26</v>
      </c>
      <c r="L31" s="39">
        <v>0.147</v>
      </c>
      <c r="M31" s="39">
        <v>0.168</v>
      </c>
      <c r="N31" s="39">
        <v>0.213</v>
      </c>
      <c r="O31" s="18" t="s">
        <v>26</v>
      </c>
      <c r="P31" s="18" t="s">
        <v>26</v>
      </c>
      <c r="Q31" s="40">
        <f t="shared" ref="Q31:Q36" si="3">AVERAGE(E31,F31,G31,H31,I31,J31,K31,L31,M31,N31,O31,P31)</f>
        <v>0.1884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61" t="s">
        <v>128</v>
      </c>
      <c r="E32" s="24" t="s">
        <v>26</v>
      </c>
      <c r="F32" s="41">
        <v>0.184</v>
      </c>
      <c r="G32" s="41">
        <v>0.236</v>
      </c>
      <c r="H32" s="24" t="s">
        <v>26</v>
      </c>
      <c r="I32" s="24" t="s">
        <v>26</v>
      </c>
      <c r="J32" s="24" t="s">
        <v>26</v>
      </c>
      <c r="K32" s="24" t="s">
        <v>26</v>
      </c>
      <c r="L32" s="41">
        <v>0.182</v>
      </c>
      <c r="M32" s="41">
        <v>0.254</v>
      </c>
      <c r="N32" s="41">
        <v>0.305</v>
      </c>
      <c r="O32" s="24" t="s">
        <v>26</v>
      </c>
      <c r="P32" s="24" t="s">
        <v>26</v>
      </c>
      <c r="Q32" s="42">
        <f t="shared" si="3"/>
        <v>0.2322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61" t="s">
        <v>129</v>
      </c>
      <c r="E33" s="24" t="s">
        <v>26</v>
      </c>
      <c r="F33" s="41">
        <v>0.178</v>
      </c>
      <c r="G33" s="41">
        <v>0.234</v>
      </c>
      <c r="H33" s="24" t="s">
        <v>26</v>
      </c>
      <c r="I33" s="24" t="s">
        <v>26</v>
      </c>
      <c r="J33" s="24" t="s">
        <v>26</v>
      </c>
      <c r="K33" s="24" t="s">
        <v>26</v>
      </c>
      <c r="L33" s="41">
        <v>0.161</v>
      </c>
      <c r="M33" s="41">
        <v>0.282</v>
      </c>
      <c r="N33" s="41">
        <v>0.303</v>
      </c>
      <c r="O33" s="24" t="s">
        <v>26</v>
      </c>
      <c r="P33" s="24" t="s">
        <v>26</v>
      </c>
      <c r="Q33" s="42">
        <f t="shared" si="3"/>
        <v>0.2316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160" t="s">
        <v>127</v>
      </c>
      <c r="E34" s="18" t="s">
        <v>26</v>
      </c>
      <c r="F34" s="31">
        <v>3028.0</v>
      </c>
      <c r="G34" s="32">
        <v>2766.0</v>
      </c>
      <c r="H34" s="18" t="s">
        <v>26</v>
      </c>
      <c r="I34" s="18" t="s">
        <v>26</v>
      </c>
      <c r="J34" s="18" t="s">
        <v>26</v>
      </c>
      <c r="K34" s="18" t="s">
        <v>26</v>
      </c>
      <c r="L34" s="27">
        <v>93.0</v>
      </c>
      <c r="M34" s="27">
        <v>21.0</v>
      </c>
      <c r="N34" s="27">
        <v>9.0</v>
      </c>
      <c r="O34" s="18" t="s">
        <v>26</v>
      </c>
      <c r="P34" s="18" t="s">
        <v>26</v>
      </c>
      <c r="Q34" s="33">
        <f t="shared" si="3"/>
        <v>1183.4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161" t="s">
        <v>128</v>
      </c>
      <c r="E35" s="24" t="s">
        <v>26</v>
      </c>
      <c r="F35" s="35">
        <v>4806.0</v>
      </c>
      <c r="G35" s="36">
        <v>4340.0</v>
      </c>
      <c r="H35" s="24" t="s">
        <v>26</v>
      </c>
      <c r="I35" s="24" t="s">
        <v>26</v>
      </c>
      <c r="J35" s="24" t="s">
        <v>26</v>
      </c>
      <c r="K35" s="24" t="s">
        <v>26</v>
      </c>
      <c r="L35" s="29">
        <v>467.0</v>
      </c>
      <c r="M35" s="29">
        <v>30.0</v>
      </c>
      <c r="N35" s="29">
        <v>8.0</v>
      </c>
      <c r="O35" s="24" t="s">
        <v>26</v>
      </c>
      <c r="P35" s="24" t="s">
        <v>26</v>
      </c>
      <c r="Q35" s="37">
        <f t="shared" si="3"/>
        <v>1930.2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161" t="s">
        <v>129</v>
      </c>
      <c r="E36" s="24" t="s">
        <v>26</v>
      </c>
      <c r="F36" s="36">
        <v>2691.0</v>
      </c>
      <c r="G36" s="36">
        <v>4626.0</v>
      </c>
      <c r="H36" s="24" t="s">
        <v>26</v>
      </c>
      <c r="I36" s="24" t="s">
        <v>26</v>
      </c>
      <c r="J36" s="24" t="s">
        <v>26</v>
      </c>
      <c r="K36" s="24" t="s">
        <v>26</v>
      </c>
      <c r="L36" s="29">
        <v>420.0</v>
      </c>
      <c r="M36" s="29">
        <v>17.0</v>
      </c>
      <c r="N36" s="29">
        <v>9.0</v>
      </c>
      <c r="O36" s="24" t="s">
        <v>26</v>
      </c>
      <c r="P36" s="24" t="s">
        <v>26</v>
      </c>
      <c r="Q36" s="37">
        <f t="shared" si="3"/>
        <v>1552.6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127"/>
      <c r="O37" s="127"/>
      <c r="P37" s="127"/>
      <c r="Q37" s="121">
        <f>GEOMEAN(Q25:Q27)</f>
        <v>82009.10668</v>
      </c>
      <c r="R37" s="72"/>
      <c r="S37" s="72"/>
      <c r="T37" s="72"/>
      <c r="U37" s="72"/>
      <c r="V37" s="72"/>
      <c r="W37" s="72"/>
      <c r="X37" s="72"/>
      <c r="Y37" s="72"/>
      <c r="Z37" s="72"/>
    </row>
    <row r="38" ht="14.25" customHeight="1">
      <c r="A38" s="91" t="s">
        <v>43</v>
      </c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127"/>
      <c r="O38" s="127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4.25" customHeight="1"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127"/>
      <c r="O39" s="127"/>
      <c r="P39" s="127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hidden="1" customHeight="1">
      <c r="A40" s="91"/>
      <c r="D40" s="91"/>
      <c r="E40" s="91"/>
      <c r="F40" s="91"/>
      <c r="G40" s="72"/>
      <c r="H40" s="72"/>
      <c r="I40" s="72"/>
      <c r="J40" s="72"/>
      <c r="K40" s="72"/>
      <c r="L40" s="72"/>
      <c r="M40" s="72"/>
      <c r="N40" s="72"/>
      <c r="O40" s="127"/>
      <c r="P40" s="127"/>
      <c r="Q40" s="127"/>
      <c r="R40" s="127"/>
      <c r="S40" s="127"/>
      <c r="V40" s="72"/>
      <c r="W40" s="72"/>
      <c r="X40" s="72"/>
      <c r="Y40" s="72"/>
      <c r="Z40" s="72"/>
    </row>
    <row r="41" ht="15.75" customHeight="1">
      <c r="D41" s="91"/>
      <c r="E41" s="91"/>
      <c r="F41" s="91"/>
      <c r="G41" s="72"/>
      <c r="H41" s="72"/>
      <c r="I41" s="72"/>
      <c r="J41" s="72"/>
      <c r="K41" s="72"/>
      <c r="L41" s="72"/>
      <c r="M41" s="72"/>
      <c r="N41" s="72"/>
      <c r="O41" s="127"/>
      <c r="P41" s="127"/>
      <c r="Q41" s="127"/>
      <c r="R41" s="127"/>
      <c r="S41" s="127"/>
      <c r="V41" s="72"/>
      <c r="W41" s="72"/>
      <c r="X41" s="72"/>
      <c r="Y41" s="72"/>
      <c r="Z41" s="72"/>
    </row>
    <row r="42" ht="15.75" hidden="1" customHeight="1">
      <c r="D42" s="91"/>
      <c r="E42" s="91"/>
      <c r="F42" s="91"/>
      <c r="G42" s="72"/>
      <c r="H42" s="72"/>
      <c r="I42" s="72"/>
      <c r="J42" s="72"/>
      <c r="K42" s="72"/>
      <c r="L42" s="72"/>
      <c r="M42" s="72"/>
      <c r="N42" s="72"/>
      <c r="O42" s="127"/>
      <c r="P42" s="127"/>
      <c r="Q42" s="127"/>
      <c r="R42" s="127"/>
      <c r="S42" s="127"/>
      <c r="V42" s="72"/>
      <c r="W42" s="72"/>
      <c r="X42" s="72"/>
      <c r="Y42" s="72"/>
      <c r="Z42" s="72"/>
    </row>
    <row r="43" ht="15.75" hidden="1" customHeight="1"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127"/>
      <c r="P43" s="127"/>
      <c r="Q43" s="127"/>
      <c r="R43" s="127"/>
      <c r="S43" s="127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127"/>
      <c r="O44" s="127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127"/>
      <c r="O45" s="127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127"/>
      <c r="O46" s="127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127"/>
      <c r="O47" s="127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127"/>
      <c r="O48" s="127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127"/>
      <c r="O49" s="127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127"/>
      <c r="O50" s="127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127"/>
      <c r="O51" s="127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127"/>
      <c r="O52" s="127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127"/>
      <c r="O53" s="127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127"/>
      <c r="O54" s="127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127"/>
      <c r="O55" s="127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127"/>
      <c r="O56" s="127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127"/>
      <c r="O57" s="127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127"/>
      <c r="O58" s="127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127"/>
      <c r="O59" s="127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127"/>
      <c r="O60" s="127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127"/>
      <c r="O61" s="127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127"/>
      <c r="O62" s="127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127"/>
      <c r="O63" s="127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127"/>
      <c r="O64" s="127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127"/>
      <c r="O65" s="127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127"/>
      <c r="O66" s="127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127"/>
      <c r="O67" s="127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127"/>
      <c r="O68" s="127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127"/>
      <c r="O69" s="127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127"/>
      <c r="O70" s="127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127"/>
      <c r="O71" s="127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127"/>
      <c r="O72" s="127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127"/>
      <c r="O73" s="127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127"/>
      <c r="O74" s="127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127"/>
      <c r="O75" s="127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127"/>
      <c r="O76" s="127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127"/>
      <c r="O77" s="127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127"/>
      <c r="O78" s="127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127"/>
      <c r="O79" s="127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127"/>
      <c r="O80" s="127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127"/>
      <c r="O81" s="127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127"/>
      <c r="O82" s="127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127"/>
      <c r="O83" s="127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127"/>
      <c r="O84" s="127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127"/>
      <c r="O85" s="127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127"/>
      <c r="O86" s="127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127"/>
      <c r="O87" s="127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127"/>
      <c r="O88" s="127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127"/>
      <c r="O89" s="127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127"/>
      <c r="O90" s="127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127"/>
      <c r="O91" s="127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127"/>
      <c r="O92" s="127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127"/>
      <c r="O93" s="127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127"/>
      <c r="O94" s="127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127"/>
      <c r="O95" s="127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127"/>
      <c r="O96" s="127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127"/>
      <c r="O97" s="127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127"/>
      <c r="O98" s="127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127"/>
      <c r="O99" s="127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127"/>
      <c r="O100" s="127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127"/>
      <c r="O101" s="127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127"/>
      <c r="O102" s="127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127"/>
      <c r="O103" s="127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127"/>
      <c r="O104" s="127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127"/>
      <c r="O105" s="127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127"/>
      <c r="O106" s="127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127"/>
      <c r="O107" s="127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127"/>
      <c r="O108" s="127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127"/>
      <c r="O109" s="127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127"/>
      <c r="O110" s="127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127"/>
      <c r="O111" s="127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127"/>
      <c r="O112" s="127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127"/>
      <c r="O113" s="127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127"/>
      <c r="O114" s="127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127"/>
      <c r="O115" s="127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127"/>
      <c r="O116" s="127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127"/>
      <c r="O117" s="127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127"/>
      <c r="O118" s="127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127"/>
      <c r="O119" s="127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127"/>
      <c r="O120" s="127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127"/>
      <c r="O121" s="127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127"/>
      <c r="O122" s="127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127"/>
      <c r="O123" s="127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127"/>
      <c r="O124" s="127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127"/>
      <c r="O125" s="127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127"/>
      <c r="O126" s="127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127"/>
      <c r="O127" s="127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127"/>
      <c r="O128" s="127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127"/>
      <c r="O129" s="127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127"/>
      <c r="O130" s="127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127"/>
      <c r="O131" s="127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127"/>
      <c r="O132" s="127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127"/>
      <c r="O133" s="127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127"/>
      <c r="O134" s="127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127"/>
      <c r="O135" s="127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127"/>
      <c r="O136" s="127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127"/>
      <c r="O137" s="127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127"/>
      <c r="O138" s="127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127"/>
      <c r="O139" s="127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127"/>
      <c r="O140" s="127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127"/>
      <c r="O141" s="127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127"/>
      <c r="O142" s="127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127"/>
      <c r="O143" s="127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127"/>
      <c r="O144" s="127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127"/>
      <c r="O145" s="127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127"/>
      <c r="O146" s="127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127"/>
      <c r="O147" s="127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127"/>
      <c r="O148" s="127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127"/>
      <c r="O149" s="127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127"/>
      <c r="O150" s="127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127"/>
      <c r="O151" s="127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127"/>
      <c r="O152" s="127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127"/>
      <c r="O153" s="127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127"/>
      <c r="O154" s="127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127"/>
      <c r="O155" s="127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127"/>
      <c r="O156" s="127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127"/>
      <c r="O157" s="127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127"/>
      <c r="O158" s="127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127"/>
      <c r="O159" s="127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127"/>
      <c r="O160" s="127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127"/>
      <c r="O161" s="127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127"/>
      <c r="O162" s="127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127"/>
      <c r="O163" s="127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127"/>
      <c r="O164" s="127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127"/>
      <c r="O165" s="127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127"/>
      <c r="O166" s="127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127"/>
      <c r="O167" s="127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127"/>
      <c r="O168" s="127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127"/>
      <c r="O169" s="127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127"/>
      <c r="O170" s="127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127"/>
      <c r="O171" s="127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127"/>
      <c r="O172" s="127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127"/>
      <c r="O173" s="127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127"/>
      <c r="O174" s="127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127"/>
      <c r="O175" s="127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127"/>
      <c r="O176" s="127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127"/>
      <c r="O177" s="127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127"/>
      <c r="O178" s="127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127"/>
      <c r="O179" s="127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127"/>
      <c r="O180" s="127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127"/>
      <c r="O181" s="127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127"/>
      <c r="O182" s="127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127"/>
      <c r="O183" s="127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127"/>
      <c r="O184" s="127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127"/>
      <c r="O185" s="127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127"/>
      <c r="O186" s="127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127"/>
      <c r="O187" s="127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127"/>
      <c r="O188" s="127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127"/>
      <c r="O189" s="127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127"/>
      <c r="O190" s="127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127"/>
      <c r="O191" s="127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127"/>
      <c r="O192" s="127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127"/>
      <c r="O193" s="127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127"/>
      <c r="O194" s="127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127"/>
      <c r="O195" s="127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127"/>
      <c r="O196" s="127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127"/>
      <c r="O197" s="127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127"/>
      <c r="O198" s="127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127"/>
      <c r="O199" s="127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127"/>
      <c r="O200" s="127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127"/>
      <c r="O201" s="127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127"/>
      <c r="O202" s="127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127"/>
      <c r="O203" s="127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127"/>
      <c r="O204" s="127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127"/>
      <c r="O205" s="127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127"/>
      <c r="O206" s="127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127"/>
      <c r="O207" s="127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127"/>
      <c r="O208" s="127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127"/>
      <c r="O209" s="127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127"/>
      <c r="O210" s="127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127"/>
      <c r="O211" s="127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127"/>
      <c r="O212" s="127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127"/>
      <c r="O213" s="127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127"/>
      <c r="O214" s="127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127"/>
      <c r="O215" s="127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127"/>
      <c r="O216" s="127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127"/>
      <c r="O217" s="127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127"/>
      <c r="O218" s="127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127"/>
      <c r="O219" s="127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127"/>
      <c r="O220" s="127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127"/>
      <c r="O221" s="127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127"/>
      <c r="O222" s="127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127"/>
      <c r="O223" s="127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127"/>
      <c r="O224" s="127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127"/>
      <c r="O225" s="127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127"/>
      <c r="O226" s="127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127"/>
      <c r="O227" s="127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127"/>
      <c r="O228" s="127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127"/>
      <c r="O229" s="127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127"/>
      <c r="O230" s="127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127"/>
      <c r="O231" s="127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127"/>
      <c r="O232" s="127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127"/>
      <c r="O233" s="127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127"/>
      <c r="O234" s="127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127"/>
      <c r="O235" s="127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127"/>
      <c r="O236" s="127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127"/>
      <c r="O237" s="127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127"/>
      <c r="O238" s="127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127"/>
      <c r="O239" s="127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127"/>
      <c r="O240" s="127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127"/>
      <c r="O241" s="127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127"/>
      <c r="O242" s="127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127"/>
      <c r="O243" s="127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127"/>
      <c r="O244" s="127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127"/>
      <c r="O245" s="127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127"/>
      <c r="O246" s="127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127"/>
      <c r="O247" s="127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127"/>
      <c r="O248" s="127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127"/>
      <c r="O249" s="127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127"/>
      <c r="O250" s="127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127"/>
      <c r="O251" s="127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127"/>
      <c r="O252" s="127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127"/>
      <c r="O253" s="127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127"/>
      <c r="O254" s="127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127"/>
      <c r="O255" s="127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127"/>
      <c r="O256" s="127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127"/>
      <c r="O257" s="127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127"/>
      <c r="O258" s="127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127"/>
      <c r="O259" s="127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127"/>
      <c r="O260" s="127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127"/>
      <c r="O261" s="127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127"/>
      <c r="O262" s="127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127"/>
      <c r="O263" s="127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127"/>
      <c r="O264" s="127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127"/>
      <c r="O265" s="127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127"/>
      <c r="O266" s="127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127"/>
      <c r="O267" s="127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127"/>
      <c r="O268" s="127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127"/>
      <c r="O269" s="127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127"/>
      <c r="O270" s="127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127"/>
      <c r="O271" s="127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127"/>
      <c r="O272" s="127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127"/>
      <c r="O273" s="127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127"/>
      <c r="O274" s="127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127"/>
      <c r="O275" s="127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127"/>
      <c r="O276" s="127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127"/>
      <c r="O277" s="127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127"/>
      <c r="O278" s="127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127"/>
      <c r="O279" s="127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127"/>
      <c r="O280" s="127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127"/>
      <c r="O281" s="127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127"/>
      <c r="O282" s="127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127"/>
      <c r="O283" s="127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127"/>
      <c r="O284" s="127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127"/>
      <c r="O285" s="127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127"/>
      <c r="O286" s="127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127"/>
      <c r="O287" s="127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127"/>
      <c r="O288" s="127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127"/>
      <c r="O289" s="127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127"/>
      <c r="O290" s="127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127"/>
      <c r="O291" s="127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127"/>
      <c r="O292" s="127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127"/>
      <c r="O293" s="127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127"/>
      <c r="O294" s="127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127"/>
      <c r="O295" s="127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127"/>
      <c r="O296" s="127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127"/>
      <c r="O297" s="127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127"/>
      <c r="O298" s="127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127"/>
      <c r="O299" s="127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127"/>
      <c r="O300" s="127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127"/>
      <c r="O301" s="127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127"/>
      <c r="O302" s="127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127"/>
      <c r="O303" s="127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127"/>
      <c r="O304" s="127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127"/>
      <c r="O305" s="127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127"/>
      <c r="O306" s="127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127"/>
      <c r="O307" s="127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127"/>
      <c r="O308" s="127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127"/>
      <c r="O309" s="127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127"/>
      <c r="O310" s="127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127"/>
      <c r="O311" s="127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127"/>
      <c r="O312" s="127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127"/>
      <c r="O313" s="127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127"/>
      <c r="O314" s="127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127"/>
      <c r="O315" s="127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127"/>
      <c r="O316" s="127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127"/>
      <c r="O317" s="127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127"/>
      <c r="O318" s="127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127"/>
      <c r="O319" s="127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127"/>
      <c r="O320" s="127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127"/>
      <c r="O321" s="127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127"/>
      <c r="O322" s="127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127"/>
      <c r="O323" s="127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127"/>
      <c r="O324" s="127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127"/>
      <c r="O325" s="127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127"/>
      <c r="O326" s="127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127"/>
      <c r="O327" s="127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127"/>
      <c r="O328" s="127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127"/>
      <c r="O329" s="127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127"/>
      <c r="O330" s="127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127"/>
      <c r="O331" s="127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127"/>
      <c r="O332" s="127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127"/>
      <c r="O333" s="127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127"/>
      <c r="O334" s="127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127"/>
      <c r="O335" s="127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127"/>
      <c r="O336" s="127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127"/>
      <c r="O337" s="127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127"/>
      <c r="O338" s="127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127"/>
      <c r="O339" s="127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127"/>
      <c r="O340" s="127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127"/>
      <c r="O341" s="127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127"/>
      <c r="O342" s="127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127"/>
      <c r="O343" s="127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127"/>
      <c r="O344" s="127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127"/>
      <c r="O345" s="127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127"/>
      <c r="O346" s="127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127"/>
      <c r="O347" s="127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127"/>
      <c r="O348" s="127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127"/>
      <c r="O349" s="127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127"/>
      <c r="O350" s="127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127"/>
      <c r="O351" s="127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127"/>
      <c r="O352" s="127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127"/>
      <c r="O353" s="127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127"/>
      <c r="O354" s="127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127"/>
      <c r="O355" s="127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127"/>
      <c r="O356" s="127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127"/>
      <c r="O357" s="127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127"/>
      <c r="O358" s="127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127"/>
      <c r="O359" s="127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127"/>
      <c r="O360" s="127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127"/>
      <c r="O361" s="127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127"/>
      <c r="O362" s="127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127"/>
      <c r="O363" s="127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127"/>
      <c r="O364" s="127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127"/>
      <c r="O365" s="127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127"/>
      <c r="O366" s="127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127"/>
      <c r="O367" s="127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127"/>
      <c r="O368" s="127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127"/>
      <c r="O369" s="127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127"/>
      <c r="O370" s="127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127"/>
      <c r="O371" s="127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127"/>
      <c r="O372" s="127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127"/>
      <c r="O373" s="127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127"/>
      <c r="O374" s="127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127"/>
      <c r="O375" s="127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127"/>
      <c r="O376" s="127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127"/>
      <c r="O377" s="127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127"/>
      <c r="O378" s="127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127"/>
      <c r="O379" s="127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127"/>
      <c r="O380" s="127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127"/>
      <c r="O381" s="127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127"/>
      <c r="O382" s="127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127"/>
      <c r="O383" s="127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127"/>
      <c r="O384" s="127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127"/>
      <c r="O385" s="127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127"/>
      <c r="O386" s="127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127"/>
      <c r="O387" s="127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127"/>
      <c r="O388" s="127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127"/>
      <c r="O389" s="127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127"/>
      <c r="O390" s="127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127"/>
      <c r="O391" s="127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127"/>
      <c r="O392" s="127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127"/>
      <c r="O393" s="127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127"/>
      <c r="O394" s="127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127"/>
      <c r="O395" s="127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127"/>
      <c r="O396" s="127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127"/>
      <c r="O397" s="127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127"/>
      <c r="O398" s="127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127"/>
      <c r="O399" s="127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127"/>
      <c r="O400" s="127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127"/>
      <c r="O401" s="127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127"/>
      <c r="O402" s="127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127"/>
      <c r="O403" s="127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127"/>
      <c r="O404" s="127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127"/>
      <c r="O405" s="127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127"/>
      <c r="O406" s="127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127"/>
      <c r="O407" s="127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127"/>
      <c r="O408" s="127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127"/>
      <c r="O409" s="127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127"/>
      <c r="O410" s="127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127"/>
      <c r="O411" s="127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127"/>
      <c r="O412" s="127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127"/>
      <c r="O413" s="127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127"/>
      <c r="O414" s="127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127"/>
      <c r="O415" s="127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127"/>
      <c r="O416" s="127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127"/>
      <c r="O417" s="127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127"/>
      <c r="O418" s="127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127"/>
      <c r="O419" s="127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127"/>
      <c r="O420" s="127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127"/>
      <c r="O421" s="127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127"/>
      <c r="O422" s="127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127"/>
      <c r="O423" s="127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127"/>
      <c r="O424" s="127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127"/>
      <c r="O425" s="127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127"/>
      <c r="O426" s="127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127"/>
      <c r="O427" s="127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127"/>
      <c r="O428" s="127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127"/>
      <c r="O429" s="127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127"/>
      <c r="O430" s="127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127"/>
      <c r="O431" s="127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127"/>
      <c r="O432" s="127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127"/>
      <c r="O433" s="127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127"/>
      <c r="O434" s="127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127"/>
      <c r="O435" s="127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127"/>
      <c r="O436" s="127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127"/>
      <c r="O437" s="127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127"/>
      <c r="O438" s="127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127"/>
      <c r="O439" s="127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127"/>
      <c r="O440" s="127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127"/>
      <c r="O441" s="127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127"/>
      <c r="O442" s="127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127"/>
      <c r="O443" s="127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127"/>
      <c r="O444" s="127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127"/>
      <c r="O445" s="127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127"/>
      <c r="O446" s="127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127"/>
      <c r="O447" s="127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127"/>
      <c r="O448" s="127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127"/>
      <c r="O449" s="127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127"/>
      <c r="O450" s="127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127"/>
      <c r="O451" s="127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127"/>
      <c r="O452" s="127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127"/>
      <c r="O453" s="127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127"/>
      <c r="O454" s="127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127"/>
      <c r="O455" s="127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127"/>
      <c r="O456" s="127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127"/>
      <c r="O457" s="127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127"/>
      <c r="O458" s="127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127"/>
      <c r="O459" s="127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127"/>
      <c r="O460" s="127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127"/>
      <c r="O461" s="127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127"/>
      <c r="O462" s="127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127"/>
      <c r="O463" s="127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127"/>
      <c r="O464" s="127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127"/>
      <c r="O465" s="127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127"/>
      <c r="O466" s="127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127"/>
      <c r="O467" s="127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127"/>
      <c r="O468" s="127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127"/>
      <c r="O469" s="127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127"/>
      <c r="O470" s="127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127"/>
      <c r="O471" s="127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127"/>
      <c r="O472" s="127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127"/>
      <c r="O473" s="127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127"/>
      <c r="O474" s="127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127"/>
      <c r="O475" s="127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127"/>
      <c r="O476" s="127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127"/>
      <c r="O477" s="127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127"/>
      <c r="O478" s="127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127"/>
      <c r="O479" s="127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127"/>
      <c r="O480" s="127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127"/>
      <c r="O481" s="127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127"/>
      <c r="O482" s="127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127"/>
      <c r="O483" s="127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127"/>
      <c r="O484" s="127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127"/>
      <c r="O485" s="127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127"/>
      <c r="O486" s="127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127"/>
      <c r="O487" s="127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127"/>
      <c r="O488" s="127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127"/>
      <c r="O489" s="127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127"/>
      <c r="O490" s="127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127"/>
      <c r="O491" s="127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127"/>
      <c r="O492" s="127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127"/>
      <c r="O493" s="127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127"/>
      <c r="O494" s="127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127"/>
      <c r="O495" s="127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127"/>
      <c r="O496" s="127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127"/>
      <c r="O497" s="127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127"/>
      <c r="O498" s="127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127"/>
      <c r="O499" s="127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127"/>
      <c r="O500" s="127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127"/>
      <c r="O501" s="127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127"/>
      <c r="O502" s="127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127"/>
      <c r="O503" s="127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127"/>
      <c r="O504" s="127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127"/>
      <c r="O505" s="127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127"/>
      <c r="O506" s="127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127"/>
      <c r="O507" s="127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127"/>
      <c r="O508" s="127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127"/>
      <c r="O509" s="127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127"/>
      <c r="O510" s="127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127"/>
      <c r="O511" s="127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127"/>
      <c r="O512" s="127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127"/>
      <c r="O513" s="127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127"/>
      <c r="O514" s="127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127"/>
      <c r="O515" s="127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127"/>
      <c r="O516" s="127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127"/>
      <c r="O517" s="127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127"/>
      <c r="O518" s="127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127"/>
      <c r="O519" s="127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127"/>
      <c r="O520" s="127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127"/>
      <c r="O521" s="127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127"/>
      <c r="O522" s="127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127"/>
      <c r="O523" s="127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127"/>
      <c r="O524" s="127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127"/>
      <c r="O525" s="127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127"/>
      <c r="O526" s="127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127"/>
      <c r="O527" s="127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127"/>
      <c r="O528" s="127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127"/>
      <c r="O529" s="127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127"/>
      <c r="O530" s="127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127"/>
      <c r="O531" s="127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127"/>
      <c r="O532" s="127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127"/>
      <c r="O533" s="127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127"/>
      <c r="O534" s="127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127"/>
      <c r="O535" s="127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127"/>
      <c r="O536" s="127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127"/>
      <c r="O537" s="127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127"/>
      <c r="O538" s="127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127"/>
      <c r="O539" s="127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127"/>
      <c r="O540" s="127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127"/>
      <c r="O541" s="127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127"/>
      <c r="O542" s="127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127"/>
      <c r="O543" s="127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127"/>
      <c r="O544" s="127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127"/>
      <c r="O545" s="127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127"/>
      <c r="O546" s="127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127"/>
      <c r="O547" s="127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127"/>
      <c r="O548" s="127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127"/>
      <c r="O549" s="127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127"/>
      <c r="O550" s="127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127"/>
      <c r="O551" s="127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127"/>
      <c r="O552" s="127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127"/>
      <c r="O553" s="127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127"/>
      <c r="O554" s="127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127"/>
      <c r="O555" s="127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127"/>
      <c r="O556" s="127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127"/>
      <c r="O557" s="127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127"/>
      <c r="O558" s="127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127"/>
      <c r="O559" s="127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127"/>
      <c r="O560" s="127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127"/>
      <c r="O561" s="127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127"/>
      <c r="O562" s="127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127"/>
      <c r="O563" s="127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127"/>
      <c r="O564" s="127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127"/>
      <c r="O565" s="127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127"/>
      <c r="O566" s="127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127"/>
      <c r="O567" s="127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127"/>
      <c r="O568" s="127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127"/>
      <c r="O569" s="127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127"/>
      <c r="O570" s="127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127"/>
      <c r="O571" s="127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127"/>
      <c r="O572" s="127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127"/>
      <c r="O573" s="127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127"/>
      <c r="O574" s="127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127"/>
      <c r="O575" s="127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127"/>
      <c r="O576" s="127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127"/>
      <c r="O577" s="127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127"/>
      <c r="O578" s="127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127"/>
      <c r="O579" s="127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127"/>
      <c r="O580" s="127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127"/>
      <c r="O581" s="127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127"/>
      <c r="O582" s="127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127"/>
      <c r="O583" s="127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127"/>
      <c r="O584" s="127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127"/>
      <c r="O585" s="127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127"/>
      <c r="O586" s="127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127"/>
      <c r="O587" s="127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127"/>
      <c r="O588" s="127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127"/>
      <c r="O589" s="127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127"/>
      <c r="O590" s="127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127"/>
      <c r="O591" s="127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127"/>
      <c r="O592" s="127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127"/>
      <c r="O593" s="127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127"/>
      <c r="O594" s="127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127"/>
      <c r="O595" s="127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127"/>
      <c r="O596" s="127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127"/>
      <c r="O597" s="127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127"/>
      <c r="O598" s="127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127"/>
      <c r="O599" s="127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127"/>
      <c r="O600" s="127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127"/>
      <c r="O601" s="127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127"/>
      <c r="O602" s="127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127"/>
      <c r="O603" s="127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127"/>
      <c r="O604" s="127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127"/>
      <c r="O605" s="127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127"/>
      <c r="O606" s="127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127"/>
      <c r="O607" s="127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127"/>
      <c r="O608" s="127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127"/>
      <c r="O609" s="127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127"/>
      <c r="O610" s="127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127"/>
      <c r="O611" s="127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127"/>
      <c r="O612" s="127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127"/>
      <c r="O613" s="127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127"/>
      <c r="O614" s="127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127"/>
      <c r="O615" s="127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127"/>
      <c r="O616" s="127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127"/>
      <c r="O617" s="127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127"/>
      <c r="O618" s="127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127"/>
      <c r="O619" s="127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127"/>
      <c r="O620" s="127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127"/>
      <c r="O621" s="127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127"/>
      <c r="O622" s="127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127"/>
      <c r="O623" s="127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127"/>
      <c r="O624" s="127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127"/>
      <c r="O625" s="127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127"/>
      <c r="O626" s="127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127"/>
      <c r="O627" s="127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127"/>
      <c r="O628" s="127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127"/>
      <c r="O629" s="127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127"/>
      <c r="O630" s="127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127"/>
      <c r="O631" s="127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127"/>
      <c r="O632" s="127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127"/>
      <c r="O633" s="127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127"/>
      <c r="O634" s="127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127"/>
      <c r="O635" s="127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127"/>
      <c r="O636" s="127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127"/>
      <c r="O637" s="127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127"/>
      <c r="O638" s="127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127"/>
      <c r="O639" s="127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127"/>
      <c r="O640" s="127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127"/>
      <c r="O641" s="127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127"/>
      <c r="O642" s="127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127"/>
      <c r="O643" s="127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127"/>
      <c r="O644" s="127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127"/>
      <c r="O645" s="127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127"/>
      <c r="O646" s="127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127"/>
      <c r="O647" s="127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127"/>
      <c r="O648" s="127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127"/>
      <c r="O649" s="127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127"/>
      <c r="O650" s="127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127"/>
      <c r="O651" s="127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127"/>
      <c r="O652" s="127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127"/>
      <c r="O653" s="127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127"/>
      <c r="O654" s="127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127"/>
      <c r="O655" s="127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127"/>
      <c r="O656" s="127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127"/>
      <c r="O657" s="127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127"/>
      <c r="O658" s="127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127"/>
      <c r="O659" s="127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127"/>
      <c r="O660" s="127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127"/>
      <c r="O661" s="127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127"/>
      <c r="O662" s="127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127"/>
      <c r="O663" s="127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127"/>
      <c r="O664" s="127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127"/>
      <c r="O665" s="127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127"/>
      <c r="O666" s="127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127"/>
      <c r="O667" s="127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127"/>
      <c r="O668" s="127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127"/>
      <c r="O669" s="127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127"/>
      <c r="O670" s="127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127"/>
      <c r="O671" s="127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127"/>
      <c r="O672" s="127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127"/>
      <c r="O673" s="127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127"/>
      <c r="O674" s="127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127"/>
      <c r="O675" s="127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127"/>
      <c r="O676" s="127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127"/>
      <c r="O677" s="127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127"/>
      <c r="O678" s="127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127"/>
      <c r="O679" s="127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127"/>
      <c r="O680" s="127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127"/>
      <c r="O681" s="127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127"/>
      <c r="O682" s="127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127"/>
      <c r="O683" s="127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127"/>
      <c r="O684" s="127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127"/>
      <c r="O685" s="127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127"/>
      <c r="O686" s="127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127"/>
      <c r="O687" s="127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127"/>
      <c r="O688" s="127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127"/>
      <c r="O689" s="127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127"/>
      <c r="O690" s="127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127"/>
      <c r="O691" s="127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127"/>
      <c r="O692" s="127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127"/>
      <c r="O693" s="127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127"/>
      <c r="O694" s="127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127"/>
      <c r="O695" s="127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127"/>
      <c r="O696" s="127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127"/>
      <c r="O697" s="127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127"/>
      <c r="O698" s="127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127"/>
      <c r="O699" s="127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127"/>
      <c r="O700" s="127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127"/>
      <c r="O701" s="127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127"/>
      <c r="O702" s="127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127"/>
      <c r="O703" s="127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127"/>
      <c r="O704" s="127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127"/>
      <c r="O705" s="127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127"/>
      <c r="O706" s="127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127"/>
      <c r="O707" s="127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127"/>
      <c r="O708" s="127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127"/>
      <c r="O709" s="127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127"/>
      <c r="O710" s="127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127"/>
      <c r="O711" s="127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127"/>
      <c r="O712" s="127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127"/>
      <c r="O713" s="127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127"/>
      <c r="O714" s="127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127"/>
      <c r="O715" s="127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127"/>
      <c r="O716" s="127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127"/>
      <c r="O717" s="127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127"/>
      <c r="O718" s="127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127"/>
      <c r="O719" s="127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127"/>
      <c r="O720" s="127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127"/>
      <c r="O721" s="127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127"/>
      <c r="O722" s="127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127"/>
      <c r="O723" s="127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127"/>
      <c r="O724" s="127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127"/>
      <c r="O725" s="127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127"/>
      <c r="O726" s="127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127"/>
      <c r="O727" s="127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127"/>
      <c r="O728" s="127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127"/>
      <c r="O729" s="127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127"/>
      <c r="O730" s="127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127"/>
      <c r="O731" s="127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127"/>
      <c r="O732" s="127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127"/>
      <c r="O733" s="127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127"/>
      <c r="O734" s="127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127"/>
      <c r="O735" s="127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127"/>
      <c r="O736" s="127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127"/>
      <c r="O737" s="127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127"/>
      <c r="O738" s="127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127"/>
      <c r="O739" s="127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127"/>
      <c r="O740" s="127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127"/>
      <c r="O741" s="127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127"/>
      <c r="O742" s="127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127"/>
      <c r="O743" s="127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127"/>
      <c r="O744" s="127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127"/>
      <c r="O745" s="127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127"/>
      <c r="O746" s="127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127"/>
      <c r="O747" s="127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127"/>
      <c r="O748" s="127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127"/>
      <c r="O749" s="127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127"/>
      <c r="O750" s="127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127"/>
      <c r="O751" s="127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127"/>
      <c r="O752" s="127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127"/>
      <c r="O753" s="127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127"/>
      <c r="O754" s="127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127"/>
      <c r="O755" s="127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127"/>
      <c r="O756" s="127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127"/>
      <c r="O757" s="127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127"/>
      <c r="O758" s="127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127"/>
      <c r="O759" s="127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127"/>
      <c r="O760" s="127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127"/>
      <c r="O761" s="127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127"/>
      <c r="O762" s="127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127"/>
      <c r="O763" s="127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127"/>
      <c r="O764" s="127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127"/>
      <c r="O765" s="127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127"/>
      <c r="O766" s="127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127"/>
      <c r="O767" s="127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127"/>
      <c r="O768" s="127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127"/>
      <c r="O769" s="127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127"/>
      <c r="O770" s="127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127"/>
      <c r="O771" s="127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127"/>
      <c r="O772" s="127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127"/>
      <c r="O773" s="127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127"/>
      <c r="O774" s="127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127"/>
      <c r="O775" s="127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127"/>
      <c r="O776" s="127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127"/>
      <c r="O777" s="127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127"/>
      <c r="O778" s="127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127"/>
      <c r="O779" s="127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127"/>
      <c r="O780" s="127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127"/>
      <c r="O781" s="127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127"/>
      <c r="O782" s="127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127"/>
      <c r="O783" s="127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127"/>
      <c r="O784" s="127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127"/>
      <c r="O785" s="127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127"/>
      <c r="O786" s="127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127"/>
      <c r="O787" s="127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127"/>
      <c r="O788" s="127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127"/>
      <c r="O789" s="127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127"/>
      <c r="O790" s="127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127"/>
      <c r="O791" s="127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127"/>
      <c r="O792" s="127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127"/>
      <c r="O793" s="127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127"/>
      <c r="O794" s="127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127"/>
      <c r="O795" s="127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127"/>
      <c r="O796" s="127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127"/>
      <c r="O797" s="127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127"/>
      <c r="O798" s="127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127"/>
      <c r="O799" s="127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127"/>
      <c r="O800" s="127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127"/>
      <c r="O801" s="127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127"/>
      <c r="O802" s="127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127"/>
      <c r="O803" s="127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127"/>
      <c r="O804" s="127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127"/>
      <c r="O805" s="127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127"/>
      <c r="O806" s="127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127"/>
      <c r="O807" s="127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127"/>
      <c r="O808" s="127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127"/>
      <c r="O809" s="127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127"/>
      <c r="O810" s="127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127"/>
      <c r="O811" s="127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127"/>
      <c r="O812" s="127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127"/>
      <c r="O813" s="127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127"/>
      <c r="O814" s="127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127"/>
      <c r="O815" s="127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127"/>
      <c r="O816" s="127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127"/>
      <c r="O817" s="127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127"/>
      <c r="O818" s="127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127"/>
      <c r="O819" s="127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127"/>
      <c r="O820" s="127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127"/>
      <c r="O821" s="127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127"/>
      <c r="O822" s="127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127"/>
      <c r="O823" s="127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127"/>
      <c r="O824" s="127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127"/>
      <c r="O825" s="127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127"/>
      <c r="O826" s="127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127"/>
      <c r="O827" s="127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127"/>
      <c r="O828" s="127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127"/>
      <c r="O829" s="127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127"/>
      <c r="O830" s="127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127"/>
      <c r="O831" s="127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127"/>
      <c r="O832" s="127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127"/>
      <c r="O833" s="127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127"/>
      <c r="O834" s="127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127"/>
      <c r="O835" s="127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127"/>
      <c r="O836" s="127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127"/>
      <c r="O837" s="127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127"/>
      <c r="O838" s="127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127"/>
      <c r="O839" s="127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127"/>
      <c r="O840" s="127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127"/>
      <c r="O841" s="127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127"/>
      <c r="O842" s="127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127"/>
      <c r="O843" s="127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127"/>
      <c r="O844" s="127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127"/>
      <c r="O845" s="127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127"/>
      <c r="O846" s="127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127"/>
      <c r="O847" s="127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127"/>
      <c r="O848" s="127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127"/>
      <c r="O849" s="127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127"/>
      <c r="O850" s="127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127"/>
      <c r="O851" s="127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127"/>
      <c r="O852" s="127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127"/>
      <c r="O853" s="127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127"/>
      <c r="O854" s="127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127"/>
      <c r="O855" s="127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127"/>
      <c r="O856" s="127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127"/>
      <c r="O857" s="127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127"/>
      <c r="O858" s="127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127"/>
      <c r="O859" s="127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127"/>
      <c r="O860" s="127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127"/>
      <c r="O861" s="127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127"/>
      <c r="O862" s="127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127"/>
      <c r="O863" s="127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127"/>
      <c r="O864" s="127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127"/>
      <c r="O865" s="127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127"/>
      <c r="O866" s="127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127"/>
      <c r="O867" s="127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127"/>
      <c r="O868" s="127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127"/>
      <c r="O869" s="127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127"/>
      <c r="O870" s="127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127"/>
      <c r="O871" s="127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127"/>
      <c r="O872" s="127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127"/>
      <c r="O873" s="127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127"/>
      <c r="O874" s="127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127"/>
      <c r="O875" s="127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127"/>
      <c r="O876" s="127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127"/>
      <c r="O877" s="127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127"/>
      <c r="O878" s="127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127"/>
      <c r="O879" s="127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127"/>
      <c r="O880" s="127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127"/>
      <c r="O881" s="127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127"/>
      <c r="O882" s="127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127"/>
      <c r="O883" s="127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127"/>
      <c r="O884" s="127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127"/>
      <c r="O885" s="127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127"/>
      <c r="O886" s="127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127"/>
      <c r="O887" s="127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127"/>
      <c r="O888" s="127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127"/>
      <c r="O889" s="127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127"/>
      <c r="O890" s="127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127"/>
      <c r="O891" s="127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127"/>
      <c r="O892" s="127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127"/>
      <c r="O893" s="127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127"/>
      <c r="O894" s="127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127"/>
      <c r="O895" s="127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127"/>
      <c r="O896" s="127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127"/>
      <c r="O897" s="127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127"/>
      <c r="O898" s="127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127"/>
      <c r="O899" s="127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127"/>
      <c r="O900" s="127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127"/>
      <c r="O901" s="127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127"/>
      <c r="O902" s="127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127"/>
      <c r="O903" s="127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127"/>
      <c r="O904" s="127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127"/>
      <c r="O905" s="127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127"/>
      <c r="O906" s="127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127"/>
      <c r="O907" s="127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127"/>
      <c r="O908" s="127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127"/>
      <c r="O909" s="127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127"/>
      <c r="O910" s="127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127"/>
      <c r="O911" s="127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127"/>
      <c r="O912" s="127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127"/>
      <c r="O913" s="127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127"/>
      <c r="O914" s="127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127"/>
      <c r="O915" s="127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127"/>
      <c r="O916" s="127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127"/>
      <c r="O917" s="127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127"/>
      <c r="O918" s="127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127"/>
      <c r="O919" s="127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127"/>
      <c r="O920" s="127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127"/>
      <c r="O921" s="127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127"/>
      <c r="O922" s="127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127"/>
      <c r="O923" s="127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127"/>
      <c r="O924" s="127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127"/>
      <c r="O925" s="127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127"/>
      <c r="O926" s="127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127"/>
      <c r="O927" s="127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127"/>
      <c r="O928" s="127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127"/>
      <c r="O929" s="127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127"/>
      <c r="O930" s="127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127"/>
      <c r="O931" s="127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127"/>
      <c r="O932" s="127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127"/>
      <c r="O933" s="127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127"/>
      <c r="O934" s="127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127"/>
      <c r="O935" s="127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127"/>
      <c r="O936" s="127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127"/>
      <c r="O937" s="127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127"/>
      <c r="O938" s="127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127"/>
      <c r="O939" s="127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127"/>
      <c r="O940" s="127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127"/>
      <c r="O941" s="127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127"/>
      <c r="O942" s="127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127"/>
      <c r="O943" s="127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127"/>
      <c r="O944" s="127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127"/>
      <c r="O945" s="127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127"/>
      <c r="O946" s="127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127"/>
      <c r="O947" s="127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127"/>
      <c r="O948" s="127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127"/>
      <c r="O949" s="127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127"/>
      <c r="O950" s="127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127"/>
      <c r="O951" s="127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127"/>
      <c r="O952" s="127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127"/>
      <c r="O953" s="127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127"/>
      <c r="O954" s="127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127"/>
      <c r="O955" s="127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127"/>
      <c r="O956" s="127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127"/>
      <c r="O957" s="127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127"/>
      <c r="O958" s="127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127"/>
      <c r="O959" s="127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127"/>
      <c r="O960" s="127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127"/>
      <c r="O961" s="127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127"/>
      <c r="O962" s="127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127"/>
      <c r="O963" s="127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127"/>
      <c r="O964" s="127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127"/>
      <c r="O965" s="127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127"/>
      <c r="O966" s="127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127"/>
      <c r="O967" s="127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127"/>
      <c r="O968" s="127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127"/>
      <c r="O969" s="127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127"/>
      <c r="O970" s="127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127"/>
      <c r="O971" s="127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127"/>
      <c r="O972" s="127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127"/>
      <c r="O973" s="127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127"/>
      <c r="O974" s="127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127"/>
      <c r="O975" s="127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127"/>
      <c r="O976" s="127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127"/>
      <c r="O977" s="127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127"/>
      <c r="O978" s="127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127"/>
      <c r="O979" s="127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127"/>
      <c r="O980" s="127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127"/>
      <c r="O981" s="127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127"/>
      <c r="O982" s="127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127"/>
      <c r="O983" s="127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127"/>
      <c r="O984" s="127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127"/>
      <c r="O985" s="127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127"/>
      <c r="O986" s="127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127"/>
      <c r="O987" s="127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127"/>
      <c r="O988" s="127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127"/>
      <c r="O989" s="127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127"/>
      <c r="O990" s="127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127"/>
      <c r="O991" s="127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127"/>
      <c r="O992" s="127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127"/>
      <c r="O993" s="127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127"/>
      <c r="O994" s="127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127"/>
      <c r="O995" s="127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127"/>
      <c r="O996" s="127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127"/>
      <c r="O997" s="127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127"/>
      <c r="O998" s="127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127"/>
      <c r="O999" s="127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127"/>
      <c r="O1000" s="127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31.0"/>
    <col customWidth="1" min="5" max="11" width="10.71"/>
    <col customWidth="1" min="12" max="12" width="9.0"/>
    <col customWidth="1" min="13" max="13" width="11.14"/>
    <col customWidth="1" min="14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70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133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134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>
      <c r="A7" s="14" t="s">
        <v>23</v>
      </c>
      <c r="B7" s="15" t="s">
        <v>135</v>
      </c>
      <c r="C7" s="16">
        <v>1.0</v>
      </c>
      <c r="D7" s="170" t="s">
        <v>136</v>
      </c>
      <c r="E7" s="120" t="s">
        <v>26</v>
      </c>
      <c r="F7" s="120">
        <v>1.09</v>
      </c>
      <c r="G7" s="120" t="s">
        <v>26</v>
      </c>
      <c r="H7" s="120" t="s">
        <v>26</v>
      </c>
      <c r="I7" s="120" t="s">
        <v>26</v>
      </c>
      <c r="J7" s="120" t="s">
        <v>26</v>
      </c>
      <c r="K7" s="120">
        <v>2.29</v>
      </c>
      <c r="L7" s="120" t="s">
        <v>26</v>
      </c>
      <c r="M7" s="120">
        <v>1.81</v>
      </c>
      <c r="N7" s="18">
        <v>0.98</v>
      </c>
      <c r="O7" s="120" t="s">
        <v>26</v>
      </c>
      <c r="P7" s="120" t="s">
        <v>26</v>
      </c>
      <c r="Q7" s="19">
        <f t="shared" ref="Q7:Q30" si="1">AVERAGE(E7,F7,G7,H7,I7,J7,K7,L7,M7,N7,O7,P7)</f>
        <v>1.5425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>
      <c r="A8" s="20"/>
      <c r="B8" s="21"/>
      <c r="C8" s="22">
        <v>2.0</v>
      </c>
      <c r="D8" s="139" t="s">
        <v>137</v>
      </c>
      <c r="E8" s="85" t="s">
        <v>26</v>
      </c>
      <c r="F8" s="85">
        <v>1.04</v>
      </c>
      <c r="G8" s="85" t="s">
        <v>26</v>
      </c>
      <c r="H8" s="85" t="s">
        <v>26</v>
      </c>
      <c r="I8" s="85" t="s">
        <v>26</v>
      </c>
      <c r="J8" s="85" t="s">
        <v>26</v>
      </c>
      <c r="K8" s="23">
        <v>1.06</v>
      </c>
      <c r="L8" s="85" t="s">
        <v>26</v>
      </c>
      <c r="M8" s="85">
        <v>0.94</v>
      </c>
      <c r="N8" s="24">
        <v>1.0</v>
      </c>
      <c r="O8" s="85" t="s">
        <v>26</v>
      </c>
      <c r="P8" s="85" t="s">
        <v>26</v>
      </c>
      <c r="Q8" s="25">
        <f t="shared" si="1"/>
        <v>1.01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>
      <c r="A9" s="20"/>
      <c r="B9" s="21"/>
      <c r="C9" s="22">
        <v>3.0</v>
      </c>
      <c r="D9" s="139" t="s">
        <v>138</v>
      </c>
      <c r="E9" s="85" t="s">
        <v>26</v>
      </c>
      <c r="F9" s="85">
        <v>8.52</v>
      </c>
      <c r="G9" s="85" t="s">
        <v>26</v>
      </c>
      <c r="H9" s="85" t="s">
        <v>26</v>
      </c>
      <c r="I9" s="85" t="s">
        <v>26</v>
      </c>
      <c r="J9" s="85" t="s">
        <v>26</v>
      </c>
      <c r="K9" s="23">
        <v>1.85</v>
      </c>
      <c r="L9" s="85" t="s">
        <v>26</v>
      </c>
      <c r="M9" s="24">
        <v>1.03</v>
      </c>
      <c r="N9" s="24">
        <v>0.86</v>
      </c>
      <c r="O9" s="85" t="s">
        <v>26</v>
      </c>
      <c r="P9" s="85" t="s">
        <v>26</v>
      </c>
      <c r="Q9" s="25">
        <f t="shared" si="1"/>
        <v>3.065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>
      <c r="A10" s="20"/>
      <c r="B10" s="26"/>
      <c r="C10" s="22">
        <v>4.0</v>
      </c>
      <c r="D10" s="139" t="s">
        <v>139</v>
      </c>
      <c r="E10" s="85" t="s">
        <v>26</v>
      </c>
      <c r="F10" s="85">
        <v>8.24</v>
      </c>
      <c r="G10" s="85" t="s">
        <v>26</v>
      </c>
      <c r="H10" s="85" t="s">
        <v>26</v>
      </c>
      <c r="I10" s="85" t="s">
        <v>26</v>
      </c>
      <c r="J10" s="85" t="s">
        <v>26</v>
      </c>
      <c r="K10" s="23">
        <v>2.44</v>
      </c>
      <c r="L10" s="85" t="s">
        <v>26</v>
      </c>
      <c r="M10" s="85">
        <v>0.83</v>
      </c>
      <c r="N10" s="24">
        <v>1.0</v>
      </c>
      <c r="O10" s="85" t="s">
        <v>26</v>
      </c>
      <c r="P10" s="85" t="s">
        <v>26</v>
      </c>
      <c r="Q10" s="25">
        <f t="shared" si="1"/>
        <v>3.1275</v>
      </c>
      <c r="R10" s="23">
        <v>5.0</v>
      </c>
      <c r="S10" s="72"/>
      <c r="T10" s="72"/>
      <c r="U10" s="72"/>
      <c r="V10" s="72"/>
      <c r="W10" s="72"/>
      <c r="X10" s="72"/>
      <c r="Y10" s="72"/>
      <c r="Z10" s="72"/>
    </row>
    <row r="11">
      <c r="A11" s="20"/>
      <c r="B11" s="15" t="s">
        <v>31</v>
      </c>
      <c r="C11" s="16">
        <v>1.0</v>
      </c>
      <c r="D11" s="170" t="s">
        <v>136</v>
      </c>
      <c r="E11" s="120" t="s">
        <v>26</v>
      </c>
      <c r="F11" s="120">
        <v>5.0</v>
      </c>
      <c r="G11" s="120" t="s">
        <v>26</v>
      </c>
      <c r="H11" s="120" t="s">
        <v>26</v>
      </c>
      <c r="I11" s="120" t="s">
        <v>26</v>
      </c>
      <c r="J11" s="120" t="s">
        <v>26</v>
      </c>
      <c r="K11" s="120">
        <v>22.0</v>
      </c>
      <c r="L11" s="120" t="s">
        <v>26</v>
      </c>
      <c r="M11" s="120">
        <v>10.0</v>
      </c>
      <c r="N11" s="120">
        <v>9.0</v>
      </c>
      <c r="O11" s="120" t="s">
        <v>26</v>
      </c>
      <c r="P11" s="120" t="s">
        <v>26</v>
      </c>
      <c r="Q11" s="28">
        <f t="shared" si="1"/>
        <v>11.5</v>
      </c>
      <c r="R11" s="17">
        <v>7.0</v>
      </c>
      <c r="S11" s="72"/>
      <c r="T11" s="72"/>
      <c r="U11" s="72"/>
      <c r="V11" s="72"/>
      <c r="W11" s="72"/>
      <c r="X11" s="72"/>
      <c r="Y11" s="72"/>
      <c r="Z11" s="72"/>
    </row>
    <row r="12">
      <c r="A12" s="20"/>
      <c r="B12" s="21"/>
      <c r="C12" s="22">
        <v>2.0</v>
      </c>
      <c r="D12" s="139" t="s">
        <v>137</v>
      </c>
      <c r="E12" s="85" t="s">
        <v>26</v>
      </c>
      <c r="F12" s="85">
        <v>64.0</v>
      </c>
      <c r="G12" s="85" t="s">
        <v>26</v>
      </c>
      <c r="H12" s="85" t="s">
        <v>26</v>
      </c>
      <c r="I12" s="85" t="s">
        <v>26</v>
      </c>
      <c r="J12" s="85" t="s">
        <v>26</v>
      </c>
      <c r="K12" s="85">
        <v>15.0</v>
      </c>
      <c r="L12" s="85" t="s">
        <v>26</v>
      </c>
      <c r="M12" s="85">
        <v>38.0</v>
      </c>
      <c r="N12" s="85">
        <v>6.0</v>
      </c>
      <c r="O12" s="85" t="s">
        <v>26</v>
      </c>
      <c r="P12" s="85" t="s">
        <v>26</v>
      </c>
      <c r="Q12" s="30">
        <f t="shared" si="1"/>
        <v>30.75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>
      <c r="A13" s="20"/>
      <c r="B13" s="21"/>
      <c r="C13" s="22">
        <v>3.0</v>
      </c>
      <c r="D13" s="139" t="s">
        <v>138</v>
      </c>
      <c r="E13" s="85" t="s">
        <v>26</v>
      </c>
      <c r="F13" s="85">
        <v>9.0</v>
      </c>
      <c r="G13" s="85" t="s">
        <v>26</v>
      </c>
      <c r="H13" s="85" t="s">
        <v>26</v>
      </c>
      <c r="I13" s="85" t="s">
        <v>26</v>
      </c>
      <c r="J13" s="85" t="s">
        <v>26</v>
      </c>
      <c r="K13" s="171">
        <v>15.0</v>
      </c>
      <c r="L13" s="85" t="s">
        <v>26</v>
      </c>
      <c r="M13" s="85">
        <v>23.0</v>
      </c>
      <c r="N13" s="85">
        <v>24.0</v>
      </c>
      <c r="O13" s="85" t="s">
        <v>26</v>
      </c>
      <c r="P13" s="85" t="s">
        <v>26</v>
      </c>
      <c r="Q13" s="30">
        <f t="shared" si="1"/>
        <v>17.75</v>
      </c>
      <c r="R13" s="23">
        <v>7.0</v>
      </c>
      <c r="S13" s="72"/>
      <c r="T13" s="72"/>
      <c r="U13" s="72"/>
      <c r="V13" s="72"/>
      <c r="W13" s="72"/>
      <c r="X13" s="72"/>
      <c r="Y13" s="72"/>
      <c r="Z13" s="72"/>
    </row>
    <row r="14">
      <c r="A14" s="20"/>
      <c r="B14" s="26"/>
      <c r="C14" s="22">
        <v>4.0</v>
      </c>
      <c r="D14" s="139" t="s">
        <v>139</v>
      </c>
      <c r="E14" s="85" t="s">
        <v>26</v>
      </c>
      <c r="F14" s="85">
        <v>12.0</v>
      </c>
      <c r="G14" s="85" t="s">
        <v>26</v>
      </c>
      <c r="H14" s="85" t="s">
        <v>26</v>
      </c>
      <c r="I14" s="85" t="s">
        <v>26</v>
      </c>
      <c r="J14" s="85" t="s">
        <v>26</v>
      </c>
      <c r="K14" s="171">
        <v>28.0</v>
      </c>
      <c r="L14" s="85" t="s">
        <v>26</v>
      </c>
      <c r="M14" s="85">
        <v>15.0</v>
      </c>
      <c r="N14" s="85">
        <v>11.0</v>
      </c>
      <c r="O14" s="85" t="s">
        <v>26</v>
      </c>
      <c r="P14" s="85" t="s">
        <v>26</v>
      </c>
      <c r="Q14" s="30">
        <f t="shared" si="1"/>
        <v>16.5</v>
      </c>
      <c r="R14" s="23">
        <v>7.0</v>
      </c>
      <c r="S14" s="72"/>
      <c r="T14" s="72"/>
      <c r="U14" s="72"/>
      <c r="V14" s="72"/>
      <c r="W14" s="72"/>
      <c r="X14" s="72"/>
      <c r="Y14" s="72"/>
      <c r="Z14" s="72"/>
    </row>
    <row r="15">
      <c r="A15" s="20"/>
      <c r="B15" s="15" t="s">
        <v>32</v>
      </c>
      <c r="C15" s="16">
        <v>1.0</v>
      </c>
      <c r="D15" s="170" t="s">
        <v>136</v>
      </c>
      <c r="E15" s="120" t="s">
        <v>26</v>
      </c>
      <c r="F15" s="120">
        <v>21.0</v>
      </c>
      <c r="G15" s="120" t="s">
        <v>26</v>
      </c>
      <c r="H15" s="120" t="s">
        <v>26</v>
      </c>
      <c r="I15" s="120" t="s">
        <v>26</v>
      </c>
      <c r="J15" s="120" t="s">
        <v>26</v>
      </c>
      <c r="K15" s="17">
        <v>159.0</v>
      </c>
      <c r="L15" s="120" t="s">
        <v>26</v>
      </c>
      <c r="M15" s="120">
        <v>61.0</v>
      </c>
      <c r="N15" s="120">
        <v>75.0</v>
      </c>
      <c r="O15" s="120" t="s">
        <v>26</v>
      </c>
      <c r="P15" s="120" t="s">
        <v>26</v>
      </c>
      <c r="Q15" s="28">
        <f t="shared" si="1"/>
        <v>79</v>
      </c>
      <c r="R15" s="17">
        <v>80.0</v>
      </c>
      <c r="S15" s="72"/>
      <c r="T15" s="72"/>
      <c r="U15" s="72"/>
      <c r="V15" s="72"/>
      <c r="W15" s="72"/>
      <c r="X15" s="72"/>
      <c r="Y15" s="72"/>
      <c r="Z15" s="72"/>
    </row>
    <row r="16">
      <c r="A16" s="20"/>
      <c r="B16" s="21"/>
      <c r="C16" s="22">
        <v>2.0</v>
      </c>
      <c r="D16" s="139" t="s">
        <v>137</v>
      </c>
      <c r="E16" s="85" t="s">
        <v>26</v>
      </c>
      <c r="F16" s="85">
        <v>25.0</v>
      </c>
      <c r="G16" s="85" t="s">
        <v>26</v>
      </c>
      <c r="H16" s="85" t="s">
        <v>26</v>
      </c>
      <c r="I16" s="85" t="s">
        <v>26</v>
      </c>
      <c r="J16" s="85" t="s">
        <v>26</v>
      </c>
      <c r="K16" s="23">
        <v>31.0</v>
      </c>
      <c r="L16" s="85" t="s">
        <v>26</v>
      </c>
      <c r="M16" s="85">
        <v>24.0</v>
      </c>
      <c r="N16" s="85">
        <v>38.0</v>
      </c>
      <c r="O16" s="85" t="s">
        <v>26</v>
      </c>
      <c r="P16" s="85" t="s">
        <v>26</v>
      </c>
      <c r="Q16" s="30">
        <f t="shared" si="1"/>
        <v>29.5</v>
      </c>
      <c r="R16" s="23">
        <v>80.0</v>
      </c>
      <c r="S16" s="72"/>
      <c r="T16" s="72"/>
      <c r="U16" s="72"/>
      <c r="V16" s="72"/>
      <c r="W16" s="72"/>
      <c r="X16" s="72"/>
      <c r="Y16" s="72"/>
      <c r="Z16" s="72"/>
    </row>
    <row r="17">
      <c r="A17" s="20"/>
      <c r="B17" s="21"/>
      <c r="C17" s="22">
        <v>3.0</v>
      </c>
      <c r="D17" s="139" t="s">
        <v>138</v>
      </c>
      <c r="E17" s="85" t="s">
        <v>26</v>
      </c>
      <c r="F17" s="85">
        <v>29.0</v>
      </c>
      <c r="G17" s="85" t="s">
        <v>26</v>
      </c>
      <c r="H17" s="85" t="s">
        <v>26</v>
      </c>
      <c r="I17" s="85" t="s">
        <v>26</v>
      </c>
      <c r="J17" s="85" t="s">
        <v>26</v>
      </c>
      <c r="K17" s="23">
        <v>43.0</v>
      </c>
      <c r="L17" s="85" t="s">
        <v>26</v>
      </c>
      <c r="M17" s="85">
        <v>37.0</v>
      </c>
      <c r="N17" s="85">
        <v>25.0</v>
      </c>
      <c r="O17" s="85" t="s">
        <v>26</v>
      </c>
      <c r="P17" s="85" t="s">
        <v>26</v>
      </c>
      <c r="Q17" s="30">
        <f t="shared" si="1"/>
        <v>33.5</v>
      </c>
      <c r="R17" s="23">
        <v>80.0</v>
      </c>
      <c r="S17" s="72"/>
      <c r="T17" s="72"/>
      <c r="U17" s="72"/>
      <c r="V17" s="72"/>
      <c r="W17" s="72"/>
      <c r="X17" s="72"/>
      <c r="Y17" s="72"/>
      <c r="Z17" s="72"/>
    </row>
    <row r="18">
      <c r="A18" s="20"/>
      <c r="B18" s="26"/>
      <c r="C18" s="172">
        <v>4.0</v>
      </c>
      <c r="D18" s="139" t="s">
        <v>139</v>
      </c>
      <c r="E18" s="85" t="s">
        <v>26</v>
      </c>
      <c r="F18" s="85">
        <v>86.0</v>
      </c>
      <c r="G18" s="85" t="s">
        <v>26</v>
      </c>
      <c r="H18" s="85" t="s">
        <v>26</v>
      </c>
      <c r="I18" s="85" t="s">
        <v>26</v>
      </c>
      <c r="J18" s="85" t="s">
        <v>26</v>
      </c>
      <c r="K18" s="23">
        <v>52.0</v>
      </c>
      <c r="L18" s="85" t="s">
        <v>26</v>
      </c>
      <c r="M18" s="85">
        <v>56.0</v>
      </c>
      <c r="N18" s="85">
        <v>29.0</v>
      </c>
      <c r="O18" s="85" t="s">
        <v>26</v>
      </c>
      <c r="P18" s="85" t="s">
        <v>26</v>
      </c>
      <c r="Q18" s="30">
        <f t="shared" si="1"/>
        <v>55.75</v>
      </c>
      <c r="R18" s="23">
        <v>80.0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33</v>
      </c>
      <c r="C19" s="16">
        <v>1.0</v>
      </c>
      <c r="D19" s="170" t="s">
        <v>136</v>
      </c>
      <c r="E19" s="120" t="s">
        <v>26</v>
      </c>
      <c r="F19" s="120">
        <v>6.81</v>
      </c>
      <c r="G19" s="120" t="s">
        <v>26</v>
      </c>
      <c r="H19" s="120" t="s">
        <v>26</v>
      </c>
      <c r="I19" s="120" t="s">
        <v>26</v>
      </c>
      <c r="J19" s="120" t="s">
        <v>26</v>
      </c>
      <c r="K19" s="17">
        <v>7.72</v>
      </c>
      <c r="L19" s="120" t="s">
        <v>26</v>
      </c>
      <c r="M19" s="120">
        <v>7.63</v>
      </c>
      <c r="N19" s="120">
        <v>7.31</v>
      </c>
      <c r="O19" s="120" t="s">
        <v>26</v>
      </c>
      <c r="P19" s="120" t="s">
        <v>26</v>
      </c>
      <c r="Q19" s="19">
        <f t="shared" si="1"/>
        <v>7.3675</v>
      </c>
      <c r="R19" s="18" t="s">
        <v>34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39" t="s">
        <v>137</v>
      </c>
      <c r="E20" s="85" t="s">
        <v>26</v>
      </c>
      <c r="F20" s="85">
        <v>6.84</v>
      </c>
      <c r="G20" s="85" t="s">
        <v>26</v>
      </c>
      <c r="H20" s="85" t="s">
        <v>26</v>
      </c>
      <c r="I20" s="85" t="s">
        <v>26</v>
      </c>
      <c r="J20" s="85" t="s">
        <v>26</v>
      </c>
      <c r="K20" s="72">
        <v>7.34</v>
      </c>
      <c r="L20" s="85" t="s">
        <v>26</v>
      </c>
      <c r="M20" s="85">
        <v>7.42</v>
      </c>
      <c r="N20" s="24">
        <v>7.37</v>
      </c>
      <c r="O20" s="85" t="s">
        <v>26</v>
      </c>
      <c r="P20" s="85" t="s">
        <v>26</v>
      </c>
      <c r="Q20" s="25">
        <f t="shared" si="1"/>
        <v>7.2425</v>
      </c>
      <c r="R20" s="24" t="s">
        <v>34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1"/>
      <c r="C21" s="22">
        <v>3.0</v>
      </c>
      <c r="D21" s="139" t="s">
        <v>138</v>
      </c>
      <c r="E21" s="85" t="s">
        <v>26</v>
      </c>
      <c r="F21" s="85">
        <v>7.35</v>
      </c>
      <c r="G21" s="85" t="s">
        <v>26</v>
      </c>
      <c r="H21" s="85" t="s">
        <v>26</v>
      </c>
      <c r="I21" s="85" t="s">
        <v>26</v>
      </c>
      <c r="J21" s="85" t="s">
        <v>26</v>
      </c>
      <c r="K21" s="85">
        <v>7.52</v>
      </c>
      <c r="L21" s="85" t="s">
        <v>26</v>
      </c>
      <c r="M21" s="85">
        <v>7.52</v>
      </c>
      <c r="N21" s="85">
        <v>7.35</v>
      </c>
      <c r="O21" s="85" t="s">
        <v>26</v>
      </c>
      <c r="P21" s="85" t="s">
        <v>26</v>
      </c>
      <c r="Q21" s="25">
        <f t="shared" si="1"/>
        <v>7.435</v>
      </c>
      <c r="R21" s="24" t="s">
        <v>34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26"/>
      <c r="C22" s="22">
        <v>4.0</v>
      </c>
      <c r="D22" s="139" t="s">
        <v>139</v>
      </c>
      <c r="E22" s="85" t="s">
        <v>26</v>
      </c>
      <c r="F22" s="85">
        <v>7.52</v>
      </c>
      <c r="G22" s="85" t="s">
        <v>26</v>
      </c>
      <c r="H22" s="85" t="s">
        <v>26</v>
      </c>
      <c r="I22" s="85" t="s">
        <v>26</v>
      </c>
      <c r="J22" s="85" t="s">
        <v>26</v>
      </c>
      <c r="K22" s="85">
        <v>7.66</v>
      </c>
      <c r="L22" s="85" t="s">
        <v>26</v>
      </c>
      <c r="M22" s="85">
        <v>7.61</v>
      </c>
      <c r="N22" s="85">
        <v>7.48</v>
      </c>
      <c r="O22" s="85" t="s">
        <v>26</v>
      </c>
      <c r="P22" s="85" t="s">
        <v>26</v>
      </c>
      <c r="Q22" s="25">
        <f t="shared" si="1"/>
        <v>7.5675</v>
      </c>
      <c r="R22" s="24" t="s">
        <v>34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15" t="s">
        <v>140</v>
      </c>
      <c r="C23" s="16">
        <v>1.0</v>
      </c>
      <c r="D23" s="170" t="s">
        <v>136</v>
      </c>
      <c r="E23" s="120" t="s">
        <v>26</v>
      </c>
      <c r="F23" s="120">
        <v>27.83</v>
      </c>
      <c r="G23" s="120" t="s">
        <v>26</v>
      </c>
      <c r="H23" s="120" t="s">
        <v>26</v>
      </c>
      <c r="I23" s="120" t="s">
        <v>26</v>
      </c>
      <c r="J23" s="120" t="s">
        <v>26</v>
      </c>
      <c r="K23" s="173">
        <v>30.63</v>
      </c>
      <c r="L23" s="120" t="s">
        <v>26</v>
      </c>
      <c r="M23" s="18">
        <v>30.6</v>
      </c>
      <c r="N23" s="18">
        <v>30.6</v>
      </c>
      <c r="O23" s="120" t="s">
        <v>26</v>
      </c>
      <c r="P23" s="120" t="s">
        <v>26</v>
      </c>
      <c r="Q23" s="19">
        <f t="shared" si="1"/>
        <v>29.915</v>
      </c>
      <c r="R23" s="18" t="s">
        <v>36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1"/>
      <c r="C24" s="22">
        <v>2.0</v>
      </c>
      <c r="D24" s="139" t="s">
        <v>137</v>
      </c>
      <c r="E24" s="85" t="s">
        <v>26</v>
      </c>
      <c r="F24" s="24">
        <v>27.9</v>
      </c>
      <c r="G24" s="85" t="s">
        <v>26</v>
      </c>
      <c r="H24" s="85" t="s">
        <v>26</v>
      </c>
      <c r="I24" s="85" t="s">
        <v>26</v>
      </c>
      <c r="J24" s="85" t="s">
        <v>26</v>
      </c>
      <c r="K24" s="25">
        <v>31.5</v>
      </c>
      <c r="L24" s="85" t="s">
        <v>26</v>
      </c>
      <c r="M24" s="24">
        <v>31.6</v>
      </c>
      <c r="N24" s="24">
        <v>30.5</v>
      </c>
      <c r="O24" s="85" t="s">
        <v>26</v>
      </c>
      <c r="P24" s="85" t="s">
        <v>26</v>
      </c>
      <c r="Q24" s="25">
        <f t="shared" si="1"/>
        <v>30.375</v>
      </c>
      <c r="R24" s="24" t="s">
        <v>36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21"/>
      <c r="C25" s="22">
        <v>3.0</v>
      </c>
      <c r="D25" s="139" t="s">
        <v>138</v>
      </c>
      <c r="E25" s="85" t="s">
        <v>26</v>
      </c>
      <c r="F25" s="24">
        <v>29.5</v>
      </c>
      <c r="G25" s="85" t="s">
        <v>26</v>
      </c>
      <c r="H25" s="85" t="s">
        <v>26</v>
      </c>
      <c r="I25" s="85" t="s">
        <v>26</v>
      </c>
      <c r="J25" s="85" t="s">
        <v>26</v>
      </c>
      <c r="K25" s="25">
        <v>32.3</v>
      </c>
      <c r="L25" s="85" t="s">
        <v>26</v>
      </c>
      <c r="M25" s="24">
        <v>31.73</v>
      </c>
      <c r="N25" s="24">
        <v>30.6</v>
      </c>
      <c r="O25" s="85" t="s">
        <v>26</v>
      </c>
      <c r="P25" s="85" t="s">
        <v>26</v>
      </c>
      <c r="Q25" s="25">
        <f t="shared" si="1"/>
        <v>31.0325</v>
      </c>
      <c r="R25" s="24" t="s">
        <v>36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6"/>
      <c r="C26" s="22">
        <v>4.0</v>
      </c>
      <c r="D26" s="139" t="s">
        <v>139</v>
      </c>
      <c r="E26" s="85" t="s">
        <v>26</v>
      </c>
      <c r="F26" s="24">
        <v>29.7</v>
      </c>
      <c r="G26" s="85" t="s">
        <v>26</v>
      </c>
      <c r="H26" s="85" t="s">
        <v>26</v>
      </c>
      <c r="I26" s="85" t="s">
        <v>26</v>
      </c>
      <c r="J26" s="85" t="s">
        <v>26</v>
      </c>
      <c r="K26" s="25">
        <v>32.5</v>
      </c>
      <c r="L26" s="85" t="s">
        <v>26</v>
      </c>
      <c r="M26" s="24">
        <v>31.33</v>
      </c>
      <c r="N26" s="24">
        <v>30.6</v>
      </c>
      <c r="O26" s="85" t="s">
        <v>26</v>
      </c>
      <c r="P26" s="85" t="s">
        <v>26</v>
      </c>
      <c r="Q26" s="25">
        <f t="shared" si="1"/>
        <v>31.0325</v>
      </c>
      <c r="R26" s="24" t="s">
        <v>36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15" t="s">
        <v>37</v>
      </c>
      <c r="C27" s="16">
        <v>1.0</v>
      </c>
      <c r="D27" s="170" t="s">
        <v>136</v>
      </c>
      <c r="E27" s="120" t="s">
        <v>26</v>
      </c>
      <c r="F27" s="120">
        <v>25.0</v>
      </c>
      <c r="G27" s="120" t="s">
        <v>26</v>
      </c>
      <c r="H27" s="120" t="s">
        <v>26</v>
      </c>
      <c r="I27" s="120" t="s">
        <v>26</v>
      </c>
      <c r="J27" s="120" t="s">
        <v>26</v>
      </c>
      <c r="K27" s="17">
        <v>30.0</v>
      </c>
      <c r="L27" s="120" t="s">
        <v>26</v>
      </c>
      <c r="M27" s="120">
        <v>50.0</v>
      </c>
      <c r="N27" s="120">
        <v>40.0</v>
      </c>
      <c r="O27" s="120" t="s">
        <v>26</v>
      </c>
      <c r="P27" s="120" t="s">
        <v>26</v>
      </c>
      <c r="Q27" s="28">
        <f t="shared" si="1"/>
        <v>36.25</v>
      </c>
      <c r="R27" s="17">
        <v>75.0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21"/>
      <c r="C28" s="22">
        <v>2.0</v>
      </c>
      <c r="D28" s="139" t="s">
        <v>137</v>
      </c>
      <c r="E28" s="85" t="s">
        <v>26</v>
      </c>
      <c r="F28" s="85">
        <v>20.0</v>
      </c>
      <c r="G28" s="85" t="s">
        <v>26</v>
      </c>
      <c r="H28" s="85" t="s">
        <v>26</v>
      </c>
      <c r="I28" s="85" t="s">
        <v>26</v>
      </c>
      <c r="J28" s="85" t="s">
        <v>26</v>
      </c>
      <c r="K28" s="23">
        <v>30.0</v>
      </c>
      <c r="L28" s="85" t="s">
        <v>26</v>
      </c>
      <c r="M28" s="85">
        <v>40.0</v>
      </c>
      <c r="N28" s="85">
        <v>40.0</v>
      </c>
      <c r="O28" s="85" t="s">
        <v>26</v>
      </c>
      <c r="P28" s="85" t="s">
        <v>26</v>
      </c>
      <c r="Q28" s="30">
        <f t="shared" si="1"/>
        <v>32.5</v>
      </c>
      <c r="R28" s="23">
        <v>75.0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3.0</v>
      </c>
      <c r="D29" s="139" t="s">
        <v>138</v>
      </c>
      <c r="E29" s="85" t="s">
        <v>26</v>
      </c>
      <c r="F29" s="85">
        <v>20.0</v>
      </c>
      <c r="G29" s="85" t="s">
        <v>26</v>
      </c>
      <c r="H29" s="85" t="s">
        <v>26</v>
      </c>
      <c r="I29" s="85" t="s">
        <v>26</v>
      </c>
      <c r="J29" s="85" t="s">
        <v>26</v>
      </c>
      <c r="K29" s="23">
        <v>30.0</v>
      </c>
      <c r="L29" s="85" t="s">
        <v>26</v>
      </c>
      <c r="M29" s="85">
        <v>30.0</v>
      </c>
      <c r="N29" s="85">
        <v>40.0</v>
      </c>
      <c r="O29" s="85" t="s">
        <v>26</v>
      </c>
      <c r="P29" s="85" t="s">
        <v>26</v>
      </c>
      <c r="Q29" s="30">
        <f t="shared" si="1"/>
        <v>30</v>
      </c>
      <c r="R29" s="23">
        <v>75.0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4.0</v>
      </c>
      <c r="D30" s="139" t="s">
        <v>139</v>
      </c>
      <c r="E30" s="85" t="s">
        <v>26</v>
      </c>
      <c r="F30" s="85">
        <v>20.0</v>
      </c>
      <c r="G30" s="85" t="s">
        <v>26</v>
      </c>
      <c r="H30" s="85" t="s">
        <v>26</v>
      </c>
      <c r="I30" s="85" t="s">
        <v>26</v>
      </c>
      <c r="J30" s="85" t="s">
        <v>26</v>
      </c>
      <c r="K30" s="23">
        <v>150.0</v>
      </c>
      <c r="L30" s="85" t="s">
        <v>26</v>
      </c>
      <c r="M30" s="85">
        <v>30.0</v>
      </c>
      <c r="N30" s="85">
        <v>40.0</v>
      </c>
      <c r="O30" s="85" t="s">
        <v>26</v>
      </c>
      <c r="P30" s="85" t="s">
        <v>26</v>
      </c>
      <c r="Q30" s="30">
        <f t="shared" si="1"/>
        <v>60</v>
      </c>
      <c r="R30" s="23">
        <v>75.0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38</v>
      </c>
      <c r="C31" s="16">
        <v>1.0</v>
      </c>
      <c r="D31" s="170" t="s">
        <v>136</v>
      </c>
      <c r="E31" s="120" t="s">
        <v>26</v>
      </c>
      <c r="F31" s="31">
        <v>110000.0</v>
      </c>
      <c r="G31" s="120" t="s">
        <v>26</v>
      </c>
      <c r="H31" s="120" t="s">
        <v>26</v>
      </c>
      <c r="I31" s="120" t="s">
        <v>26</v>
      </c>
      <c r="J31" s="120" t="s">
        <v>26</v>
      </c>
      <c r="K31" s="31">
        <v>9200000.0</v>
      </c>
      <c r="L31" s="120" t="s">
        <v>26</v>
      </c>
      <c r="M31" s="31">
        <v>17000.0</v>
      </c>
      <c r="N31" s="31">
        <v>160000.0</v>
      </c>
      <c r="O31" s="120" t="s">
        <v>26</v>
      </c>
      <c r="P31" s="120" t="s">
        <v>26</v>
      </c>
      <c r="Q31" s="33">
        <f t="shared" ref="Q31:Q34" si="2">GEOMEAN(E31,F31,G31,H31,I31,J31,K31,L31,M31,N31,O31,P31)</f>
        <v>229053.7225</v>
      </c>
      <c r="R31" s="17">
        <v>200.0</v>
      </c>
      <c r="S31" s="121">
        <f>geomean(Q31:Q34)</f>
        <v>191226.9057</v>
      </c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39" t="s">
        <v>137</v>
      </c>
      <c r="E32" s="85" t="s">
        <v>26</v>
      </c>
      <c r="F32" s="35">
        <v>220000.0</v>
      </c>
      <c r="G32" s="85" t="s">
        <v>26</v>
      </c>
      <c r="H32" s="85" t="s">
        <v>26</v>
      </c>
      <c r="I32" s="85" t="s">
        <v>26</v>
      </c>
      <c r="J32" s="85" t="s">
        <v>26</v>
      </c>
      <c r="K32" s="35">
        <v>1500000.0</v>
      </c>
      <c r="L32" s="85" t="s">
        <v>26</v>
      </c>
      <c r="M32" s="35">
        <v>49000.0</v>
      </c>
      <c r="N32" s="35">
        <v>35000.0</v>
      </c>
      <c r="O32" s="85" t="s">
        <v>26</v>
      </c>
      <c r="P32" s="85" t="s">
        <v>26</v>
      </c>
      <c r="Q32" s="37">
        <f t="shared" si="2"/>
        <v>154239.112</v>
      </c>
      <c r="R32" s="23">
        <v>200.0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1"/>
      <c r="C33" s="22">
        <v>3.0</v>
      </c>
      <c r="D33" s="139" t="s">
        <v>138</v>
      </c>
      <c r="E33" s="85" t="s">
        <v>26</v>
      </c>
      <c r="F33" s="35">
        <v>130000.0</v>
      </c>
      <c r="G33" s="85" t="s">
        <v>26</v>
      </c>
      <c r="H33" s="85" t="s">
        <v>26</v>
      </c>
      <c r="I33" s="85" t="s">
        <v>26</v>
      </c>
      <c r="J33" s="85" t="s">
        <v>26</v>
      </c>
      <c r="K33" s="35">
        <v>1100000.0</v>
      </c>
      <c r="L33" s="85" t="s">
        <v>26</v>
      </c>
      <c r="M33" s="35">
        <v>33000.0</v>
      </c>
      <c r="N33" s="35">
        <v>170000.0</v>
      </c>
      <c r="O33" s="85" t="s">
        <v>26</v>
      </c>
      <c r="P33" s="85" t="s">
        <v>26</v>
      </c>
      <c r="Q33" s="37">
        <f t="shared" si="2"/>
        <v>168296.3607</v>
      </c>
      <c r="R33" s="23">
        <v>200.0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26"/>
      <c r="C34" s="22">
        <v>4.0</v>
      </c>
      <c r="D34" s="139" t="s">
        <v>139</v>
      </c>
      <c r="E34" s="85" t="s">
        <v>26</v>
      </c>
      <c r="F34" s="35">
        <v>79000.0</v>
      </c>
      <c r="G34" s="85" t="s">
        <v>26</v>
      </c>
      <c r="H34" s="85" t="s">
        <v>26</v>
      </c>
      <c r="I34" s="85" t="s">
        <v>26</v>
      </c>
      <c r="J34" s="85" t="s">
        <v>26</v>
      </c>
      <c r="K34" s="35">
        <v>320000.0</v>
      </c>
      <c r="L34" s="85" t="s">
        <v>26</v>
      </c>
      <c r="M34" s="35">
        <v>920000.0</v>
      </c>
      <c r="N34" s="35">
        <v>110000.0</v>
      </c>
      <c r="O34" s="85" t="s">
        <v>26</v>
      </c>
      <c r="P34" s="85" t="s">
        <v>26</v>
      </c>
      <c r="Q34" s="37">
        <f t="shared" si="2"/>
        <v>224899.969</v>
      </c>
      <c r="R34" s="23">
        <v>200.0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15" t="s">
        <v>141</v>
      </c>
      <c r="C35" s="16">
        <v>1.0</v>
      </c>
      <c r="D35" s="170" t="s">
        <v>136</v>
      </c>
      <c r="E35" s="120" t="s">
        <v>26</v>
      </c>
      <c r="F35" s="120">
        <v>0.494</v>
      </c>
      <c r="G35" s="120" t="s">
        <v>26</v>
      </c>
      <c r="H35" s="120" t="s">
        <v>26</v>
      </c>
      <c r="I35" s="120" t="s">
        <v>26</v>
      </c>
      <c r="J35" s="120" t="s">
        <v>26</v>
      </c>
      <c r="K35" s="17">
        <v>0.416</v>
      </c>
      <c r="L35" s="120" t="s">
        <v>26</v>
      </c>
      <c r="M35" s="39">
        <v>0.525</v>
      </c>
      <c r="N35" s="120">
        <v>1.066</v>
      </c>
      <c r="O35" s="120" t="s">
        <v>26</v>
      </c>
      <c r="P35" s="120" t="s">
        <v>26</v>
      </c>
      <c r="Q35" s="40">
        <f>AVERAGE(E35,F35,G35,H35,I35,J35,K35,L35,M35,N35,O35,P35)</f>
        <v>0.62525</v>
      </c>
      <c r="R35" s="17">
        <v>7.0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1"/>
      <c r="C36" s="22">
        <v>2.0</v>
      </c>
      <c r="D36" s="139" t="s">
        <v>137</v>
      </c>
      <c r="E36" s="85" t="s">
        <v>26</v>
      </c>
      <c r="F36" s="85">
        <v>0.618</v>
      </c>
      <c r="G36" s="85" t="s">
        <v>26</v>
      </c>
      <c r="H36" s="85" t="s">
        <v>26</v>
      </c>
      <c r="I36" s="85" t="s">
        <v>26</v>
      </c>
      <c r="J36" s="85" t="s">
        <v>26</v>
      </c>
      <c r="K36" s="23">
        <v>0.112</v>
      </c>
      <c r="L36" s="85" t="s">
        <v>26</v>
      </c>
      <c r="M36" s="85" t="s">
        <v>40</v>
      </c>
      <c r="N36" s="85">
        <v>0.234</v>
      </c>
      <c r="O36" s="85" t="s">
        <v>26</v>
      </c>
      <c r="P36" s="85" t="s">
        <v>26</v>
      </c>
      <c r="Q36" s="42">
        <f t="shared" ref="Q36:Q38" si="3">AVERAGE(E36,F36,G36,H36,I36,J36,K36,L36,0.045,N36,O36,P36)</f>
        <v>0.25225</v>
      </c>
      <c r="R36" s="23">
        <v>7.0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0"/>
      <c r="B37" s="21"/>
      <c r="C37" s="22">
        <v>3.0</v>
      </c>
      <c r="D37" s="139" t="s">
        <v>138</v>
      </c>
      <c r="E37" s="85" t="s">
        <v>26</v>
      </c>
      <c r="F37" s="85">
        <v>0.126</v>
      </c>
      <c r="G37" s="85" t="s">
        <v>26</v>
      </c>
      <c r="H37" s="85" t="s">
        <v>26</v>
      </c>
      <c r="I37" s="85" t="s">
        <v>26</v>
      </c>
      <c r="J37" s="85" t="s">
        <v>26</v>
      </c>
      <c r="K37" s="23">
        <v>0.656</v>
      </c>
      <c r="L37" s="85" t="s">
        <v>26</v>
      </c>
      <c r="M37" s="85" t="s">
        <v>40</v>
      </c>
      <c r="N37" s="85">
        <v>0.235</v>
      </c>
      <c r="O37" s="85" t="s">
        <v>26</v>
      </c>
      <c r="P37" s="85" t="s">
        <v>26</v>
      </c>
      <c r="Q37" s="42">
        <f t="shared" si="3"/>
        <v>0.2655</v>
      </c>
      <c r="R37" s="23">
        <v>7.0</v>
      </c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0"/>
      <c r="B38" s="26"/>
      <c r="C38" s="22">
        <v>4.0</v>
      </c>
      <c r="D38" s="139" t="s">
        <v>139</v>
      </c>
      <c r="E38" s="85" t="s">
        <v>26</v>
      </c>
      <c r="F38" s="85">
        <v>0.217</v>
      </c>
      <c r="G38" s="85" t="s">
        <v>26</v>
      </c>
      <c r="H38" s="85" t="s">
        <v>26</v>
      </c>
      <c r="I38" s="85" t="s">
        <v>26</v>
      </c>
      <c r="J38" s="85" t="s">
        <v>26</v>
      </c>
      <c r="K38" s="23">
        <v>0.148</v>
      </c>
      <c r="L38" s="85" t="s">
        <v>26</v>
      </c>
      <c r="M38" s="41" t="s">
        <v>40</v>
      </c>
      <c r="N38" s="85">
        <v>0.137</v>
      </c>
      <c r="O38" s="85" t="s">
        <v>26</v>
      </c>
      <c r="P38" s="85" t="s">
        <v>26</v>
      </c>
      <c r="Q38" s="42">
        <f t="shared" si="3"/>
        <v>0.13675</v>
      </c>
      <c r="R38" s="23">
        <v>7.0</v>
      </c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"/>
      <c r="B39" s="15" t="s">
        <v>142</v>
      </c>
      <c r="C39" s="16">
        <v>1.0</v>
      </c>
      <c r="D39" s="170" t="s">
        <v>136</v>
      </c>
      <c r="E39" s="120" t="s">
        <v>26</v>
      </c>
      <c r="F39" s="39">
        <v>0.13</v>
      </c>
      <c r="G39" s="120" t="s">
        <v>26</v>
      </c>
      <c r="H39" s="120" t="s">
        <v>26</v>
      </c>
      <c r="I39" s="120" t="s">
        <v>26</v>
      </c>
      <c r="J39" s="120" t="s">
        <v>26</v>
      </c>
      <c r="K39" s="17">
        <v>0.275</v>
      </c>
      <c r="L39" s="120" t="s">
        <v>26</v>
      </c>
      <c r="M39" s="39">
        <v>0.28</v>
      </c>
      <c r="N39" s="120">
        <v>0.338</v>
      </c>
      <c r="O39" s="120" t="s">
        <v>26</v>
      </c>
      <c r="P39" s="120" t="s">
        <v>26</v>
      </c>
      <c r="Q39" s="40">
        <f t="shared" ref="Q39:Q46" si="4">AVERAGE(E39,F39,G39,H39,I39,J39,K39,L39,M39,N39,O39,P39)</f>
        <v>0.25575</v>
      </c>
      <c r="R39" s="17">
        <v>0.5</v>
      </c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0"/>
      <c r="B40" s="21"/>
      <c r="C40" s="22">
        <v>2.0</v>
      </c>
      <c r="D40" s="139" t="s">
        <v>137</v>
      </c>
      <c r="E40" s="85" t="s">
        <v>26</v>
      </c>
      <c r="F40" s="85">
        <v>0.179</v>
      </c>
      <c r="G40" s="85" t="s">
        <v>26</v>
      </c>
      <c r="H40" s="85" t="s">
        <v>26</v>
      </c>
      <c r="I40" s="85" t="s">
        <v>26</v>
      </c>
      <c r="J40" s="85" t="s">
        <v>26</v>
      </c>
      <c r="K40" s="42">
        <v>0.26</v>
      </c>
      <c r="L40" s="85" t="s">
        <v>26</v>
      </c>
      <c r="M40" s="41">
        <v>0.28</v>
      </c>
      <c r="N40" s="85">
        <v>0.243</v>
      </c>
      <c r="O40" s="85" t="s">
        <v>26</v>
      </c>
      <c r="P40" s="85" t="s">
        <v>26</v>
      </c>
      <c r="Q40" s="42">
        <f t="shared" si="4"/>
        <v>0.2405</v>
      </c>
      <c r="R40" s="23">
        <v>0.5</v>
      </c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0"/>
      <c r="B41" s="21"/>
      <c r="C41" s="22">
        <v>3.0</v>
      </c>
      <c r="D41" s="139" t="s">
        <v>138</v>
      </c>
      <c r="E41" s="85" t="s">
        <v>26</v>
      </c>
      <c r="F41" s="85">
        <v>0.237</v>
      </c>
      <c r="G41" s="85" t="s">
        <v>26</v>
      </c>
      <c r="H41" s="85" t="s">
        <v>26</v>
      </c>
      <c r="I41" s="85" t="s">
        <v>26</v>
      </c>
      <c r="J41" s="85" t="s">
        <v>26</v>
      </c>
      <c r="K41" s="23">
        <v>0.488</v>
      </c>
      <c r="L41" s="85" t="s">
        <v>26</v>
      </c>
      <c r="M41" s="85">
        <v>0.215</v>
      </c>
      <c r="N41" s="85">
        <v>0.347</v>
      </c>
      <c r="O41" s="85" t="s">
        <v>26</v>
      </c>
      <c r="P41" s="85" t="s">
        <v>26</v>
      </c>
      <c r="Q41" s="42">
        <f t="shared" si="4"/>
        <v>0.32175</v>
      </c>
      <c r="R41" s="23">
        <v>0.5</v>
      </c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0"/>
      <c r="B42" s="26"/>
      <c r="C42" s="22">
        <v>4.0</v>
      </c>
      <c r="D42" s="139" t="s">
        <v>139</v>
      </c>
      <c r="E42" s="85" t="s">
        <v>26</v>
      </c>
      <c r="F42" s="85">
        <v>0.303</v>
      </c>
      <c r="G42" s="85" t="s">
        <v>26</v>
      </c>
      <c r="H42" s="85" t="s">
        <v>26</v>
      </c>
      <c r="I42" s="85" t="s">
        <v>26</v>
      </c>
      <c r="J42" s="85" t="s">
        <v>26</v>
      </c>
      <c r="K42" s="23">
        <v>0.496</v>
      </c>
      <c r="L42" s="85" t="s">
        <v>26</v>
      </c>
      <c r="M42" s="41">
        <v>0.376</v>
      </c>
      <c r="N42" s="85">
        <v>0.364</v>
      </c>
      <c r="O42" s="85" t="s">
        <v>26</v>
      </c>
      <c r="P42" s="85" t="s">
        <v>26</v>
      </c>
      <c r="Q42" s="42">
        <f t="shared" si="4"/>
        <v>0.38475</v>
      </c>
      <c r="R42" s="23">
        <v>0.5</v>
      </c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0"/>
      <c r="B43" s="15" t="s">
        <v>42</v>
      </c>
      <c r="C43" s="16">
        <v>1.0</v>
      </c>
      <c r="D43" s="170" t="s">
        <v>136</v>
      </c>
      <c r="E43" s="120" t="s">
        <v>26</v>
      </c>
      <c r="F43" s="120">
        <v>548.0</v>
      </c>
      <c r="G43" s="120" t="s">
        <v>26</v>
      </c>
      <c r="H43" s="120" t="s">
        <v>26</v>
      </c>
      <c r="I43" s="120" t="s">
        <v>26</v>
      </c>
      <c r="J43" s="120" t="s">
        <v>26</v>
      </c>
      <c r="K43" s="17">
        <v>26.0</v>
      </c>
      <c r="L43" s="120" t="s">
        <v>26</v>
      </c>
      <c r="M43" s="32">
        <v>73.0</v>
      </c>
      <c r="N43" s="32">
        <v>270.0</v>
      </c>
      <c r="O43" s="120" t="s">
        <v>26</v>
      </c>
      <c r="P43" s="120" t="s">
        <v>26</v>
      </c>
      <c r="Q43" s="33">
        <f t="shared" si="4"/>
        <v>229.25</v>
      </c>
      <c r="R43" s="17">
        <v>350.0</v>
      </c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0"/>
      <c r="B44" s="21"/>
      <c r="C44" s="22">
        <v>2.0</v>
      </c>
      <c r="D44" s="139" t="s">
        <v>137</v>
      </c>
      <c r="E44" s="85" t="s">
        <v>26</v>
      </c>
      <c r="F44" s="35">
        <v>1653.0</v>
      </c>
      <c r="G44" s="85" t="s">
        <v>26</v>
      </c>
      <c r="H44" s="85" t="s">
        <v>26</v>
      </c>
      <c r="I44" s="85" t="s">
        <v>26</v>
      </c>
      <c r="J44" s="85" t="s">
        <v>26</v>
      </c>
      <c r="K44" s="174">
        <v>3018.0</v>
      </c>
      <c r="L44" s="85" t="s">
        <v>26</v>
      </c>
      <c r="M44" s="36">
        <v>1775.0</v>
      </c>
      <c r="N44" s="36">
        <v>441.0</v>
      </c>
      <c r="O44" s="85" t="s">
        <v>26</v>
      </c>
      <c r="P44" s="85" t="s">
        <v>26</v>
      </c>
      <c r="Q44" s="37">
        <f t="shared" si="4"/>
        <v>1721.75</v>
      </c>
      <c r="R44" s="23">
        <v>350.0</v>
      </c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0"/>
      <c r="B45" s="21"/>
      <c r="C45" s="22">
        <v>3.0</v>
      </c>
      <c r="D45" s="139" t="s">
        <v>138</v>
      </c>
      <c r="E45" s="85" t="s">
        <v>26</v>
      </c>
      <c r="F45" s="35">
        <v>4229.0</v>
      </c>
      <c r="G45" s="85" t="s">
        <v>26</v>
      </c>
      <c r="H45" s="85" t="s">
        <v>26</v>
      </c>
      <c r="I45" s="85" t="s">
        <v>26</v>
      </c>
      <c r="J45" s="85" t="s">
        <v>26</v>
      </c>
      <c r="K45" s="174">
        <v>9337.0</v>
      </c>
      <c r="L45" s="85" t="s">
        <v>26</v>
      </c>
      <c r="M45" s="36">
        <v>7848.0</v>
      </c>
      <c r="N45" s="36">
        <v>1445.0</v>
      </c>
      <c r="O45" s="85" t="s">
        <v>26</v>
      </c>
      <c r="P45" s="85" t="s">
        <v>26</v>
      </c>
      <c r="Q45" s="37">
        <f t="shared" si="4"/>
        <v>5714.75</v>
      </c>
      <c r="R45" s="23">
        <v>350.0</v>
      </c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0"/>
      <c r="B46" s="26"/>
      <c r="C46" s="22">
        <v>4.0</v>
      </c>
      <c r="D46" s="139" t="s">
        <v>139</v>
      </c>
      <c r="E46" s="85" t="s">
        <v>26</v>
      </c>
      <c r="F46" s="35">
        <v>8411.0</v>
      </c>
      <c r="G46" s="85" t="s">
        <v>26</v>
      </c>
      <c r="H46" s="85" t="s">
        <v>26</v>
      </c>
      <c r="I46" s="85" t="s">
        <v>26</v>
      </c>
      <c r="J46" s="85" t="s">
        <v>26</v>
      </c>
      <c r="K46" s="174">
        <v>13769.0</v>
      </c>
      <c r="L46" s="85" t="s">
        <v>26</v>
      </c>
      <c r="M46" s="36">
        <v>8876.0</v>
      </c>
      <c r="N46" s="36">
        <v>3696.0</v>
      </c>
      <c r="O46" s="85" t="s">
        <v>26</v>
      </c>
      <c r="P46" s="85" t="s">
        <v>26</v>
      </c>
      <c r="Q46" s="37">
        <f t="shared" si="4"/>
        <v>8688</v>
      </c>
      <c r="R46" s="23">
        <v>350.0</v>
      </c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127"/>
      <c r="H47" s="127"/>
      <c r="I47" s="127"/>
      <c r="J47" s="127"/>
      <c r="K47" s="127"/>
      <c r="L47" s="127"/>
      <c r="M47" s="127"/>
      <c r="N47" s="127"/>
      <c r="O47" s="127"/>
      <c r="P47" s="72"/>
      <c r="Q47" s="121">
        <f>GEOMEAN(Q31:Q34)</f>
        <v>191226.9057</v>
      </c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91" t="s">
        <v>43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0.14"/>
    <col customWidth="1" min="5" max="11" width="10.71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143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60" t="s">
        <v>144</v>
      </c>
      <c r="E7" s="18">
        <v>4.32</v>
      </c>
      <c r="F7" s="18" t="s">
        <v>26</v>
      </c>
      <c r="G7" s="18" t="s">
        <v>26</v>
      </c>
      <c r="H7" s="18" t="s">
        <v>26</v>
      </c>
      <c r="I7" s="18" t="s">
        <v>26</v>
      </c>
      <c r="J7" s="18" t="s">
        <v>26</v>
      </c>
      <c r="K7" s="18">
        <v>3.88</v>
      </c>
      <c r="L7" s="18" t="s">
        <v>26</v>
      </c>
      <c r="M7" s="18">
        <v>1.54</v>
      </c>
      <c r="N7" s="18" t="s">
        <v>26</v>
      </c>
      <c r="O7" s="18">
        <v>2.02</v>
      </c>
      <c r="P7" s="18" t="s">
        <v>26</v>
      </c>
      <c r="Q7" s="18">
        <f t="shared" ref="Q7:Q9" si="1">AVERAGE(E7,F7,G7,H7,I7,J7,K7,L7,M7,N7,O7,P7)</f>
        <v>2.94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75" t="s">
        <v>145</v>
      </c>
      <c r="E8" s="24">
        <v>5.8</v>
      </c>
      <c r="F8" s="24" t="s">
        <v>26</v>
      </c>
      <c r="G8" s="24" t="s">
        <v>26</v>
      </c>
      <c r="H8" s="24" t="s">
        <v>26</v>
      </c>
      <c r="I8" s="24" t="s">
        <v>26</v>
      </c>
      <c r="J8" s="24" t="s">
        <v>26</v>
      </c>
      <c r="K8" s="24">
        <v>3.44</v>
      </c>
      <c r="L8" s="24" t="s">
        <v>26</v>
      </c>
      <c r="M8" s="24">
        <v>1.26</v>
      </c>
      <c r="N8" s="24" t="s">
        <v>26</v>
      </c>
      <c r="O8" s="24">
        <v>1.35</v>
      </c>
      <c r="P8" s="24" t="s">
        <v>26</v>
      </c>
      <c r="Q8" s="24">
        <f t="shared" si="1"/>
        <v>2.9625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75" t="s">
        <v>146</v>
      </c>
      <c r="E9" s="24">
        <v>6.45</v>
      </c>
      <c r="F9" s="24" t="s">
        <v>26</v>
      </c>
      <c r="G9" s="24" t="s">
        <v>26</v>
      </c>
      <c r="H9" s="24" t="s">
        <v>26</v>
      </c>
      <c r="I9" s="24" t="s">
        <v>26</v>
      </c>
      <c r="J9" s="24" t="s">
        <v>26</v>
      </c>
      <c r="K9" s="24">
        <v>3.54</v>
      </c>
      <c r="L9" s="24" t="s">
        <v>26</v>
      </c>
      <c r="M9" s="24">
        <v>1.11</v>
      </c>
      <c r="N9" s="24" t="s">
        <v>26</v>
      </c>
      <c r="O9" s="24">
        <v>1.51</v>
      </c>
      <c r="P9" s="24" t="s">
        <v>26</v>
      </c>
      <c r="Q9" s="24">
        <f t="shared" si="1"/>
        <v>3.1525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31</v>
      </c>
      <c r="C10" s="16">
        <v>1.0</v>
      </c>
      <c r="D10" s="160" t="s">
        <v>144</v>
      </c>
      <c r="E10" s="18" t="s">
        <v>107</v>
      </c>
      <c r="F10" s="18" t="s">
        <v>26</v>
      </c>
      <c r="G10" s="18" t="s">
        <v>26</v>
      </c>
      <c r="H10" s="18" t="s">
        <v>26</v>
      </c>
      <c r="I10" s="18" t="s">
        <v>26</v>
      </c>
      <c r="J10" s="18" t="s">
        <v>26</v>
      </c>
      <c r="K10" s="27">
        <v>3.0</v>
      </c>
      <c r="L10" s="18" t="s">
        <v>26</v>
      </c>
      <c r="M10" s="27">
        <v>8.0</v>
      </c>
      <c r="N10" s="18" t="s">
        <v>26</v>
      </c>
      <c r="O10" s="18" t="s">
        <v>107</v>
      </c>
      <c r="P10" s="18" t="s">
        <v>26</v>
      </c>
      <c r="Q10" s="27">
        <f t="shared" ref="Q10:Q11" si="2">AVERAGE(2,F10,G10,H10,I10,J10,K10,L10,M10,N10,O10,P10)</f>
        <v>4.333333333</v>
      </c>
      <c r="R10" s="17">
        <v>7.0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75" t="s">
        <v>145</v>
      </c>
      <c r="E11" s="24" t="s">
        <v>107</v>
      </c>
      <c r="F11" s="24" t="s">
        <v>26</v>
      </c>
      <c r="G11" s="24" t="s">
        <v>26</v>
      </c>
      <c r="H11" s="24" t="s">
        <v>26</v>
      </c>
      <c r="I11" s="24" t="s">
        <v>26</v>
      </c>
      <c r="J11" s="24" t="s">
        <v>26</v>
      </c>
      <c r="K11" s="29">
        <v>3.0</v>
      </c>
      <c r="L11" s="24" t="s">
        <v>26</v>
      </c>
      <c r="M11" s="29">
        <v>10.0</v>
      </c>
      <c r="N11" s="24" t="s">
        <v>26</v>
      </c>
      <c r="O11" s="24" t="s">
        <v>107</v>
      </c>
      <c r="P11" s="24" t="s">
        <v>26</v>
      </c>
      <c r="Q11" s="29">
        <f t="shared" si="2"/>
        <v>5</v>
      </c>
      <c r="R11" s="23">
        <v>7.0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75" t="s">
        <v>146</v>
      </c>
      <c r="E12" s="29">
        <v>11.0</v>
      </c>
      <c r="F12" s="24" t="s">
        <v>26</v>
      </c>
      <c r="G12" s="24" t="s">
        <v>26</v>
      </c>
      <c r="H12" s="24" t="s">
        <v>26</v>
      </c>
      <c r="I12" s="24" t="s">
        <v>26</v>
      </c>
      <c r="J12" s="24" t="s">
        <v>26</v>
      </c>
      <c r="K12" s="29">
        <v>2.0</v>
      </c>
      <c r="L12" s="24" t="s">
        <v>26</v>
      </c>
      <c r="M12" s="29">
        <v>8.0</v>
      </c>
      <c r="N12" s="24" t="s">
        <v>26</v>
      </c>
      <c r="O12" s="29">
        <v>14.0</v>
      </c>
      <c r="P12" s="24" t="s">
        <v>26</v>
      </c>
      <c r="Q12" s="29">
        <f t="shared" ref="Q12:Q24" si="3">AVERAGE(E12,F12,G12,H12,I12,J12,K12,L12,M12,N12,O12,P12)</f>
        <v>8.75</v>
      </c>
      <c r="R12" s="23">
        <v>7.0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32</v>
      </c>
      <c r="C13" s="16">
        <v>1.0</v>
      </c>
      <c r="D13" s="160" t="s">
        <v>144</v>
      </c>
      <c r="E13" s="27">
        <v>12.0</v>
      </c>
      <c r="F13" s="18" t="s">
        <v>26</v>
      </c>
      <c r="G13" s="18" t="s">
        <v>26</v>
      </c>
      <c r="H13" s="18" t="s">
        <v>26</v>
      </c>
      <c r="I13" s="18" t="s">
        <v>26</v>
      </c>
      <c r="J13" s="18" t="s">
        <v>26</v>
      </c>
      <c r="K13" s="17">
        <v>7.0</v>
      </c>
      <c r="L13" s="18" t="s">
        <v>26</v>
      </c>
      <c r="M13" s="27">
        <v>10.0</v>
      </c>
      <c r="N13" s="18" t="s">
        <v>26</v>
      </c>
      <c r="O13" s="27">
        <v>275.0</v>
      </c>
      <c r="P13" s="18" t="s">
        <v>26</v>
      </c>
      <c r="Q13" s="27">
        <f t="shared" si="3"/>
        <v>76</v>
      </c>
      <c r="R13" s="17">
        <v>80.0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75" t="s">
        <v>145</v>
      </c>
      <c r="E14" s="29">
        <v>76.0</v>
      </c>
      <c r="F14" s="24" t="s">
        <v>26</v>
      </c>
      <c r="G14" s="24" t="s">
        <v>26</v>
      </c>
      <c r="H14" s="24" t="s">
        <v>26</v>
      </c>
      <c r="I14" s="24" t="s">
        <v>26</v>
      </c>
      <c r="J14" s="24" t="s">
        <v>26</v>
      </c>
      <c r="K14" s="23">
        <v>68.0</v>
      </c>
      <c r="L14" s="24" t="s">
        <v>26</v>
      </c>
      <c r="M14" s="29">
        <v>215.0</v>
      </c>
      <c r="N14" s="24" t="s">
        <v>26</v>
      </c>
      <c r="O14" s="29">
        <v>217.0</v>
      </c>
      <c r="P14" s="24" t="s">
        <v>26</v>
      </c>
      <c r="Q14" s="29">
        <f t="shared" si="3"/>
        <v>144</v>
      </c>
      <c r="R14" s="23">
        <v>80.0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75" t="s">
        <v>146</v>
      </c>
      <c r="E15" s="29">
        <v>66.0</v>
      </c>
      <c r="F15" s="24" t="s">
        <v>26</v>
      </c>
      <c r="G15" s="24" t="s">
        <v>26</v>
      </c>
      <c r="H15" s="24" t="s">
        <v>26</v>
      </c>
      <c r="I15" s="24" t="s">
        <v>26</v>
      </c>
      <c r="J15" s="24" t="s">
        <v>26</v>
      </c>
      <c r="K15" s="29">
        <v>58.0</v>
      </c>
      <c r="L15" s="24" t="s">
        <v>26</v>
      </c>
      <c r="M15" s="29">
        <v>176.0</v>
      </c>
      <c r="N15" s="24" t="s">
        <v>26</v>
      </c>
      <c r="O15" s="29">
        <v>227.0</v>
      </c>
      <c r="P15" s="24" t="s">
        <v>26</v>
      </c>
      <c r="Q15" s="29">
        <f t="shared" si="3"/>
        <v>131.75</v>
      </c>
      <c r="R15" s="23">
        <v>80.0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33</v>
      </c>
      <c r="C16" s="16">
        <v>1.0</v>
      </c>
      <c r="D16" s="160" t="s">
        <v>144</v>
      </c>
      <c r="E16" s="18">
        <v>8.2</v>
      </c>
      <c r="F16" s="18" t="s">
        <v>26</v>
      </c>
      <c r="G16" s="18" t="s">
        <v>26</v>
      </c>
      <c r="H16" s="18" t="s">
        <v>26</v>
      </c>
      <c r="I16" s="18" t="s">
        <v>26</v>
      </c>
      <c r="J16" s="18" t="s">
        <v>26</v>
      </c>
      <c r="K16" s="18">
        <v>7.99</v>
      </c>
      <c r="L16" s="18" t="s">
        <v>26</v>
      </c>
      <c r="M16" s="18">
        <v>7.9</v>
      </c>
      <c r="N16" s="18" t="s">
        <v>26</v>
      </c>
      <c r="O16" s="18">
        <v>8.12</v>
      </c>
      <c r="P16" s="18" t="s">
        <v>26</v>
      </c>
      <c r="Q16" s="18">
        <f t="shared" si="3"/>
        <v>8.0525</v>
      </c>
      <c r="R16" s="18" t="s">
        <v>34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75" t="s">
        <v>145</v>
      </c>
      <c r="E17" s="24">
        <v>7.5</v>
      </c>
      <c r="F17" s="24" t="s">
        <v>26</v>
      </c>
      <c r="G17" s="24" t="s">
        <v>26</v>
      </c>
      <c r="H17" s="24" t="s">
        <v>26</v>
      </c>
      <c r="I17" s="24" t="s">
        <v>26</v>
      </c>
      <c r="J17" s="24" t="s">
        <v>26</v>
      </c>
      <c r="K17" s="24">
        <v>7.78</v>
      </c>
      <c r="L17" s="24" t="s">
        <v>26</v>
      </c>
      <c r="M17" s="24">
        <v>7.76</v>
      </c>
      <c r="N17" s="24" t="s">
        <v>26</v>
      </c>
      <c r="O17" s="24">
        <v>8.28</v>
      </c>
      <c r="P17" s="24" t="s">
        <v>26</v>
      </c>
      <c r="Q17" s="24">
        <f t="shared" si="3"/>
        <v>7.83</v>
      </c>
      <c r="R17" s="24" t="s">
        <v>34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75" t="s">
        <v>146</v>
      </c>
      <c r="E18" s="24">
        <v>7.43</v>
      </c>
      <c r="F18" s="24" t="s">
        <v>26</v>
      </c>
      <c r="G18" s="24" t="s">
        <v>26</v>
      </c>
      <c r="H18" s="24" t="s">
        <v>26</v>
      </c>
      <c r="I18" s="24" t="s">
        <v>26</v>
      </c>
      <c r="J18" s="24" t="s">
        <v>26</v>
      </c>
      <c r="K18" s="24">
        <v>7.74</v>
      </c>
      <c r="L18" s="24" t="s">
        <v>26</v>
      </c>
      <c r="M18" s="24">
        <v>7.75</v>
      </c>
      <c r="N18" s="24" t="s">
        <v>26</v>
      </c>
      <c r="O18" s="24">
        <v>8.04</v>
      </c>
      <c r="P18" s="24" t="s">
        <v>26</v>
      </c>
      <c r="Q18" s="24">
        <f t="shared" si="3"/>
        <v>7.74</v>
      </c>
      <c r="R18" s="24" t="s">
        <v>34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147</v>
      </c>
      <c r="C19" s="16">
        <v>1.0</v>
      </c>
      <c r="D19" s="160" t="s">
        <v>144</v>
      </c>
      <c r="E19" s="18">
        <v>31.6</v>
      </c>
      <c r="F19" s="18" t="s">
        <v>26</v>
      </c>
      <c r="G19" s="18" t="s">
        <v>26</v>
      </c>
      <c r="H19" s="18" t="s">
        <v>26</v>
      </c>
      <c r="I19" s="18" t="s">
        <v>26</v>
      </c>
      <c r="J19" s="18" t="s">
        <v>26</v>
      </c>
      <c r="K19" s="176">
        <v>33.7</v>
      </c>
      <c r="L19" s="18" t="s">
        <v>26</v>
      </c>
      <c r="M19" s="18">
        <v>33.5</v>
      </c>
      <c r="N19" s="18" t="s">
        <v>26</v>
      </c>
      <c r="O19" s="18">
        <v>27.23</v>
      </c>
      <c r="P19" s="18" t="s">
        <v>26</v>
      </c>
      <c r="Q19" s="18">
        <f t="shared" si="3"/>
        <v>31.5075</v>
      </c>
      <c r="R19" s="18" t="s">
        <v>36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75" t="s">
        <v>145</v>
      </c>
      <c r="E20" s="24">
        <v>29.5</v>
      </c>
      <c r="F20" s="24" t="s">
        <v>26</v>
      </c>
      <c r="G20" s="24" t="s">
        <v>26</v>
      </c>
      <c r="H20" s="24" t="s">
        <v>26</v>
      </c>
      <c r="I20" s="24" t="s">
        <v>26</v>
      </c>
      <c r="J20" s="24" t="s">
        <v>26</v>
      </c>
      <c r="K20" s="164">
        <v>32.4</v>
      </c>
      <c r="L20" s="24" t="s">
        <v>26</v>
      </c>
      <c r="M20" s="24">
        <v>31.2</v>
      </c>
      <c r="N20" s="24" t="s">
        <v>26</v>
      </c>
      <c r="O20" s="24">
        <v>28.18</v>
      </c>
      <c r="P20" s="24" t="s">
        <v>26</v>
      </c>
      <c r="Q20" s="24">
        <f t="shared" si="3"/>
        <v>30.32</v>
      </c>
      <c r="R20" s="24" t="s">
        <v>36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75" t="s">
        <v>146</v>
      </c>
      <c r="E21" s="24">
        <v>29.9</v>
      </c>
      <c r="F21" s="24" t="s">
        <v>26</v>
      </c>
      <c r="G21" s="24" t="s">
        <v>26</v>
      </c>
      <c r="H21" s="24" t="s">
        <v>26</v>
      </c>
      <c r="I21" s="24" t="s">
        <v>26</v>
      </c>
      <c r="J21" s="24" t="s">
        <v>26</v>
      </c>
      <c r="K21" s="164">
        <v>32.9</v>
      </c>
      <c r="L21" s="24" t="s">
        <v>26</v>
      </c>
      <c r="M21" s="24">
        <v>31.0</v>
      </c>
      <c r="N21" s="24" t="s">
        <v>26</v>
      </c>
      <c r="O21" s="24">
        <v>27.9</v>
      </c>
      <c r="P21" s="24" t="s">
        <v>26</v>
      </c>
      <c r="Q21" s="24">
        <f t="shared" si="3"/>
        <v>30.425</v>
      </c>
      <c r="R21" s="24" t="s">
        <v>36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37</v>
      </c>
      <c r="C22" s="16">
        <v>1.0</v>
      </c>
      <c r="D22" s="160" t="s">
        <v>144</v>
      </c>
      <c r="E22" s="27">
        <v>5.0</v>
      </c>
      <c r="F22" s="18" t="s">
        <v>26</v>
      </c>
      <c r="G22" s="18" t="s">
        <v>26</v>
      </c>
      <c r="H22" s="18" t="s">
        <v>26</v>
      </c>
      <c r="I22" s="18" t="s">
        <v>26</v>
      </c>
      <c r="J22" s="18" t="s">
        <v>26</v>
      </c>
      <c r="K22" s="27">
        <v>5.0</v>
      </c>
      <c r="L22" s="18" t="s">
        <v>26</v>
      </c>
      <c r="M22" s="27">
        <v>5.0</v>
      </c>
      <c r="N22" s="18" t="s">
        <v>26</v>
      </c>
      <c r="O22" s="27">
        <v>5.0</v>
      </c>
      <c r="P22" s="18" t="s">
        <v>26</v>
      </c>
      <c r="Q22" s="27">
        <f t="shared" si="3"/>
        <v>5</v>
      </c>
      <c r="R22" s="17">
        <v>75.0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75" t="s">
        <v>145</v>
      </c>
      <c r="E23" s="29">
        <v>20.0</v>
      </c>
      <c r="F23" s="24" t="s">
        <v>26</v>
      </c>
      <c r="G23" s="24" t="s">
        <v>26</v>
      </c>
      <c r="H23" s="24" t="s">
        <v>26</v>
      </c>
      <c r="I23" s="24" t="s">
        <v>26</v>
      </c>
      <c r="J23" s="24" t="s">
        <v>26</v>
      </c>
      <c r="K23" s="29">
        <v>25.0</v>
      </c>
      <c r="L23" s="24" t="s">
        <v>26</v>
      </c>
      <c r="M23" s="29">
        <v>30.0</v>
      </c>
      <c r="N23" s="24" t="s">
        <v>26</v>
      </c>
      <c r="O23" s="29">
        <v>10.0</v>
      </c>
      <c r="P23" s="24" t="s">
        <v>26</v>
      </c>
      <c r="Q23" s="29">
        <f t="shared" si="3"/>
        <v>21.25</v>
      </c>
      <c r="R23" s="23">
        <v>75.0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75" t="s">
        <v>146</v>
      </c>
      <c r="E24" s="29">
        <v>20.0</v>
      </c>
      <c r="F24" s="24" t="s">
        <v>26</v>
      </c>
      <c r="G24" s="24" t="s">
        <v>26</v>
      </c>
      <c r="H24" s="24" t="s">
        <v>26</v>
      </c>
      <c r="I24" s="24" t="s">
        <v>26</v>
      </c>
      <c r="J24" s="24" t="s">
        <v>26</v>
      </c>
      <c r="K24" s="29">
        <v>25.0</v>
      </c>
      <c r="L24" s="24" t="s">
        <v>26</v>
      </c>
      <c r="M24" s="29">
        <v>30.0</v>
      </c>
      <c r="N24" s="24" t="s">
        <v>26</v>
      </c>
      <c r="O24" s="29">
        <v>10.0</v>
      </c>
      <c r="P24" s="24" t="s">
        <v>26</v>
      </c>
      <c r="Q24" s="29">
        <f t="shared" si="3"/>
        <v>21.25</v>
      </c>
      <c r="R24" s="23">
        <v>75.0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38</v>
      </c>
      <c r="C25" s="16">
        <v>1.0</v>
      </c>
      <c r="D25" s="160" t="s">
        <v>144</v>
      </c>
      <c r="E25" s="32">
        <v>9400.0</v>
      </c>
      <c r="F25" s="18" t="s">
        <v>26</v>
      </c>
      <c r="G25" s="18" t="s">
        <v>26</v>
      </c>
      <c r="H25" s="18" t="s">
        <v>26</v>
      </c>
      <c r="I25" s="18" t="s">
        <v>26</v>
      </c>
      <c r="J25" s="18" t="s">
        <v>26</v>
      </c>
      <c r="K25" s="31">
        <v>2300.0</v>
      </c>
      <c r="L25" s="18" t="s">
        <v>26</v>
      </c>
      <c r="M25" s="32">
        <v>4900.0</v>
      </c>
      <c r="N25" s="18" t="s">
        <v>26</v>
      </c>
      <c r="O25" s="32">
        <v>54000.0</v>
      </c>
      <c r="P25" s="18" t="s">
        <v>26</v>
      </c>
      <c r="Q25" s="32">
        <f t="shared" ref="Q25:Q27" si="4">GEOMEAN(E25,F25,G25,H25,I25,J25,K25,L25,M25,N25,O25,P25)</f>
        <v>8696.83804</v>
      </c>
      <c r="R25" s="17">
        <v>200.0</v>
      </c>
      <c r="S25" s="121">
        <f>GEOMEAN(Q25,Q26,Q27)</f>
        <v>37642.21726</v>
      </c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75" t="s">
        <v>145</v>
      </c>
      <c r="E26" s="36">
        <v>170000.0</v>
      </c>
      <c r="F26" s="24" t="s">
        <v>26</v>
      </c>
      <c r="G26" s="24" t="s">
        <v>26</v>
      </c>
      <c r="H26" s="24" t="s">
        <v>26</v>
      </c>
      <c r="I26" s="24" t="s">
        <v>26</v>
      </c>
      <c r="J26" s="24" t="s">
        <v>26</v>
      </c>
      <c r="K26" s="35">
        <v>92000.0</v>
      </c>
      <c r="L26" s="24" t="s">
        <v>26</v>
      </c>
      <c r="M26" s="36">
        <v>920000.0</v>
      </c>
      <c r="N26" s="24" t="s">
        <v>26</v>
      </c>
      <c r="O26" s="36">
        <v>3300.0</v>
      </c>
      <c r="P26" s="24" t="s">
        <v>26</v>
      </c>
      <c r="Q26" s="36">
        <f t="shared" si="4"/>
        <v>83010.80567</v>
      </c>
      <c r="R26" s="23">
        <v>200.0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75" t="s">
        <v>146</v>
      </c>
      <c r="E27" s="36">
        <v>160000.0</v>
      </c>
      <c r="F27" s="24" t="s">
        <v>26</v>
      </c>
      <c r="G27" s="24" t="s">
        <v>26</v>
      </c>
      <c r="H27" s="24" t="s">
        <v>26</v>
      </c>
      <c r="I27" s="24" t="s">
        <v>26</v>
      </c>
      <c r="J27" s="24" t="s">
        <v>26</v>
      </c>
      <c r="K27" s="35">
        <v>92000.0</v>
      </c>
      <c r="L27" s="24" t="s">
        <v>26</v>
      </c>
      <c r="M27" s="36">
        <v>92000.0</v>
      </c>
      <c r="N27" s="24" t="s">
        <v>26</v>
      </c>
      <c r="O27" s="36">
        <v>22000.0</v>
      </c>
      <c r="P27" s="24" t="s">
        <v>26</v>
      </c>
      <c r="Q27" s="36">
        <f t="shared" si="4"/>
        <v>73880.45808</v>
      </c>
      <c r="R27" s="23">
        <v>200.0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148</v>
      </c>
      <c r="C28" s="16">
        <v>1.0</v>
      </c>
      <c r="D28" s="160" t="s">
        <v>144</v>
      </c>
      <c r="E28" s="39" t="s">
        <v>40</v>
      </c>
      <c r="F28" s="18" t="s">
        <v>26</v>
      </c>
      <c r="G28" s="18" t="s">
        <v>26</v>
      </c>
      <c r="H28" s="18" t="s">
        <v>26</v>
      </c>
      <c r="I28" s="18" t="s">
        <v>26</v>
      </c>
      <c r="J28" s="18" t="s">
        <v>26</v>
      </c>
      <c r="K28" s="59" t="s">
        <v>40</v>
      </c>
      <c r="L28" s="18" t="s">
        <v>26</v>
      </c>
      <c r="M28" s="39">
        <v>0.08</v>
      </c>
      <c r="N28" s="18" t="s">
        <v>26</v>
      </c>
      <c r="O28" s="39">
        <v>1.092</v>
      </c>
      <c r="P28" s="18" t="s">
        <v>26</v>
      </c>
      <c r="Q28" s="39">
        <f>AVERAGE(0.045,F28,G28,H28,I28,J28,K28,0.045,M28,N28,O28,P28)</f>
        <v>0.3155</v>
      </c>
      <c r="R28" s="17">
        <v>7.0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75" t="s">
        <v>145</v>
      </c>
      <c r="E29" s="41">
        <v>0.195</v>
      </c>
      <c r="F29" s="24" t="s">
        <v>26</v>
      </c>
      <c r="G29" s="24" t="s">
        <v>26</v>
      </c>
      <c r="H29" s="24" t="s">
        <v>26</v>
      </c>
      <c r="I29" s="24" t="s">
        <v>26</v>
      </c>
      <c r="J29" s="24" t="s">
        <v>26</v>
      </c>
      <c r="K29" s="41">
        <v>1.128</v>
      </c>
      <c r="L29" s="24" t="s">
        <v>26</v>
      </c>
      <c r="M29" s="41">
        <v>1.695</v>
      </c>
      <c r="N29" s="24" t="s">
        <v>26</v>
      </c>
      <c r="O29" s="41">
        <v>2.184</v>
      </c>
      <c r="P29" s="24" t="s">
        <v>26</v>
      </c>
      <c r="Q29" s="41">
        <f t="shared" ref="Q29:Q36" si="5">AVERAGE(E29,F29,G29,H29,I29,J29,K29,L29,M29,N29,O29,P29)</f>
        <v>1.3005</v>
      </c>
      <c r="R29" s="23">
        <v>7.0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75" t="s">
        <v>146</v>
      </c>
      <c r="E30" s="41">
        <v>0.345</v>
      </c>
      <c r="F30" s="24" t="s">
        <v>26</v>
      </c>
      <c r="G30" s="24" t="s">
        <v>26</v>
      </c>
      <c r="H30" s="24" t="s">
        <v>26</v>
      </c>
      <c r="I30" s="24" t="s">
        <v>26</v>
      </c>
      <c r="J30" s="24" t="s">
        <v>26</v>
      </c>
      <c r="K30" s="41">
        <v>0.818</v>
      </c>
      <c r="L30" s="24" t="s">
        <v>26</v>
      </c>
      <c r="M30" s="41">
        <v>1.371</v>
      </c>
      <c r="N30" s="24" t="s">
        <v>26</v>
      </c>
      <c r="O30" s="41">
        <v>2.231</v>
      </c>
      <c r="P30" s="24" t="s">
        <v>26</v>
      </c>
      <c r="Q30" s="41">
        <f t="shared" si="5"/>
        <v>1.19125</v>
      </c>
      <c r="R30" s="23">
        <v>7.0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149</v>
      </c>
      <c r="C31" s="16">
        <v>1.0</v>
      </c>
      <c r="D31" s="160" t="s">
        <v>144</v>
      </c>
      <c r="E31" s="39">
        <v>0.039</v>
      </c>
      <c r="F31" s="18" t="s">
        <v>26</v>
      </c>
      <c r="G31" s="18" t="s">
        <v>26</v>
      </c>
      <c r="H31" s="18" t="s">
        <v>26</v>
      </c>
      <c r="I31" s="18" t="s">
        <v>26</v>
      </c>
      <c r="J31" s="18" t="s">
        <v>26</v>
      </c>
      <c r="K31" s="39">
        <v>0.284</v>
      </c>
      <c r="L31" s="18" t="s">
        <v>26</v>
      </c>
      <c r="M31" s="39">
        <v>0.06</v>
      </c>
      <c r="N31" s="18" t="s">
        <v>26</v>
      </c>
      <c r="O31" s="39">
        <v>0.568</v>
      </c>
      <c r="P31" s="18" t="s">
        <v>26</v>
      </c>
      <c r="Q31" s="39">
        <f t="shared" si="5"/>
        <v>0.23775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75" t="s">
        <v>145</v>
      </c>
      <c r="E32" s="41">
        <v>0.256</v>
      </c>
      <c r="F32" s="24" t="s">
        <v>26</v>
      </c>
      <c r="G32" s="24" t="s">
        <v>26</v>
      </c>
      <c r="H32" s="24" t="s">
        <v>26</v>
      </c>
      <c r="I32" s="24" t="s">
        <v>26</v>
      </c>
      <c r="J32" s="24" t="s">
        <v>26</v>
      </c>
      <c r="K32" s="41">
        <v>0.225</v>
      </c>
      <c r="L32" s="24" t="s">
        <v>26</v>
      </c>
      <c r="M32" s="41">
        <v>0.681</v>
      </c>
      <c r="N32" s="24" t="s">
        <v>26</v>
      </c>
      <c r="O32" s="41">
        <v>0.597</v>
      </c>
      <c r="P32" s="24" t="s">
        <v>26</v>
      </c>
      <c r="Q32" s="41">
        <f t="shared" si="5"/>
        <v>0.43975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6"/>
      <c r="C33" s="22">
        <v>3.0</v>
      </c>
      <c r="D33" s="175" t="s">
        <v>146</v>
      </c>
      <c r="E33" s="41">
        <v>0.236</v>
      </c>
      <c r="F33" s="24" t="s">
        <v>26</v>
      </c>
      <c r="G33" s="24" t="s">
        <v>26</v>
      </c>
      <c r="H33" s="24" t="s">
        <v>26</v>
      </c>
      <c r="I33" s="24" t="s">
        <v>26</v>
      </c>
      <c r="J33" s="24" t="s">
        <v>26</v>
      </c>
      <c r="K33" s="41">
        <v>0.232</v>
      </c>
      <c r="L33" s="24" t="s">
        <v>26</v>
      </c>
      <c r="M33" s="41">
        <v>0.472</v>
      </c>
      <c r="N33" s="24" t="s">
        <v>26</v>
      </c>
      <c r="O33" s="41">
        <v>0.532</v>
      </c>
      <c r="P33" s="24" t="s">
        <v>26</v>
      </c>
      <c r="Q33" s="41">
        <f t="shared" si="5"/>
        <v>0.368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15" t="s">
        <v>42</v>
      </c>
      <c r="C34" s="16">
        <v>1.0</v>
      </c>
      <c r="D34" s="160" t="s">
        <v>144</v>
      </c>
      <c r="E34" s="27">
        <v>2.0</v>
      </c>
      <c r="F34" s="18" t="s">
        <v>26</v>
      </c>
      <c r="G34" s="18" t="s">
        <v>26</v>
      </c>
      <c r="H34" s="18" t="s">
        <v>26</v>
      </c>
      <c r="I34" s="18" t="s">
        <v>26</v>
      </c>
      <c r="J34" s="18" t="s">
        <v>26</v>
      </c>
      <c r="K34" s="27">
        <v>6.0</v>
      </c>
      <c r="L34" s="18" t="s">
        <v>26</v>
      </c>
      <c r="M34" s="27">
        <v>6.0</v>
      </c>
      <c r="N34" s="18" t="s">
        <v>26</v>
      </c>
      <c r="O34" s="27">
        <v>4.0</v>
      </c>
      <c r="P34" s="18" t="s">
        <v>26</v>
      </c>
      <c r="Q34" s="27">
        <f t="shared" si="5"/>
        <v>4.5</v>
      </c>
      <c r="R34" s="17">
        <v>350.0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21"/>
      <c r="C35" s="22">
        <v>2.0</v>
      </c>
      <c r="D35" s="175" t="s">
        <v>145</v>
      </c>
      <c r="E35" s="29">
        <v>14.0</v>
      </c>
      <c r="F35" s="24" t="s">
        <v>26</v>
      </c>
      <c r="G35" s="24" t="s">
        <v>26</v>
      </c>
      <c r="H35" s="24" t="s">
        <v>26</v>
      </c>
      <c r="I35" s="24" t="s">
        <v>26</v>
      </c>
      <c r="J35" s="24" t="s">
        <v>26</v>
      </c>
      <c r="K35" s="29">
        <v>12.0</v>
      </c>
      <c r="L35" s="24" t="s">
        <v>26</v>
      </c>
      <c r="M35" s="29">
        <v>14.0</v>
      </c>
      <c r="N35" s="24" t="s">
        <v>26</v>
      </c>
      <c r="O35" s="29">
        <v>8.0</v>
      </c>
      <c r="P35" s="24" t="s">
        <v>26</v>
      </c>
      <c r="Q35" s="29">
        <f t="shared" si="5"/>
        <v>12</v>
      </c>
      <c r="R35" s="23">
        <v>350.0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6"/>
      <c r="C36" s="22">
        <v>3.0</v>
      </c>
      <c r="D36" s="175" t="s">
        <v>146</v>
      </c>
      <c r="E36" s="29">
        <v>11.0</v>
      </c>
      <c r="F36" s="24" t="s">
        <v>26</v>
      </c>
      <c r="G36" s="24" t="s">
        <v>26</v>
      </c>
      <c r="H36" s="24" t="s">
        <v>26</v>
      </c>
      <c r="I36" s="24" t="s">
        <v>26</v>
      </c>
      <c r="J36" s="24" t="s">
        <v>26</v>
      </c>
      <c r="K36" s="29">
        <v>11.0</v>
      </c>
      <c r="L36" s="24" t="s">
        <v>26</v>
      </c>
      <c r="M36" s="29">
        <v>12.0</v>
      </c>
      <c r="N36" s="24" t="s">
        <v>26</v>
      </c>
      <c r="O36" s="29">
        <v>5.0</v>
      </c>
      <c r="P36" s="24" t="s">
        <v>26</v>
      </c>
      <c r="Q36" s="29">
        <f t="shared" si="5"/>
        <v>9.75</v>
      </c>
      <c r="R36" s="23">
        <v>350.0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72"/>
      <c r="O37" s="72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91" t="s">
        <v>43</v>
      </c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72"/>
      <c r="O38" s="72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72"/>
      <c r="O39" s="72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127"/>
      <c r="N40" s="72"/>
      <c r="O40" s="72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127"/>
      <c r="N41" s="72"/>
      <c r="O41" s="72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127"/>
      <c r="N42" s="72"/>
      <c r="O42" s="72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127"/>
      <c r="N43" s="72"/>
      <c r="O43" s="72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72"/>
      <c r="O44" s="72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72"/>
      <c r="O45" s="72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72"/>
      <c r="O46" s="72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72"/>
      <c r="O47" s="72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72"/>
      <c r="O48" s="72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72"/>
      <c r="O49" s="72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72"/>
      <c r="O50" s="72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72"/>
      <c r="O51" s="72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72"/>
      <c r="O52" s="72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72"/>
      <c r="O53" s="72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72"/>
      <c r="O54" s="72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72"/>
      <c r="O55" s="72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72"/>
      <c r="O56" s="72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72"/>
      <c r="O57" s="72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72"/>
      <c r="O58" s="72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72"/>
      <c r="O59" s="72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72"/>
      <c r="O60" s="72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72"/>
      <c r="O61" s="72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72"/>
      <c r="O62" s="72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72"/>
      <c r="O63" s="72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72"/>
      <c r="O64" s="72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72"/>
      <c r="O65" s="72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72"/>
      <c r="O66" s="72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72"/>
      <c r="O67" s="72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72"/>
      <c r="O68" s="72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72"/>
      <c r="O69" s="72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72"/>
      <c r="O70" s="72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72"/>
      <c r="O71" s="72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72"/>
      <c r="O72" s="72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72"/>
      <c r="O73" s="72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72"/>
      <c r="O74" s="72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72"/>
      <c r="O75" s="72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72"/>
      <c r="O76" s="72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72"/>
      <c r="O77" s="72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72"/>
      <c r="O78" s="72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72"/>
      <c r="O79" s="72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72"/>
      <c r="O80" s="72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72"/>
      <c r="O81" s="72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72"/>
      <c r="O82" s="72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72"/>
      <c r="O83" s="72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72"/>
      <c r="O84" s="72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72"/>
      <c r="O85" s="72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72"/>
      <c r="O86" s="72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72"/>
      <c r="O87" s="72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72"/>
      <c r="O88" s="72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72"/>
      <c r="O89" s="72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72"/>
      <c r="O90" s="72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72"/>
      <c r="O91" s="72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72"/>
      <c r="O92" s="72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72"/>
      <c r="O93" s="72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72"/>
      <c r="O94" s="72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72"/>
      <c r="O95" s="72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72"/>
      <c r="O96" s="72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72"/>
      <c r="O97" s="72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72"/>
      <c r="O98" s="72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72"/>
      <c r="O99" s="72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72"/>
      <c r="O100" s="72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72"/>
      <c r="O101" s="72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72"/>
      <c r="O102" s="72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72"/>
      <c r="O103" s="72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72"/>
      <c r="O104" s="72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72"/>
      <c r="O105" s="72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72"/>
      <c r="O106" s="72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72"/>
      <c r="O107" s="72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72"/>
      <c r="O108" s="72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72"/>
      <c r="O109" s="72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72"/>
      <c r="O110" s="72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72"/>
      <c r="O111" s="72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72"/>
      <c r="O112" s="72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72"/>
      <c r="O113" s="72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72"/>
      <c r="O114" s="72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72"/>
      <c r="O115" s="72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72"/>
      <c r="O116" s="72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72"/>
      <c r="O117" s="72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72"/>
      <c r="O118" s="72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72"/>
      <c r="O119" s="72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72"/>
      <c r="O120" s="72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72"/>
      <c r="O121" s="72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72"/>
      <c r="O122" s="72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72"/>
      <c r="O123" s="72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72"/>
      <c r="O124" s="72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72"/>
      <c r="O125" s="72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72"/>
      <c r="O126" s="72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72"/>
      <c r="O127" s="72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72"/>
      <c r="O128" s="72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72"/>
      <c r="O129" s="72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72"/>
      <c r="O130" s="72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72"/>
      <c r="O131" s="72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72"/>
      <c r="O132" s="72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72"/>
      <c r="O133" s="72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72"/>
      <c r="O134" s="72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72"/>
      <c r="O135" s="72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72"/>
      <c r="O136" s="72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72"/>
      <c r="O137" s="72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72"/>
      <c r="O138" s="72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72"/>
      <c r="O139" s="72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72"/>
      <c r="O140" s="72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72"/>
      <c r="O141" s="72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72"/>
      <c r="O142" s="72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72"/>
      <c r="O143" s="72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72"/>
      <c r="O144" s="72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72"/>
      <c r="O145" s="72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72"/>
      <c r="O146" s="72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72"/>
      <c r="O147" s="72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72"/>
      <c r="O148" s="72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72"/>
      <c r="O149" s="72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72"/>
      <c r="O150" s="72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72"/>
      <c r="O151" s="72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72"/>
      <c r="O152" s="72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72"/>
      <c r="O153" s="72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72"/>
      <c r="O154" s="72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72"/>
      <c r="O155" s="72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72"/>
      <c r="O156" s="72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72"/>
      <c r="O157" s="72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72"/>
      <c r="O158" s="72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72"/>
      <c r="O159" s="72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72"/>
      <c r="O160" s="72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72"/>
      <c r="O161" s="72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72"/>
      <c r="O162" s="72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72"/>
      <c r="O163" s="72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72"/>
      <c r="O164" s="72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72"/>
      <c r="O165" s="72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72"/>
      <c r="O166" s="72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72"/>
      <c r="O167" s="72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72"/>
      <c r="O168" s="72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72"/>
      <c r="O169" s="72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72"/>
      <c r="O170" s="72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72"/>
      <c r="O171" s="72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72"/>
      <c r="O172" s="72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72"/>
      <c r="O173" s="72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72"/>
      <c r="O174" s="72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72"/>
      <c r="O175" s="72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72"/>
      <c r="O176" s="72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72"/>
      <c r="O177" s="72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72"/>
      <c r="O178" s="72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72"/>
      <c r="O179" s="72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72"/>
      <c r="O180" s="72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72"/>
      <c r="O181" s="72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72"/>
      <c r="O182" s="72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72"/>
      <c r="O183" s="72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72"/>
      <c r="O184" s="72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72"/>
      <c r="O185" s="72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72"/>
      <c r="O186" s="72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72"/>
      <c r="O187" s="72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72"/>
      <c r="O188" s="72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72"/>
      <c r="O189" s="72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72"/>
      <c r="O190" s="72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72"/>
      <c r="O191" s="72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72"/>
      <c r="O192" s="72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72"/>
      <c r="O193" s="72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72"/>
      <c r="O194" s="72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72"/>
      <c r="O195" s="72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72"/>
      <c r="O196" s="72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72"/>
      <c r="O197" s="72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72"/>
      <c r="O198" s="72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72"/>
      <c r="O199" s="72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72"/>
      <c r="O200" s="72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72"/>
      <c r="O201" s="72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72"/>
      <c r="O202" s="72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72"/>
      <c r="O203" s="72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72"/>
      <c r="O204" s="72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72"/>
      <c r="O205" s="72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72"/>
      <c r="O206" s="72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72"/>
      <c r="O207" s="72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72"/>
      <c r="O208" s="72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72"/>
      <c r="O209" s="72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72"/>
      <c r="O210" s="72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72"/>
      <c r="O211" s="72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72"/>
      <c r="O212" s="72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72"/>
      <c r="O213" s="72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72"/>
      <c r="O214" s="72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72"/>
      <c r="O215" s="72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72"/>
      <c r="O216" s="72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72"/>
      <c r="O217" s="72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72"/>
      <c r="O218" s="72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72"/>
      <c r="O219" s="72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72"/>
      <c r="O220" s="72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72"/>
      <c r="O221" s="72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72"/>
      <c r="O222" s="72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72"/>
      <c r="O223" s="72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72"/>
      <c r="O224" s="72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72"/>
      <c r="O225" s="72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72"/>
      <c r="O226" s="72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72"/>
      <c r="O227" s="72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72"/>
      <c r="O228" s="72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72"/>
      <c r="O229" s="72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72"/>
      <c r="O230" s="72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72"/>
      <c r="O231" s="72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72"/>
      <c r="O232" s="72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72"/>
      <c r="O233" s="72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72"/>
      <c r="O234" s="72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72"/>
      <c r="O235" s="72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72"/>
      <c r="O236" s="72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72"/>
      <c r="O237" s="72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72"/>
      <c r="O238" s="72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72"/>
      <c r="O239" s="72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72"/>
      <c r="O240" s="72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72"/>
      <c r="O241" s="72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72"/>
      <c r="O242" s="72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72"/>
      <c r="O243" s="72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72"/>
      <c r="O244" s="72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72"/>
      <c r="O245" s="72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72"/>
      <c r="O246" s="72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72"/>
      <c r="O247" s="72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72"/>
      <c r="O248" s="72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72"/>
      <c r="O249" s="72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72"/>
      <c r="O250" s="72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72"/>
      <c r="O251" s="72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72"/>
      <c r="O252" s="72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72"/>
      <c r="O253" s="72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72"/>
      <c r="O254" s="72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72"/>
      <c r="O255" s="72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72"/>
      <c r="O256" s="72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72"/>
      <c r="O257" s="72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72"/>
      <c r="O258" s="72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72"/>
      <c r="O259" s="72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72"/>
      <c r="O260" s="72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72"/>
      <c r="O261" s="72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72"/>
      <c r="O262" s="72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72"/>
      <c r="O263" s="72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72"/>
      <c r="O264" s="72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72"/>
      <c r="O265" s="72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72"/>
      <c r="O266" s="72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72"/>
      <c r="O267" s="72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72"/>
      <c r="O268" s="72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72"/>
      <c r="O269" s="72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72"/>
      <c r="O270" s="72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72"/>
      <c r="O271" s="72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72"/>
      <c r="O272" s="72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72"/>
      <c r="O273" s="72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72"/>
      <c r="O274" s="72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72"/>
      <c r="O275" s="72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72"/>
      <c r="O276" s="72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72"/>
      <c r="O277" s="72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72"/>
      <c r="O278" s="72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72"/>
      <c r="O279" s="72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72"/>
      <c r="O280" s="72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72"/>
      <c r="O281" s="72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72"/>
      <c r="O282" s="72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72"/>
      <c r="O283" s="72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72"/>
      <c r="O284" s="72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72"/>
      <c r="O285" s="72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72"/>
      <c r="O286" s="72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72"/>
      <c r="O287" s="72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72"/>
      <c r="O288" s="72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72"/>
      <c r="O289" s="72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72"/>
      <c r="O290" s="72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72"/>
      <c r="O291" s="72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72"/>
      <c r="O292" s="72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72"/>
      <c r="O293" s="72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72"/>
      <c r="O294" s="72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72"/>
      <c r="O295" s="72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72"/>
      <c r="O296" s="72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72"/>
      <c r="O297" s="72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72"/>
      <c r="O298" s="72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72"/>
      <c r="O299" s="72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72"/>
      <c r="O300" s="72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72"/>
      <c r="O301" s="72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72"/>
      <c r="O302" s="72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72"/>
      <c r="O303" s="72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72"/>
      <c r="O304" s="72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72"/>
      <c r="O305" s="72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72"/>
      <c r="O306" s="72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72"/>
      <c r="O307" s="72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72"/>
      <c r="O308" s="72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72"/>
      <c r="O309" s="72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72"/>
      <c r="O310" s="72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72"/>
      <c r="O311" s="72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72"/>
      <c r="O312" s="72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72"/>
      <c r="O313" s="72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72"/>
      <c r="O314" s="72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72"/>
      <c r="O315" s="72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72"/>
      <c r="O316" s="72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72"/>
      <c r="O317" s="72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72"/>
      <c r="O318" s="72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72"/>
      <c r="O319" s="72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72"/>
      <c r="O320" s="72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72"/>
      <c r="O321" s="72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72"/>
      <c r="O322" s="72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72"/>
      <c r="O323" s="72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72"/>
      <c r="O324" s="72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72"/>
      <c r="O325" s="72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72"/>
      <c r="O326" s="72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72"/>
      <c r="O327" s="72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72"/>
      <c r="O328" s="72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72"/>
      <c r="O329" s="72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72"/>
      <c r="O330" s="72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72"/>
      <c r="O331" s="72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72"/>
      <c r="O332" s="72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72"/>
      <c r="O333" s="72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72"/>
      <c r="O334" s="72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72"/>
      <c r="O335" s="72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72"/>
      <c r="O336" s="72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72"/>
      <c r="O337" s="72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72"/>
      <c r="O338" s="72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72"/>
      <c r="O339" s="72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72"/>
      <c r="O340" s="72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72"/>
      <c r="O341" s="72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72"/>
      <c r="O342" s="72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72"/>
      <c r="O343" s="72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72"/>
      <c r="O344" s="72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72"/>
      <c r="O345" s="72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72"/>
      <c r="O346" s="72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72"/>
      <c r="O347" s="72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72"/>
      <c r="O348" s="72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72"/>
      <c r="O349" s="72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72"/>
      <c r="O350" s="72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72"/>
      <c r="O351" s="72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72"/>
      <c r="O352" s="72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72"/>
      <c r="O353" s="72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72"/>
      <c r="O354" s="72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72"/>
      <c r="O355" s="72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72"/>
      <c r="O356" s="72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72"/>
      <c r="O357" s="72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72"/>
      <c r="O358" s="72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72"/>
      <c r="O359" s="72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72"/>
      <c r="O360" s="72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72"/>
      <c r="O361" s="72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72"/>
      <c r="O362" s="72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72"/>
      <c r="O363" s="72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72"/>
      <c r="O364" s="72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72"/>
      <c r="O365" s="72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72"/>
      <c r="O366" s="72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72"/>
      <c r="O367" s="72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72"/>
      <c r="O368" s="72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72"/>
      <c r="O369" s="72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72"/>
      <c r="O370" s="72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72"/>
      <c r="O371" s="72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72"/>
      <c r="O372" s="72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72"/>
      <c r="O373" s="72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72"/>
      <c r="O374" s="72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72"/>
      <c r="O375" s="72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72"/>
      <c r="O376" s="72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72"/>
      <c r="O377" s="72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72"/>
      <c r="O378" s="72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72"/>
      <c r="O379" s="72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72"/>
      <c r="O380" s="72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72"/>
      <c r="O381" s="72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72"/>
      <c r="O382" s="72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72"/>
      <c r="O383" s="72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72"/>
      <c r="O384" s="72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72"/>
      <c r="O385" s="72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72"/>
      <c r="O386" s="72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72"/>
      <c r="O387" s="72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72"/>
      <c r="O388" s="72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72"/>
      <c r="O389" s="72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72"/>
      <c r="O390" s="72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72"/>
      <c r="O391" s="72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72"/>
      <c r="O392" s="72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72"/>
      <c r="O393" s="72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72"/>
      <c r="O394" s="72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72"/>
      <c r="O395" s="72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72"/>
      <c r="O396" s="72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72"/>
      <c r="O397" s="72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72"/>
      <c r="O398" s="72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72"/>
      <c r="O399" s="72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72"/>
      <c r="O400" s="72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72"/>
      <c r="O401" s="72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72"/>
      <c r="O402" s="72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72"/>
      <c r="O403" s="72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72"/>
      <c r="O404" s="72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72"/>
      <c r="O405" s="72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72"/>
      <c r="O406" s="72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72"/>
      <c r="O407" s="72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72"/>
      <c r="O408" s="72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72"/>
      <c r="O409" s="72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72"/>
      <c r="O410" s="72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72"/>
      <c r="O411" s="72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72"/>
      <c r="O412" s="72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72"/>
      <c r="O413" s="72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72"/>
      <c r="O414" s="72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72"/>
      <c r="O415" s="72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72"/>
      <c r="O416" s="72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72"/>
      <c r="O417" s="72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72"/>
      <c r="O418" s="72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72"/>
      <c r="O419" s="72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72"/>
      <c r="O420" s="72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72"/>
      <c r="O421" s="72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72"/>
      <c r="O422" s="72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72"/>
      <c r="O423" s="72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72"/>
      <c r="O424" s="72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72"/>
      <c r="O425" s="72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72"/>
      <c r="O426" s="72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72"/>
      <c r="O427" s="72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72"/>
      <c r="O428" s="72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72"/>
      <c r="O429" s="72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72"/>
      <c r="O430" s="72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72"/>
      <c r="O431" s="72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72"/>
      <c r="O432" s="72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72"/>
      <c r="O433" s="72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72"/>
      <c r="O434" s="72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72"/>
      <c r="O435" s="72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72"/>
      <c r="O436" s="72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72"/>
      <c r="O437" s="72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72"/>
      <c r="O438" s="72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72"/>
      <c r="O439" s="72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72"/>
      <c r="O440" s="72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72"/>
      <c r="O441" s="72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72"/>
      <c r="O442" s="72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72"/>
      <c r="O443" s="72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72"/>
      <c r="O444" s="72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72"/>
      <c r="O445" s="72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72"/>
      <c r="O446" s="72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72"/>
      <c r="O447" s="72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72"/>
      <c r="O448" s="72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72"/>
      <c r="O449" s="72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72"/>
      <c r="O450" s="72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72"/>
      <c r="O451" s="72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72"/>
      <c r="O452" s="72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72"/>
      <c r="O453" s="72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72"/>
      <c r="O454" s="72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72"/>
      <c r="O455" s="72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72"/>
      <c r="O456" s="72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72"/>
      <c r="O457" s="72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72"/>
      <c r="O458" s="72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72"/>
      <c r="O459" s="72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72"/>
      <c r="O460" s="72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72"/>
      <c r="O461" s="72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72"/>
      <c r="O462" s="72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72"/>
      <c r="O463" s="72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72"/>
      <c r="O464" s="72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72"/>
      <c r="O465" s="72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72"/>
      <c r="O466" s="72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72"/>
      <c r="O467" s="72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72"/>
      <c r="O468" s="72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72"/>
      <c r="O469" s="72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72"/>
      <c r="O470" s="72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72"/>
      <c r="O471" s="72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72"/>
      <c r="O472" s="72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72"/>
      <c r="O473" s="72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72"/>
      <c r="O474" s="72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72"/>
      <c r="O475" s="72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72"/>
      <c r="O476" s="72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72"/>
      <c r="O477" s="72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72"/>
      <c r="O478" s="72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72"/>
      <c r="O479" s="72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72"/>
      <c r="O480" s="72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72"/>
      <c r="O481" s="72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72"/>
      <c r="O482" s="72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72"/>
      <c r="O483" s="72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72"/>
      <c r="O484" s="72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72"/>
      <c r="O485" s="72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72"/>
      <c r="O486" s="72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72"/>
      <c r="O487" s="72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72"/>
      <c r="O488" s="72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72"/>
      <c r="O489" s="72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72"/>
      <c r="O490" s="72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72"/>
      <c r="O491" s="72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72"/>
      <c r="O492" s="72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72"/>
      <c r="O493" s="72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72"/>
      <c r="O494" s="72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72"/>
      <c r="O495" s="72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72"/>
      <c r="O496" s="72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72"/>
      <c r="O497" s="72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72"/>
      <c r="O498" s="72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72"/>
      <c r="O499" s="72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72"/>
      <c r="O500" s="72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72"/>
      <c r="O501" s="72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72"/>
      <c r="O502" s="72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72"/>
      <c r="O503" s="72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72"/>
      <c r="O504" s="72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72"/>
      <c r="O505" s="72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72"/>
      <c r="O506" s="72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72"/>
      <c r="O507" s="72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72"/>
      <c r="O508" s="72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72"/>
      <c r="O509" s="72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72"/>
      <c r="O510" s="72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72"/>
      <c r="O511" s="72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72"/>
      <c r="O512" s="72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72"/>
      <c r="O513" s="72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72"/>
      <c r="O514" s="72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72"/>
      <c r="O515" s="72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72"/>
      <c r="O516" s="72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72"/>
      <c r="O517" s="72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72"/>
      <c r="O518" s="72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72"/>
      <c r="O519" s="72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72"/>
      <c r="O520" s="72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72"/>
      <c r="O521" s="72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72"/>
      <c r="O522" s="72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72"/>
      <c r="O523" s="72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72"/>
      <c r="O524" s="72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72"/>
      <c r="O525" s="72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72"/>
      <c r="O526" s="72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72"/>
      <c r="O527" s="72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72"/>
      <c r="O528" s="72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72"/>
      <c r="O529" s="72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72"/>
      <c r="O530" s="72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72"/>
      <c r="O531" s="72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72"/>
      <c r="O532" s="72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72"/>
      <c r="O533" s="72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72"/>
      <c r="O534" s="72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72"/>
      <c r="O535" s="72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72"/>
      <c r="O536" s="72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72"/>
      <c r="O537" s="72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72"/>
      <c r="O538" s="72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72"/>
      <c r="O539" s="72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72"/>
      <c r="O540" s="72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72"/>
      <c r="O541" s="72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72"/>
      <c r="O542" s="72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72"/>
      <c r="O543" s="72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72"/>
      <c r="O544" s="72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72"/>
      <c r="O545" s="72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72"/>
      <c r="O546" s="72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72"/>
      <c r="O547" s="72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72"/>
      <c r="O548" s="72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72"/>
      <c r="O549" s="72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72"/>
      <c r="O550" s="72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72"/>
      <c r="O551" s="72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72"/>
      <c r="O552" s="72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72"/>
      <c r="O553" s="72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72"/>
      <c r="O554" s="72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72"/>
      <c r="O555" s="72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72"/>
      <c r="O556" s="72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72"/>
      <c r="O557" s="72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72"/>
      <c r="O558" s="72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72"/>
      <c r="O559" s="72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72"/>
      <c r="O560" s="72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72"/>
      <c r="O561" s="72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72"/>
      <c r="O562" s="72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72"/>
      <c r="O563" s="72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72"/>
      <c r="O564" s="72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72"/>
      <c r="O565" s="72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72"/>
      <c r="O566" s="72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72"/>
      <c r="O567" s="72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72"/>
      <c r="O568" s="72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72"/>
      <c r="O569" s="72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72"/>
      <c r="O570" s="72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72"/>
      <c r="O571" s="72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72"/>
      <c r="O572" s="72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72"/>
      <c r="O573" s="72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72"/>
      <c r="O574" s="72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72"/>
      <c r="O575" s="72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72"/>
      <c r="O576" s="72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72"/>
      <c r="O577" s="72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72"/>
      <c r="O578" s="72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72"/>
      <c r="O579" s="72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72"/>
      <c r="O580" s="72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72"/>
      <c r="O581" s="72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72"/>
      <c r="O582" s="72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72"/>
      <c r="O583" s="72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72"/>
      <c r="O584" s="72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72"/>
      <c r="O585" s="72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72"/>
      <c r="O586" s="72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72"/>
      <c r="O587" s="72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72"/>
      <c r="O588" s="72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72"/>
      <c r="O589" s="72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72"/>
      <c r="O590" s="72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72"/>
      <c r="O591" s="72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72"/>
      <c r="O592" s="72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72"/>
      <c r="O593" s="72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72"/>
      <c r="O594" s="72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72"/>
      <c r="O595" s="72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72"/>
      <c r="O596" s="72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72"/>
      <c r="O597" s="72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72"/>
      <c r="O598" s="72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72"/>
      <c r="O599" s="72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72"/>
      <c r="O600" s="72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72"/>
      <c r="O601" s="72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72"/>
      <c r="O602" s="72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72"/>
      <c r="O603" s="72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72"/>
      <c r="O604" s="72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72"/>
      <c r="O605" s="72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72"/>
      <c r="O606" s="72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72"/>
      <c r="O607" s="72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72"/>
      <c r="O608" s="72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72"/>
      <c r="O609" s="72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72"/>
      <c r="O610" s="72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72"/>
      <c r="O611" s="72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72"/>
      <c r="O612" s="72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72"/>
      <c r="O613" s="72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72"/>
      <c r="O614" s="72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72"/>
      <c r="O615" s="72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72"/>
      <c r="O616" s="72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72"/>
      <c r="O617" s="72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72"/>
      <c r="O618" s="72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72"/>
      <c r="O619" s="72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72"/>
      <c r="O620" s="72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72"/>
      <c r="O621" s="72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72"/>
      <c r="O622" s="72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72"/>
      <c r="O623" s="72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72"/>
      <c r="O624" s="72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72"/>
      <c r="O625" s="72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72"/>
      <c r="O626" s="72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72"/>
      <c r="O627" s="72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72"/>
      <c r="O628" s="72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72"/>
      <c r="O629" s="72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72"/>
      <c r="O630" s="72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72"/>
      <c r="O631" s="72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72"/>
      <c r="O632" s="72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72"/>
      <c r="O633" s="72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72"/>
      <c r="O634" s="72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72"/>
      <c r="O635" s="72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72"/>
      <c r="O636" s="72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72"/>
      <c r="O637" s="72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72"/>
      <c r="O638" s="72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72"/>
      <c r="O639" s="72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72"/>
      <c r="O640" s="72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72"/>
      <c r="O641" s="72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72"/>
      <c r="O642" s="72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72"/>
      <c r="O643" s="72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72"/>
      <c r="O644" s="72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72"/>
      <c r="O645" s="72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72"/>
      <c r="O646" s="72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72"/>
      <c r="O647" s="72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72"/>
      <c r="O648" s="72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72"/>
      <c r="O649" s="72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72"/>
      <c r="O650" s="72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72"/>
      <c r="O651" s="72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72"/>
      <c r="O652" s="72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72"/>
      <c r="O653" s="72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72"/>
      <c r="O654" s="72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72"/>
      <c r="O655" s="72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72"/>
      <c r="O656" s="72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72"/>
      <c r="O657" s="72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72"/>
      <c r="O658" s="72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72"/>
      <c r="O659" s="72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72"/>
      <c r="O660" s="72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72"/>
      <c r="O661" s="72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72"/>
      <c r="O662" s="72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72"/>
      <c r="O663" s="72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72"/>
      <c r="O664" s="72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72"/>
      <c r="O665" s="72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72"/>
      <c r="O666" s="72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72"/>
      <c r="O667" s="72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72"/>
      <c r="O668" s="72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72"/>
      <c r="O669" s="72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72"/>
      <c r="O670" s="72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72"/>
      <c r="O671" s="72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72"/>
      <c r="O672" s="72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72"/>
      <c r="O673" s="72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72"/>
      <c r="O674" s="72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72"/>
      <c r="O675" s="72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72"/>
      <c r="O676" s="72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72"/>
      <c r="O677" s="72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72"/>
      <c r="O678" s="72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72"/>
      <c r="O679" s="72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72"/>
      <c r="O680" s="72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72"/>
      <c r="O681" s="72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72"/>
      <c r="O682" s="72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72"/>
      <c r="O683" s="72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72"/>
      <c r="O684" s="72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72"/>
      <c r="O685" s="72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72"/>
      <c r="O686" s="72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72"/>
      <c r="O687" s="72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72"/>
      <c r="O688" s="72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72"/>
      <c r="O689" s="72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72"/>
      <c r="O690" s="72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72"/>
      <c r="O691" s="72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72"/>
      <c r="O692" s="72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72"/>
      <c r="O693" s="72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72"/>
      <c r="O694" s="72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72"/>
      <c r="O695" s="72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72"/>
      <c r="O696" s="72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72"/>
      <c r="O697" s="72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72"/>
      <c r="O698" s="72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72"/>
      <c r="O699" s="72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72"/>
      <c r="O700" s="72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72"/>
      <c r="O701" s="72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72"/>
      <c r="O702" s="72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72"/>
      <c r="O703" s="72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72"/>
      <c r="O704" s="72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72"/>
      <c r="O705" s="72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72"/>
      <c r="O706" s="72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72"/>
      <c r="O707" s="72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72"/>
      <c r="O708" s="72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72"/>
      <c r="O709" s="72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72"/>
      <c r="O710" s="72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72"/>
      <c r="O711" s="72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72"/>
      <c r="O712" s="72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72"/>
      <c r="O713" s="72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72"/>
      <c r="O714" s="72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72"/>
      <c r="O715" s="72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72"/>
      <c r="O716" s="72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72"/>
      <c r="O717" s="72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72"/>
      <c r="O718" s="72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72"/>
      <c r="O719" s="72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72"/>
      <c r="O720" s="72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72"/>
      <c r="O721" s="72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72"/>
      <c r="O722" s="72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72"/>
      <c r="O723" s="72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72"/>
      <c r="O724" s="72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72"/>
      <c r="O725" s="72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72"/>
      <c r="O726" s="72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72"/>
      <c r="O727" s="72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72"/>
      <c r="O728" s="72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72"/>
      <c r="O729" s="72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72"/>
      <c r="O730" s="72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72"/>
      <c r="O731" s="72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72"/>
      <c r="O732" s="72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72"/>
      <c r="O733" s="72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72"/>
      <c r="O734" s="72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72"/>
      <c r="O735" s="72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72"/>
      <c r="O736" s="72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72"/>
      <c r="O737" s="72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72"/>
      <c r="O738" s="72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72"/>
      <c r="O739" s="72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72"/>
      <c r="O740" s="72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72"/>
      <c r="O741" s="72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72"/>
      <c r="O742" s="72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72"/>
      <c r="O743" s="72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72"/>
      <c r="O744" s="72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72"/>
      <c r="O745" s="72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72"/>
      <c r="O746" s="72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72"/>
      <c r="O747" s="72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72"/>
      <c r="O748" s="72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72"/>
      <c r="O749" s="72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72"/>
      <c r="O750" s="72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72"/>
      <c r="O751" s="72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72"/>
      <c r="O752" s="72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72"/>
      <c r="O753" s="72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72"/>
      <c r="O754" s="72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72"/>
      <c r="O755" s="72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72"/>
      <c r="O756" s="72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72"/>
      <c r="O757" s="72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72"/>
      <c r="O758" s="72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72"/>
      <c r="O759" s="72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72"/>
      <c r="O760" s="72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72"/>
      <c r="O761" s="72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72"/>
      <c r="O762" s="72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72"/>
      <c r="O763" s="72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72"/>
      <c r="O764" s="72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72"/>
      <c r="O765" s="72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72"/>
      <c r="O766" s="72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72"/>
      <c r="O767" s="72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72"/>
      <c r="O768" s="72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72"/>
      <c r="O769" s="72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72"/>
      <c r="O770" s="72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72"/>
      <c r="O771" s="72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72"/>
      <c r="O772" s="72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72"/>
      <c r="O773" s="72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72"/>
      <c r="O774" s="72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72"/>
      <c r="O775" s="72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72"/>
      <c r="O776" s="72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72"/>
      <c r="O777" s="72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72"/>
      <c r="O778" s="72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72"/>
      <c r="O779" s="72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72"/>
      <c r="O780" s="72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72"/>
      <c r="O781" s="72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72"/>
      <c r="O782" s="72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72"/>
      <c r="O783" s="72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72"/>
      <c r="O784" s="72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72"/>
      <c r="O785" s="72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72"/>
      <c r="O786" s="72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72"/>
      <c r="O787" s="72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72"/>
      <c r="O788" s="72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72"/>
      <c r="O789" s="72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72"/>
      <c r="O790" s="72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72"/>
      <c r="O791" s="72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72"/>
      <c r="O792" s="72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72"/>
      <c r="O793" s="72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72"/>
      <c r="O794" s="72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72"/>
      <c r="O795" s="72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72"/>
      <c r="O796" s="72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72"/>
      <c r="O797" s="72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72"/>
      <c r="O798" s="72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72"/>
      <c r="O799" s="72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72"/>
      <c r="O800" s="72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72"/>
      <c r="O801" s="72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72"/>
      <c r="O802" s="72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72"/>
      <c r="O803" s="72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72"/>
      <c r="O804" s="72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72"/>
      <c r="O805" s="72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72"/>
      <c r="O806" s="72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72"/>
      <c r="O807" s="72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72"/>
      <c r="O808" s="72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72"/>
      <c r="O809" s="72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72"/>
      <c r="O810" s="72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72"/>
      <c r="O811" s="72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72"/>
      <c r="O812" s="72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72"/>
      <c r="O813" s="72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72"/>
      <c r="O814" s="72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72"/>
      <c r="O815" s="72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72"/>
      <c r="O816" s="72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72"/>
      <c r="O817" s="72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72"/>
      <c r="O818" s="72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72"/>
      <c r="O819" s="72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72"/>
      <c r="O820" s="72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72"/>
      <c r="O821" s="72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72"/>
      <c r="O822" s="72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72"/>
      <c r="O823" s="72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72"/>
      <c r="O824" s="72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72"/>
      <c r="O825" s="72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72"/>
      <c r="O826" s="72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72"/>
      <c r="O827" s="72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72"/>
      <c r="O828" s="72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72"/>
      <c r="O829" s="72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72"/>
      <c r="O830" s="72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72"/>
      <c r="O831" s="72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72"/>
      <c r="O832" s="72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72"/>
      <c r="O833" s="72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72"/>
      <c r="O834" s="72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72"/>
      <c r="O835" s="72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72"/>
      <c r="O836" s="72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72"/>
      <c r="O837" s="72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72"/>
      <c r="O838" s="72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72"/>
      <c r="O839" s="72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72"/>
      <c r="O840" s="72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72"/>
      <c r="O841" s="72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72"/>
      <c r="O842" s="72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72"/>
      <c r="O843" s="72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72"/>
      <c r="O844" s="72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72"/>
      <c r="O845" s="72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72"/>
      <c r="O846" s="72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72"/>
      <c r="O847" s="72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72"/>
      <c r="O848" s="72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72"/>
      <c r="O849" s="72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72"/>
      <c r="O850" s="72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72"/>
      <c r="O851" s="72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72"/>
      <c r="O852" s="72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72"/>
      <c r="O853" s="72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72"/>
      <c r="O854" s="72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72"/>
      <c r="O855" s="72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72"/>
      <c r="O856" s="72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72"/>
      <c r="O857" s="72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72"/>
      <c r="O858" s="72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72"/>
      <c r="O859" s="72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72"/>
      <c r="O860" s="72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72"/>
      <c r="O861" s="72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72"/>
      <c r="O862" s="72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72"/>
      <c r="O863" s="72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72"/>
      <c r="O864" s="72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72"/>
      <c r="O865" s="72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72"/>
      <c r="O866" s="72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72"/>
      <c r="O867" s="72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72"/>
      <c r="O868" s="72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72"/>
      <c r="O869" s="72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72"/>
      <c r="O870" s="72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72"/>
      <c r="O871" s="72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72"/>
      <c r="O872" s="72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72"/>
      <c r="O873" s="72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72"/>
      <c r="O874" s="72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72"/>
      <c r="O875" s="72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72"/>
      <c r="O876" s="72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72"/>
      <c r="O877" s="72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72"/>
      <c r="O878" s="72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72"/>
      <c r="O879" s="72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72"/>
      <c r="O880" s="72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72"/>
      <c r="O881" s="72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72"/>
      <c r="O882" s="72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72"/>
      <c r="O883" s="72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72"/>
      <c r="O884" s="72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72"/>
      <c r="O885" s="72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72"/>
      <c r="O886" s="72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72"/>
      <c r="O887" s="72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72"/>
      <c r="O888" s="72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72"/>
      <c r="O889" s="72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72"/>
      <c r="O890" s="72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72"/>
      <c r="O891" s="72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72"/>
      <c r="O892" s="72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72"/>
      <c r="O893" s="72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72"/>
      <c r="O894" s="72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72"/>
      <c r="O895" s="72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72"/>
      <c r="O896" s="72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72"/>
      <c r="O897" s="72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72"/>
      <c r="O898" s="72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72"/>
      <c r="O899" s="72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72"/>
      <c r="O900" s="72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72"/>
      <c r="O901" s="72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72"/>
      <c r="O902" s="72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72"/>
      <c r="O903" s="72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72"/>
      <c r="O904" s="72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72"/>
      <c r="O905" s="72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72"/>
      <c r="O906" s="72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72"/>
      <c r="O907" s="72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72"/>
      <c r="O908" s="72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72"/>
      <c r="O909" s="72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72"/>
      <c r="O910" s="72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72"/>
      <c r="O911" s="72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72"/>
      <c r="O912" s="72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72"/>
      <c r="O913" s="72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72"/>
      <c r="O914" s="72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72"/>
      <c r="O915" s="72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72"/>
      <c r="O916" s="72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72"/>
      <c r="O917" s="72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72"/>
      <c r="O918" s="72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72"/>
      <c r="O919" s="72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72"/>
      <c r="O920" s="72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72"/>
      <c r="O921" s="72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72"/>
      <c r="O922" s="72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72"/>
      <c r="O923" s="72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72"/>
      <c r="O924" s="72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72"/>
      <c r="O925" s="72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72"/>
      <c r="O926" s="72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72"/>
      <c r="O927" s="72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72"/>
      <c r="O928" s="72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72"/>
      <c r="O929" s="72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72"/>
      <c r="O930" s="72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72"/>
      <c r="O931" s="72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72"/>
      <c r="O932" s="72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72"/>
      <c r="O933" s="72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72"/>
      <c r="O934" s="72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72"/>
      <c r="O935" s="72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72"/>
      <c r="O936" s="72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72"/>
      <c r="O937" s="72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72"/>
      <c r="O938" s="72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72"/>
      <c r="O939" s="72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72"/>
      <c r="O940" s="72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72"/>
      <c r="O941" s="72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72"/>
      <c r="O942" s="72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72"/>
      <c r="O943" s="72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72"/>
      <c r="O944" s="72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72"/>
      <c r="O945" s="72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72"/>
      <c r="O946" s="72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72"/>
      <c r="O947" s="72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72"/>
      <c r="O948" s="72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72"/>
      <c r="O949" s="72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72"/>
      <c r="O950" s="72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72"/>
      <c r="O951" s="72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72"/>
      <c r="O952" s="72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72"/>
      <c r="O953" s="72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72"/>
      <c r="O954" s="72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72"/>
      <c r="O955" s="72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72"/>
      <c r="O956" s="72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72"/>
      <c r="O957" s="72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72"/>
      <c r="O958" s="72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72"/>
      <c r="O959" s="72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72"/>
      <c r="O960" s="72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72"/>
      <c r="O961" s="72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72"/>
      <c r="O962" s="72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72"/>
      <c r="O963" s="72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72"/>
      <c r="O964" s="72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72"/>
      <c r="O965" s="72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72"/>
      <c r="O966" s="72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72"/>
      <c r="O967" s="72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72"/>
      <c r="O968" s="72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72"/>
      <c r="O969" s="72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72"/>
      <c r="O970" s="72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72"/>
      <c r="O971" s="72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72"/>
      <c r="O972" s="72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72"/>
      <c r="O973" s="72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72"/>
      <c r="O974" s="72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72"/>
      <c r="O975" s="72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72"/>
      <c r="O976" s="72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72"/>
      <c r="O977" s="72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72"/>
      <c r="O978" s="72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72"/>
      <c r="O979" s="72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72"/>
      <c r="O980" s="72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72"/>
      <c r="O981" s="72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72"/>
      <c r="O982" s="72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72"/>
      <c r="O983" s="72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72"/>
      <c r="O984" s="72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72"/>
      <c r="O985" s="72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72"/>
      <c r="O986" s="72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72"/>
      <c r="O987" s="72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72"/>
      <c r="O988" s="72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72"/>
      <c r="O989" s="72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72"/>
      <c r="O990" s="72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72"/>
      <c r="O991" s="72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72"/>
      <c r="O992" s="72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72"/>
      <c r="O993" s="72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72"/>
      <c r="O994" s="72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72"/>
      <c r="O995" s="72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72"/>
      <c r="O996" s="72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72"/>
      <c r="O997" s="72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72"/>
      <c r="O998" s="72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72"/>
      <c r="O999" s="72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72"/>
      <c r="O1000" s="72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8.43"/>
    <col customWidth="1" min="5" max="11" width="10.71"/>
    <col customWidth="1" min="12" max="12" width="10.0"/>
    <col customWidth="1" min="13" max="13" width="11.14"/>
    <col customWidth="1" min="14" max="14" width="11.43"/>
    <col customWidth="1" min="15" max="15" width="10.86"/>
    <col customWidth="1" min="16" max="16" width="10.71"/>
    <col customWidth="1" min="17" max="17" width="18.71"/>
    <col customWidth="1" min="18" max="18" width="7.14"/>
    <col customWidth="1" min="19" max="19" width="9.43"/>
    <col customWidth="1" min="20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70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94" t="s">
        <v>150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72"/>
      <c r="T5" s="72"/>
      <c r="U5" s="72"/>
      <c r="V5" s="72"/>
      <c r="W5" s="72"/>
      <c r="X5" s="72"/>
      <c r="Y5" s="72"/>
      <c r="Z5" s="72"/>
    </row>
    <row r="6">
      <c r="A6" s="96" t="s">
        <v>151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72"/>
      <c r="T6" s="72"/>
      <c r="U6" s="72"/>
      <c r="V6" s="72"/>
      <c r="W6" s="72"/>
      <c r="X6" s="72"/>
      <c r="Y6" s="72"/>
      <c r="Z6" s="72"/>
    </row>
    <row r="7" ht="15.75" customHeight="1">
      <c r="A7" s="14" t="s">
        <v>23</v>
      </c>
      <c r="B7" s="15" t="s">
        <v>24</v>
      </c>
      <c r="C7" s="16">
        <v>1.0</v>
      </c>
      <c r="D7" s="160" t="str">
        <f>'[1]A-SF-M-S WQMA'!$B$14</f>
        <v>#REF!</v>
      </c>
      <c r="E7" s="120">
        <v>3.07</v>
      </c>
      <c r="F7" s="120">
        <v>2.33</v>
      </c>
      <c r="G7" s="18">
        <v>3.6</v>
      </c>
      <c r="H7" s="120" t="s">
        <v>26</v>
      </c>
      <c r="I7" s="120" t="s">
        <v>26</v>
      </c>
      <c r="J7" s="120" t="s">
        <v>26</v>
      </c>
      <c r="K7" s="18">
        <v>1.3</v>
      </c>
      <c r="L7" s="120">
        <v>4.03</v>
      </c>
      <c r="M7" s="120">
        <v>4.18</v>
      </c>
      <c r="N7" s="120">
        <v>3.77</v>
      </c>
      <c r="O7" s="18">
        <v>4.25</v>
      </c>
      <c r="P7" s="120">
        <v>3.56</v>
      </c>
      <c r="Q7" s="19">
        <f t="shared" ref="Q7:Q14" si="1">AVERAGE(E7,F7,G7,H7,I7,J7,K7,L7,M7,N7,O7,P7)</f>
        <v>3.343333333</v>
      </c>
      <c r="R7" s="17">
        <v>5.0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177"/>
      <c r="B8" s="21"/>
      <c r="C8" s="178">
        <v>3.0</v>
      </c>
      <c r="D8" s="179" t="str">
        <f>'[1]A-SF-M-S WQMA'!$B$15</f>
        <v>#REF!</v>
      </c>
      <c r="E8" s="147">
        <v>4.98</v>
      </c>
      <c r="F8" s="147">
        <v>2.08</v>
      </c>
      <c r="G8" s="146">
        <v>1.76</v>
      </c>
      <c r="H8" s="24" t="s">
        <v>26</v>
      </c>
      <c r="I8" s="24" t="s">
        <v>26</v>
      </c>
      <c r="J8" s="24" t="s">
        <v>26</v>
      </c>
      <c r="K8" s="146">
        <v>2.56</v>
      </c>
      <c r="L8" s="24">
        <v>3.27</v>
      </c>
      <c r="M8" s="147">
        <v>2.67</v>
      </c>
      <c r="N8" s="147">
        <v>5.05</v>
      </c>
      <c r="O8" s="146">
        <v>5.01</v>
      </c>
      <c r="P8" s="146">
        <v>3.9</v>
      </c>
      <c r="Q8" s="25">
        <f t="shared" si="1"/>
        <v>3.475555556</v>
      </c>
      <c r="R8" s="23">
        <v>5.0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177"/>
      <c r="B9" s="21"/>
      <c r="C9" s="178">
        <v>4.0</v>
      </c>
      <c r="D9" s="179" t="str">
        <f>'[1]A-SF-M-S WQMA'!$B$16</f>
        <v>#REF!</v>
      </c>
      <c r="E9" s="147">
        <v>0.21</v>
      </c>
      <c r="F9" s="147">
        <v>0.29</v>
      </c>
      <c r="G9" s="146">
        <v>1.58</v>
      </c>
      <c r="H9" s="85" t="s">
        <v>26</v>
      </c>
      <c r="I9" s="85" t="s">
        <v>26</v>
      </c>
      <c r="J9" s="85" t="s">
        <v>26</v>
      </c>
      <c r="K9" s="146">
        <v>0.1</v>
      </c>
      <c r="L9" s="85">
        <v>0.25</v>
      </c>
      <c r="M9" s="147">
        <v>1.66</v>
      </c>
      <c r="N9" s="146">
        <v>1.47</v>
      </c>
      <c r="O9" s="146">
        <v>1.35</v>
      </c>
      <c r="P9" s="147">
        <v>4.14</v>
      </c>
      <c r="Q9" s="25">
        <f t="shared" si="1"/>
        <v>1.227777778</v>
      </c>
      <c r="R9" s="23">
        <v>5.0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177"/>
      <c r="B10" s="21"/>
      <c r="C10" s="178">
        <v>5.0</v>
      </c>
      <c r="D10" s="179" t="str">
        <f>'[1]A-SF-M-S WQMA'!$B$17</f>
        <v>#REF!</v>
      </c>
      <c r="E10" s="146">
        <v>0.9</v>
      </c>
      <c r="F10" s="147">
        <v>1.23</v>
      </c>
      <c r="G10" s="146">
        <v>0.59</v>
      </c>
      <c r="H10" s="24" t="s">
        <v>26</v>
      </c>
      <c r="I10" s="24" t="s">
        <v>26</v>
      </c>
      <c r="J10" s="24" t="s">
        <v>26</v>
      </c>
      <c r="K10" s="146">
        <v>0.97</v>
      </c>
      <c r="L10" s="24">
        <v>0.28</v>
      </c>
      <c r="M10" s="147">
        <v>1.64</v>
      </c>
      <c r="N10" s="147">
        <v>1.36</v>
      </c>
      <c r="O10" s="146">
        <v>2.02</v>
      </c>
      <c r="P10" s="147">
        <v>2.98</v>
      </c>
      <c r="Q10" s="25">
        <f t="shared" si="1"/>
        <v>1.33</v>
      </c>
      <c r="R10" s="23">
        <v>5.0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177"/>
      <c r="B11" s="21"/>
      <c r="C11" s="178">
        <v>6.0</v>
      </c>
      <c r="D11" s="179" t="str">
        <f>'[1]A-SF-M-S WQMA'!$B$18</f>
        <v>#REF!</v>
      </c>
      <c r="E11" s="147">
        <v>1.09</v>
      </c>
      <c r="F11" s="147">
        <v>1.16</v>
      </c>
      <c r="G11" s="146">
        <v>4.73</v>
      </c>
      <c r="H11" s="85" t="s">
        <v>26</v>
      </c>
      <c r="I11" s="85" t="s">
        <v>26</v>
      </c>
      <c r="J11" s="85" t="s">
        <v>26</v>
      </c>
      <c r="K11" s="146">
        <v>1.23</v>
      </c>
      <c r="L11" s="85">
        <v>0.42</v>
      </c>
      <c r="M11" s="147">
        <v>2.58</v>
      </c>
      <c r="N11" s="147">
        <v>1.48</v>
      </c>
      <c r="O11" s="146">
        <v>3.85</v>
      </c>
      <c r="P11" s="147">
        <v>3.15</v>
      </c>
      <c r="Q11" s="25">
        <f t="shared" si="1"/>
        <v>2.187777778</v>
      </c>
      <c r="R11" s="23">
        <v>5.0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1"/>
      <c r="C12" s="22">
        <v>7.0</v>
      </c>
      <c r="D12" s="175" t="str">
        <f>'[1]A-SF-M-S WQMA'!$B$19</f>
        <v>#REF!</v>
      </c>
      <c r="E12" s="85">
        <v>1.64</v>
      </c>
      <c r="F12" s="146">
        <v>2.2</v>
      </c>
      <c r="G12" s="146">
        <v>1.83</v>
      </c>
      <c r="H12" s="24" t="s">
        <v>26</v>
      </c>
      <c r="I12" s="24" t="s">
        <v>26</v>
      </c>
      <c r="J12" s="24" t="s">
        <v>26</v>
      </c>
      <c r="K12" s="146">
        <v>2.79</v>
      </c>
      <c r="L12" s="24">
        <v>0.62</v>
      </c>
      <c r="M12" s="147">
        <v>3.23</v>
      </c>
      <c r="N12" s="147">
        <v>2.3</v>
      </c>
      <c r="O12" s="146">
        <v>3.75</v>
      </c>
      <c r="P12" s="147">
        <v>2.56</v>
      </c>
      <c r="Q12" s="25">
        <f t="shared" si="1"/>
        <v>2.324444444</v>
      </c>
      <c r="R12" s="23">
        <v>5.0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26"/>
      <c r="C13" s="22">
        <v>8.0</v>
      </c>
      <c r="D13" s="175" t="str">
        <f>'[1]A-SF-M-S WQMA'!$B$20</f>
        <v>#REF!</v>
      </c>
      <c r="E13" s="85">
        <v>1.49</v>
      </c>
      <c r="F13" s="146">
        <v>2.08</v>
      </c>
      <c r="G13" s="146">
        <v>3.25</v>
      </c>
      <c r="H13" s="85" t="s">
        <v>26</v>
      </c>
      <c r="I13" s="85" t="s">
        <v>26</v>
      </c>
      <c r="J13" s="85" t="s">
        <v>26</v>
      </c>
      <c r="K13" s="146">
        <v>2.86</v>
      </c>
      <c r="L13" s="85">
        <v>2.63</v>
      </c>
      <c r="M13" s="147">
        <v>2.31</v>
      </c>
      <c r="N13" s="146">
        <v>2.18</v>
      </c>
      <c r="O13" s="146">
        <v>2.76</v>
      </c>
      <c r="P13" s="146">
        <v>2.6</v>
      </c>
      <c r="Q13" s="25">
        <f t="shared" si="1"/>
        <v>2.462222222</v>
      </c>
      <c r="R13" s="23">
        <v>5.0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15" t="s">
        <v>31</v>
      </c>
      <c r="C14" s="16">
        <v>1.0</v>
      </c>
      <c r="D14" s="160" t="str">
        <f>'[1]A-SF-M-S WQMA'!$B$14</f>
        <v>#REF!</v>
      </c>
      <c r="E14" s="120">
        <v>77.0</v>
      </c>
      <c r="F14" s="120">
        <v>62.0</v>
      </c>
      <c r="G14" s="120">
        <v>123.0</v>
      </c>
      <c r="H14" s="120" t="s">
        <v>26</v>
      </c>
      <c r="I14" s="120" t="s">
        <v>26</v>
      </c>
      <c r="J14" s="120" t="s">
        <v>26</v>
      </c>
      <c r="K14" s="120">
        <v>70.0</v>
      </c>
      <c r="L14" s="27">
        <v>10.0</v>
      </c>
      <c r="M14" s="120">
        <v>8.0</v>
      </c>
      <c r="N14" s="120">
        <v>68.0</v>
      </c>
      <c r="O14" s="120">
        <v>11.0</v>
      </c>
      <c r="P14" s="120">
        <v>12.0</v>
      </c>
      <c r="Q14" s="28">
        <f t="shared" si="1"/>
        <v>49</v>
      </c>
      <c r="R14" s="17">
        <v>7.0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1"/>
      <c r="C15" s="178">
        <v>3.0</v>
      </c>
      <c r="D15" s="179" t="str">
        <f>'[1]A-SF-M-S WQMA'!$B$15</f>
        <v>#REF!</v>
      </c>
      <c r="E15" s="147">
        <v>14.0</v>
      </c>
      <c r="F15" s="180" t="s">
        <v>107</v>
      </c>
      <c r="G15" s="147">
        <v>17.0</v>
      </c>
      <c r="H15" s="24" t="s">
        <v>26</v>
      </c>
      <c r="I15" s="24" t="s">
        <v>26</v>
      </c>
      <c r="J15" s="24" t="s">
        <v>26</v>
      </c>
      <c r="K15" s="147">
        <v>31.0</v>
      </c>
      <c r="L15" s="29">
        <v>22.0</v>
      </c>
      <c r="M15" s="147">
        <v>16.0</v>
      </c>
      <c r="N15" s="147">
        <v>17.0</v>
      </c>
      <c r="O15" s="147">
        <v>6.0</v>
      </c>
      <c r="P15" s="147">
        <v>15.0</v>
      </c>
      <c r="Q15" s="30">
        <f>AVERAGE(E15,2,G15,H15,I15,J15,K15,L15,M15,N15,O15,P15)</f>
        <v>15.55555556</v>
      </c>
      <c r="R15" s="23">
        <v>7.0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21"/>
      <c r="C16" s="178">
        <v>4.0</v>
      </c>
      <c r="D16" s="179" t="str">
        <f>'[1]A-SF-M-S WQMA'!$B$16</f>
        <v>#REF!</v>
      </c>
      <c r="E16" s="147">
        <v>47.0</v>
      </c>
      <c r="F16" s="147">
        <v>10.0</v>
      </c>
      <c r="G16" s="147">
        <v>87.0</v>
      </c>
      <c r="H16" s="85" t="s">
        <v>26</v>
      </c>
      <c r="I16" s="85" t="s">
        <v>26</v>
      </c>
      <c r="J16" s="85" t="s">
        <v>26</v>
      </c>
      <c r="K16" s="147">
        <v>48.0</v>
      </c>
      <c r="L16" s="29">
        <v>87.0</v>
      </c>
      <c r="M16" s="147">
        <v>174.0</v>
      </c>
      <c r="N16" s="147">
        <v>158.0</v>
      </c>
      <c r="O16" s="147">
        <v>22.0</v>
      </c>
      <c r="P16" s="147">
        <v>26.0</v>
      </c>
      <c r="Q16" s="30">
        <f>AVERAGE(E16,F16,G16,H16,I16,J16,K16,L16,M16,N16,O16,P16)</f>
        <v>73.22222222</v>
      </c>
      <c r="R16" s="23">
        <v>7.0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178">
        <v>5.0</v>
      </c>
      <c r="D17" s="179" t="str">
        <f>'[1]A-SF-M-S WQMA'!$B$17</f>
        <v>#REF!</v>
      </c>
      <c r="E17" s="147">
        <v>16.0</v>
      </c>
      <c r="F17" s="180" t="s">
        <v>107</v>
      </c>
      <c r="G17" s="147">
        <v>27.0</v>
      </c>
      <c r="H17" s="24" t="s">
        <v>26</v>
      </c>
      <c r="I17" s="24" t="s">
        <v>26</v>
      </c>
      <c r="J17" s="24" t="s">
        <v>26</v>
      </c>
      <c r="K17" s="147">
        <v>55.0</v>
      </c>
      <c r="L17" s="29">
        <v>18.0</v>
      </c>
      <c r="M17" s="147">
        <v>21.0</v>
      </c>
      <c r="N17" s="147">
        <v>24.0</v>
      </c>
      <c r="O17" s="147">
        <v>12.0</v>
      </c>
      <c r="P17" s="147">
        <v>18.0</v>
      </c>
      <c r="Q17" s="30">
        <f>AVERAGE(E17,2,G17,H17,I17,J17,K17,L17,M17,N17,O17,P17)</f>
        <v>21.44444444</v>
      </c>
      <c r="R17" s="23">
        <v>7.0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1"/>
      <c r="C18" s="178">
        <v>6.0</v>
      </c>
      <c r="D18" s="179" t="str">
        <f>'[1]A-SF-M-S WQMA'!$B$18</f>
        <v>#REF!</v>
      </c>
      <c r="E18" s="147">
        <v>14.0</v>
      </c>
      <c r="F18" s="147">
        <v>39.0</v>
      </c>
      <c r="G18" s="147">
        <v>44.0</v>
      </c>
      <c r="H18" s="85" t="s">
        <v>26</v>
      </c>
      <c r="I18" s="85" t="s">
        <v>26</v>
      </c>
      <c r="J18" s="85" t="s">
        <v>26</v>
      </c>
      <c r="K18" s="147">
        <v>65.0</v>
      </c>
      <c r="L18" s="29">
        <v>76.0</v>
      </c>
      <c r="M18" s="147">
        <v>144.0</v>
      </c>
      <c r="N18" s="147">
        <v>158.0</v>
      </c>
      <c r="O18" s="147">
        <v>9.0</v>
      </c>
      <c r="P18" s="147">
        <v>22.0</v>
      </c>
      <c r="Q18" s="30">
        <f t="shared" ref="Q18:Q48" si="2">AVERAGE(E18,F18,G18,H18,I18,J18,K18,L18,M18,N18,O18,P18)</f>
        <v>63.44444444</v>
      </c>
      <c r="R18" s="23">
        <v>7.0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21"/>
      <c r="C19" s="22">
        <v>7.0</v>
      </c>
      <c r="D19" s="175" t="str">
        <f>'[1]A-SF-M-S WQMA'!$B$19</f>
        <v>#REF!</v>
      </c>
      <c r="E19" s="85">
        <v>30.0</v>
      </c>
      <c r="F19" s="147">
        <v>13.0</v>
      </c>
      <c r="G19" s="147">
        <v>23.0</v>
      </c>
      <c r="H19" s="24" t="s">
        <v>26</v>
      </c>
      <c r="I19" s="24" t="s">
        <v>26</v>
      </c>
      <c r="J19" s="24" t="s">
        <v>26</v>
      </c>
      <c r="K19" s="147">
        <v>36.0</v>
      </c>
      <c r="L19" s="29">
        <v>28.0</v>
      </c>
      <c r="M19" s="147">
        <v>20.0</v>
      </c>
      <c r="N19" s="147">
        <v>11.0</v>
      </c>
      <c r="O19" s="147">
        <v>35.0</v>
      </c>
      <c r="P19" s="147">
        <v>38.0</v>
      </c>
      <c r="Q19" s="30">
        <f t="shared" si="2"/>
        <v>26</v>
      </c>
      <c r="R19" s="23">
        <v>7.0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6"/>
      <c r="C20" s="22">
        <v>8.0</v>
      </c>
      <c r="D20" s="175" t="str">
        <f>'[1]A-SF-M-S WQMA'!$B$20</f>
        <v>#REF!</v>
      </c>
      <c r="E20" s="85">
        <v>31.0</v>
      </c>
      <c r="F20" s="147">
        <v>15.0</v>
      </c>
      <c r="G20" s="147">
        <v>22.0</v>
      </c>
      <c r="H20" s="85" t="s">
        <v>26</v>
      </c>
      <c r="I20" s="85" t="s">
        <v>26</v>
      </c>
      <c r="J20" s="85" t="s">
        <v>26</v>
      </c>
      <c r="K20" s="147">
        <v>38.0</v>
      </c>
      <c r="L20" s="29">
        <v>19.0</v>
      </c>
      <c r="M20" s="147">
        <v>34.0</v>
      </c>
      <c r="N20" s="147">
        <v>11.0</v>
      </c>
      <c r="O20" s="147">
        <v>11.0</v>
      </c>
      <c r="P20" s="147">
        <v>13.0</v>
      </c>
      <c r="Q20" s="30">
        <f t="shared" si="2"/>
        <v>21.55555556</v>
      </c>
      <c r="R20" s="23">
        <v>7.0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15" t="s">
        <v>32</v>
      </c>
      <c r="C21" s="16">
        <v>1.0</v>
      </c>
      <c r="D21" s="160" t="str">
        <f>'[1]A-SF-M-S WQMA'!$B$14</f>
        <v>#REF!</v>
      </c>
      <c r="E21" s="120">
        <v>34.0</v>
      </c>
      <c r="F21" s="120">
        <v>70.0</v>
      </c>
      <c r="G21" s="120">
        <v>90.0</v>
      </c>
      <c r="H21" s="120" t="s">
        <v>26</v>
      </c>
      <c r="I21" s="120" t="s">
        <v>26</v>
      </c>
      <c r="J21" s="120" t="s">
        <v>26</v>
      </c>
      <c r="K21" s="120">
        <v>17.0</v>
      </c>
      <c r="L21" s="27">
        <v>27.0</v>
      </c>
      <c r="M21" s="31">
        <v>32.0</v>
      </c>
      <c r="N21" s="120">
        <v>141.0</v>
      </c>
      <c r="O21" s="120">
        <v>134.0</v>
      </c>
      <c r="P21" s="120">
        <v>68.0</v>
      </c>
      <c r="Q21" s="28">
        <f t="shared" si="2"/>
        <v>68.11111111</v>
      </c>
      <c r="R21" s="17">
        <v>80.0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21"/>
      <c r="C22" s="178">
        <v>3.0</v>
      </c>
      <c r="D22" s="179" t="str">
        <f>'[1]A-SF-M-S WQMA'!$B$15</f>
        <v>#REF!</v>
      </c>
      <c r="E22" s="147">
        <v>61.0</v>
      </c>
      <c r="F22" s="147">
        <v>44.0</v>
      </c>
      <c r="G22" s="147">
        <v>44.0</v>
      </c>
      <c r="H22" s="24" t="s">
        <v>26</v>
      </c>
      <c r="I22" s="24" t="s">
        <v>26</v>
      </c>
      <c r="J22" s="24" t="s">
        <v>26</v>
      </c>
      <c r="K22" s="147">
        <v>110.0</v>
      </c>
      <c r="L22" s="29">
        <v>107.0</v>
      </c>
      <c r="M22" s="38">
        <v>46.0</v>
      </c>
      <c r="N22" s="147">
        <v>152.0</v>
      </c>
      <c r="O22" s="147">
        <v>142.0</v>
      </c>
      <c r="P22" s="147">
        <v>88.0</v>
      </c>
      <c r="Q22" s="30">
        <f t="shared" si="2"/>
        <v>88.22222222</v>
      </c>
      <c r="R22" s="23">
        <v>80.0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178">
        <v>4.0</v>
      </c>
      <c r="D23" s="179" t="str">
        <f>'[1]A-SF-M-S WQMA'!$B$16</f>
        <v>#REF!</v>
      </c>
      <c r="E23" s="147">
        <v>28.0</v>
      </c>
      <c r="F23" s="147">
        <v>12.0</v>
      </c>
      <c r="G23" s="147">
        <v>18.0</v>
      </c>
      <c r="H23" s="85" t="s">
        <v>26</v>
      </c>
      <c r="I23" s="85" t="s">
        <v>26</v>
      </c>
      <c r="J23" s="85" t="s">
        <v>26</v>
      </c>
      <c r="K23" s="147">
        <v>57.0</v>
      </c>
      <c r="L23" s="29">
        <v>7.0</v>
      </c>
      <c r="M23" s="147">
        <v>4.0</v>
      </c>
      <c r="N23" s="147">
        <v>2.0</v>
      </c>
      <c r="O23" s="147">
        <v>8.0</v>
      </c>
      <c r="P23" s="147">
        <v>8.0</v>
      </c>
      <c r="Q23" s="30">
        <f t="shared" si="2"/>
        <v>16</v>
      </c>
      <c r="R23" s="23">
        <v>80.0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1"/>
      <c r="C24" s="178">
        <v>5.0</v>
      </c>
      <c r="D24" s="179" t="str">
        <f>'[1]A-SF-M-S WQMA'!$B$17</f>
        <v>#REF!</v>
      </c>
      <c r="E24" s="147">
        <v>33.0</v>
      </c>
      <c r="F24" s="147">
        <v>71.0</v>
      </c>
      <c r="G24" s="147">
        <v>36.0</v>
      </c>
      <c r="H24" s="24" t="s">
        <v>26</v>
      </c>
      <c r="I24" s="24" t="s">
        <v>26</v>
      </c>
      <c r="J24" s="24" t="s">
        <v>26</v>
      </c>
      <c r="K24" s="147">
        <v>7.0</v>
      </c>
      <c r="L24" s="29">
        <v>28.0</v>
      </c>
      <c r="M24" s="147">
        <v>25.0</v>
      </c>
      <c r="N24" s="147">
        <v>24.0</v>
      </c>
      <c r="O24" s="147">
        <v>21.0</v>
      </c>
      <c r="P24" s="147">
        <v>12.0</v>
      </c>
      <c r="Q24" s="30">
        <f t="shared" si="2"/>
        <v>28.55555556</v>
      </c>
      <c r="R24" s="23">
        <v>80.0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21"/>
      <c r="C25" s="178">
        <v>6.0</v>
      </c>
      <c r="D25" s="179" t="str">
        <f>'[1]A-SF-M-S WQMA'!$B$18</f>
        <v>#REF!</v>
      </c>
      <c r="E25" s="147">
        <v>35.0</v>
      </c>
      <c r="F25" s="147">
        <v>61.0</v>
      </c>
      <c r="G25" s="147">
        <v>52.0</v>
      </c>
      <c r="H25" s="85" t="s">
        <v>26</v>
      </c>
      <c r="I25" s="85" t="s">
        <v>26</v>
      </c>
      <c r="J25" s="85" t="s">
        <v>26</v>
      </c>
      <c r="K25" s="147">
        <v>12.0</v>
      </c>
      <c r="L25" s="29">
        <v>46.0</v>
      </c>
      <c r="M25" s="147">
        <v>16.0</v>
      </c>
      <c r="N25" s="147">
        <v>10.0</v>
      </c>
      <c r="O25" s="147">
        <v>14.0</v>
      </c>
      <c r="P25" s="147">
        <v>17.0</v>
      </c>
      <c r="Q25" s="30">
        <f t="shared" si="2"/>
        <v>29.22222222</v>
      </c>
      <c r="R25" s="23">
        <v>80.0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7.0</v>
      </c>
      <c r="D26" s="175" t="str">
        <f>'[1]A-SF-M-S WQMA'!$B$19</f>
        <v>#REF!</v>
      </c>
      <c r="E26" s="85">
        <v>93.0</v>
      </c>
      <c r="F26" s="147">
        <v>91.0</v>
      </c>
      <c r="G26" s="147">
        <v>171.0</v>
      </c>
      <c r="H26" s="24" t="s">
        <v>26</v>
      </c>
      <c r="I26" s="24" t="s">
        <v>26</v>
      </c>
      <c r="J26" s="24" t="s">
        <v>26</v>
      </c>
      <c r="K26" s="147">
        <v>85.0</v>
      </c>
      <c r="L26" s="29">
        <v>66.0</v>
      </c>
      <c r="M26" s="147">
        <v>38.0</v>
      </c>
      <c r="N26" s="147">
        <v>29.0</v>
      </c>
      <c r="O26" s="147">
        <v>36.0</v>
      </c>
      <c r="P26" s="147">
        <v>101.0</v>
      </c>
      <c r="Q26" s="30">
        <f t="shared" si="2"/>
        <v>78.88888889</v>
      </c>
      <c r="R26" s="23">
        <v>80.0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8.0</v>
      </c>
      <c r="D27" s="175" t="str">
        <f>'[1]A-SF-M-S WQMA'!$B$20</f>
        <v>#REF!</v>
      </c>
      <c r="E27" s="85">
        <v>95.0</v>
      </c>
      <c r="F27" s="147">
        <v>106.0</v>
      </c>
      <c r="G27" s="147">
        <v>223.0</v>
      </c>
      <c r="H27" s="85" t="s">
        <v>26</v>
      </c>
      <c r="I27" s="85" t="s">
        <v>26</v>
      </c>
      <c r="J27" s="85" t="s">
        <v>26</v>
      </c>
      <c r="K27" s="147">
        <v>64.0</v>
      </c>
      <c r="L27" s="29">
        <v>21.0</v>
      </c>
      <c r="M27" s="147">
        <v>52.0</v>
      </c>
      <c r="N27" s="147">
        <v>30.0</v>
      </c>
      <c r="O27" s="147">
        <v>56.0</v>
      </c>
      <c r="P27" s="147">
        <v>138.0</v>
      </c>
      <c r="Q27" s="30">
        <f t="shared" si="2"/>
        <v>87.22222222</v>
      </c>
      <c r="R27" s="23">
        <v>80.0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33</v>
      </c>
      <c r="C28" s="16">
        <v>1.0</v>
      </c>
      <c r="D28" s="160" t="str">
        <f>'[1]A-SF-M-S WQMA'!$B$14</f>
        <v>#REF!</v>
      </c>
      <c r="E28" s="120">
        <v>7.88</v>
      </c>
      <c r="F28" s="120">
        <v>7.57</v>
      </c>
      <c r="G28" s="18">
        <v>7.64</v>
      </c>
      <c r="H28" s="120" t="s">
        <v>26</v>
      </c>
      <c r="I28" s="120" t="s">
        <v>26</v>
      </c>
      <c r="J28" s="120" t="s">
        <v>26</v>
      </c>
      <c r="K28" s="18">
        <v>7.64</v>
      </c>
      <c r="L28" s="120">
        <v>7.63</v>
      </c>
      <c r="M28" s="120">
        <v>7.79</v>
      </c>
      <c r="N28" s="120">
        <v>8.42</v>
      </c>
      <c r="O28" s="120">
        <v>7.92</v>
      </c>
      <c r="P28" s="120">
        <v>7.54</v>
      </c>
      <c r="Q28" s="19">
        <f t="shared" si="2"/>
        <v>7.781111111</v>
      </c>
      <c r="R28" s="59" t="s">
        <v>34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178">
        <v>3.0</v>
      </c>
      <c r="D29" s="179" t="str">
        <f>'[1]A-SF-M-S WQMA'!$B$15</f>
        <v>#REF!</v>
      </c>
      <c r="E29" s="147">
        <v>7.94</v>
      </c>
      <c r="F29" s="147">
        <v>7.18</v>
      </c>
      <c r="G29" s="146">
        <v>7.39</v>
      </c>
      <c r="H29" s="24" t="s">
        <v>26</v>
      </c>
      <c r="I29" s="24" t="s">
        <v>26</v>
      </c>
      <c r="J29" s="24" t="s">
        <v>26</v>
      </c>
      <c r="K29" s="146">
        <v>7.62</v>
      </c>
      <c r="L29" s="24">
        <v>7.75</v>
      </c>
      <c r="M29" s="147">
        <v>7.46</v>
      </c>
      <c r="N29" s="147">
        <v>8.71</v>
      </c>
      <c r="O29" s="147">
        <v>8.01</v>
      </c>
      <c r="P29" s="147">
        <v>7.53</v>
      </c>
      <c r="Q29" s="25">
        <f t="shared" si="2"/>
        <v>7.732222222</v>
      </c>
      <c r="R29" s="60" t="s">
        <v>34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1"/>
      <c r="C30" s="178">
        <v>4.0</v>
      </c>
      <c r="D30" s="179" t="str">
        <f>'[1]A-SF-M-S WQMA'!$B$16</f>
        <v>#REF!</v>
      </c>
      <c r="E30" s="147">
        <v>8.49</v>
      </c>
      <c r="F30" s="147">
        <v>7.88</v>
      </c>
      <c r="G30" s="146">
        <v>7.4</v>
      </c>
      <c r="H30" s="85" t="s">
        <v>26</v>
      </c>
      <c r="I30" s="85" t="s">
        <v>26</v>
      </c>
      <c r="J30" s="85" t="s">
        <v>26</v>
      </c>
      <c r="K30" s="146">
        <v>7.51</v>
      </c>
      <c r="L30" s="85">
        <v>7.57</v>
      </c>
      <c r="M30" s="147">
        <v>7.64</v>
      </c>
      <c r="N30" s="147">
        <v>8.75</v>
      </c>
      <c r="O30" s="147">
        <v>7.74</v>
      </c>
      <c r="P30" s="147">
        <v>7.69</v>
      </c>
      <c r="Q30" s="25">
        <f t="shared" si="2"/>
        <v>7.852222222</v>
      </c>
      <c r="R30" s="60" t="s">
        <v>34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21"/>
      <c r="C31" s="178">
        <v>5.0</v>
      </c>
      <c r="D31" s="179" t="str">
        <f>'[1]A-SF-M-S WQMA'!$B$17</f>
        <v>#REF!</v>
      </c>
      <c r="E31" s="147">
        <v>8.21</v>
      </c>
      <c r="F31" s="147">
        <v>8.03</v>
      </c>
      <c r="G31" s="146">
        <v>7.17</v>
      </c>
      <c r="H31" s="24" t="s">
        <v>26</v>
      </c>
      <c r="I31" s="24" t="s">
        <v>26</v>
      </c>
      <c r="J31" s="24" t="s">
        <v>26</v>
      </c>
      <c r="K31" s="146">
        <v>7.57</v>
      </c>
      <c r="L31" s="24">
        <v>7.63</v>
      </c>
      <c r="M31" s="147">
        <v>7.43</v>
      </c>
      <c r="N31" s="146">
        <v>8.71</v>
      </c>
      <c r="O31" s="146">
        <v>7.8</v>
      </c>
      <c r="P31" s="147">
        <v>7.95</v>
      </c>
      <c r="Q31" s="25">
        <f t="shared" si="2"/>
        <v>7.833333333</v>
      </c>
      <c r="R31" s="60" t="s">
        <v>34</v>
      </c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178">
        <v>6.0</v>
      </c>
      <c r="D32" s="179" t="str">
        <f>'[1]A-SF-M-S WQMA'!$B$18</f>
        <v>#REF!</v>
      </c>
      <c r="E32" s="147">
        <v>8.11</v>
      </c>
      <c r="F32" s="147">
        <v>8.16</v>
      </c>
      <c r="G32" s="146">
        <v>7.5</v>
      </c>
      <c r="H32" s="85" t="s">
        <v>26</v>
      </c>
      <c r="I32" s="85" t="s">
        <v>26</v>
      </c>
      <c r="J32" s="85" t="s">
        <v>26</v>
      </c>
      <c r="K32" s="146">
        <v>7.6</v>
      </c>
      <c r="L32" s="85">
        <v>7.66</v>
      </c>
      <c r="M32" s="147">
        <v>7.56</v>
      </c>
      <c r="N32" s="146">
        <v>8.97</v>
      </c>
      <c r="O32" s="146">
        <v>7.74</v>
      </c>
      <c r="P32" s="147">
        <v>8.08</v>
      </c>
      <c r="Q32" s="25">
        <f t="shared" si="2"/>
        <v>7.931111111</v>
      </c>
      <c r="R32" s="60" t="s">
        <v>34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1"/>
      <c r="C33" s="22">
        <v>7.0</v>
      </c>
      <c r="D33" s="175" t="str">
        <f>'[1]A-SF-M-S WQMA'!$B$19</f>
        <v>#REF!</v>
      </c>
      <c r="E33" s="85">
        <v>8.81</v>
      </c>
      <c r="F33" s="147">
        <v>8.11</v>
      </c>
      <c r="G33" s="146">
        <v>7.3</v>
      </c>
      <c r="H33" s="24" t="s">
        <v>26</v>
      </c>
      <c r="I33" s="24" t="s">
        <v>26</v>
      </c>
      <c r="J33" s="24" t="s">
        <v>26</v>
      </c>
      <c r="K33" s="146">
        <v>7.69</v>
      </c>
      <c r="L33" s="24">
        <v>7.84</v>
      </c>
      <c r="M33" s="147">
        <v>7.87</v>
      </c>
      <c r="N33" s="147">
        <v>8.67</v>
      </c>
      <c r="O33" s="181">
        <v>7.5</v>
      </c>
      <c r="P33" s="147">
        <v>7.66</v>
      </c>
      <c r="Q33" s="25">
        <f t="shared" si="2"/>
        <v>7.938888889</v>
      </c>
      <c r="R33" s="60" t="s">
        <v>34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"/>
      <c r="B34" s="26"/>
      <c r="C34" s="22">
        <v>8.0</v>
      </c>
      <c r="D34" s="175" t="str">
        <f>'[1]A-SF-M-S WQMA'!$B$20</f>
        <v>#REF!</v>
      </c>
      <c r="E34" s="24">
        <v>8.2</v>
      </c>
      <c r="F34" s="147">
        <v>8.08</v>
      </c>
      <c r="G34" s="146">
        <v>7.25</v>
      </c>
      <c r="H34" s="85" t="s">
        <v>26</v>
      </c>
      <c r="I34" s="85" t="s">
        <v>26</v>
      </c>
      <c r="J34" s="85" t="s">
        <v>26</v>
      </c>
      <c r="K34" s="146">
        <v>7.69</v>
      </c>
      <c r="L34" s="85">
        <v>8.25</v>
      </c>
      <c r="M34" s="147">
        <v>8.05</v>
      </c>
      <c r="N34" s="147">
        <v>8.87</v>
      </c>
      <c r="O34" s="147">
        <v>7.64</v>
      </c>
      <c r="P34" s="147">
        <v>7.64</v>
      </c>
      <c r="Q34" s="25">
        <f t="shared" si="2"/>
        <v>7.963333333</v>
      </c>
      <c r="R34" s="60" t="s">
        <v>34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15" t="s">
        <v>152</v>
      </c>
      <c r="C35" s="16">
        <v>1.0</v>
      </c>
      <c r="D35" s="160" t="str">
        <f>'[1]A-SF-M-S WQMA'!$B$14</f>
        <v>#REF!</v>
      </c>
      <c r="E35" s="18">
        <v>27.6</v>
      </c>
      <c r="F35" s="18">
        <v>30.8</v>
      </c>
      <c r="G35" s="18">
        <v>27.2</v>
      </c>
      <c r="H35" s="120" t="s">
        <v>26</v>
      </c>
      <c r="I35" s="120" t="s">
        <v>26</v>
      </c>
      <c r="J35" s="120" t="s">
        <v>26</v>
      </c>
      <c r="K35" s="18">
        <v>31.83</v>
      </c>
      <c r="L35" s="18">
        <v>28.35</v>
      </c>
      <c r="M35" s="120">
        <v>31.28</v>
      </c>
      <c r="N35" s="18">
        <v>27.8</v>
      </c>
      <c r="O35" s="18">
        <v>28.6</v>
      </c>
      <c r="P35" s="18">
        <v>29.17</v>
      </c>
      <c r="Q35" s="19">
        <f t="shared" si="2"/>
        <v>29.18111111</v>
      </c>
      <c r="R35" s="59" t="s">
        <v>36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1"/>
      <c r="C36" s="178">
        <v>3.0</v>
      </c>
      <c r="D36" s="179" t="str">
        <f>'[1]A-SF-M-S WQMA'!$B$15</f>
        <v>#REF!</v>
      </c>
      <c r="E36" s="146">
        <v>28.4</v>
      </c>
      <c r="F36" s="146">
        <v>31.1</v>
      </c>
      <c r="G36" s="146">
        <v>27.4</v>
      </c>
      <c r="H36" s="24" t="s">
        <v>26</v>
      </c>
      <c r="I36" s="24" t="s">
        <v>26</v>
      </c>
      <c r="J36" s="24" t="s">
        <v>26</v>
      </c>
      <c r="K36" s="146">
        <v>31.83</v>
      </c>
      <c r="L36" s="24">
        <v>30.5</v>
      </c>
      <c r="M36" s="147">
        <v>31.93</v>
      </c>
      <c r="N36" s="182">
        <v>28.3</v>
      </c>
      <c r="O36" s="146">
        <v>28.5</v>
      </c>
      <c r="P36" s="146">
        <v>29.1</v>
      </c>
      <c r="Q36" s="25">
        <f t="shared" si="2"/>
        <v>29.67333333</v>
      </c>
      <c r="R36" s="60" t="s">
        <v>36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0"/>
      <c r="B37" s="21"/>
      <c r="C37" s="178">
        <v>4.0</v>
      </c>
      <c r="D37" s="179" t="str">
        <f>'[1]A-SF-M-S WQMA'!$B$16</f>
        <v>#REF!</v>
      </c>
      <c r="E37" s="146">
        <v>28.0</v>
      </c>
      <c r="F37" s="147">
        <v>30.23</v>
      </c>
      <c r="G37" s="146">
        <v>28.25</v>
      </c>
      <c r="H37" s="85" t="s">
        <v>26</v>
      </c>
      <c r="I37" s="85" t="s">
        <v>26</v>
      </c>
      <c r="J37" s="85" t="s">
        <v>26</v>
      </c>
      <c r="K37" s="146">
        <v>28.7</v>
      </c>
      <c r="L37" s="24">
        <v>28.2</v>
      </c>
      <c r="M37" s="147">
        <v>28.47</v>
      </c>
      <c r="N37" s="146">
        <v>26.08</v>
      </c>
      <c r="O37" s="146">
        <v>27.6</v>
      </c>
      <c r="P37" s="146">
        <v>27.55</v>
      </c>
      <c r="Q37" s="25">
        <f t="shared" si="2"/>
        <v>28.12</v>
      </c>
      <c r="R37" s="60" t="s">
        <v>36</v>
      </c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0"/>
      <c r="B38" s="21"/>
      <c r="C38" s="178">
        <v>5.0</v>
      </c>
      <c r="D38" s="179" t="str">
        <f>'[1]A-SF-M-S WQMA'!$B$17</f>
        <v>#REF!</v>
      </c>
      <c r="E38" s="146">
        <v>29.0</v>
      </c>
      <c r="F38" s="147">
        <v>30.16</v>
      </c>
      <c r="G38" s="146">
        <v>26.4</v>
      </c>
      <c r="H38" s="24" t="s">
        <v>26</v>
      </c>
      <c r="I38" s="24" t="s">
        <v>26</v>
      </c>
      <c r="J38" s="24" t="s">
        <v>26</v>
      </c>
      <c r="K38" s="146">
        <v>31.7</v>
      </c>
      <c r="L38" s="24">
        <v>28.5</v>
      </c>
      <c r="M38" s="147">
        <v>30.33</v>
      </c>
      <c r="N38" s="146">
        <v>26.88</v>
      </c>
      <c r="O38" s="146">
        <v>28.3</v>
      </c>
      <c r="P38" s="146">
        <v>28.1</v>
      </c>
      <c r="Q38" s="25">
        <f t="shared" si="2"/>
        <v>28.81888889</v>
      </c>
      <c r="R38" s="60" t="s">
        <v>36</v>
      </c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"/>
      <c r="B39" s="21"/>
      <c r="C39" s="178">
        <v>6.0</v>
      </c>
      <c r="D39" s="179" t="str">
        <f>'[1]A-SF-M-S WQMA'!$B$18</f>
        <v>#REF!</v>
      </c>
      <c r="E39" s="146">
        <v>29.14</v>
      </c>
      <c r="F39" s="147">
        <v>29.23</v>
      </c>
      <c r="G39" s="146">
        <v>28.5</v>
      </c>
      <c r="H39" s="85" t="s">
        <v>26</v>
      </c>
      <c r="I39" s="85" t="s">
        <v>26</v>
      </c>
      <c r="J39" s="85" t="s">
        <v>26</v>
      </c>
      <c r="K39" s="146">
        <v>31.3</v>
      </c>
      <c r="L39" s="24">
        <v>29.98</v>
      </c>
      <c r="M39" s="147">
        <v>30.72</v>
      </c>
      <c r="N39" s="147">
        <v>27.1</v>
      </c>
      <c r="O39" s="146">
        <v>28.7</v>
      </c>
      <c r="P39" s="146">
        <v>28.05</v>
      </c>
      <c r="Q39" s="25">
        <f t="shared" si="2"/>
        <v>29.19111111</v>
      </c>
      <c r="R39" s="60" t="s">
        <v>36</v>
      </c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0"/>
      <c r="B40" s="21"/>
      <c r="C40" s="22">
        <v>7.0</v>
      </c>
      <c r="D40" s="175" t="str">
        <f>'[1]A-SF-M-S WQMA'!$B$19</f>
        <v>#REF!</v>
      </c>
      <c r="E40" s="24">
        <v>29.9</v>
      </c>
      <c r="F40" s="147">
        <v>29.16</v>
      </c>
      <c r="G40" s="146">
        <v>28.4</v>
      </c>
      <c r="H40" s="24" t="s">
        <v>26</v>
      </c>
      <c r="I40" s="24" t="s">
        <v>26</v>
      </c>
      <c r="J40" s="24" t="s">
        <v>26</v>
      </c>
      <c r="K40" s="146">
        <v>30.7</v>
      </c>
      <c r="L40" s="24">
        <v>31.3</v>
      </c>
      <c r="M40" s="146">
        <v>31.5</v>
      </c>
      <c r="N40" s="146">
        <v>27.5</v>
      </c>
      <c r="O40" s="146">
        <v>29.3</v>
      </c>
      <c r="P40" s="146">
        <v>28.3</v>
      </c>
      <c r="Q40" s="25">
        <f t="shared" si="2"/>
        <v>29.56222222</v>
      </c>
      <c r="R40" s="60" t="s">
        <v>36</v>
      </c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0"/>
      <c r="B41" s="26"/>
      <c r="C41" s="22">
        <v>8.0</v>
      </c>
      <c r="D41" s="175" t="str">
        <f>'[1]A-SF-M-S WQMA'!$B$20</f>
        <v>#REF!</v>
      </c>
      <c r="E41" s="24">
        <v>30.1</v>
      </c>
      <c r="F41" s="147">
        <v>29.38</v>
      </c>
      <c r="G41" s="146">
        <v>28.3</v>
      </c>
      <c r="H41" s="85" t="s">
        <v>26</v>
      </c>
      <c r="I41" s="85" t="s">
        <v>26</v>
      </c>
      <c r="J41" s="85" t="s">
        <v>26</v>
      </c>
      <c r="K41" s="146">
        <v>30.88</v>
      </c>
      <c r="L41" s="24">
        <v>30.68</v>
      </c>
      <c r="M41" s="147">
        <v>30.58</v>
      </c>
      <c r="N41" s="147">
        <v>27.35</v>
      </c>
      <c r="O41" s="146">
        <v>29.2</v>
      </c>
      <c r="P41" s="146">
        <v>28.35</v>
      </c>
      <c r="Q41" s="25">
        <f t="shared" si="2"/>
        <v>29.42444444</v>
      </c>
      <c r="R41" s="60" t="s">
        <v>36</v>
      </c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0"/>
      <c r="B42" s="15" t="s">
        <v>37</v>
      </c>
      <c r="C42" s="16">
        <v>1.0</v>
      </c>
      <c r="D42" s="160" t="str">
        <f>'[1]A-SF-M-S WQMA'!$B$14</f>
        <v>#REF!</v>
      </c>
      <c r="E42" s="120">
        <v>25.0</v>
      </c>
      <c r="F42" s="120">
        <v>25.0</v>
      </c>
      <c r="G42" s="120">
        <v>20.0</v>
      </c>
      <c r="H42" s="120" t="s">
        <v>26</v>
      </c>
      <c r="I42" s="120" t="s">
        <v>26</v>
      </c>
      <c r="J42" s="120" t="s">
        <v>26</v>
      </c>
      <c r="K42" s="120">
        <v>15.0</v>
      </c>
      <c r="L42" s="27">
        <v>10.0</v>
      </c>
      <c r="M42" s="120">
        <v>15.0</v>
      </c>
      <c r="N42" s="120">
        <v>15.0</v>
      </c>
      <c r="O42" s="120">
        <v>20.0</v>
      </c>
      <c r="P42" s="120">
        <v>15.0</v>
      </c>
      <c r="Q42" s="28">
        <f t="shared" si="2"/>
        <v>17.77777778</v>
      </c>
      <c r="R42" s="17">
        <v>75.0</v>
      </c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0"/>
      <c r="B43" s="21"/>
      <c r="C43" s="178">
        <v>3.0</v>
      </c>
      <c r="D43" s="179" t="str">
        <f>'[1]A-SF-M-S WQMA'!$B$15</f>
        <v>#REF!</v>
      </c>
      <c r="E43" s="147">
        <v>10.0</v>
      </c>
      <c r="F43" s="147">
        <v>10.0</v>
      </c>
      <c r="G43" s="147">
        <v>10.0</v>
      </c>
      <c r="H43" s="24" t="s">
        <v>26</v>
      </c>
      <c r="I43" s="24" t="s">
        <v>26</v>
      </c>
      <c r="J43" s="24" t="s">
        <v>26</v>
      </c>
      <c r="K43" s="147">
        <v>15.0</v>
      </c>
      <c r="L43" s="29">
        <v>38.0</v>
      </c>
      <c r="M43" s="147">
        <v>15.0</v>
      </c>
      <c r="N43" s="147">
        <v>15.0</v>
      </c>
      <c r="O43" s="147">
        <v>20.0</v>
      </c>
      <c r="P43" s="147">
        <v>15.0</v>
      </c>
      <c r="Q43" s="30">
        <f t="shared" si="2"/>
        <v>16.44444444</v>
      </c>
      <c r="R43" s="23">
        <v>75.0</v>
      </c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0"/>
      <c r="B44" s="21"/>
      <c r="C44" s="178">
        <v>4.0</v>
      </c>
      <c r="D44" s="179" t="str">
        <f>'[1]A-SF-M-S WQMA'!$B$16</f>
        <v>#REF!</v>
      </c>
      <c r="E44" s="147">
        <v>30.0</v>
      </c>
      <c r="F44" s="147">
        <v>30.0</v>
      </c>
      <c r="G44" s="147">
        <v>38.0</v>
      </c>
      <c r="H44" s="85" t="s">
        <v>26</v>
      </c>
      <c r="I44" s="85" t="s">
        <v>26</v>
      </c>
      <c r="J44" s="85" t="s">
        <v>26</v>
      </c>
      <c r="K44" s="147">
        <v>50.0</v>
      </c>
      <c r="L44" s="29">
        <v>40.0</v>
      </c>
      <c r="M44" s="147">
        <v>75.0</v>
      </c>
      <c r="N44" s="147">
        <v>70.0</v>
      </c>
      <c r="O44" s="147">
        <v>60.0</v>
      </c>
      <c r="P44" s="147">
        <v>50.0</v>
      </c>
      <c r="Q44" s="30">
        <f t="shared" si="2"/>
        <v>49.22222222</v>
      </c>
      <c r="R44" s="23">
        <v>75.0</v>
      </c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0"/>
      <c r="B45" s="21"/>
      <c r="C45" s="178">
        <v>5.0</v>
      </c>
      <c r="D45" s="179" t="str">
        <f>'[1]A-SF-M-S WQMA'!$B$17</f>
        <v>#REF!</v>
      </c>
      <c r="E45" s="147">
        <v>30.0</v>
      </c>
      <c r="F45" s="147">
        <v>50.0</v>
      </c>
      <c r="G45" s="147">
        <v>38.0</v>
      </c>
      <c r="H45" s="24" t="s">
        <v>26</v>
      </c>
      <c r="I45" s="24" t="s">
        <v>26</v>
      </c>
      <c r="J45" s="24" t="s">
        <v>26</v>
      </c>
      <c r="K45" s="147">
        <v>75.0</v>
      </c>
      <c r="L45" s="29">
        <v>60.0</v>
      </c>
      <c r="M45" s="147">
        <v>60.0</v>
      </c>
      <c r="N45" s="147">
        <v>70.0</v>
      </c>
      <c r="O45" s="147">
        <v>60.0</v>
      </c>
      <c r="P45" s="147">
        <v>50.0</v>
      </c>
      <c r="Q45" s="30">
        <f t="shared" si="2"/>
        <v>54.77777778</v>
      </c>
      <c r="R45" s="23">
        <v>75.0</v>
      </c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0"/>
      <c r="B46" s="21"/>
      <c r="C46" s="178">
        <v>6.0</v>
      </c>
      <c r="D46" s="179" t="str">
        <f>'[1]A-SF-M-S WQMA'!$B$18</f>
        <v>#REF!</v>
      </c>
      <c r="E46" s="147">
        <v>30.0</v>
      </c>
      <c r="F46" s="147">
        <v>65.0</v>
      </c>
      <c r="G46" s="147">
        <v>38.0</v>
      </c>
      <c r="H46" s="85" t="s">
        <v>26</v>
      </c>
      <c r="I46" s="85" t="s">
        <v>26</v>
      </c>
      <c r="J46" s="85" t="s">
        <v>26</v>
      </c>
      <c r="K46" s="147">
        <v>75.0</v>
      </c>
      <c r="L46" s="29">
        <v>60.0</v>
      </c>
      <c r="M46" s="147">
        <v>60.0</v>
      </c>
      <c r="N46" s="147">
        <v>70.0</v>
      </c>
      <c r="O46" s="147">
        <v>70.0</v>
      </c>
      <c r="P46" s="147">
        <v>50.0</v>
      </c>
      <c r="Q46" s="30">
        <f t="shared" si="2"/>
        <v>57.55555556</v>
      </c>
      <c r="R46" s="23">
        <v>75.0</v>
      </c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20"/>
      <c r="B47" s="21"/>
      <c r="C47" s="22">
        <v>7.0</v>
      </c>
      <c r="D47" s="175" t="str">
        <f>'[1]A-SF-M-S WQMA'!$B$19</f>
        <v>#REF!</v>
      </c>
      <c r="E47" s="85">
        <v>40.0</v>
      </c>
      <c r="F47" s="147">
        <v>40.0</v>
      </c>
      <c r="G47" s="147">
        <v>25.0</v>
      </c>
      <c r="H47" s="24" t="s">
        <v>26</v>
      </c>
      <c r="I47" s="24" t="s">
        <v>26</v>
      </c>
      <c r="J47" s="24" t="s">
        <v>26</v>
      </c>
      <c r="K47" s="147">
        <v>50.0</v>
      </c>
      <c r="L47" s="29">
        <v>40.0</v>
      </c>
      <c r="M47" s="147">
        <v>50.0</v>
      </c>
      <c r="N47" s="147">
        <v>60.0</v>
      </c>
      <c r="O47" s="147">
        <v>40.0</v>
      </c>
      <c r="P47" s="147">
        <v>40.0</v>
      </c>
      <c r="Q47" s="30">
        <f t="shared" si="2"/>
        <v>42.77777778</v>
      </c>
      <c r="R47" s="23">
        <v>75.0</v>
      </c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20"/>
      <c r="B48" s="26"/>
      <c r="C48" s="22">
        <v>8.0</v>
      </c>
      <c r="D48" s="175" t="str">
        <f>'[1]A-SF-M-S WQMA'!$B$20</f>
        <v>#REF!</v>
      </c>
      <c r="E48" s="85">
        <v>40.0</v>
      </c>
      <c r="F48" s="147">
        <v>38.0</v>
      </c>
      <c r="G48" s="147">
        <v>50.0</v>
      </c>
      <c r="H48" s="85" t="s">
        <v>26</v>
      </c>
      <c r="I48" s="85" t="s">
        <v>26</v>
      </c>
      <c r="J48" s="85" t="s">
        <v>26</v>
      </c>
      <c r="K48" s="147">
        <v>40.0</v>
      </c>
      <c r="L48" s="29">
        <v>50.0</v>
      </c>
      <c r="M48" s="147">
        <v>40.0</v>
      </c>
      <c r="N48" s="147">
        <v>60.0</v>
      </c>
      <c r="O48" s="147">
        <v>40.0</v>
      </c>
      <c r="P48" s="147">
        <v>40.0</v>
      </c>
      <c r="Q48" s="30">
        <f t="shared" si="2"/>
        <v>44.22222222</v>
      </c>
      <c r="R48" s="23">
        <v>75.0</v>
      </c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20"/>
      <c r="B49" s="15" t="s">
        <v>38</v>
      </c>
      <c r="C49" s="16">
        <v>1.0</v>
      </c>
      <c r="D49" s="160" t="str">
        <f>'[1]A-SF-M-S WQMA'!$B$14</f>
        <v>#REF!</v>
      </c>
      <c r="E49" s="110">
        <v>4600000.0</v>
      </c>
      <c r="F49" s="31">
        <v>2400000.0</v>
      </c>
      <c r="G49" s="110">
        <v>540000.0</v>
      </c>
      <c r="H49" s="120" t="s">
        <v>26</v>
      </c>
      <c r="I49" s="120" t="s">
        <v>26</v>
      </c>
      <c r="J49" s="120" t="s">
        <v>26</v>
      </c>
      <c r="K49" s="183" t="s">
        <v>59</v>
      </c>
      <c r="L49" s="32">
        <v>700000.0</v>
      </c>
      <c r="M49" s="31">
        <v>226000.0</v>
      </c>
      <c r="N49" s="31">
        <v>1700000.0</v>
      </c>
      <c r="O49" s="31">
        <v>130000.0</v>
      </c>
      <c r="P49" s="31">
        <v>33000.0</v>
      </c>
      <c r="Q49" s="33">
        <f t="shared" ref="Q49:Q55" si="3">GEOMEAN(E49,F49,G49,H49,I49,J49,K49,L49,M49,N49,O49,P49)</f>
        <v>536641.7297</v>
      </c>
      <c r="R49" s="17">
        <v>200.0</v>
      </c>
      <c r="S49" s="121">
        <f>AVERAGE(Q49:Q55)</f>
        <v>304691.7236</v>
      </c>
      <c r="T49" s="72"/>
      <c r="U49" s="72"/>
      <c r="V49" s="72"/>
      <c r="W49" s="72"/>
      <c r="X49" s="72"/>
      <c r="Y49" s="72"/>
      <c r="Z49" s="72"/>
    </row>
    <row r="50" ht="15.75" customHeight="1">
      <c r="A50" s="20"/>
      <c r="B50" s="21"/>
      <c r="C50" s="178">
        <v>3.0</v>
      </c>
      <c r="D50" s="179" t="str">
        <f>'[1]A-SF-M-S WQMA'!$B$15</f>
        <v>#REF!</v>
      </c>
      <c r="E50" s="184">
        <v>130000.0</v>
      </c>
      <c r="F50" s="38">
        <v>24000.0</v>
      </c>
      <c r="G50" s="184">
        <v>2300.0</v>
      </c>
      <c r="H50" s="24" t="s">
        <v>26</v>
      </c>
      <c r="I50" s="24" t="s">
        <v>26</v>
      </c>
      <c r="J50" s="24" t="s">
        <v>26</v>
      </c>
      <c r="K50" s="180" t="s">
        <v>59</v>
      </c>
      <c r="L50" s="36">
        <v>130000.0</v>
      </c>
      <c r="M50" s="38">
        <v>70000.0</v>
      </c>
      <c r="N50" s="38">
        <v>46000.0</v>
      </c>
      <c r="O50" s="38">
        <v>33000.0</v>
      </c>
      <c r="P50" s="38">
        <v>23000.0</v>
      </c>
      <c r="Q50" s="37">
        <f t="shared" si="3"/>
        <v>35054.22975</v>
      </c>
      <c r="R50" s="23">
        <v>200.0</v>
      </c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20"/>
      <c r="B51" s="21"/>
      <c r="C51" s="178">
        <v>4.0</v>
      </c>
      <c r="D51" s="179" t="str">
        <f>'[1]A-SF-M-S WQMA'!$B$16</f>
        <v>#REF!</v>
      </c>
      <c r="E51" s="184">
        <v>230000.0</v>
      </c>
      <c r="F51" s="38">
        <v>330000.0</v>
      </c>
      <c r="G51" s="184">
        <v>2400000.0</v>
      </c>
      <c r="H51" s="85" t="s">
        <v>26</v>
      </c>
      <c r="I51" s="85" t="s">
        <v>26</v>
      </c>
      <c r="J51" s="85" t="s">
        <v>26</v>
      </c>
      <c r="K51" s="180" t="s">
        <v>59</v>
      </c>
      <c r="L51" s="36">
        <v>920000.0</v>
      </c>
      <c r="M51" s="38">
        <v>1700000.0</v>
      </c>
      <c r="N51" s="38">
        <v>540000.0</v>
      </c>
      <c r="O51" s="38">
        <v>1700000.0</v>
      </c>
      <c r="P51" s="38">
        <v>920000.0</v>
      </c>
      <c r="Q51" s="37">
        <f t="shared" si="3"/>
        <v>836883.5558</v>
      </c>
      <c r="R51" s="23">
        <v>200.0</v>
      </c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20"/>
      <c r="B52" s="21"/>
      <c r="C52" s="178">
        <v>5.0</v>
      </c>
      <c r="D52" s="179" t="str">
        <f>'[1]A-SF-M-S WQMA'!$B$17</f>
        <v>#REF!</v>
      </c>
      <c r="E52" s="184">
        <v>78000.0</v>
      </c>
      <c r="F52" s="38">
        <v>350000.0</v>
      </c>
      <c r="G52" s="184">
        <v>130000.0</v>
      </c>
      <c r="H52" s="24" t="s">
        <v>26</v>
      </c>
      <c r="I52" s="24" t="s">
        <v>26</v>
      </c>
      <c r="J52" s="24" t="s">
        <v>26</v>
      </c>
      <c r="K52" s="180" t="s">
        <v>59</v>
      </c>
      <c r="L52" s="36">
        <v>350000.0</v>
      </c>
      <c r="M52" s="38">
        <v>700000.0</v>
      </c>
      <c r="N52" s="38">
        <v>350000.0</v>
      </c>
      <c r="O52" s="38">
        <v>33000.0</v>
      </c>
      <c r="P52" s="38">
        <v>540000.0</v>
      </c>
      <c r="Q52" s="37">
        <f t="shared" si="3"/>
        <v>219675.1737</v>
      </c>
      <c r="R52" s="23">
        <v>200.0</v>
      </c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20"/>
      <c r="B53" s="21"/>
      <c r="C53" s="178">
        <v>6.0</v>
      </c>
      <c r="D53" s="179" t="str">
        <f>'[1]A-SF-M-S WQMA'!$B$18</f>
        <v>#REF!</v>
      </c>
      <c r="E53" s="184">
        <v>20000.0</v>
      </c>
      <c r="F53" s="38">
        <v>350000.0</v>
      </c>
      <c r="G53" s="184">
        <v>230000.0</v>
      </c>
      <c r="H53" s="85" t="s">
        <v>26</v>
      </c>
      <c r="I53" s="85" t="s">
        <v>26</v>
      </c>
      <c r="J53" s="85" t="s">
        <v>26</v>
      </c>
      <c r="K53" s="180" t="s">
        <v>59</v>
      </c>
      <c r="L53" s="36">
        <v>79000.0</v>
      </c>
      <c r="M53" s="38">
        <v>170000.0</v>
      </c>
      <c r="N53" s="38">
        <v>170000.0</v>
      </c>
      <c r="O53" s="38">
        <v>240000.0</v>
      </c>
      <c r="P53" s="38">
        <v>240000.0</v>
      </c>
      <c r="Q53" s="37">
        <f t="shared" si="3"/>
        <v>146460.8876</v>
      </c>
      <c r="R53" s="23">
        <v>200.0</v>
      </c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20"/>
      <c r="B54" s="21"/>
      <c r="C54" s="22">
        <v>7.0</v>
      </c>
      <c r="D54" s="175" t="str">
        <f>'[1]A-SF-M-S WQMA'!$B$19</f>
        <v>#REF!</v>
      </c>
      <c r="E54" s="111">
        <v>4000.0</v>
      </c>
      <c r="F54" s="38">
        <v>350000.0</v>
      </c>
      <c r="G54" s="184">
        <v>920000.0</v>
      </c>
      <c r="H54" s="24" t="s">
        <v>26</v>
      </c>
      <c r="I54" s="24" t="s">
        <v>26</v>
      </c>
      <c r="J54" s="24" t="s">
        <v>26</v>
      </c>
      <c r="K54" s="180" t="s">
        <v>59</v>
      </c>
      <c r="L54" s="36">
        <v>700000.0</v>
      </c>
      <c r="M54" s="38">
        <v>7800.0</v>
      </c>
      <c r="N54" s="38">
        <v>33000.0</v>
      </c>
      <c r="O54" s="38">
        <v>49000.0</v>
      </c>
      <c r="P54" s="38">
        <v>350000.0</v>
      </c>
      <c r="Q54" s="37">
        <f t="shared" si="3"/>
        <v>89122.18412</v>
      </c>
      <c r="R54" s="23">
        <v>200.0</v>
      </c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20"/>
      <c r="B55" s="26"/>
      <c r="C55" s="22">
        <v>8.0</v>
      </c>
      <c r="D55" s="175" t="str">
        <f>'[1]A-SF-M-S WQMA'!$B$20</f>
        <v>#REF!</v>
      </c>
      <c r="E55" s="111">
        <v>4800.0</v>
      </c>
      <c r="F55" s="38">
        <v>540000.0</v>
      </c>
      <c r="G55" s="184">
        <v>130000.0</v>
      </c>
      <c r="H55" s="85" t="s">
        <v>26</v>
      </c>
      <c r="I55" s="85" t="s">
        <v>26</v>
      </c>
      <c r="J55" s="85" t="s">
        <v>26</v>
      </c>
      <c r="K55" s="180" t="s">
        <v>59</v>
      </c>
      <c r="L55" s="36">
        <v>780000.0</v>
      </c>
      <c r="M55" s="38">
        <v>350000.0</v>
      </c>
      <c r="N55" s="38">
        <v>23000.0</v>
      </c>
      <c r="O55" s="38">
        <v>2.4E7</v>
      </c>
      <c r="P55" s="38">
        <v>540000.0</v>
      </c>
      <c r="Q55" s="37">
        <f t="shared" si="3"/>
        <v>269004.3044</v>
      </c>
      <c r="R55" s="23">
        <v>200.0</v>
      </c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20"/>
      <c r="B56" s="15" t="s">
        <v>153</v>
      </c>
      <c r="C56" s="16">
        <v>1.0</v>
      </c>
      <c r="D56" s="160" t="str">
        <f>'[1]A-SF-M-S WQMA'!$B$14</f>
        <v>#REF!</v>
      </c>
      <c r="E56" s="39">
        <v>1.23</v>
      </c>
      <c r="F56" s="120">
        <v>1.777</v>
      </c>
      <c r="G56" s="39">
        <v>0.045</v>
      </c>
      <c r="H56" s="120" t="s">
        <v>26</v>
      </c>
      <c r="I56" s="120" t="s">
        <v>26</v>
      </c>
      <c r="J56" s="120" t="s">
        <v>26</v>
      </c>
      <c r="K56" s="120">
        <v>0.048</v>
      </c>
      <c r="L56" s="39">
        <v>1.573</v>
      </c>
      <c r="M56" s="39">
        <v>1.451</v>
      </c>
      <c r="N56" s="120">
        <v>1.716</v>
      </c>
      <c r="O56" s="120">
        <v>1.176</v>
      </c>
      <c r="P56" s="120">
        <v>1.775</v>
      </c>
      <c r="Q56" s="40">
        <f t="shared" ref="Q56:Q59" si="4">AVERAGE(E56,F56,G56,H56,I56,J56,K56,L56,M56,N56,O56,P56)</f>
        <v>1.199</v>
      </c>
      <c r="R56" s="17">
        <v>7.0</v>
      </c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20"/>
      <c r="B57" s="21"/>
      <c r="C57" s="178">
        <v>3.0</v>
      </c>
      <c r="D57" s="179" t="str">
        <f>'[1]A-SF-M-S WQMA'!$B$15</f>
        <v>#REF!</v>
      </c>
      <c r="E57" s="148">
        <v>1.213</v>
      </c>
      <c r="F57" s="147">
        <v>1.851</v>
      </c>
      <c r="G57" s="148">
        <v>1.005</v>
      </c>
      <c r="H57" s="24" t="s">
        <v>26</v>
      </c>
      <c r="I57" s="24" t="s">
        <v>26</v>
      </c>
      <c r="J57" s="24" t="s">
        <v>26</v>
      </c>
      <c r="K57" s="147">
        <v>0.104</v>
      </c>
      <c r="L57" s="41">
        <v>1.79</v>
      </c>
      <c r="M57" s="148">
        <v>1.764</v>
      </c>
      <c r="N57" s="147">
        <v>0.888</v>
      </c>
      <c r="O57" s="147">
        <v>1.485</v>
      </c>
      <c r="P57" s="147">
        <v>1.726</v>
      </c>
      <c r="Q57" s="42">
        <f t="shared" si="4"/>
        <v>1.314</v>
      </c>
      <c r="R57" s="23">
        <v>7.0</v>
      </c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20"/>
      <c r="B58" s="21"/>
      <c r="C58" s="178">
        <v>4.0</v>
      </c>
      <c r="D58" s="179" t="str">
        <f>'[1]A-SF-M-S WQMA'!$B$16</f>
        <v>#REF!</v>
      </c>
      <c r="E58" s="148">
        <v>0.058</v>
      </c>
      <c r="F58" s="147">
        <v>0.093</v>
      </c>
      <c r="G58" s="148">
        <v>0.18</v>
      </c>
      <c r="H58" s="85" t="s">
        <v>26</v>
      </c>
      <c r="I58" s="85" t="s">
        <v>26</v>
      </c>
      <c r="J58" s="85" t="s">
        <v>26</v>
      </c>
      <c r="K58" s="147">
        <v>0.127</v>
      </c>
      <c r="L58" s="41">
        <v>0.084</v>
      </c>
      <c r="M58" s="148">
        <v>0.313</v>
      </c>
      <c r="N58" s="148" t="s">
        <v>40</v>
      </c>
      <c r="O58" s="148">
        <v>3.638</v>
      </c>
      <c r="P58" s="180" t="s">
        <v>40</v>
      </c>
      <c r="Q58" s="42">
        <f t="shared" si="4"/>
        <v>0.6418571429</v>
      </c>
      <c r="R58" s="23">
        <v>7.0</v>
      </c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20"/>
      <c r="B59" s="21"/>
      <c r="C59" s="178">
        <v>5.0</v>
      </c>
      <c r="D59" s="179" t="str">
        <f>'[1]A-SF-M-S WQMA'!$B$17</f>
        <v>#REF!</v>
      </c>
      <c r="E59" s="148">
        <v>0.574</v>
      </c>
      <c r="F59" s="147">
        <v>0.258</v>
      </c>
      <c r="G59" s="148">
        <v>0.18</v>
      </c>
      <c r="H59" s="24" t="s">
        <v>26</v>
      </c>
      <c r="I59" s="24" t="s">
        <v>26</v>
      </c>
      <c r="J59" s="24" t="s">
        <v>26</v>
      </c>
      <c r="K59" s="147">
        <v>0.132</v>
      </c>
      <c r="L59" s="41">
        <v>0.125</v>
      </c>
      <c r="M59" s="148">
        <v>0.358</v>
      </c>
      <c r="N59" s="148" t="s">
        <v>40</v>
      </c>
      <c r="O59" s="147">
        <v>0.052</v>
      </c>
      <c r="P59" s="180" t="s">
        <v>40</v>
      </c>
      <c r="Q59" s="42">
        <f t="shared" si="4"/>
        <v>0.2398571429</v>
      </c>
      <c r="R59" s="23">
        <v>7.0</v>
      </c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20"/>
      <c r="B60" s="21"/>
      <c r="C60" s="178">
        <v>6.0</v>
      </c>
      <c r="D60" s="179" t="str">
        <f>'[1]A-SF-M-S WQMA'!$B$18</f>
        <v>#REF!</v>
      </c>
      <c r="E60" s="148">
        <v>0.659</v>
      </c>
      <c r="F60" s="147">
        <v>0.339</v>
      </c>
      <c r="G60" s="148" t="s">
        <v>40</v>
      </c>
      <c r="H60" s="85" t="s">
        <v>26</v>
      </c>
      <c r="I60" s="85" t="s">
        <v>26</v>
      </c>
      <c r="J60" s="85" t="s">
        <v>26</v>
      </c>
      <c r="K60" s="147">
        <v>0.047</v>
      </c>
      <c r="L60" s="41">
        <v>0.159</v>
      </c>
      <c r="M60" s="148">
        <v>0.32</v>
      </c>
      <c r="N60" s="148" t="s">
        <v>40</v>
      </c>
      <c r="O60" s="147" t="s">
        <v>40</v>
      </c>
      <c r="P60" s="180" t="s">
        <v>40</v>
      </c>
      <c r="Q60" s="42">
        <f>AVERAGE(E60,F60,0.045,H60,I60,J60,K60,L60,M60,N60,O60,P60)</f>
        <v>0.2615</v>
      </c>
      <c r="R60" s="23">
        <v>7.0</v>
      </c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20"/>
      <c r="B61" s="21"/>
      <c r="C61" s="22">
        <v>7.0</v>
      </c>
      <c r="D61" s="175" t="str">
        <f>'[1]A-SF-M-S WQMA'!$B$19</f>
        <v>#REF!</v>
      </c>
      <c r="E61" s="41">
        <v>0.427</v>
      </c>
      <c r="F61" s="147">
        <v>0.318</v>
      </c>
      <c r="G61" s="148">
        <v>0.151</v>
      </c>
      <c r="H61" s="24" t="s">
        <v>26</v>
      </c>
      <c r="I61" s="24" t="s">
        <v>26</v>
      </c>
      <c r="J61" s="24" t="s">
        <v>26</v>
      </c>
      <c r="K61" s="147">
        <v>0.241</v>
      </c>
      <c r="L61" s="41">
        <v>0.186</v>
      </c>
      <c r="M61" s="148">
        <v>0.516</v>
      </c>
      <c r="N61" s="148" t="s">
        <v>40</v>
      </c>
      <c r="O61" s="148">
        <v>0.08</v>
      </c>
      <c r="P61" s="147">
        <v>0.212</v>
      </c>
      <c r="Q61" s="42">
        <f t="shared" ref="Q61:Q76" si="5">AVERAGE(E61,F61,G61,H61,I61,J61,K61,L61,M61,N61,O61,P61)</f>
        <v>0.266375</v>
      </c>
      <c r="R61" s="23">
        <v>7.0</v>
      </c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20"/>
      <c r="B62" s="26"/>
      <c r="C62" s="22">
        <v>8.0</v>
      </c>
      <c r="D62" s="175" t="str">
        <f>'[1]A-SF-M-S WQMA'!$B$20</f>
        <v>#REF!</v>
      </c>
      <c r="E62" s="41">
        <v>0.583</v>
      </c>
      <c r="F62" s="147">
        <v>0.279</v>
      </c>
      <c r="G62" s="148">
        <v>0.384</v>
      </c>
      <c r="H62" s="85" t="s">
        <v>26</v>
      </c>
      <c r="I62" s="85" t="s">
        <v>26</v>
      </c>
      <c r="J62" s="85" t="s">
        <v>26</v>
      </c>
      <c r="K62" s="147">
        <v>0.294</v>
      </c>
      <c r="L62" s="41">
        <v>0.17</v>
      </c>
      <c r="M62" s="148">
        <v>0.53</v>
      </c>
      <c r="N62" s="148" t="s">
        <v>40</v>
      </c>
      <c r="O62" s="147">
        <v>0.139</v>
      </c>
      <c r="P62" s="147">
        <v>0.405</v>
      </c>
      <c r="Q62" s="42">
        <f t="shared" si="5"/>
        <v>0.348</v>
      </c>
      <c r="R62" s="23">
        <v>7.0</v>
      </c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20"/>
      <c r="B63" s="15" t="s">
        <v>154</v>
      </c>
      <c r="C63" s="16">
        <v>1.0</v>
      </c>
      <c r="D63" s="160" t="str">
        <f>'[1]A-SF-M-S WQMA'!$B$14</f>
        <v>#REF!</v>
      </c>
      <c r="E63" s="120">
        <v>1.342</v>
      </c>
      <c r="F63" s="120" t="s">
        <v>155</v>
      </c>
      <c r="G63" s="107">
        <v>0.787</v>
      </c>
      <c r="H63" s="120" t="s">
        <v>26</v>
      </c>
      <c r="I63" s="120" t="s">
        <v>26</v>
      </c>
      <c r="J63" s="120" t="s">
        <v>26</v>
      </c>
      <c r="K63" s="120">
        <v>0.809</v>
      </c>
      <c r="L63" s="39">
        <v>0.726</v>
      </c>
      <c r="M63" s="39">
        <v>0.672</v>
      </c>
      <c r="N63" s="39">
        <v>0.611</v>
      </c>
      <c r="O63" s="120">
        <v>0.972</v>
      </c>
      <c r="P63" s="120">
        <v>0.668</v>
      </c>
      <c r="Q63" s="40">
        <f t="shared" si="5"/>
        <v>0.823375</v>
      </c>
      <c r="R63" s="17">
        <v>0.5</v>
      </c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20"/>
      <c r="B64" s="21"/>
      <c r="C64" s="178">
        <v>3.0</v>
      </c>
      <c r="D64" s="179" t="str">
        <f>'[1]A-SF-M-S WQMA'!$B$15</f>
        <v>#REF!</v>
      </c>
      <c r="E64" s="148">
        <v>0.61</v>
      </c>
      <c r="F64" s="147">
        <v>0.573</v>
      </c>
      <c r="G64" s="185">
        <v>0.482</v>
      </c>
      <c r="H64" s="24" t="s">
        <v>26</v>
      </c>
      <c r="I64" s="24" t="s">
        <v>26</v>
      </c>
      <c r="J64" s="24" t="s">
        <v>26</v>
      </c>
      <c r="K64" s="147">
        <v>0.461</v>
      </c>
      <c r="L64" s="41">
        <v>0.258</v>
      </c>
      <c r="M64" s="148">
        <v>0.569</v>
      </c>
      <c r="N64" s="148">
        <v>0.576</v>
      </c>
      <c r="O64" s="147">
        <v>0.841</v>
      </c>
      <c r="P64" s="147">
        <v>0.629</v>
      </c>
      <c r="Q64" s="42">
        <f t="shared" si="5"/>
        <v>0.5554444444</v>
      </c>
      <c r="R64" s="23">
        <v>0.5</v>
      </c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20"/>
      <c r="B65" s="21"/>
      <c r="C65" s="178">
        <v>4.0</v>
      </c>
      <c r="D65" s="179" t="str">
        <f>'[1]A-SF-M-S WQMA'!$B$16</f>
        <v>#REF!</v>
      </c>
      <c r="E65" s="147">
        <v>2.085</v>
      </c>
      <c r="F65" s="147">
        <v>2.065</v>
      </c>
      <c r="G65" s="185">
        <v>2.219</v>
      </c>
      <c r="H65" s="85" t="s">
        <v>26</v>
      </c>
      <c r="I65" s="85" t="s">
        <v>26</v>
      </c>
      <c r="J65" s="85" t="s">
        <v>26</v>
      </c>
      <c r="K65" s="147">
        <v>2.087</v>
      </c>
      <c r="L65" s="41">
        <v>2.115</v>
      </c>
      <c r="M65" s="148">
        <v>1.901</v>
      </c>
      <c r="N65" s="148">
        <v>1.71</v>
      </c>
      <c r="O65" s="147">
        <v>1.722</v>
      </c>
      <c r="P65" s="148">
        <v>1.95</v>
      </c>
      <c r="Q65" s="42">
        <f t="shared" si="5"/>
        <v>1.983777778</v>
      </c>
      <c r="R65" s="23">
        <v>0.5</v>
      </c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20"/>
      <c r="B66" s="21"/>
      <c r="C66" s="178">
        <v>5.0</v>
      </c>
      <c r="D66" s="179" t="str">
        <f>'[1]A-SF-M-S WQMA'!$B$17</f>
        <v>#REF!</v>
      </c>
      <c r="E66" s="147">
        <v>0.969</v>
      </c>
      <c r="F66" s="147">
        <v>1.209</v>
      </c>
      <c r="G66" s="185">
        <v>1.931</v>
      </c>
      <c r="H66" s="24" t="s">
        <v>26</v>
      </c>
      <c r="I66" s="24" t="s">
        <v>26</v>
      </c>
      <c r="J66" s="24" t="s">
        <v>26</v>
      </c>
      <c r="K66" s="147">
        <v>1.228</v>
      </c>
      <c r="L66" s="41">
        <v>0.865</v>
      </c>
      <c r="M66" s="148">
        <v>1.62</v>
      </c>
      <c r="N66" s="148">
        <v>1.06</v>
      </c>
      <c r="O66" s="147">
        <v>0.632</v>
      </c>
      <c r="P66" s="147">
        <v>1.151</v>
      </c>
      <c r="Q66" s="42">
        <f t="shared" si="5"/>
        <v>1.185</v>
      </c>
      <c r="R66" s="23">
        <v>0.5</v>
      </c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20"/>
      <c r="B67" s="21"/>
      <c r="C67" s="178">
        <v>6.0</v>
      </c>
      <c r="D67" s="179" t="str">
        <f>'[1]A-SF-M-S WQMA'!$B$18</f>
        <v>#REF!</v>
      </c>
      <c r="E67" s="147">
        <v>0.941</v>
      </c>
      <c r="F67" s="147">
        <v>1.249</v>
      </c>
      <c r="G67" s="185">
        <v>1.582</v>
      </c>
      <c r="H67" s="85" t="s">
        <v>26</v>
      </c>
      <c r="I67" s="85" t="s">
        <v>26</v>
      </c>
      <c r="J67" s="85" t="s">
        <v>26</v>
      </c>
      <c r="K67" s="148">
        <v>1.22</v>
      </c>
      <c r="L67" s="41">
        <v>1.087</v>
      </c>
      <c r="M67" s="148">
        <v>1.635</v>
      </c>
      <c r="N67" s="148">
        <v>1.25</v>
      </c>
      <c r="O67" s="147">
        <v>1.773</v>
      </c>
      <c r="P67" s="147">
        <v>1.199</v>
      </c>
      <c r="Q67" s="42">
        <f t="shared" si="5"/>
        <v>1.326222222</v>
      </c>
      <c r="R67" s="23">
        <v>0.5</v>
      </c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20"/>
      <c r="B68" s="21"/>
      <c r="C68" s="22">
        <v>7.0</v>
      </c>
      <c r="D68" s="175" t="str">
        <f>'[1]A-SF-M-S WQMA'!$B$19</f>
        <v>#REF!</v>
      </c>
      <c r="E68" s="85">
        <v>0.862</v>
      </c>
      <c r="F68" s="147">
        <v>1.014</v>
      </c>
      <c r="G68" s="185">
        <v>0.851</v>
      </c>
      <c r="H68" s="24" t="s">
        <v>26</v>
      </c>
      <c r="I68" s="24" t="s">
        <v>26</v>
      </c>
      <c r="J68" s="24" t="s">
        <v>26</v>
      </c>
      <c r="K68" s="147">
        <v>0.852</v>
      </c>
      <c r="L68" s="41">
        <v>0.954</v>
      </c>
      <c r="M68" s="148">
        <v>0.749</v>
      </c>
      <c r="N68" s="148">
        <v>0.801</v>
      </c>
      <c r="O68" s="147">
        <v>0.741</v>
      </c>
      <c r="P68" s="147">
        <v>1.106</v>
      </c>
      <c r="Q68" s="42">
        <f t="shared" si="5"/>
        <v>0.8811111111</v>
      </c>
      <c r="R68" s="23">
        <v>0.5</v>
      </c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20"/>
      <c r="B69" s="26"/>
      <c r="C69" s="22">
        <v>8.0</v>
      </c>
      <c r="D69" s="175" t="str">
        <f>'[1]A-SF-M-S WQMA'!$B$20</f>
        <v>#REF!</v>
      </c>
      <c r="E69" s="85">
        <v>0.881</v>
      </c>
      <c r="F69" s="147">
        <v>1.138</v>
      </c>
      <c r="G69" s="185">
        <v>1.057</v>
      </c>
      <c r="H69" s="85" t="s">
        <v>26</v>
      </c>
      <c r="I69" s="85" t="s">
        <v>26</v>
      </c>
      <c r="J69" s="85" t="s">
        <v>26</v>
      </c>
      <c r="K69" s="147">
        <v>0.832</v>
      </c>
      <c r="L69" s="41">
        <v>0.796</v>
      </c>
      <c r="M69" s="148">
        <v>0.853</v>
      </c>
      <c r="N69" s="148">
        <v>0.769</v>
      </c>
      <c r="O69" s="147">
        <v>0.688</v>
      </c>
      <c r="P69" s="147">
        <v>1.057</v>
      </c>
      <c r="Q69" s="42">
        <f t="shared" si="5"/>
        <v>0.8967777778</v>
      </c>
      <c r="R69" s="23">
        <v>0.5</v>
      </c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20"/>
      <c r="B70" s="15" t="s">
        <v>42</v>
      </c>
      <c r="C70" s="16">
        <v>1.0</v>
      </c>
      <c r="D70" s="160" t="str">
        <f>'[1]A-SF-M-S WQMA'!$B$14</f>
        <v>#REF!</v>
      </c>
      <c r="E70" s="31">
        <v>26.0</v>
      </c>
      <c r="F70" s="120">
        <v>29.0</v>
      </c>
      <c r="G70" s="31">
        <v>30.0</v>
      </c>
      <c r="H70" s="120" t="s">
        <v>26</v>
      </c>
      <c r="I70" s="120" t="s">
        <v>26</v>
      </c>
      <c r="J70" s="120" t="s">
        <v>26</v>
      </c>
      <c r="K70" s="31">
        <v>27.0</v>
      </c>
      <c r="L70" s="27">
        <v>29.0</v>
      </c>
      <c r="M70" s="120">
        <v>28.0</v>
      </c>
      <c r="N70" s="120">
        <v>25.0</v>
      </c>
      <c r="O70" s="120">
        <v>21.0</v>
      </c>
      <c r="P70" s="120">
        <v>20.0</v>
      </c>
      <c r="Q70" s="33">
        <f t="shared" si="5"/>
        <v>26.11111111</v>
      </c>
      <c r="R70" s="17">
        <v>350.0</v>
      </c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20"/>
      <c r="B71" s="21"/>
      <c r="C71" s="178">
        <v>3.0</v>
      </c>
      <c r="D71" s="179" t="str">
        <f>'[1]A-SF-M-S WQMA'!$B$15</f>
        <v>#REF!</v>
      </c>
      <c r="E71" s="38">
        <v>21.0</v>
      </c>
      <c r="F71" s="147">
        <v>23.0</v>
      </c>
      <c r="G71" s="38">
        <v>23.0</v>
      </c>
      <c r="H71" s="24" t="s">
        <v>26</v>
      </c>
      <c r="I71" s="24" t="s">
        <v>26</v>
      </c>
      <c r="J71" s="24" t="s">
        <v>26</v>
      </c>
      <c r="K71" s="38">
        <v>22.0</v>
      </c>
      <c r="L71" s="29">
        <v>27.0</v>
      </c>
      <c r="M71" s="147">
        <v>20.0</v>
      </c>
      <c r="N71" s="147">
        <v>17.0</v>
      </c>
      <c r="O71" s="147">
        <v>21.0</v>
      </c>
      <c r="P71" s="147">
        <v>21.0</v>
      </c>
      <c r="Q71" s="37">
        <f t="shared" si="5"/>
        <v>21.66666667</v>
      </c>
      <c r="R71" s="23">
        <v>350.0</v>
      </c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20"/>
      <c r="B72" s="21"/>
      <c r="C72" s="178">
        <v>4.0</v>
      </c>
      <c r="D72" s="179" t="str">
        <f>'[1]A-SF-M-S WQMA'!$B$16</f>
        <v>#REF!</v>
      </c>
      <c r="E72" s="38">
        <v>16.0</v>
      </c>
      <c r="F72" s="147">
        <v>29.0</v>
      </c>
      <c r="G72" s="38">
        <v>5.0</v>
      </c>
      <c r="H72" s="85" t="s">
        <v>26</v>
      </c>
      <c r="I72" s="85" t="s">
        <v>26</v>
      </c>
      <c r="J72" s="85" t="s">
        <v>26</v>
      </c>
      <c r="K72" s="147">
        <v>10.0</v>
      </c>
      <c r="L72" s="29">
        <v>32.0</v>
      </c>
      <c r="M72" s="147">
        <v>30.0</v>
      </c>
      <c r="N72" s="147">
        <v>28.0</v>
      </c>
      <c r="O72" s="147">
        <v>27.0</v>
      </c>
      <c r="P72" s="180" t="s">
        <v>107</v>
      </c>
      <c r="Q72" s="37">
        <f t="shared" si="5"/>
        <v>22.125</v>
      </c>
      <c r="R72" s="23">
        <v>350.0</v>
      </c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20"/>
      <c r="B73" s="21"/>
      <c r="C73" s="178">
        <v>5.0</v>
      </c>
      <c r="D73" s="179" t="str">
        <f>'[1]A-SF-M-S WQMA'!$B$17</f>
        <v>#REF!</v>
      </c>
      <c r="E73" s="38">
        <v>29.0</v>
      </c>
      <c r="F73" s="147">
        <v>404.0</v>
      </c>
      <c r="G73" s="38">
        <v>67.0</v>
      </c>
      <c r="H73" s="24" t="s">
        <v>26</v>
      </c>
      <c r="I73" s="24" t="s">
        <v>26</v>
      </c>
      <c r="J73" s="24" t="s">
        <v>26</v>
      </c>
      <c r="K73" s="147">
        <v>83.0</v>
      </c>
      <c r="L73" s="29">
        <v>33.0</v>
      </c>
      <c r="M73" s="147">
        <v>43.0</v>
      </c>
      <c r="N73" s="147">
        <v>8.0</v>
      </c>
      <c r="O73" s="147">
        <v>23.0</v>
      </c>
      <c r="P73" s="147">
        <v>54.0</v>
      </c>
      <c r="Q73" s="37">
        <f t="shared" si="5"/>
        <v>82.66666667</v>
      </c>
      <c r="R73" s="23">
        <v>350.0</v>
      </c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20"/>
      <c r="B74" s="21"/>
      <c r="C74" s="178">
        <v>6.0</v>
      </c>
      <c r="D74" s="179" t="str">
        <f>'[1]A-SF-M-S WQMA'!$B$18</f>
        <v>#REF!</v>
      </c>
      <c r="E74" s="38">
        <v>28.0</v>
      </c>
      <c r="F74" s="147">
        <v>404.0</v>
      </c>
      <c r="G74" s="38">
        <v>420.0</v>
      </c>
      <c r="H74" s="85" t="s">
        <v>26</v>
      </c>
      <c r="I74" s="85" t="s">
        <v>26</v>
      </c>
      <c r="J74" s="85" t="s">
        <v>26</v>
      </c>
      <c r="K74" s="147">
        <v>92.0</v>
      </c>
      <c r="L74" s="29">
        <v>234.0</v>
      </c>
      <c r="M74" s="147">
        <v>213.0</v>
      </c>
      <c r="N74" s="147">
        <v>12.0</v>
      </c>
      <c r="O74" s="147">
        <v>119.0</v>
      </c>
      <c r="P74" s="147">
        <v>56.0</v>
      </c>
      <c r="Q74" s="37">
        <f t="shared" si="5"/>
        <v>175.3333333</v>
      </c>
      <c r="R74" s="23">
        <v>350.0</v>
      </c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20"/>
      <c r="B75" s="21"/>
      <c r="C75" s="22">
        <v>7.0</v>
      </c>
      <c r="D75" s="175" t="str">
        <f>'[1]A-SF-M-S WQMA'!$B$19</f>
        <v>#REF!</v>
      </c>
      <c r="E75" s="35">
        <v>409.0</v>
      </c>
      <c r="F75" s="38">
        <v>1153.0</v>
      </c>
      <c r="G75" s="38">
        <v>1421.0</v>
      </c>
      <c r="H75" s="24" t="s">
        <v>26</v>
      </c>
      <c r="I75" s="24" t="s">
        <v>26</v>
      </c>
      <c r="J75" s="24" t="s">
        <v>26</v>
      </c>
      <c r="K75" s="38">
        <v>4126.0</v>
      </c>
      <c r="L75" s="29">
        <v>841.0</v>
      </c>
      <c r="M75" s="147">
        <v>853.0</v>
      </c>
      <c r="N75" s="147">
        <v>805.0</v>
      </c>
      <c r="O75" s="147">
        <v>649.0</v>
      </c>
      <c r="P75" s="147">
        <v>347.0</v>
      </c>
      <c r="Q75" s="37">
        <f t="shared" si="5"/>
        <v>1178.222222</v>
      </c>
      <c r="R75" s="23">
        <v>350.0</v>
      </c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20"/>
      <c r="B76" s="26"/>
      <c r="C76" s="22">
        <v>8.0</v>
      </c>
      <c r="D76" s="175" t="str">
        <f>'[1]A-SF-M-S WQMA'!$B$20</f>
        <v>#REF!</v>
      </c>
      <c r="E76" s="35">
        <v>893.0</v>
      </c>
      <c r="F76" s="38">
        <v>1115.0</v>
      </c>
      <c r="G76" s="38">
        <v>2003.0</v>
      </c>
      <c r="H76" s="85" t="s">
        <v>26</v>
      </c>
      <c r="I76" s="85" t="s">
        <v>26</v>
      </c>
      <c r="J76" s="85" t="s">
        <v>26</v>
      </c>
      <c r="K76" s="38">
        <v>6955.0</v>
      </c>
      <c r="L76" s="29">
        <v>981.0</v>
      </c>
      <c r="M76" s="147">
        <v>805.0</v>
      </c>
      <c r="N76" s="147">
        <v>805.0</v>
      </c>
      <c r="O76" s="147">
        <v>592.0</v>
      </c>
      <c r="P76" s="147">
        <v>304.0</v>
      </c>
      <c r="Q76" s="37">
        <f t="shared" si="5"/>
        <v>1605.888889</v>
      </c>
      <c r="R76" s="23">
        <v>350.0</v>
      </c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127"/>
      <c r="O77" s="127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91" t="s">
        <v>43</v>
      </c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127"/>
      <c r="O78" s="127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127"/>
      <c r="O79" s="127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 t="s">
        <v>62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127"/>
      <c r="O80" s="127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186"/>
      <c r="F81" s="72"/>
      <c r="G81" s="72"/>
      <c r="H81" s="72"/>
      <c r="I81" s="72"/>
      <c r="J81" s="72"/>
      <c r="K81" s="72"/>
      <c r="L81" s="127"/>
      <c r="M81" s="127"/>
      <c r="N81" s="127"/>
      <c r="O81" s="127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127"/>
      <c r="O82" s="127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127"/>
      <c r="O83" s="127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127"/>
      <c r="O84" s="127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127"/>
      <c r="O85" s="127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127"/>
      <c r="O86" s="127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127"/>
      <c r="O87" s="127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127"/>
      <c r="O88" s="127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127"/>
      <c r="O89" s="127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127"/>
      <c r="O90" s="127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127"/>
      <c r="O91" s="127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127"/>
      <c r="O92" s="127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127"/>
      <c r="O93" s="127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127"/>
      <c r="O94" s="127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127"/>
      <c r="O95" s="127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127"/>
      <c r="O96" s="127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127"/>
      <c r="O97" s="127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127"/>
      <c r="O98" s="127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127"/>
      <c r="O99" s="127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127"/>
      <c r="O100" s="127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127"/>
      <c r="O101" s="127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127"/>
      <c r="O102" s="127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127"/>
      <c r="O103" s="127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127"/>
      <c r="O104" s="127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127"/>
      <c r="O105" s="127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127"/>
      <c r="O106" s="127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127"/>
      <c r="O107" s="127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127"/>
      <c r="O108" s="127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127"/>
      <c r="O109" s="127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127"/>
      <c r="O110" s="127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127"/>
      <c r="O111" s="127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127"/>
      <c r="O112" s="127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127"/>
      <c r="O113" s="127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127"/>
      <c r="O114" s="127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127"/>
      <c r="O115" s="127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127"/>
      <c r="O116" s="127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127"/>
      <c r="O117" s="127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127"/>
      <c r="O118" s="127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127"/>
      <c r="O119" s="127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127"/>
      <c r="O120" s="127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127"/>
      <c r="O121" s="127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127"/>
      <c r="O122" s="127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127"/>
      <c r="O123" s="127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127"/>
      <c r="O124" s="127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127"/>
      <c r="O125" s="127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127"/>
      <c r="O126" s="127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127"/>
      <c r="O127" s="127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127"/>
      <c r="O128" s="127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127"/>
      <c r="O129" s="127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127"/>
      <c r="O130" s="127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127"/>
      <c r="O131" s="127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127"/>
      <c r="O132" s="127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127"/>
      <c r="O133" s="127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127"/>
      <c r="O134" s="127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127"/>
      <c r="O135" s="127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127"/>
      <c r="O136" s="127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127"/>
      <c r="O137" s="127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127"/>
      <c r="O138" s="127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127"/>
      <c r="O139" s="127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127"/>
      <c r="O140" s="127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127"/>
      <c r="O141" s="127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127"/>
      <c r="O142" s="127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127"/>
      <c r="O143" s="127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127"/>
      <c r="O144" s="127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127"/>
      <c r="O145" s="127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127"/>
      <c r="O146" s="127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127"/>
      <c r="O147" s="127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127"/>
      <c r="O148" s="127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127"/>
      <c r="O149" s="127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127"/>
      <c r="O150" s="127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127"/>
      <c r="O151" s="127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127"/>
      <c r="O152" s="127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127"/>
      <c r="O153" s="127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127"/>
      <c r="O154" s="127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127"/>
      <c r="O155" s="127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127"/>
      <c r="O156" s="127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127"/>
      <c r="O157" s="127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127"/>
      <c r="O158" s="127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127"/>
      <c r="O159" s="127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127"/>
      <c r="O160" s="127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127"/>
      <c r="O161" s="127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127"/>
      <c r="O162" s="127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127"/>
      <c r="O163" s="127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127"/>
      <c r="O164" s="127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127"/>
      <c r="O165" s="127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127"/>
      <c r="O166" s="127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127"/>
      <c r="O167" s="127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127"/>
      <c r="O168" s="127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127"/>
      <c r="O169" s="127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127"/>
      <c r="O170" s="127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127"/>
      <c r="O171" s="127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127"/>
      <c r="O172" s="127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127"/>
      <c r="O173" s="127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127"/>
      <c r="O174" s="127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127"/>
      <c r="O175" s="127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127"/>
      <c r="O176" s="127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127"/>
      <c r="O177" s="127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127"/>
      <c r="O178" s="127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127"/>
      <c r="O179" s="127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127"/>
      <c r="O180" s="127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127"/>
      <c r="O181" s="127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127"/>
      <c r="O182" s="127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127"/>
      <c r="O183" s="127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127"/>
      <c r="O184" s="127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127"/>
      <c r="O185" s="127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127"/>
      <c r="O186" s="127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127"/>
      <c r="O187" s="127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127"/>
      <c r="O188" s="127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127"/>
      <c r="O189" s="127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127"/>
      <c r="O190" s="127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127"/>
      <c r="O191" s="127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127"/>
      <c r="O192" s="127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127"/>
      <c r="O193" s="127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127"/>
      <c r="O194" s="127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127"/>
      <c r="O195" s="127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127"/>
      <c r="O196" s="127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127"/>
      <c r="O197" s="127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127"/>
      <c r="O198" s="127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127"/>
      <c r="O199" s="127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127"/>
      <c r="O200" s="127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127"/>
      <c r="O201" s="127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127"/>
      <c r="O202" s="127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127"/>
      <c r="O203" s="127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127"/>
      <c r="O204" s="127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127"/>
      <c r="O205" s="127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127"/>
      <c r="O206" s="127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127"/>
      <c r="O207" s="127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127"/>
      <c r="O208" s="127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127"/>
      <c r="O209" s="127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127"/>
      <c r="O210" s="127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127"/>
      <c r="O211" s="127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127"/>
      <c r="O212" s="127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127"/>
      <c r="O213" s="127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127"/>
      <c r="O214" s="127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127"/>
      <c r="O215" s="127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127"/>
      <c r="O216" s="127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127"/>
      <c r="O217" s="127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127"/>
      <c r="O218" s="127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127"/>
      <c r="O219" s="127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127"/>
      <c r="O220" s="127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127"/>
      <c r="O221" s="127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127"/>
      <c r="O222" s="127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127"/>
      <c r="O223" s="127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127"/>
      <c r="O224" s="127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127"/>
      <c r="O225" s="127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127"/>
      <c r="O226" s="127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127"/>
      <c r="O227" s="127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127"/>
      <c r="O228" s="127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127"/>
      <c r="O229" s="127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127"/>
      <c r="O230" s="127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127"/>
      <c r="O231" s="127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127"/>
      <c r="O232" s="127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127"/>
      <c r="O233" s="127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127"/>
      <c r="O234" s="127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127"/>
      <c r="O235" s="127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127"/>
      <c r="O236" s="127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127"/>
      <c r="O237" s="127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127"/>
      <c r="O238" s="127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127"/>
      <c r="O239" s="127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127"/>
      <c r="O240" s="127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127"/>
      <c r="O241" s="127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127"/>
      <c r="O242" s="127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127"/>
      <c r="O243" s="127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127"/>
      <c r="O244" s="127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127"/>
      <c r="O245" s="127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127"/>
      <c r="O246" s="127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127"/>
      <c r="O247" s="127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127"/>
      <c r="O248" s="127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127"/>
      <c r="O249" s="127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127"/>
      <c r="O250" s="127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127"/>
      <c r="O251" s="127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127"/>
      <c r="O252" s="127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127"/>
      <c r="O253" s="127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127"/>
      <c r="O254" s="127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127"/>
      <c r="O255" s="127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127"/>
      <c r="O256" s="127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127"/>
      <c r="O257" s="127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127"/>
      <c r="O258" s="127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127"/>
      <c r="O259" s="127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127"/>
      <c r="O260" s="127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127"/>
      <c r="O261" s="127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127"/>
      <c r="O262" s="127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127"/>
      <c r="O263" s="127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127"/>
      <c r="O264" s="127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127"/>
      <c r="O265" s="127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127"/>
      <c r="O266" s="127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127"/>
      <c r="O267" s="127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127"/>
      <c r="O268" s="127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127"/>
      <c r="O269" s="127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127"/>
      <c r="O270" s="127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127"/>
      <c r="O271" s="127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127"/>
      <c r="O272" s="127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127"/>
      <c r="O273" s="127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127"/>
      <c r="O274" s="127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127"/>
      <c r="O275" s="127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127"/>
      <c r="O276" s="127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127"/>
      <c r="O277" s="127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127"/>
      <c r="O278" s="127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127"/>
      <c r="O279" s="127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127"/>
      <c r="O280" s="127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127"/>
      <c r="O281" s="127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127"/>
      <c r="O282" s="127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127"/>
      <c r="O283" s="127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127"/>
      <c r="O284" s="127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127"/>
      <c r="O285" s="127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127"/>
      <c r="O286" s="127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127"/>
      <c r="O287" s="127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127"/>
      <c r="O288" s="127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127"/>
      <c r="O289" s="127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127"/>
      <c r="O290" s="127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127"/>
      <c r="O291" s="127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127"/>
      <c r="O292" s="127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127"/>
      <c r="O293" s="127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127"/>
      <c r="O294" s="127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127"/>
      <c r="O295" s="127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127"/>
      <c r="O296" s="127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127"/>
      <c r="O297" s="127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127"/>
      <c r="O298" s="127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127"/>
      <c r="O299" s="127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127"/>
      <c r="O300" s="127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127"/>
      <c r="O301" s="127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127"/>
      <c r="O302" s="127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127"/>
      <c r="O303" s="127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127"/>
      <c r="O304" s="127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127"/>
      <c r="O305" s="127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127"/>
      <c r="O306" s="127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127"/>
      <c r="O307" s="127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127"/>
      <c r="O308" s="127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127"/>
      <c r="O309" s="127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127"/>
      <c r="O310" s="127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127"/>
      <c r="O311" s="127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127"/>
      <c r="O312" s="127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127"/>
      <c r="O313" s="127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127"/>
      <c r="O314" s="127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127"/>
      <c r="O315" s="127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127"/>
      <c r="O316" s="127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127"/>
      <c r="O317" s="127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127"/>
      <c r="O318" s="127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127"/>
      <c r="O319" s="127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127"/>
      <c r="O320" s="127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127"/>
      <c r="O321" s="127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127"/>
      <c r="O322" s="127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127"/>
      <c r="O323" s="127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127"/>
      <c r="O324" s="127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127"/>
      <c r="O325" s="127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127"/>
      <c r="O326" s="127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127"/>
      <c r="O327" s="127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127"/>
      <c r="O328" s="127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127"/>
      <c r="O329" s="127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127"/>
      <c r="O330" s="127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127"/>
      <c r="O331" s="127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127"/>
      <c r="O332" s="127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127"/>
      <c r="O333" s="127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127"/>
      <c r="O334" s="127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127"/>
      <c r="O335" s="127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127"/>
      <c r="O336" s="127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127"/>
      <c r="O337" s="127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127"/>
      <c r="O338" s="127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127"/>
      <c r="O339" s="127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127"/>
      <c r="O340" s="127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127"/>
      <c r="O341" s="127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127"/>
      <c r="O342" s="127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127"/>
      <c r="O343" s="127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127"/>
      <c r="O344" s="127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127"/>
      <c r="O345" s="127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127"/>
      <c r="O346" s="127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127"/>
      <c r="O347" s="127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127"/>
      <c r="O348" s="127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127"/>
      <c r="O349" s="127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127"/>
      <c r="O350" s="127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127"/>
      <c r="O351" s="127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127"/>
      <c r="O352" s="127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127"/>
      <c r="O353" s="127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127"/>
      <c r="O354" s="127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127"/>
      <c r="O355" s="127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127"/>
      <c r="O356" s="127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127"/>
      <c r="O357" s="127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127"/>
      <c r="O358" s="127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127"/>
      <c r="O359" s="127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127"/>
      <c r="O360" s="127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127"/>
      <c r="O361" s="127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127"/>
      <c r="O362" s="127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127"/>
      <c r="O363" s="127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127"/>
      <c r="O364" s="127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127"/>
      <c r="O365" s="127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127"/>
      <c r="O366" s="127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127"/>
      <c r="O367" s="127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127"/>
      <c r="O368" s="127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127"/>
      <c r="O369" s="127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127"/>
      <c r="O370" s="127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127"/>
      <c r="O371" s="127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127"/>
      <c r="O372" s="127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127"/>
      <c r="O373" s="127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127"/>
      <c r="O374" s="127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127"/>
      <c r="O375" s="127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127"/>
      <c r="O376" s="127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127"/>
      <c r="O377" s="127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127"/>
      <c r="O378" s="127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127"/>
      <c r="O379" s="127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127"/>
      <c r="O380" s="127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127"/>
      <c r="O381" s="127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127"/>
      <c r="O382" s="127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127"/>
      <c r="O383" s="127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127"/>
      <c r="O384" s="127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127"/>
      <c r="O385" s="127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127"/>
      <c r="O386" s="127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127"/>
      <c r="O387" s="127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127"/>
      <c r="O388" s="127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127"/>
      <c r="O389" s="127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127"/>
      <c r="O390" s="127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127"/>
      <c r="O391" s="127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127"/>
      <c r="O392" s="127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127"/>
      <c r="O393" s="127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127"/>
      <c r="O394" s="127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127"/>
      <c r="O395" s="127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127"/>
      <c r="O396" s="127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127"/>
      <c r="O397" s="127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127"/>
      <c r="O398" s="127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127"/>
      <c r="O399" s="127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127"/>
      <c r="O400" s="127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127"/>
      <c r="O401" s="127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127"/>
      <c r="O402" s="127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127"/>
      <c r="O403" s="127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127"/>
      <c r="O404" s="127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127"/>
      <c r="O405" s="127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127"/>
      <c r="O406" s="127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127"/>
      <c r="O407" s="127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127"/>
      <c r="O408" s="127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127"/>
      <c r="O409" s="127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127"/>
      <c r="O410" s="127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127"/>
      <c r="O411" s="127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127"/>
      <c r="O412" s="127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127"/>
      <c r="O413" s="127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127"/>
      <c r="O414" s="127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127"/>
      <c r="O415" s="127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127"/>
      <c r="O416" s="127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127"/>
      <c r="O417" s="127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127"/>
      <c r="O418" s="127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127"/>
      <c r="O419" s="127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127"/>
      <c r="O420" s="127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127"/>
      <c r="O421" s="127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127"/>
      <c r="O422" s="127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127"/>
      <c r="O423" s="127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127"/>
      <c r="O424" s="127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127"/>
      <c r="O425" s="127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127"/>
      <c r="O426" s="127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127"/>
      <c r="O427" s="127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127"/>
      <c r="O428" s="127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127"/>
      <c r="O429" s="127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127"/>
      <c r="O430" s="127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127"/>
      <c r="O431" s="127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127"/>
      <c r="O432" s="127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127"/>
      <c r="O433" s="127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127"/>
      <c r="O434" s="127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127"/>
      <c r="O435" s="127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127"/>
      <c r="O436" s="127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127"/>
      <c r="O437" s="127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127"/>
      <c r="O438" s="127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127"/>
      <c r="O439" s="127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127"/>
      <c r="O440" s="127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127"/>
      <c r="O441" s="127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127"/>
      <c r="O442" s="127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127"/>
      <c r="O443" s="127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127"/>
      <c r="O444" s="127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127"/>
      <c r="O445" s="127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127"/>
      <c r="O446" s="127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127"/>
      <c r="O447" s="127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127"/>
      <c r="O448" s="127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127"/>
      <c r="O449" s="127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127"/>
      <c r="O450" s="127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127"/>
      <c r="O451" s="127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127"/>
      <c r="O452" s="127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127"/>
      <c r="O453" s="127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127"/>
      <c r="O454" s="127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127"/>
      <c r="O455" s="127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127"/>
      <c r="O456" s="127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127"/>
      <c r="O457" s="127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127"/>
      <c r="O458" s="127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127"/>
      <c r="O459" s="127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127"/>
      <c r="O460" s="127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127"/>
      <c r="O461" s="127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127"/>
      <c r="O462" s="127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127"/>
      <c r="O463" s="127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127"/>
      <c r="O464" s="127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127"/>
      <c r="O465" s="127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127"/>
      <c r="O466" s="127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127"/>
      <c r="O467" s="127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127"/>
      <c r="O468" s="127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127"/>
      <c r="O469" s="127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127"/>
      <c r="O470" s="127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127"/>
      <c r="O471" s="127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127"/>
      <c r="O472" s="127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127"/>
      <c r="O473" s="127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127"/>
      <c r="O474" s="127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127"/>
      <c r="O475" s="127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127"/>
      <c r="O476" s="127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127"/>
      <c r="O477" s="127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127"/>
      <c r="O478" s="127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127"/>
      <c r="O479" s="127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127"/>
      <c r="O480" s="127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127"/>
      <c r="O481" s="127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127"/>
      <c r="O482" s="127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127"/>
      <c r="O483" s="127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127"/>
      <c r="O484" s="127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127"/>
      <c r="O485" s="127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127"/>
      <c r="O486" s="127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127"/>
      <c r="O487" s="127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127"/>
      <c r="O488" s="127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127"/>
      <c r="O489" s="127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127"/>
      <c r="O490" s="127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127"/>
      <c r="O491" s="127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127"/>
      <c r="O492" s="127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127"/>
      <c r="O493" s="127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127"/>
      <c r="O494" s="127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127"/>
      <c r="O495" s="127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127"/>
      <c r="O496" s="127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127"/>
      <c r="O497" s="127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127"/>
      <c r="O498" s="127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127"/>
      <c r="O499" s="127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127"/>
      <c r="O500" s="127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127"/>
      <c r="O501" s="127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127"/>
      <c r="O502" s="127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127"/>
      <c r="O503" s="127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127"/>
      <c r="O504" s="127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127"/>
      <c r="O505" s="127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127"/>
      <c r="O506" s="127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127"/>
      <c r="O507" s="127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127"/>
      <c r="O508" s="127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127"/>
      <c r="O509" s="127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127"/>
      <c r="O510" s="127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127"/>
      <c r="O511" s="127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127"/>
      <c r="O512" s="127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127"/>
      <c r="O513" s="127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127"/>
      <c r="O514" s="127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127"/>
      <c r="O515" s="127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127"/>
      <c r="O516" s="127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127"/>
      <c r="O517" s="127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127"/>
      <c r="O518" s="127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127"/>
      <c r="O519" s="127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127"/>
      <c r="O520" s="127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127"/>
      <c r="O521" s="127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127"/>
      <c r="O522" s="127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127"/>
      <c r="O523" s="127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127"/>
      <c r="O524" s="127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127"/>
      <c r="O525" s="127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127"/>
      <c r="O526" s="127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127"/>
      <c r="O527" s="127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127"/>
      <c r="O528" s="127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127"/>
      <c r="O529" s="127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127"/>
      <c r="O530" s="127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127"/>
      <c r="O531" s="127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127"/>
      <c r="O532" s="127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127"/>
      <c r="O533" s="127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127"/>
      <c r="O534" s="127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127"/>
      <c r="O535" s="127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127"/>
      <c r="O536" s="127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127"/>
      <c r="O537" s="127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127"/>
      <c r="O538" s="127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127"/>
      <c r="O539" s="127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127"/>
      <c r="O540" s="127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127"/>
      <c r="O541" s="127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127"/>
      <c r="O542" s="127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127"/>
      <c r="O543" s="127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127"/>
      <c r="O544" s="127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127"/>
      <c r="O545" s="127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127"/>
      <c r="O546" s="127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127"/>
      <c r="O547" s="127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127"/>
      <c r="O548" s="127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127"/>
      <c r="O549" s="127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127"/>
      <c r="O550" s="127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127"/>
      <c r="O551" s="127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127"/>
      <c r="O552" s="127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127"/>
      <c r="O553" s="127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127"/>
      <c r="O554" s="127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127"/>
      <c r="O555" s="127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127"/>
      <c r="O556" s="127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127"/>
      <c r="O557" s="127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127"/>
      <c r="O558" s="127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127"/>
      <c r="O559" s="127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127"/>
      <c r="O560" s="127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127"/>
      <c r="O561" s="127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127"/>
      <c r="O562" s="127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127"/>
      <c r="O563" s="127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127"/>
      <c r="O564" s="127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127"/>
      <c r="O565" s="127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127"/>
      <c r="O566" s="127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127"/>
      <c r="O567" s="127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127"/>
      <c r="O568" s="127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127"/>
      <c r="O569" s="127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127"/>
      <c r="O570" s="127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127"/>
      <c r="O571" s="127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127"/>
      <c r="O572" s="127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127"/>
      <c r="O573" s="127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127"/>
      <c r="O574" s="127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127"/>
      <c r="O575" s="127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127"/>
      <c r="O576" s="127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127"/>
      <c r="O577" s="127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127"/>
      <c r="O578" s="127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127"/>
      <c r="O579" s="127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127"/>
      <c r="O580" s="127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127"/>
      <c r="O581" s="127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127"/>
      <c r="O582" s="127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127"/>
      <c r="O583" s="127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127"/>
      <c r="O584" s="127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127"/>
      <c r="O585" s="127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127"/>
      <c r="O586" s="127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127"/>
      <c r="O587" s="127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127"/>
      <c r="O588" s="127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127"/>
      <c r="O589" s="127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127"/>
      <c r="O590" s="127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127"/>
      <c r="O591" s="127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127"/>
      <c r="O592" s="127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127"/>
      <c r="O593" s="127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127"/>
      <c r="O594" s="127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127"/>
      <c r="O595" s="127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127"/>
      <c r="O596" s="127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127"/>
      <c r="O597" s="127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127"/>
      <c r="O598" s="127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127"/>
      <c r="O599" s="127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127"/>
      <c r="O600" s="127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127"/>
      <c r="O601" s="127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127"/>
      <c r="O602" s="127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127"/>
      <c r="O603" s="127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127"/>
      <c r="O604" s="127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127"/>
      <c r="O605" s="127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127"/>
      <c r="O606" s="127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127"/>
      <c r="O607" s="127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127"/>
      <c r="O608" s="127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127"/>
      <c r="O609" s="127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127"/>
      <c r="O610" s="127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127"/>
      <c r="O611" s="127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127"/>
      <c r="O612" s="127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127"/>
      <c r="O613" s="127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127"/>
      <c r="O614" s="127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127"/>
      <c r="O615" s="127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127"/>
      <c r="O616" s="127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127"/>
      <c r="O617" s="127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127"/>
      <c r="O618" s="127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127"/>
      <c r="O619" s="127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127"/>
      <c r="O620" s="127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127"/>
      <c r="O621" s="127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127"/>
      <c r="O622" s="127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127"/>
      <c r="O623" s="127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127"/>
      <c r="O624" s="127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127"/>
      <c r="O625" s="127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127"/>
      <c r="O626" s="127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127"/>
      <c r="O627" s="127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127"/>
      <c r="O628" s="127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127"/>
      <c r="O629" s="127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127"/>
      <c r="O630" s="127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127"/>
      <c r="O631" s="127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127"/>
      <c r="O632" s="127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127"/>
      <c r="O633" s="127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127"/>
      <c r="O634" s="127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127"/>
      <c r="O635" s="127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127"/>
      <c r="O636" s="127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127"/>
      <c r="O637" s="127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127"/>
      <c r="O638" s="127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127"/>
      <c r="O639" s="127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127"/>
      <c r="O640" s="127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127"/>
      <c r="O641" s="127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127"/>
      <c r="O642" s="127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127"/>
      <c r="O643" s="127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127"/>
      <c r="O644" s="127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127"/>
      <c r="O645" s="127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127"/>
      <c r="O646" s="127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127"/>
      <c r="O647" s="127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127"/>
      <c r="O648" s="127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127"/>
      <c r="O649" s="127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127"/>
      <c r="O650" s="127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127"/>
      <c r="O651" s="127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127"/>
      <c r="O652" s="127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127"/>
      <c r="O653" s="127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127"/>
      <c r="O654" s="127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127"/>
      <c r="O655" s="127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127"/>
      <c r="O656" s="127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127"/>
      <c r="O657" s="127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127"/>
      <c r="O658" s="127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127"/>
      <c r="O659" s="127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127"/>
      <c r="O660" s="127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127"/>
      <c r="O661" s="127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127"/>
      <c r="O662" s="127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127"/>
      <c r="O663" s="127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127"/>
      <c r="O664" s="127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127"/>
      <c r="O665" s="127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127"/>
      <c r="O666" s="127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127"/>
      <c r="O667" s="127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127"/>
      <c r="O668" s="127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127"/>
      <c r="O669" s="127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127"/>
      <c r="O670" s="127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127"/>
      <c r="O671" s="127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127"/>
      <c r="O672" s="127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127"/>
      <c r="O673" s="127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127"/>
      <c r="O674" s="127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127"/>
      <c r="O675" s="127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127"/>
      <c r="O676" s="127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127"/>
      <c r="O677" s="127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127"/>
      <c r="O678" s="127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127"/>
      <c r="O679" s="127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127"/>
      <c r="O680" s="127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127"/>
      <c r="O681" s="127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127"/>
      <c r="O682" s="127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127"/>
      <c r="O683" s="127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127"/>
      <c r="O684" s="127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127"/>
      <c r="O685" s="127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127"/>
      <c r="O686" s="127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127"/>
      <c r="O687" s="127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127"/>
      <c r="O688" s="127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127"/>
      <c r="O689" s="127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127"/>
      <c r="O690" s="127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127"/>
      <c r="O691" s="127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127"/>
      <c r="O692" s="127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127"/>
      <c r="O693" s="127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127"/>
      <c r="O694" s="127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127"/>
      <c r="O695" s="127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127"/>
      <c r="O696" s="127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127"/>
      <c r="O697" s="127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127"/>
      <c r="O698" s="127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127"/>
      <c r="O699" s="127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127"/>
      <c r="O700" s="127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127"/>
      <c r="O701" s="127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127"/>
      <c r="O702" s="127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127"/>
      <c r="O703" s="127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127"/>
      <c r="O704" s="127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127"/>
      <c r="O705" s="127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127"/>
      <c r="O706" s="127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127"/>
      <c r="O707" s="127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127"/>
      <c r="O708" s="127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127"/>
      <c r="O709" s="127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127"/>
      <c r="O710" s="127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127"/>
      <c r="O711" s="127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127"/>
      <c r="O712" s="127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127"/>
      <c r="O713" s="127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127"/>
      <c r="O714" s="127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127"/>
      <c r="O715" s="127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127"/>
      <c r="O716" s="127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127"/>
      <c r="O717" s="127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127"/>
      <c r="O718" s="127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127"/>
      <c r="O719" s="127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127"/>
      <c r="O720" s="127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127"/>
      <c r="O721" s="127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127"/>
      <c r="O722" s="127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127"/>
      <c r="O723" s="127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127"/>
      <c r="O724" s="127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127"/>
      <c r="O725" s="127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127"/>
      <c r="O726" s="127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127"/>
      <c r="O727" s="127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127"/>
      <c r="O728" s="127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127"/>
      <c r="O729" s="127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127"/>
      <c r="O730" s="127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127"/>
      <c r="O731" s="127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127"/>
      <c r="O732" s="127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127"/>
      <c r="O733" s="127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127"/>
      <c r="O734" s="127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127"/>
      <c r="O735" s="127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127"/>
      <c r="O736" s="127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127"/>
      <c r="O737" s="127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127"/>
      <c r="O738" s="127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127"/>
      <c r="O739" s="127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127"/>
      <c r="O740" s="127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127"/>
      <c r="O741" s="127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127"/>
      <c r="O742" s="127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127"/>
      <c r="O743" s="127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127"/>
      <c r="O744" s="127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127"/>
      <c r="O745" s="127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127"/>
      <c r="O746" s="127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127"/>
      <c r="O747" s="127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127"/>
      <c r="O748" s="127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127"/>
      <c r="O749" s="127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127"/>
      <c r="O750" s="127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127"/>
      <c r="O751" s="127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127"/>
      <c r="O752" s="127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127"/>
      <c r="O753" s="127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127"/>
      <c r="O754" s="127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127"/>
      <c r="O755" s="127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127"/>
      <c r="O756" s="127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127"/>
      <c r="O757" s="127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127"/>
      <c r="O758" s="127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127"/>
      <c r="O759" s="127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127"/>
      <c r="O760" s="127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127"/>
      <c r="O761" s="127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127"/>
      <c r="O762" s="127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127"/>
      <c r="O763" s="127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127"/>
      <c r="O764" s="127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127"/>
      <c r="O765" s="127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127"/>
      <c r="O766" s="127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127"/>
      <c r="O767" s="127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127"/>
      <c r="O768" s="127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127"/>
      <c r="O769" s="127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127"/>
      <c r="O770" s="127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127"/>
      <c r="O771" s="127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127"/>
      <c r="O772" s="127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127"/>
      <c r="O773" s="127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127"/>
      <c r="O774" s="127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127"/>
      <c r="O775" s="127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127"/>
      <c r="O776" s="127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127"/>
      <c r="O777" s="127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127"/>
      <c r="O778" s="127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127"/>
      <c r="O779" s="127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127"/>
      <c r="O780" s="127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127"/>
      <c r="O781" s="127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127"/>
      <c r="O782" s="127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127"/>
      <c r="O783" s="127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127"/>
      <c r="O784" s="127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127"/>
      <c r="O785" s="127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127"/>
      <c r="O786" s="127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127"/>
      <c r="O787" s="127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127"/>
      <c r="O788" s="127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127"/>
      <c r="O789" s="127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127"/>
      <c r="O790" s="127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127"/>
      <c r="O791" s="127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127"/>
      <c r="O792" s="127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127"/>
      <c r="O793" s="127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127"/>
      <c r="O794" s="127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127"/>
      <c r="O795" s="127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127"/>
      <c r="O796" s="127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127"/>
      <c r="O797" s="127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127"/>
      <c r="O798" s="127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127"/>
      <c r="O799" s="127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127"/>
      <c r="O800" s="127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127"/>
      <c r="O801" s="127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127"/>
      <c r="O802" s="127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127"/>
      <c r="O803" s="127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127"/>
      <c r="O804" s="127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127"/>
      <c r="O805" s="127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127"/>
      <c r="O806" s="127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127"/>
      <c r="O807" s="127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127"/>
      <c r="O808" s="127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127"/>
      <c r="O809" s="127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127"/>
      <c r="O810" s="127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127"/>
      <c r="O811" s="127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127"/>
      <c r="O812" s="127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127"/>
      <c r="O813" s="127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127"/>
      <c r="O814" s="127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127"/>
      <c r="O815" s="127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127"/>
      <c r="O816" s="127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127"/>
      <c r="O817" s="127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127"/>
      <c r="O818" s="127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127"/>
      <c r="O819" s="127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127"/>
      <c r="O820" s="127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127"/>
      <c r="O821" s="127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127"/>
      <c r="O822" s="127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127"/>
      <c r="O823" s="127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127"/>
      <c r="O824" s="127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127"/>
      <c r="O825" s="127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127"/>
      <c r="O826" s="127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127"/>
      <c r="O827" s="127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127"/>
      <c r="O828" s="127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127"/>
      <c r="O829" s="127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127"/>
      <c r="O830" s="127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127"/>
      <c r="O831" s="127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127"/>
      <c r="O832" s="127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127"/>
      <c r="O833" s="127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127"/>
      <c r="O834" s="127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127"/>
      <c r="O835" s="127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127"/>
      <c r="O836" s="127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127"/>
      <c r="O837" s="127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127"/>
      <c r="O838" s="127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127"/>
      <c r="O839" s="127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127"/>
      <c r="O840" s="127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127"/>
      <c r="O841" s="127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127"/>
      <c r="O842" s="127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127"/>
      <c r="O843" s="127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127"/>
      <c r="O844" s="127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127"/>
      <c r="O845" s="127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127"/>
      <c r="O846" s="127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127"/>
      <c r="O847" s="127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127"/>
      <c r="O848" s="127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127"/>
      <c r="O849" s="127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127"/>
      <c r="O850" s="127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127"/>
      <c r="O851" s="127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127"/>
      <c r="O852" s="127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127"/>
      <c r="O853" s="127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127"/>
      <c r="O854" s="127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127"/>
      <c r="O855" s="127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127"/>
      <c r="O856" s="127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127"/>
      <c r="O857" s="127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127"/>
      <c r="O858" s="127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127"/>
      <c r="O859" s="127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127"/>
      <c r="O860" s="127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127"/>
      <c r="O861" s="127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127"/>
      <c r="O862" s="127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127"/>
      <c r="O863" s="127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127"/>
      <c r="O864" s="127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127"/>
      <c r="O865" s="127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127"/>
      <c r="O866" s="127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127"/>
      <c r="O867" s="127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127"/>
      <c r="O868" s="127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127"/>
      <c r="O869" s="127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127"/>
      <c r="O870" s="127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127"/>
      <c r="O871" s="127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127"/>
      <c r="O872" s="127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127"/>
      <c r="O873" s="127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127"/>
      <c r="O874" s="127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127"/>
      <c r="O875" s="127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127"/>
      <c r="O876" s="127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127"/>
      <c r="O877" s="127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127"/>
      <c r="O878" s="127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127"/>
      <c r="O879" s="127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127"/>
      <c r="O880" s="127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127"/>
      <c r="O881" s="127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127"/>
      <c r="O882" s="127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127"/>
      <c r="O883" s="127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127"/>
      <c r="O884" s="127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127"/>
      <c r="O885" s="127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127"/>
      <c r="O886" s="127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127"/>
      <c r="O887" s="127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127"/>
      <c r="O888" s="127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127"/>
      <c r="O889" s="127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127"/>
      <c r="O890" s="127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127"/>
      <c r="O891" s="127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127"/>
      <c r="O892" s="127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127"/>
      <c r="O893" s="127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127"/>
      <c r="O894" s="127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127"/>
      <c r="O895" s="127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127"/>
      <c r="O896" s="127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127"/>
      <c r="O897" s="127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127"/>
      <c r="O898" s="127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127"/>
      <c r="O899" s="127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127"/>
      <c r="O900" s="127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127"/>
      <c r="O901" s="127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127"/>
      <c r="O902" s="127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127"/>
      <c r="O903" s="127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127"/>
      <c r="O904" s="127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127"/>
      <c r="O905" s="127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127"/>
      <c r="O906" s="127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127"/>
      <c r="O907" s="127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127"/>
      <c r="O908" s="127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127"/>
      <c r="O909" s="127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127"/>
      <c r="O910" s="127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127"/>
      <c r="O911" s="127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127"/>
      <c r="O912" s="127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127"/>
      <c r="O913" s="127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127"/>
      <c r="O914" s="127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127"/>
      <c r="O915" s="127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127"/>
      <c r="O916" s="127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127"/>
      <c r="O917" s="127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127"/>
      <c r="O918" s="127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127"/>
      <c r="O919" s="127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127"/>
      <c r="O920" s="127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127"/>
      <c r="O921" s="127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127"/>
      <c r="O922" s="127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127"/>
      <c r="O923" s="127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127"/>
      <c r="O924" s="127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127"/>
      <c r="O925" s="127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127"/>
      <c r="O926" s="127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127"/>
      <c r="O927" s="127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127"/>
      <c r="O928" s="127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127"/>
      <c r="O929" s="127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127"/>
      <c r="O930" s="127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127"/>
      <c r="O931" s="127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127"/>
      <c r="O932" s="127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127"/>
      <c r="O933" s="127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127"/>
      <c r="O934" s="127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127"/>
      <c r="O935" s="127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127"/>
      <c r="O936" s="127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127"/>
      <c r="O937" s="127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127"/>
      <c r="O938" s="127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127"/>
      <c r="O939" s="127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127"/>
      <c r="O940" s="127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127"/>
      <c r="O941" s="127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127"/>
      <c r="O942" s="127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127"/>
      <c r="O943" s="127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127"/>
      <c r="O944" s="127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127"/>
      <c r="O945" s="127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127"/>
      <c r="O946" s="127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127"/>
      <c r="O947" s="127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127"/>
      <c r="O948" s="127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127"/>
      <c r="O949" s="127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127"/>
      <c r="O950" s="127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127"/>
      <c r="O951" s="127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127"/>
      <c r="O952" s="127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127"/>
      <c r="O953" s="127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127"/>
      <c r="O954" s="127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127"/>
      <c r="O955" s="127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127"/>
      <c r="O956" s="127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127"/>
      <c r="O957" s="127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127"/>
      <c r="O958" s="127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127"/>
      <c r="O959" s="127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127"/>
      <c r="O960" s="127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127"/>
      <c r="O961" s="127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127"/>
      <c r="O962" s="127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127"/>
      <c r="O963" s="127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127"/>
      <c r="O964" s="127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127"/>
      <c r="O965" s="127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127"/>
      <c r="O966" s="127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127"/>
      <c r="O967" s="127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127"/>
      <c r="O968" s="127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127"/>
      <c r="O969" s="127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127"/>
      <c r="O970" s="127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127"/>
      <c r="O971" s="127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127"/>
      <c r="O972" s="127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127"/>
      <c r="O973" s="127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127"/>
      <c r="O974" s="127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127"/>
      <c r="O975" s="127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127"/>
      <c r="O976" s="127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127"/>
      <c r="O977" s="127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127"/>
      <c r="O978" s="127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127"/>
      <c r="O979" s="127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127"/>
      <c r="O980" s="127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127"/>
      <c r="O981" s="127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127"/>
      <c r="O982" s="127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127"/>
      <c r="O983" s="127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127"/>
      <c r="O984" s="127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127"/>
      <c r="O985" s="127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127"/>
      <c r="O986" s="127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127"/>
      <c r="O987" s="127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127"/>
      <c r="O988" s="127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127"/>
      <c r="O989" s="127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127"/>
      <c r="O990" s="127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127"/>
      <c r="O991" s="127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127"/>
      <c r="O992" s="127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127"/>
      <c r="O993" s="127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127"/>
      <c r="O994" s="127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127"/>
      <c r="O995" s="127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127"/>
      <c r="O996" s="127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127"/>
      <c r="O997" s="127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127"/>
      <c r="O998" s="127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127"/>
      <c r="O999" s="127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127"/>
      <c r="O1000" s="127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7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A81:E81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9.29"/>
    <col customWidth="1" min="5" max="11" width="10.71"/>
    <col customWidth="1" min="12" max="12" width="8.14"/>
    <col customWidth="1" min="13" max="13" width="11.43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70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156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157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189" t="s">
        <v>158</v>
      </c>
      <c r="E7" s="83" t="s">
        <v>26</v>
      </c>
      <c r="F7" s="83" t="s">
        <v>26</v>
      </c>
      <c r="G7" s="83">
        <v>3.78</v>
      </c>
      <c r="H7" s="83" t="s">
        <v>26</v>
      </c>
      <c r="I7" s="83" t="s">
        <v>26</v>
      </c>
      <c r="J7" s="83" t="s">
        <v>26</v>
      </c>
      <c r="K7" s="83" t="s">
        <v>26</v>
      </c>
      <c r="L7" s="83">
        <v>3.61</v>
      </c>
      <c r="M7" s="84">
        <v>2.24</v>
      </c>
      <c r="N7" s="83">
        <v>0.76</v>
      </c>
      <c r="O7" s="83">
        <v>1.09</v>
      </c>
      <c r="P7" s="83">
        <v>1.02</v>
      </c>
      <c r="Q7" s="190">
        <f t="shared" ref="Q7:Q21" si="1">AVERAGE(E7,F7,G7,H7,I7,J7,K7,L7,M7,N7,O7,P7)</f>
        <v>2.083333333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91" t="s">
        <v>159</v>
      </c>
      <c r="E8" s="85" t="s">
        <v>26</v>
      </c>
      <c r="F8" s="85" t="s">
        <v>26</v>
      </c>
      <c r="G8" s="85">
        <v>3.01</v>
      </c>
      <c r="H8" s="85" t="s">
        <v>26</v>
      </c>
      <c r="I8" s="85" t="s">
        <v>26</v>
      </c>
      <c r="J8" s="85" t="s">
        <v>26</v>
      </c>
      <c r="K8" s="85" t="s">
        <v>26</v>
      </c>
      <c r="L8" s="85">
        <v>3.06</v>
      </c>
      <c r="M8" s="24">
        <v>3.9</v>
      </c>
      <c r="N8" s="24">
        <v>0.69</v>
      </c>
      <c r="O8" s="85">
        <v>0.97</v>
      </c>
      <c r="P8" s="85">
        <v>0.91</v>
      </c>
      <c r="Q8" s="192">
        <f t="shared" si="1"/>
        <v>2.09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91" t="s">
        <v>160</v>
      </c>
      <c r="E9" s="85" t="s">
        <v>26</v>
      </c>
      <c r="F9" s="24" t="s">
        <v>26</v>
      </c>
      <c r="G9" s="85">
        <v>3.86</v>
      </c>
      <c r="H9" s="24" t="s">
        <v>26</v>
      </c>
      <c r="I9" s="24" t="s">
        <v>26</v>
      </c>
      <c r="J9" s="24" t="s">
        <v>26</v>
      </c>
      <c r="K9" s="24" t="s">
        <v>26</v>
      </c>
      <c r="L9" s="85">
        <v>1.61</v>
      </c>
      <c r="M9" s="85">
        <v>3.47</v>
      </c>
      <c r="N9" s="85">
        <v>1.11</v>
      </c>
      <c r="O9" s="85">
        <v>1.16</v>
      </c>
      <c r="P9" s="85">
        <v>0.92</v>
      </c>
      <c r="Q9" s="192">
        <f t="shared" si="1"/>
        <v>2.021666667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193" t="s">
        <v>158</v>
      </c>
      <c r="E10" s="83">
        <v>67.0</v>
      </c>
      <c r="F10" s="83" t="s">
        <v>26</v>
      </c>
      <c r="G10" s="83">
        <v>161.0</v>
      </c>
      <c r="H10" s="83" t="s">
        <v>26</v>
      </c>
      <c r="I10" s="83" t="s">
        <v>26</v>
      </c>
      <c r="J10" s="83" t="s">
        <v>26</v>
      </c>
      <c r="K10" s="83" t="s">
        <v>26</v>
      </c>
      <c r="L10" s="83">
        <v>37.0</v>
      </c>
      <c r="M10" s="120">
        <v>27.0</v>
      </c>
      <c r="N10" s="120">
        <v>18.0</v>
      </c>
      <c r="O10" s="120">
        <v>29.0</v>
      </c>
      <c r="P10" s="120">
        <v>18.0</v>
      </c>
      <c r="Q10" s="194">
        <f t="shared" si="1"/>
        <v>51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91" t="s">
        <v>159</v>
      </c>
      <c r="E11" s="85">
        <v>44.0</v>
      </c>
      <c r="F11" s="85" t="s">
        <v>26</v>
      </c>
      <c r="G11" s="85">
        <v>82.0</v>
      </c>
      <c r="H11" s="85" t="s">
        <v>26</v>
      </c>
      <c r="I11" s="85" t="s">
        <v>26</v>
      </c>
      <c r="J11" s="85" t="s">
        <v>26</v>
      </c>
      <c r="K11" s="85" t="s">
        <v>26</v>
      </c>
      <c r="L11" s="85">
        <v>73.0</v>
      </c>
      <c r="M11" s="85">
        <v>30.0</v>
      </c>
      <c r="N11" s="85">
        <v>27.0</v>
      </c>
      <c r="O11" s="85">
        <v>19.0</v>
      </c>
      <c r="P11" s="85">
        <v>19.0</v>
      </c>
      <c r="Q11" s="195">
        <f t="shared" si="1"/>
        <v>42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91" t="s">
        <v>160</v>
      </c>
      <c r="E12" s="85">
        <v>56.0</v>
      </c>
      <c r="F12" s="24" t="s">
        <v>26</v>
      </c>
      <c r="G12" s="29">
        <v>202.0</v>
      </c>
      <c r="H12" s="24" t="s">
        <v>26</v>
      </c>
      <c r="I12" s="24" t="s">
        <v>26</v>
      </c>
      <c r="J12" s="24" t="s">
        <v>26</v>
      </c>
      <c r="K12" s="24" t="s">
        <v>26</v>
      </c>
      <c r="L12" s="29">
        <v>27.0</v>
      </c>
      <c r="M12" s="85">
        <v>27.0</v>
      </c>
      <c r="N12" s="85">
        <v>17.0</v>
      </c>
      <c r="O12" s="85">
        <v>29.0</v>
      </c>
      <c r="P12" s="85">
        <v>14.0</v>
      </c>
      <c r="Q12" s="195">
        <f t="shared" si="1"/>
        <v>53.14285714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193" t="s">
        <v>158</v>
      </c>
      <c r="E13" s="83" t="s">
        <v>26</v>
      </c>
      <c r="F13" s="83" t="s">
        <v>26</v>
      </c>
      <c r="G13" s="120">
        <v>7.79</v>
      </c>
      <c r="H13" s="83" t="s">
        <v>26</v>
      </c>
      <c r="I13" s="83" t="s">
        <v>26</v>
      </c>
      <c r="J13" s="83" t="s">
        <v>26</v>
      </c>
      <c r="K13" s="83" t="s">
        <v>26</v>
      </c>
      <c r="L13" s="120">
        <v>8.16</v>
      </c>
      <c r="M13" s="120">
        <v>7.07</v>
      </c>
      <c r="N13" s="120">
        <v>7.67</v>
      </c>
      <c r="O13" s="120">
        <v>7.72</v>
      </c>
      <c r="P13" s="120">
        <v>7.34</v>
      </c>
      <c r="Q13" s="190">
        <f t="shared" si="1"/>
        <v>7.625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91" t="s">
        <v>159</v>
      </c>
      <c r="E14" s="85" t="s">
        <v>26</v>
      </c>
      <c r="F14" s="85" t="s">
        <v>26</v>
      </c>
      <c r="G14" s="85">
        <v>7.85</v>
      </c>
      <c r="H14" s="85" t="s">
        <v>26</v>
      </c>
      <c r="I14" s="85" t="s">
        <v>26</v>
      </c>
      <c r="J14" s="85" t="s">
        <v>26</v>
      </c>
      <c r="K14" s="85" t="s">
        <v>26</v>
      </c>
      <c r="L14" s="85">
        <v>8.23</v>
      </c>
      <c r="M14" s="85">
        <v>7.05</v>
      </c>
      <c r="N14" s="85">
        <v>7.67</v>
      </c>
      <c r="O14" s="85">
        <v>7.67</v>
      </c>
      <c r="P14" s="85">
        <v>7.31</v>
      </c>
      <c r="Q14" s="192">
        <f t="shared" si="1"/>
        <v>7.63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91" t="s">
        <v>160</v>
      </c>
      <c r="E15" s="85" t="s">
        <v>26</v>
      </c>
      <c r="F15" s="24" t="s">
        <v>26</v>
      </c>
      <c r="G15" s="85">
        <v>7.83</v>
      </c>
      <c r="H15" s="24" t="s">
        <v>26</v>
      </c>
      <c r="I15" s="24" t="s">
        <v>26</v>
      </c>
      <c r="J15" s="24" t="s">
        <v>26</v>
      </c>
      <c r="K15" s="24" t="s">
        <v>26</v>
      </c>
      <c r="L15" s="85">
        <v>8.25</v>
      </c>
      <c r="M15" s="85">
        <v>7.08</v>
      </c>
      <c r="N15" s="85">
        <v>7.62</v>
      </c>
      <c r="O15" s="85">
        <v>7.74</v>
      </c>
      <c r="P15" s="24">
        <v>7.3</v>
      </c>
      <c r="Q15" s="192">
        <f t="shared" si="1"/>
        <v>7.636666667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162</v>
      </c>
      <c r="C16" s="16">
        <v>1.0</v>
      </c>
      <c r="D16" s="193" t="s">
        <v>158</v>
      </c>
      <c r="E16" s="83" t="s">
        <v>26</v>
      </c>
      <c r="F16" s="83" t="s">
        <v>26</v>
      </c>
      <c r="G16" s="18">
        <v>29.3</v>
      </c>
      <c r="H16" s="83" t="s">
        <v>26</v>
      </c>
      <c r="I16" s="83" t="s">
        <v>26</v>
      </c>
      <c r="J16" s="83" t="s">
        <v>26</v>
      </c>
      <c r="K16" s="83" t="s">
        <v>26</v>
      </c>
      <c r="L16" s="18">
        <v>31.5</v>
      </c>
      <c r="M16" s="18">
        <v>31.3</v>
      </c>
      <c r="N16" s="18">
        <v>29.2</v>
      </c>
      <c r="O16" s="120">
        <v>29.33</v>
      </c>
      <c r="P16" s="18">
        <v>29.6</v>
      </c>
      <c r="Q16" s="190">
        <f t="shared" si="1"/>
        <v>30.03833333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91" t="s">
        <v>159</v>
      </c>
      <c r="E17" s="85" t="s">
        <v>26</v>
      </c>
      <c r="F17" s="85" t="s">
        <v>26</v>
      </c>
      <c r="G17" s="24">
        <v>30.1</v>
      </c>
      <c r="H17" s="85" t="s">
        <v>26</v>
      </c>
      <c r="I17" s="85" t="s">
        <v>26</v>
      </c>
      <c r="J17" s="85" t="s">
        <v>26</v>
      </c>
      <c r="K17" s="85" t="s">
        <v>26</v>
      </c>
      <c r="L17" s="24">
        <v>30.15</v>
      </c>
      <c r="M17" s="24">
        <v>31.93</v>
      </c>
      <c r="N17" s="24">
        <v>29.68</v>
      </c>
      <c r="O17" s="24">
        <v>29.6</v>
      </c>
      <c r="P17" s="24">
        <v>29.6</v>
      </c>
      <c r="Q17" s="192">
        <f t="shared" si="1"/>
        <v>30.17666667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>
      <c r="A18" s="20"/>
      <c r="B18" s="26"/>
      <c r="C18" s="22">
        <v>3.0</v>
      </c>
      <c r="D18" s="191" t="s">
        <v>160</v>
      </c>
      <c r="E18" s="85" t="s">
        <v>26</v>
      </c>
      <c r="F18" s="24" t="s">
        <v>26</v>
      </c>
      <c r="G18" s="24">
        <v>30.0</v>
      </c>
      <c r="H18" s="24" t="s">
        <v>26</v>
      </c>
      <c r="I18" s="24" t="s">
        <v>26</v>
      </c>
      <c r="J18" s="24" t="s">
        <v>26</v>
      </c>
      <c r="K18" s="24" t="s">
        <v>26</v>
      </c>
      <c r="L18" s="24">
        <v>31.4</v>
      </c>
      <c r="M18" s="24">
        <v>31.9</v>
      </c>
      <c r="N18" s="85">
        <v>29.28</v>
      </c>
      <c r="O18" s="85">
        <v>29.68</v>
      </c>
      <c r="P18" s="24">
        <v>29.6</v>
      </c>
      <c r="Q18" s="192">
        <f t="shared" si="1"/>
        <v>30.31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193" t="s">
        <v>158</v>
      </c>
      <c r="E19" s="83">
        <v>10.0</v>
      </c>
      <c r="F19" s="83" t="s">
        <v>26</v>
      </c>
      <c r="G19" s="83">
        <v>5.0</v>
      </c>
      <c r="H19" s="83" t="s">
        <v>26</v>
      </c>
      <c r="I19" s="83" t="s">
        <v>26</v>
      </c>
      <c r="J19" s="83" t="s">
        <v>26</v>
      </c>
      <c r="K19" s="83" t="s">
        <v>26</v>
      </c>
      <c r="L19" s="83">
        <v>20.0</v>
      </c>
      <c r="M19" s="120">
        <v>10.0</v>
      </c>
      <c r="N19" s="120">
        <v>10.0</v>
      </c>
      <c r="O19" s="120">
        <v>10.0</v>
      </c>
      <c r="P19" s="120">
        <v>15.0</v>
      </c>
      <c r="Q19" s="194">
        <f t="shared" si="1"/>
        <v>11.42857143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91" t="s">
        <v>159</v>
      </c>
      <c r="E20" s="85">
        <v>10.0</v>
      </c>
      <c r="F20" s="85" t="s">
        <v>26</v>
      </c>
      <c r="G20" s="85">
        <v>5.0</v>
      </c>
      <c r="H20" s="85" t="s">
        <v>26</v>
      </c>
      <c r="I20" s="85" t="s">
        <v>26</v>
      </c>
      <c r="J20" s="85" t="s">
        <v>26</v>
      </c>
      <c r="K20" s="85" t="s">
        <v>26</v>
      </c>
      <c r="L20" s="85">
        <v>15.0</v>
      </c>
      <c r="M20" s="85">
        <v>10.0</v>
      </c>
      <c r="N20" s="85">
        <v>10.0</v>
      </c>
      <c r="O20" s="85">
        <v>10.0</v>
      </c>
      <c r="P20" s="85">
        <v>15.0</v>
      </c>
      <c r="Q20" s="195">
        <f t="shared" si="1"/>
        <v>10.71428571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91" t="s">
        <v>160</v>
      </c>
      <c r="E21" s="85">
        <v>10.0</v>
      </c>
      <c r="F21" s="24" t="s">
        <v>26</v>
      </c>
      <c r="G21" s="29">
        <v>5.0</v>
      </c>
      <c r="H21" s="24" t="s">
        <v>26</v>
      </c>
      <c r="I21" s="24" t="s">
        <v>26</v>
      </c>
      <c r="J21" s="24" t="s">
        <v>26</v>
      </c>
      <c r="K21" s="24" t="s">
        <v>26</v>
      </c>
      <c r="L21" s="29">
        <v>15.0</v>
      </c>
      <c r="M21" s="85">
        <v>10.0</v>
      </c>
      <c r="N21" s="85">
        <v>10.0</v>
      </c>
      <c r="O21" s="85">
        <v>10.0</v>
      </c>
      <c r="P21" s="85">
        <v>15.0</v>
      </c>
      <c r="Q21" s="195">
        <f t="shared" si="1"/>
        <v>10.71428571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193" t="s">
        <v>158</v>
      </c>
      <c r="E22" s="110">
        <v>2400.0</v>
      </c>
      <c r="F22" s="83" t="s">
        <v>26</v>
      </c>
      <c r="G22" s="83" t="s">
        <v>59</v>
      </c>
      <c r="H22" s="83" t="s">
        <v>26</v>
      </c>
      <c r="I22" s="83" t="s">
        <v>26</v>
      </c>
      <c r="J22" s="83" t="s">
        <v>26</v>
      </c>
      <c r="K22" s="83" t="s">
        <v>26</v>
      </c>
      <c r="L22" s="83">
        <v>790.0</v>
      </c>
      <c r="M22" s="31">
        <v>330.0</v>
      </c>
      <c r="N22" s="120">
        <v>490.0</v>
      </c>
      <c r="O22" s="120">
        <v>230.0</v>
      </c>
      <c r="P22" s="31">
        <v>9200.0</v>
      </c>
      <c r="Q22" s="196">
        <f t="shared" ref="Q22:Q24" si="2">GEOMEAN(E22,F22,G22,H22,I22,J22,K22,L22,M22,N22,O22,P22)</f>
        <v>930.4163554</v>
      </c>
      <c r="R22" s="17">
        <v>100.0</v>
      </c>
      <c r="S22" s="159">
        <f>GEOMEAN(Q22:Q24)</f>
        <v>1004.920776</v>
      </c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91" t="s">
        <v>159</v>
      </c>
      <c r="E23" s="111">
        <v>5400.0</v>
      </c>
      <c r="F23" s="85" t="s">
        <v>26</v>
      </c>
      <c r="G23" s="85" t="s">
        <v>59</v>
      </c>
      <c r="H23" s="85" t="s">
        <v>26</v>
      </c>
      <c r="I23" s="85" t="s">
        <v>26</v>
      </c>
      <c r="J23" s="85" t="s">
        <v>26</v>
      </c>
      <c r="K23" s="85" t="s">
        <v>26</v>
      </c>
      <c r="L23" s="35">
        <v>1300.0</v>
      </c>
      <c r="M23" s="35">
        <v>230.0</v>
      </c>
      <c r="N23" s="85">
        <v>490.0</v>
      </c>
      <c r="O23" s="85">
        <v>230.0</v>
      </c>
      <c r="P23" s="35">
        <v>2400.0</v>
      </c>
      <c r="Q23" s="197">
        <f t="shared" si="2"/>
        <v>871.0304768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91" t="s">
        <v>160</v>
      </c>
      <c r="E24" s="111">
        <v>3500.0</v>
      </c>
      <c r="F24" s="24" t="s">
        <v>26</v>
      </c>
      <c r="G24" s="24" t="s">
        <v>59</v>
      </c>
      <c r="H24" s="24" t="s">
        <v>26</v>
      </c>
      <c r="I24" s="24" t="s">
        <v>26</v>
      </c>
      <c r="J24" s="24" t="s">
        <v>26</v>
      </c>
      <c r="K24" s="24" t="s">
        <v>26</v>
      </c>
      <c r="L24" s="36">
        <v>3500.0</v>
      </c>
      <c r="M24" s="85">
        <v>230.0</v>
      </c>
      <c r="N24" s="35">
        <v>1700.0</v>
      </c>
      <c r="O24" s="85">
        <v>230.0</v>
      </c>
      <c r="P24" s="35">
        <v>3500.0</v>
      </c>
      <c r="Q24" s="197">
        <f t="shared" si="2"/>
        <v>1252.231971</v>
      </c>
      <c r="R24" s="23">
        <v>100.0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164</v>
      </c>
      <c r="C25" s="16">
        <v>1.0</v>
      </c>
      <c r="D25" s="193" t="s">
        <v>158</v>
      </c>
      <c r="E25" s="83">
        <v>0.303</v>
      </c>
      <c r="F25" s="83" t="s">
        <v>26</v>
      </c>
      <c r="G25" s="83">
        <v>0.424</v>
      </c>
      <c r="H25" s="83" t="s">
        <v>26</v>
      </c>
      <c r="I25" s="83" t="s">
        <v>26</v>
      </c>
      <c r="J25" s="83" t="s">
        <v>26</v>
      </c>
      <c r="K25" s="83" t="s">
        <v>26</v>
      </c>
      <c r="L25" s="90">
        <v>0.104</v>
      </c>
      <c r="M25" s="120" t="s">
        <v>40</v>
      </c>
      <c r="N25" s="120" t="s">
        <v>40</v>
      </c>
      <c r="O25" s="120">
        <v>0.224</v>
      </c>
      <c r="P25" s="183" t="s">
        <v>40</v>
      </c>
      <c r="Q25" s="198">
        <f t="shared" ref="Q25:Q27" si="3">AVERAGE(E25,F25,G25,H25,I25,J25,K25,L25,0.045,N25,O25,P25)</f>
        <v>0.22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91" t="s">
        <v>159</v>
      </c>
      <c r="E26" s="85">
        <v>0.173</v>
      </c>
      <c r="F26" s="85" t="s">
        <v>26</v>
      </c>
      <c r="G26" s="85">
        <v>0.168</v>
      </c>
      <c r="H26" s="85" t="s">
        <v>26</v>
      </c>
      <c r="I26" s="85" t="s">
        <v>26</v>
      </c>
      <c r="J26" s="85" t="s">
        <v>26</v>
      </c>
      <c r="K26" s="85" t="s">
        <v>26</v>
      </c>
      <c r="L26" s="41">
        <v>0.118</v>
      </c>
      <c r="M26" s="85" t="s">
        <v>40</v>
      </c>
      <c r="N26" s="85" t="s">
        <v>40</v>
      </c>
      <c r="O26" s="85">
        <v>0.306</v>
      </c>
      <c r="P26" s="199" t="s">
        <v>40</v>
      </c>
      <c r="Q26" s="200">
        <f t="shared" si="3"/>
        <v>0.162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91" t="s">
        <v>160</v>
      </c>
      <c r="E27" s="41">
        <v>0.18</v>
      </c>
      <c r="F27" s="24" t="s">
        <v>26</v>
      </c>
      <c r="G27" s="41">
        <v>0.345</v>
      </c>
      <c r="H27" s="24" t="s">
        <v>26</v>
      </c>
      <c r="I27" s="24" t="s">
        <v>26</v>
      </c>
      <c r="J27" s="24" t="s">
        <v>26</v>
      </c>
      <c r="K27" s="24" t="s">
        <v>26</v>
      </c>
      <c r="L27" s="41">
        <v>0.13</v>
      </c>
      <c r="M27" s="41" t="s">
        <v>40</v>
      </c>
      <c r="N27" s="85" t="s">
        <v>40</v>
      </c>
      <c r="O27" s="85">
        <v>0.274</v>
      </c>
      <c r="P27" s="199" t="s">
        <v>40</v>
      </c>
      <c r="Q27" s="200">
        <f t="shared" si="3"/>
        <v>0.1948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165</v>
      </c>
      <c r="C28" s="16">
        <v>1.0</v>
      </c>
      <c r="D28" s="193" t="s">
        <v>158</v>
      </c>
      <c r="E28" s="83">
        <v>0.581</v>
      </c>
      <c r="F28" s="83" t="s">
        <v>26</v>
      </c>
      <c r="G28" s="83">
        <v>0.256</v>
      </c>
      <c r="H28" s="83" t="s">
        <v>26</v>
      </c>
      <c r="I28" s="83" t="s">
        <v>26</v>
      </c>
      <c r="J28" s="83" t="s">
        <v>26</v>
      </c>
      <c r="K28" s="83" t="s">
        <v>26</v>
      </c>
      <c r="L28" s="83">
        <v>0.466</v>
      </c>
      <c r="M28" s="120">
        <v>0.516</v>
      </c>
      <c r="N28" s="39">
        <v>0.256</v>
      </c>
      <c r="O28" s="120">
        <v>0.105</v>
      </c>
      <c r="P28" s="120">
        <v>0.426</v>
      </c>
      <c r="Q28" s="198">
        <f t="shared" ref="Q28:Q30" si="4">AVERAGE(E28,F28,G28,H28,I28,J28,K28,L28,M28,N28,O28,P28)</f>
        <v>0.3722857143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91" t="s">
        <v>159</v>
      </c>
      <c r="E29" s="85">
        <v>0.574</v>
      </c>
      <c r="F29" s="85" t="s">
        <v>26</v>
      </c>
      <c r="G29" s="85">
        <v>0.154</v>
      </c>
      <c r="H29" s="85" t="s">
        <v>26</v>
      </c>
      <c r="I29" s="85" t="s">
        <v>26</v>
      </c>
      <c r="J29" s="85" t="s">
        <v>26</v>
      </c>
      <c r="K29" s="85" t="s">
        <v>26</v>
      </c>
      <c r="L29" s="85">
        <v>0.463</v>
      </c>
      <c r="M29" s="41">
        <v>0.47</v>
      </c>
      <c r="N29" s="41">
        <v>0.21</v>
      </c>
      <c r="O29" s="85">
        <v>0.177</v>
      </c>
      <c r="P29" s="85">
        <v>0.379</v>
      </c>
      <c r="Q29" s="200">
        <f t="shared" si="4"/>
        <v>0.3467142857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91" t="s">
        <v>160</v>
      </c>
      <c r="E30" s="85">
        <v>0.593</v>
      </c>
      <c r="F30" s="24" t="s">
        <v>26</v>
      </c>
      <c r="G30" s="41">
        <v>0.173</v>
      </c>
      <c r="H30" s="24" t="s">
        <v>26</v>
      </c>
      <c r="I30" s="24" t="s">
        <v>26</v>
      </c>
      <c r="J30" s="24" t="s">
        <v>26</v>
      </c>
      <c r="K30" s="24" t="s">
        <v>26</v>
      </c>
      <c r="L30" s="41">
        <v>0.439</v>
      </c>
      <c r="M30" s="85">
        <v>0.362</v>
      </c>
      <c r="N30" s="41">
        <v>0.46</v>
      </c>
      <c r="O30" s="85">
        <v>0.148</v>
      </c>
      <c r="P30" s="85">
        <v>0.413</v>
      </c>
      <c r="Q30" s="200">
        <f t="shared" si="4"/>
        <v>0.3697142857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193" t="s">
        <v>158</v>
      </c>
      <c r="E31" s="201"/>
      <c r="F31" s="83" t="s">
        <v>26</v>
      </c>
      <c r="G31" s="201"/>
      <c r="H31" s="183" t="s">
        <v>166</v>
      </c>
      <c r="I31" s="201"/>
      <c r="J31" s="201"/>
      <c r="K31" s="201"/>
      <c r="L31" s="201"/>
      <c r="M31" s="201"/>
      <c r="N31" s="202"/>
      <c r="O31" s="202"/>
      <c r="P31" s="202"/>
      <c r="Q31" s="40" t="str">
        <f t="shared" ref="Q31:Q33" si="5">AVERAGE(I31)</f>
        <v>#DIV/0!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191" t="s">
        <v>159</v>
      </c>
      <c r="E32" s="20"/>
      <c r="F32" s="85" t="s">
        <v>26</v>
      </c>
      <c r="G32" s="20"/>
      <c r="H32" s="199" t="s">
        <v>167</v>
      </c>
      <c r="I32" s="20"/>
      <c r="J32" s="20"/>
      <c r="K32" s="20"/>
      <c r="L32" s="20"/>
      <c r="M32" s="20"/>
      <c r="N32" s="203"/>
      <c r="O32" s="203"/>
      <c r="P32" s="203"/>
      <c r="Q32" s="42" t="str">
        <f t="shared" si="5"/>
        <v>#DIV/0!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191" t="s">
        <v>160</v>
      </c>
      <c r="E33" s="20"/>
      <c r="F33" s="24" t="s">
        <v>26</v>
      </c>
      <c r="G33" s="20"/>
      <c r="H33" s="199" t="s">
        <v>168</v>
      </c>
      <c r="I33" s="20"/>
      <c r="J33" s="20"/>
      <c r="K33" s="20"/>
      <c r="L33" s="20"/>
      <c r="M33" s="20"/>
      <c r="N33" s="203"/>
      <c r="O33" s="203"/>
      <c r="P33" s="203"/>
      <c r="Q33" s="42" t="str">
        <f t="shared" si="5"/>
        <v>#DIV/0!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127"/>
      <c r="M34" s="127"/>
      <c r="N34" s="127"/>
      <c r="O34" s="127"/>
      <c r="P34" s="127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44" t="s">
        <v>43</v>
      </c>
      <c r="D35" s="72"/>
      <c r="E35" s="72"/>
      <c r="F35" s="72"/>
      <c r="G35" s="72"/>
      <c r="H35" s="72"/>
      <c r="I35" s="72"/>
      <c r="J35" s="72"/>
      <c r="K35" s="72"/>
      <c r="L35" s="127"/>
      <c r="M35" s="127"/>
      <c r="N35" s="127"/>
      <c r="O35" s="127"/>
      <c r="P35" s="127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D36" s="72"/>
      <c r="E36" s="72"/>
      <c r="F36" s="72"/>
      <c r="G36" s="72"/>
      <c r="H36" s="72"/>
      <c r="I36" s="72"/>
      <c r="J36" s="72"/>
      <c r="K36" s="72"/>
      <c r="L36" s="127"/>
      <c r="M36" s="127"/>
      <c r="N36" s="127"/>
      <c r="O36" s="127"/>
      <c r="P36" s="127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93" t="s">
        <v>169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127"/>
      <c r="O37" s="127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127"/>
      <c r="O38" s="127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127"/>
      <c r="O39" s="127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127"/>
      <c r="N40" s="127"/>
      <c r="O40" s="127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127"/>
      <c r="N41" s="127"/>
      <c r="O41" s="127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127"/>
      <c r="N42" s="127"/>
      <c r="O42" s="127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127"/>
      <c r="N43" s="127"/>
      <c r="O43" s="127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127"/>
      <c r="O44" s="127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127"/>
      <c r="O45" s="127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127"/>
      <c r="O46" s="127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127"/>
      <c r="O47" s="127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127"/>
      <c r="O48" s="127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127"/>
      <c r="O49" s="127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127"/>
      <c r="O50" s="127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127"/>
      <c r="O51" s="127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127"/>
      <c r="O52" s="127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127"/>
      <c r="O53" s="127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127"/>
      <c r="O54" s="127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127"/>
      <c r="O55" s="127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127"/>
      <c r="O56" s="127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127"/>
      <c r="O57" s="127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127"/>
      <c r="O58" s="127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127"/>
      <c r="O59" s="127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127"/>
      <c r="O60" s="127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127"/>
      <c r="O61" s="127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127"/>
      <c r="O62" s="127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127"/>
      <c r="O63" s="127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127"/>
      <c r="O64" s="127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127"/>
      <c r="O65" s="127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127"/>
      <c r="O66" s="127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127"/>
      <c r="O67" s="127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127"/>
      <c r="O68" s="127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127"/>
      <c r="O69" s="127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127"/>
      <c r="O70" s="127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127"/>
      <c r="O71" s="127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127"/>
      <c r="O72" s="127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127"/>
      <c r="O73" s="127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127"/>
      <c r="O74" s="127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127"/>
      <c r="O75" s="127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127"/>
      <c r="O76" s="127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127"/>
      <c r="O77" s="127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127"/>
      <c r="O78" s="127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127"/>
      <c r="O79" s="127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127"/>
      <c r="O80" s="127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127"/>
      <c r="O81" s="127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127"/>
      <c r="O82" s="127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127"/>
      <c r="O83" s="127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127"/>
      <c r="O84" s="127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127"/>
      <c r="O85" s="127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127"/>
      <c r="O86" s="127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127"/>
      <c r="O87" s="127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127"/>
      <c r="O88" s="127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127"/>
      <c r="O89" s="127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127"/>
      <c r="O90" s="127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127"/>
      <c r="O91" s="127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127"/>
      <c r="O92" s="127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127"/>
      <c r="O93" s="127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127"/>
      <c r="O94" s="127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127"/>
      <c r="O95" s="127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127"/>
      <c r="O96" s="127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127"/>
      <c r="O97" s="127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127"/>
      <c r="O98" s="127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127"/>
      <c r="O99" s="127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127"/>
      <c r="O100" s="127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127"/>
      <c r="O101" s="127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127"/>
      <c r="O102" s="127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127"/>
      <c r="O103" s="127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127"/>
      <c r="O104" s="127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127"/>
      <c r="O105" s="127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127"/>
      <c r="O106" s="127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127"/>
      <c r="O107" s="127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127"/>
      <c r="O108" s="127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127"/>
      <c r="O109" s="127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127"/>
      <c r="O110" s="127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127"/>
      <c r="O111" s="127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127"/>
      <c r="O112" s="127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127"/>
      <c r="O113" s="127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127"/>
      <c r="O114" s="127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127"/>
      <c r="O115" s="127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127"/>
      <c r="O116" s="127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127"/>
      <c r="O117" s="127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127"/>
      <c r="O118" s="127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127"/>
      <c r="O119" s="127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127"/>
      <c r="O120" s="127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127"/>
      <c r="O121" s="127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127"/>
      <c r="O122" s="127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127"/>
      <c r="O123" s="127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127"/>
      <c r="O124" s="127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127"/>
      <c r="O125" s="127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127"/>
      <c r="O126" s="127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127"/>
      <c r="O127" s="127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127"/>
      <c r="O128" s="127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127"/>
      <c r="O129" s="127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127"/>
      <c r="O130" s="127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127"/>
      <c r="O131" s="127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127"/>
      <c r="O132" s="127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127"/>
      <c r="O133" s="127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127"/>
      <c r="O134" s="127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127"/>
      <c r="O135" s="127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127"/>
      <c r="O136" s="127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127"/>
      <c r="O137" s="127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127"/>
      <c r="O138" s="127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127"/>
      <c r="O139" s="127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127"/>
      <c r="O140" s="127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127"/>
      <c r="O141" s="127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127"/>
      <c r="O142" s="127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127"/>
      <c r="O143" s="127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127"/>
      <c r="O144" s="127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127"/>
      <c r="O145" s="127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127"/>
      <c r="O146" s="127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127"/>
      <c r="O147" s="127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127"/>
      <c r="O148" s="127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127"/>
      <c r="O149" s="127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127"/>
      <c r="O150" s="127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127"/>
      <c r="O151" s="127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127"/>
      <c r="O152" s="127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127"/>
      <c r="O153" s="127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127"/>
      <c r="O154" s="127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127"/>
      <c r="O155" s="127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127"/>
      <c r="O156" s="127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127"/>
      <c r="O157" s="127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127"/>
      <c r="O158" s="127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127"/>
      <c r="O159" s="127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127"/>
      <c r="O160" s="127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127"/>
      <c r="O161" s="127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127"/>
      <c r="O162" s="127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127"/>
      <c r="O163" s="127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127"/>
      <c r="O164" s="127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127"/>
      <c r="O165" s="127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127"/>
      <c r="O166" s="127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127"/>
      <c r="O167" s="127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127"/>
      <c r="O168" s="127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127"/>
      <c r="O169" s="127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127"/>
      <c r="O170" s="127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127"/>
      <c r="O171" s="127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127"/>
      <c r="O172" s="127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127"/>
      <c r="O173" s="127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127"/>
      <c r="O174" s="127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127"/>
      <c r="O175" s="127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127"/>
      <c r="O176" s="127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127"/>
      <c r="O177" s="127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127"/>
      <c r="O178" s="127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127"/>
      <c r="O179" s="127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127"/>
      <c r="O180" s="127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127"/>
      <c r="O181" s="127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127"/>
      <c r="O182" s="127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127"/>
      <c r="O183" s="127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127"/>
      <c r="O184" s="127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127"/>
      <c r="O185" s="127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127"/>
      <c r="O186" s="127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127"/>
      <c r="O187" s="127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127"/>
      <c r="O188" s="127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127"/>
      <c r="O189" s="127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127"/>
      <c r="O190" s="127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127"/>
      <c r="O191" s="127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127"/>
      <c r="O192" s="127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127"/>
      <c r="O193" s="127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127"/>
      <c r="O194" s="127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127"/>
      <c r="O195" s="127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127"/>
      <c r="O196" s="127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127"/>
      <c r="O197" s="127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127"/>
      <c r="O198" s="127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127"/>
      <c r="O199" s="127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127"/>
      <c r="O200" s="127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127"/>
      <c r="O201" s="127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127"/>
      <c r="O202" s="127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127"/>
      <c r="O203" s="127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127"/>
      <c r="O204" s="127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127"/>
      <c r="O205" s="127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127"/>
      <c r="O206" s="127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127"/>
      <c r="O207" s="127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127"/>
      <c r="O208" s="127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127"/>
      <c r="O209" s="127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127"/>
      <c r="O210" s="127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127"/>
      <c r="O211" s="127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127"/>
      <c r="O212" s="127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127"/>
      <c r="O213" s="127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127"/>
      <c r="O214" s="127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127"/>
      <c r="O215" s="127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127"/>
      <c r="O216" s="127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127"/>
      <c r="O217" s="127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127"/>
      <c r="O218" s="127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127"/>
      <c r="O219" s="127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127"/>
      <c r="O220" s="127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127"/>
      <c r="O221" s="127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127"/>
      <c r="O222" s="127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127"/>
      <c r="O223" s="127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127"/>
      <c r="O224" s="127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127"/>
      <c r="O225" s="127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127"/>
      <c r="O226" s="127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127"/>
      <c r="O227" s="127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127"/>
      <c r="O228" s="127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127"/>
      <c r="O229" s="127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127"/>
      <c r="O230" s="127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127"/>
      <c r="O231" s="127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127"/>
      <c r="O232" s="127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127"/>
      <c r="O233" s="127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127"/>
      <c r="O234" s="127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127"/>
      <c r="O235" s="127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127"/>
      <c r="O236" s="127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127"/>
      <c r="O237" s="127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127"/>
      <c r="O238" s="127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127"/>
      <c r="O239" s="127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127"/>
      <c r="O240" s="127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127"/>
      <c r="O241" s="127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127"/>
      <c r="O242" s="127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127"/>
      <c r="O243" s="127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127"/>
      <c r="O244" s="127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127"/>
      <c r="O245" s="127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127"/>
      <c r="O246" s="127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127"/>
      <c r="O247" s="127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127"/>
      <c r="O248" s="127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127"/>
      <c r="O249" s="127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127"/>
      <c r="O250" s="127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127"/>
      <c r="O251" s="127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127"/>
      <c r="O252" s="127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127"/>
      <c r="O253" s="127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127"/>
      <c r="O254" s="127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127"/>
      <c r="O255" s="127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127"/>
      <c r="O256" s="127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127"/>
      <c r="O257" s="127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127"/>
      <c r="O258" s="127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127"/>
      <c r="O259" s="127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127"/>
      <c r="O260" s="127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127"/>
      <c r="O261" s="127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127"/>
      <c r="O262" s="127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127"/>
      <c r="O263" s="127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127"/>
      <c r="O264" s="127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127"/>
      <c r="O265" s="127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127"/>
      <c r="O266" s="127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127"/>
      <c r="O267" s="127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127"/>
      <c r="O268" s="127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127"/>
      <c r="O269" s="127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127"/>
      <c r="O270" s="127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127"/>
      <c r="O271" s="127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127"/>
      <c r="O272" s="127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127"/>
      <c r="O273" s="127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127"/>
      <c r="O274" s="127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127"/>
      <c r="O275" s="127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127"/>
      <c r="O276" s="127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127"/>
      <c r="O277" s="127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127"/>
      <c r="O278" s="127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127"/>
      <c r="O279" s="127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127"/>
      <c r="O280" s="127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127"/>
      <c r="O281" s="127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127"/>
      <c r="O282" s="127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127"/>
      <c r="O283" s="127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127"/>
      <c r="O284" s="127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127"/>
      <c r="O285" s="127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127"/>
      <c r="O286" s="127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127"/>
      <c r="O287" s="127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127"/>
      <c r="O288" s="127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127"/>
      <c r="O289" s="127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127"/>
      <c r="O290" s="127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127"/>
      <c r="O291" s="127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127"/>
      <c r="O292" s="127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127"/>
      <c r="O293" s="127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127"/>
      <c r="O294" s="127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127"/>
      <c r="O295" s="127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127"/>
      <c r="O296" s="127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127"/>
      <c r="O297" s="127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127"/>
      <c r="O298" s="127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127"/>
      <c r="O299" s="127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127"/>
      <c r="O300" s="127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127"/>
      <c r="O301" s="127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127"/>
      <c r="O302" s="127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127"/>
      <c r="O303" s="127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127"/>
      <c r="O304" s="127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127"/>
      <c r="O305" s="127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127"/>
      <c r="O306" s="127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127"/>
      <c r="O307" s="127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127"/>
      <c r="O308" s="127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127"/>
      <c r="O309" s="127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127"/>
      <c r="O310" s="127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127"/>
      <c r="O311" s="127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127"/>
      <c r="O312" s="127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127"/>
      <c r="O313" s="127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127"/>
      <c r="O314" s="127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127"/>
      <c r="O315" s="127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127"/>
      <c r="O316" s="127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127"/>
      <c r="O317" s="127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127"/>
      <c r="O318" s="127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127"/>
      <c r="O319" s="127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127"/>
      <c r="O320" s="127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127"/>
      <c r="O321" s="127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127"/>
      <c r="O322" s="127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127"/>
      <c r="O323" s="127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127"/>
      <c r="O324" s="127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127"/>
      <c r="O325" s="127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127"/>
      <c r="O326" s="127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127"/>
      <c r="O327" s="127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127"/>
      <c r="O328" s="127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127"/>
      <c r="O329" s="127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127"/>
      <c r="O330" s="127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127"/>
      <c r="O331" s="127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127"/>
      <c r="O332" s="127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127"/>
      <c r="O333" s="127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127"/>
      <c r="O334" s="127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127"/>
      <c r="O335" s="127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127"/>
      <c r="O336" s="127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127"/>
      <c r="O337" s="127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127"/>
      <c r="O338" s="127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127"/>
      <c r="O339" s="127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127"/>
      <c r="O340" s="127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127"/>
      <c r="O341" s="127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127"/>
      <c r="O342" s="127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127"/>
      <c r="O343" s="127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127"/>
      <c r="O344" s="127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127"/>
      <c r="O345" s="127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127"/>
      <c r="O346" s="127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127"/>
      <c r="O347" s="127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127"/>
      <c r="O348" s="127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127"/>
      <c r="O349" s="127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127"/>
      <c r="O350" s="127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127"/>
      <c r="O351" s="127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127"/>
      <c r="O352" s="127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127"/>
      <c r="O353" s="127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127"/>
      <c r="O354" s="127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127"/>
      <c r="O355" s="127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127"/>
      <c r="O356" s="127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127"/>
      <c r="O357" s="127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127"/>
      <c r="O358" s="127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127"/>
      <c r="O359" s="127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127"/>
      <c r="O360" s="127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127"/>
      <c r="O361" s="127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127"/>
      <c r="O362" s="127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127"/>
      <c r="O363" s="127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127"/>
      <c r="O364" s="127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127"/>
      <c r="O365" s="127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127"/>
      <c r="O366" s="127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127"/>
      <c r="O367" s="127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127"/>
      <c r="O368" s="127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127"/>
      <c r="O369" s="127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127"/>
      <c r="O370" s="127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127"/>
      <c r="O371" s="127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127"/>
      <c r="O372" s="127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127"/>
      <c r="O373" s="127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127"/>
      <c r="O374" s="127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127"/>
      <c r="O375" s="127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127"/>
      <c r="O376" s="127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127"/>
      <c r="O377" s="127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127"/>
      <c r="O378" s="127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127"/>
      <c r="O379" s="127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127"/>
      <c r="O380" s="127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127"/>
      <c r="O381" s="127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127"/>
      <c r="O382" s="127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127"/>
      <c r="O383" s="127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127"/>
      <c r="O384" s="127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127"/>
      <c r="O385" s="127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127"/>
      <c r="O386" s="127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127"/>
      <c r="O387" s="127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127"/>
      <c r="O388" s="127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127"/>
      <c r="O389" s="127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127"/>
      <c r="O390" s="127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127"/>
      <c r="O391" s="127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127"/>
      <c r="O392" s="127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127"/>
      <c r="O393" s="127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127"/>
      <c r="O394" s="127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127"/>
      <c r="O395" s="127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127"/>
      <c r="O396" s="127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127"/>
      <c r="O397" s="127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127"/>
      <c r="O398" s="127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127"/>
      <c r="O399" s="127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127"/>
      <c r="O400" s="127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127"/>
      <c r="O401" s="127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127"/>
      <c r="O402" s="127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127"/>
      <c r="O403" s="127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127"/>
      <c r="O404" s="127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127"/>
      <c r="O405" s="127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127"/>
      <c r="O406" s="127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127"/>
      <c r="O407" s="127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127"/>
      <c r="O408" s="127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127"/>
      <c r="O409" s="127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127"/>
      <c r="O410" s="127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127"/>
      <c r="O411" s="127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127"/>
      <c r="O412" s="127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127"/>
      <c r="O413" s="127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127"/>
      <c r="O414" s="127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127"/>
      <c r="O415" s="127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127"/>
      <c r="O416" s="127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127"/>
      <c r="O417" s="127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127"/>
      <c r="O418" s="127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127"/>
      <c r="O419" s="127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127"/>
      <c r="O420" s="127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127"/>
      <c r="O421" s="127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127"/>
      <c r="O422" s="127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127"/>
      <c r="O423" s="127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127"/>
      <c r="O424" s="127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127"/>
      <c r="O425" s="127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127"/>
      <c r="O426" s="127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127"/>
      <c r="O427" s="127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127"/>
      <c r="O428" s="127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127"/>
      <c r="O429" s="127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127"/>
      <c r="O430" s="127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127"/>
      <c r="O431" s="127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127"/>
      <c r="O432" s="127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127"/>
      <c r="O433" s="127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127"/>
      <c r="O434" s="127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127"/>
      <c r="O435" s="127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127"/>
      <c r="O436" s="127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127"/>
      <c r="O437" s="127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127"/>
      <c r="O438" s="127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127"/>
      <c r="O439" s="127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127"/>
      <c r="O440" s="127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127"/>
      <c r="O441" s="127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127"/>
      <c r="O442" s="127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127"/>
      <c r="O443" s="127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127"/>
      <c r="O444" s="127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127"/>
      <c r="O445" s="127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127"/>
      <c r="O446" s="127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127"/>
      <c r="O447" s="127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127"/>
      <c r="O448" s="127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127"/>
      <c r="O449" s="127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127"/>
      <c r="O450" s="127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127"/>
      <c r="O451" s="127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127"/>
      <c r="O452" s="127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127"/>
      <c r="O453" s="127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127"/>
      <c r="O454" s="127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127"/>
      <c r="O455" s="127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127"/>
      <c r="O456" s="127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127"/>
      <c r="O457" s="127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127"/>
      <c r="O458" s="127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127"/>
      <c r="O459" s="127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127"/>
      <c r="O460" s="127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127"/>
      <c r="O461" s="127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127"/>
      <c r="O462" s="127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127"/>
      <c r="O463" s="127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127"/>
      <c r="O464" s="127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127"/>
      <c r="O465" s="127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127"/>
      <c r="O466" s="127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127"/>
      <c r="O467" s="127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127"/>
      <c r="O468" s="127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127"/>
      <c r="O469" s="127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127"/>
      <c r="O470" s="127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127"/>
      <c r="O471" s="127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127"/>
      <c r="O472" s="127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127"/>
      <c r="O473" s="127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127"/>
      <c r="O474" s="127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127"/>
      <c r="O475" s="127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127"/>
      <c r="O476" s="127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127"/>
      <c r="O477" s="127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127"/>
      <c r="O478" s="127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127"/>
      <c r="O479" s="127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127"/>
      <c r="O480" s="127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127"/>
      <c r="O481" s="127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127"/>
      <c r="O482" s="127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127"/>
      <c r="O483" s="127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127"/>
      <c r="O484" s="127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127"/>
      <c r="O485" s="127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127"/>
      <c r="O486" s="127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127"/>
      <c r="O487" s="127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127"/>
      <c r="O488" s="127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127"/>
      <c r="O489" s="127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127"/>
      <c r="O490" s="127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127"/>
      <c r="O491" s="127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127"/>
      <c r="O492" s="127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127"/>
      <c r="O493" s="127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127"/>
      <c r="O494" s="127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127"/>
      <c r="O495" s="127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127"/>
      <c r="O496" s="127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127"/>
      <c r="O497" s="127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127"/>
      <c r="O498" s="127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127"/>
      <c r="O499" s="127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127"/>
      <c r="O500" s="127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127"/>
      <c r="O501" s="127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127"/>
      <c r="O502" s="127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127"/>
      <c r="O503" s="127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127"/>
      <c r="O504" s="127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127"/>
      <c r="O505" s="127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127"/>
      <c r="O506" s="127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127"/>
      <c r="O507" s="127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127"/>
      <c r="O508" s="127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127"/>
      <c r="O509" s="127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127"/>
      <c r="O510" s="127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127"/>
      <c r="O511" s="127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127"/>
      <c r="O512" s="127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127"/>
      <c r="O513" s="127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127"/>
      <c r="O514" s="127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127"/>
      <c r="O515" s="127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127"/>
      <c r="O516" s="127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127"/>
      <c r="O517" s="127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127"/>
      <c r="O518" s="127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127"/>
      <c r="O519" s="127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127"/>
      <c r="O520" s="127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127"/>
      <c r="O521" s="127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127"/>
      <c r="O522" s="127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127"/>
      <c r="O523" s="127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127"/>
      <c r="O524" s="127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127"/>
      <c r="O525" s="127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127"/>
      <c r="O526" s="127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127"/>
      <c r="O527" s="127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127"/>
      <c r="O528" s="127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127"/>
      <c r="O529" s="127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127"/>
      <c r="O530" s="127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127"/>
      <c r="O531" s="127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127"/>
      <c r="O532" s="127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127"/>
      <c r="O533" s="127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127"/>
      <c r="O534" s="127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127"/>
      <c r="O535" s="127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127"/>
      <c r="O536" s="127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127"/>
      <c r="O537" s="127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127"/>
      <c r="O538" s="127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127"/>
      <c r="O539" s="127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127"/>
      <c r="O540" s="127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127"/>
      <c r="O541" s="127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127"/>
      <c r="O542" s="127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127"/>
      <c r="O543" s="127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127"/>
      <c r="O544" s="127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127"/>
      <c r="O545" s="127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127"/>
      <c r="O546" s="127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127"/>
      <c r="O547" s="127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127"/>
      <c r="O548" s="127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127"/>
      <c r="O549" s="127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127"/>
      <c r="O550" s="127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127"/>
      <c r="O551" s="127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127"/>
      <c r="O552" s="127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127"/>
      <c r="O553" s="127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127"/>
      <c r="O554" s="127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127"/>
      <c r="O555" s="127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127"/>
      <c r="O556" s="127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127"/>
      <c r="O557" s="127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127"/>
      <c r="O558" s="127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127"/>
      <c r="O559" s="127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127"/>
      <c r="O560" s="127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127"/>
      <c r="O561" s="127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127"/>
      <c r="O562" s="127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127"/>
      <c r="O563" s="127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127"/>
      <c r="O564" s="127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127"/>
      <c r="O565" s="127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127"/>
      <c r="O566" s="127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127"/>
      <c r="O567" s="127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127"/>
      <c r="O568" s="127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127"/>
      <c r="O569" s="127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127"/>
      <c r="O570" s="127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127"/>
      <c r="O571" s="127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127"/>
      <c r="O572" s="127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127"/>
      <c r="O573" s="127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127"/>
      <c r="O574" s="127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127"/>
      <c r="O575" s="127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127"/>
      <c r="O576" s="127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127"/>
      <c r="O577" s="127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127"/>
      <c r="O578" s="127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127"/>
      <c r="O579" s="127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127"/>
      <c r="O580" s="127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127"/>
      <c r="O581" s="127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127"/>
      <c r="O582" s="127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127"/>
      <c r="O583" s="127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127"/>
      <c r="O584" s="127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127"/>
      <c r="O585" s="127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127"/>
      <c r="O586" s="127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127"/>
      <c r="O587" s="127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127"/>
      <c r="O588" s="127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127"/>
      <c r="O589" s="127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127"/>
      <c r="O590" s="127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127"/>
      <c r="O591" s="127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127"/>
      <c r="O592" s="127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127"/>
      <c r="O593" s="127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127"/>
      <c r="O594" s="127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127"/>
      <c r="O595" s="127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127"/>
      <c r="O596" s="127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127"/>
      <c r="O597" s="127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127"/>
      <c r="O598" s="127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127"/>
      <c r="O599" s="127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127"/>
      <c r="O600" s="127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127"/>
      <c r="O601" s="127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127"/>
      <c r="O602" s="127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127"/>
      <c r="O603" s="127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127"/>
      <c r="O604" s="127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127"/>
      <c r="O605" s="127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127"/>
      <c r="O606" s="127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127"/>
      <c r="O607" s="127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127"/>
      <c r="O608" s="127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127"/>
      <c r="O609" s="127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127"/>
      <c r="O610" s="127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127"/>
      <c r="O611" s="127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127"/>
      <c r="O612" s="127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127"/>
      <c r="O613" s="127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127"/>
      <c r="O614" s="127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127"/>
      <c r="O615" s="127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127"/>
      <c r="O616" s="127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127"/>
      <c r="O617" s="127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127"/>
      <c r="O618" s="127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127"/>
      <c r="O619" s="127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127"/>
      <c r="O620" s="127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127"/>
      <c r="O621" s="127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127"/>
      <c r="O622" s="127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127"/>
      <c r="O623" s="127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127"/>
      <c r="O624" s="127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127"/>
      <c r="O625" s="127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127"/>
      <c r="O626" s="127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127"/>
      <c r="O627" s="127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127"/>
      <c r="O628" s="127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127"/>
      <c r="O629" s="127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127"/>
      <c r="O630" s="127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127"/>
      <c r="O631" s="127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127"/>
      <c r="O632" s="127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127"/>
      <c r="O633" s="127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127"/>
      <c r="O634" s="127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127"/>
      <c r="O635" s="127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127"/>
      <c r="O636" s="127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127"/>
      <c r="O637" s="127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127"/>
      <c r="O638" s="127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127"/>
      <c r="O639" s="127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127"/>
      <c r="O640" s="127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127"/>
      <c r="O641" s="127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127"/>
      <c r="O642" s="127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127"/>
      <c r="O643" s="127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127"/>
      <c r="O644" s="127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127"/>
      <c r="O645" s="127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127"/>
      <c r="O646" s="127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127"/>
      <c r="O647" s="127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127"/>
      <c r="O648" s="127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127"/>
      <c r="O649" s="127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127"/>
      <c r="O650" s="127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127"/>
      <c r="O651" s="127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127"/>
      <c r="O652" s="127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127"/>
      <c r="O653" s="127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127"/>
      <c r="O654" s="127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127"/>
      <c r="O655" s="127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127"/>
      <c r="O656" s="127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127"/>
      <c r="O657" s="127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127"/>
      <c r="O658" s="127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127"/>
      <c r="O659" s="127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127"/>
      <c r="O660" s="127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127"/>
      <c r="O661" s="127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127"/>
      <c r="O662" s="127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127"/>
      <c r="O663" s="127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127"/>
      <c r="O664" s="127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127"/>
      <c r="O665" s="127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127"/>
      <c r="O666" s="127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127"/>
      <c r="O667" s="127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127"/>
      <c r="O668" s="127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127"/>
      <c r="O669" s="127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127"/>
      <c r="O670" s="127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127"/>
      <c r="O671" s="127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127"/>
      <c r="O672" s="127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127"/>
      <c r="O673" s="127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127"/>
      <c r="O674" s="127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127"/>
      <c r="O675" s="127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127"/>
      <c r="O676" s="127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127"/>
      <c r="O677" s="127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127"/>
      <c r="O678" s="127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127"/>
      <c r="O679" s="127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127"/>
      <c r="O680" s="127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127"/>
      <c r="O681" s="127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127"/>
      <c r="O682" s="127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127"/>
      <c r="O683" s="127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127"/>
      <c r="O684" s="127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127"/>
      <c r="O685" s="127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127"/>
      <c r="O686" s="127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127"/>
      <c r="O687" s="127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127"/>
      <c r="O688" s="127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127"/>
      <c r="O689" s="127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127"/>
      <c r="O690" s="127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127"/>
      <c r="O691" s="127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127"/>
      <c r="O692" s="127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127"/>
      <c r="O693" s="127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127"/>
      <c r="O694" s="127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127"/>
      <c r="O695" s="127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127"/>
      <c r="O696" s="127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127"/>
      <c r="O697" s="127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127"/>
      <c r="O698" s="127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127"/>
      <c r="O699" s="127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127"/>
      <c r="O700" s="127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127"/>
      <c r="O701" s="127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127"/>
      <c r="O702" s="127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127"/>
      <c r="O703" s="127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127"/>
      <c r="O704" s="127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127"/>
      <c r="O705" s="127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127"/>
      <c r="O706" s="127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127"/>
      <c r="O707" s="127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127"/>
      <c r="O708" s="127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127"/>
      <c r="O709" s="127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127"/>
      <c r="O710" s="127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127"/>
      <c r="O711" s="127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127"/>
      <c r="O712" s="127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127"/>
      <c r="O713" s="127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127"/>
      <c r="O714" s="127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127"/>
      <c r="O715" s="127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127"/>
      <c r="O716" s="127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127"/>
      <c r="O717" s="127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127"/>
      <c r="O718" s="127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127"/>
      <c r="O719" s="127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127"/>
      <c r="O720" s="127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127"/>
      <c r="O721" s="127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127"/>
      <c r="O722" s="127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127"/>
      <c r="O723" s="127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127"/>
      <c r="O724" s="127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127"/>
      <c r="O725" s="127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127"/>
      <c r="O726" s="127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127"/>
      <c r="O727" s="127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127"/>
      <c r="O728" s="127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127"/>
      <c r="O729" s="127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127"/>
      <c r="O730" s="127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127"/>
      <c r="O731" s="127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127"/>
      <c r="O732" s="127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127"/>
      <c r="O733" s="127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127"/>
      <c r="O734" s="127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127"/>
      <c r="O735" s="127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127"/>
      <c r="O736" s="127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127"/>
      <c r="O737" s="127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127"/>
      <c r="O738" s="127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127"/>
      <c r="O739" s="127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127"/>
      <c r="O740" s="127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127"/>
      <c r="O741" s="127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127"/>
      <c r="O742" s="127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127"/>
      <c r="O743" s="127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127"/>
      <c r="O744" s="127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127"/>
      <c r="O745" s="127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127"/>
      <c r="O746" s="127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127"/>
      <c r="O747" s="127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127"/>
      <c r="O748" s="127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127"/>
      <c r="O749" s="127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127"/>
      <c r="O750" s="127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127"/>
      <c r="O751" s="127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127"/>
      <c r="O752" s="127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127"/>
      <c r="O753" s="127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127"/>
      <c r="O754" s="127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127"/>
      <c r="O755" s="127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127"/>
      <c r="O756" s="127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127"/>
      <c r="O757" s="127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127"/>
      <c r="O758" s="127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127"/>
      <c r="O759" s="127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127"/>
      <c r="O760" s="127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127"/>
      <c r="O761" s="127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127"/>
      <c r="O762" s="127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127"/>
      <c r="O763" s="127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127"/>
      <c r="O764" s="127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127"/>
      <c r="O765" s="127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127"/>
      <c r="O766" s="127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127"/>
      <c r="O767" s="127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127"/>
      <c r="O768" s="127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127"/>
      <c r="O769" s="127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127"/>
      <c r="O770" s="127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127"/>
      <c r="O771" s="127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127"/>
      <c r="O772" s="127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127"/>
      <c r="O773" s="127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127"/>
      <c r="O774" s="127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127"/>
      <c r="O775" s="127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127"/>
      <c r="O776" s="127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127"/>
      <c r="O777" s="127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127"/>
      <c r="O778" s="127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127"/>
      <c r="O779" s="127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127"/>
      <c r="O780" s="127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127"/>
      <c r="O781" s="127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127"/>
      <c r="O782" s="127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127"/>
      <c r="O783" s="127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127"/>
      <c r="O784" s="127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127"/>
      <c r="O785" s="127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127"/>
      <c r="O786" s="127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127"/>
      <c r="O787" s="127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127"/>
      <c r="O788" s="127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127"/>
      <c r="O789" s="127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127"/>
      <c r="O790" s="127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127"/>
      <c r="O791" s="127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127"/>
      <c r="O792" s="127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127"/>
      <c r="O793" s="127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127"/>
      <c r="O794" s="127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127"/>
      <c r="O795" s="127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127"/>
      <c r="O796" s="127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127"/>
      <c r="O797" s="127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127"/>
      <c r="O798" s="127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127"/>
      <c r="O799" s="127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127"/>
      <c r="O800" s="127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127"/>
      <c r="O801" s="127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127"/>
      <c r="O802" s="127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127"/>
      <c r="O803" s="127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127"/>
      <c r="O804" s="127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127"/>
      <c r="O805" s="127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127"/>
      <c r="O806" s="127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127"/>
      <c r="O807" s="127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127"/>
      <c r="O808" s="127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127"/>
      <c r="O809" s="127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127"/>
      <c r="O810" s="127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127"/>
      <c r="O811" s="127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127"/>
      <c r="O812" s="127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127"/>
      <c r="O813" s="127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127"/>
      <c r="O814" s="127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127"/>
      <c r="O815" s="127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127"/>
      <c r="O816" s="127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127"/>
      <c r="O817" s="127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127"/>
      <c r="O818" s="127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127"/>
      <c r="O819" s="127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127"/>
      <c r="O820" s="127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127"/>
      <c r="O821" s="127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127"/>
      <c r="O822" s="127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127"/>
      <c r="O823" s="127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127"/>
      <c r="O824" s="127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127"/>
      <c r="O825" s="127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127"/>
      <c r="O826" s="127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127"/>
      <c r="O827" s="127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127"/>
      <c r="O828" s="127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127"/>
      <c r="O829" s="127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127"/>
      <c r="O830" s="127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127"/>
      <c r="O831" s="127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127"/>
      <c r="O832" s="127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127"/>
      <c r="O833" s="127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127"/>
      <c r="O834" s="127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127"/>
      <c r="O835" s="127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127"/>
      <c r="O836" s="127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127"/>
      <c r="O837" s="127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127"/>
      <c r="O838" s="127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127"/>
      <c r="O839" s="127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127"/>
      <c r="O840" s="127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127"/>
      <c r="O841" s="127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127"/>
      <c r="O842" s="127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127"/>
      <c r="O843" s="127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127"/>
      <c r="O844" s="127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127"/>
      <c r="O845" s="127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127"/>
      <c r="O846" s="127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127"/>
      <c r="O847" s="127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127"/>
      <c r="O848" s="127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127"/>
      <c r="O849" s="127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127"/>
      <c r="O850" s="127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127"/>
      <c r="O851" s="127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127"/>
      <c r="O852" s="127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127"/>
      <c r="O853" s="127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127"/>
      <c r="O854" s="127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127"/>
      <c r="O855" s="127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127"/>
      <c r="O856" s="127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127"/>
      <c r="O857" s="127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127"/>
      <c r="O858" s="127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127"/>
      <c r="O859" s="127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127"/>
      <c r="O860" s="127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127"/>
      <c r="O861" s="127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127"/>
      <c r="O862" s="127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127"/>
      <c r="O863" s="127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127"/>
      <c r="O864" s="127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127"/>
      <c r="O865" s="127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127"/>
      <c r="O866" s="127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127"/>
      <c r="O867" s="127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127"/>
      <c r="O868" s="127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127"/>
      <c r="O869" s="127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127"/>
      <c r="O870" s="127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127"/>
      <c r="O871" s="127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127"/>
      <c r="O872" s="127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127"/>
      <c r="O873" s="127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127"/>
      <c r="O874" s="127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127"/>
      <c r="O875" s="127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127"/>
      <c r="O876" s="127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127"/>
      <c r="O877" s="127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127"/>
      <c r="O878" s="127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127"/>
      <c r="O879" s="127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127"/>
      <c r="O880" s="127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127"/>
      <c r="O881" s="127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127"/>
      <c r="O882" s="127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127"/>
      <c r="O883" s="127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127"/>
      <c r="O884" s="127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127"/>
      <c r="O885" s="127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127"/>
      <c r="O886" s="127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127"/>
      <c r="O887" s="127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127"/>
      <c r="O888" s="127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127"/>
      <c r="O889" s="127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127"/>
      <c r="O890" s="127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127"/>
      <c r="O891" s="127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127"/>
      <c r="O892" s="127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127"/>
      <c r="O893" s="127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127"/>
      <c r="O894" s="127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127"/>
      <c r="O895" s="127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127"/>
      <c r="O896" s="127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127"/>
      <c r="O897" s="127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127"/>
      <c r="O898" s="127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127"/>
      <c r="O899" s="127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127"/>
      <c r="O900" s="127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127"/>
      <c r="O901" s="127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127"/>
      <c r="O902" s="127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127"/>
      <c r="O903" s="127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127"/>
      <c r="O904" s="127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127"/>
      <c r="O905" s="127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127"/>
      <c r="O906" s="127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127"/>
      <c r="O907" s="127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127"/>
      <c r="O908" s="127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127"/>
      <c r="O909" s="127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127"/>
      <c r="O910" s="127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127"/>
      <c r="O911" s="127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127"/>
      <c r="O912" s="127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127"/>
      <c r="O913" s="127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127"/>
      <c r="O914" s="127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127"/>
      <c r="O915" s="127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127"/>
      <c r="O916" s="127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127"/>
      <c r="O917" s="127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127"/>
      <c r="O918" s="127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127"/>
      <c r="O919" s="127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127"/>
      <c r="O920" s="127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127"/>
      <c r="O921" s="127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127"/>
      <c r="O922" s="127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127"/>
      <c r="O923" s="127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127"/>
      <c r="O924" s="127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127"/>
      <c r="O925" s="127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127"/>
      <c r="O926" s="127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127"/>
      <c r="O927" s="127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127"/>
      <c r="O928" s="127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127"/>
      <c r="O929" s="127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127"/>
      <c r="O930" s="127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127"/>
      <c r="O931" s="127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127"/>
      <c r="O932" s="127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127"/>
      <c r="O933" s="127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127"/>
      <c r="O934" s="127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127"/>
      <c r="O935" s="127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127"/>
      <c r="O936" s="127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127"/>
      <c r="O937" s="127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127"/>
      <c r="O938" s="127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127"/>
      <c r="O939" s="127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127"/>
      <c r="O940" s="127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127"/>
      <c r="O941" s="127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127"/>
      <c r="O942" s="127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127"/>
      <c r="O943" s="127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127"/>
      <c r="O944" s="127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127"/>
      <c r="O945" s="127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127"/>
      <c r="O946" s="127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127"/>
      <c r="O947" s="127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127"/>
      <c r="O948" s="127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127"/>
      <c r="O949" s="127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127"/>
      <c r="O950" s="127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127"/>
      <c r="O951" s="127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127"/>
      <c r="O952" s="127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127"/>
      <c r="O953" s="127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127"/>
      <c r="O954" s="127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127"/>
      <c r="O955" s="127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127"/>
      <c r="O956" s="127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127"/>
      <c r="O957" s="127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127"/>
      <c r="O958" s="127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127"/>
      <c r="O959" s="127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127"/>
      <c r="O960" s="127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127"/>
      <c r="O961" s="127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127"/>
      <c r="O962" s="127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127"/>
      <c r="O963" s="127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127"/>
      <c r="O964" s="127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127"/>
      <c r="O965" s="127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127"/>
      <c r="O966" s="127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127"/>
      <c r="O967" s="127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127"/>
      <c r="O968" s="127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127"/>
      <c r="O969" s="127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127"/>
      <c r="O970" s="127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127"/>
      <c r="O971" s="127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127"/>
      <c r="O972" s="127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127"/>
      <c r="O973" s="127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127"/>
      <c r="O974" s="127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127"/>
      <c r="O975" s="127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127"/>
      <c r="O976" s="127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127"/>
      <c r="O977" s="127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127"/>
      <c r="O978" s="127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127"/>
      <c r="O979" s="127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127"/>
      <c r="O980" s="127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127"/>
      <c r="O981" s="127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127"/>
      <c r="O982" s="127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127"/>
      <c r="O983" s="127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127"/>
      <c r="O984" s="127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127"/>
      <c r="O985" s="127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127"/>
      <c r="O986" s="127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127"/>
      <c r="O987" s="127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127"/>
      <c r="O988" s="127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127"/>
      <c r="O989" s="127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127"/>
      <c r="O990" s="127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127"/>
      <c r="O991" s="127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127"/>
      <c r="O992" s="127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127"/>
      <c r="O993" s="127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127"/>
      <c r="O994" s="127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127"/>
      <c r="O995" s="127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127"/>
      <c r="O996" s="127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127"/>
      <c r="O997" s="127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127"/>
      <c r="O998" s="127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127"/>
      <c r="O999" s="127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127"/>
      <c r="O1000" s="127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7.14"/>
    <col customWidth="1" min="5" max="11" width="10.71"/>
    <col customWidth="1" min="12" max="12" width="8.57"/>
    <col customWidth="1" min="13" max="13" width="11.14"/>
    <col customWidth="1" min="14" max="14" width="8.43"/>
    <col customWidth="1" min="15" max="15" width="10.86"/>
    <col customWidth="1" min="16" max="16" width="10.71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170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157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82" t="s">
        <v>171</v>
      </c>
      <c r="E7" s="83" t="s">
        <v>26</v>
      </c>
      <c r="F7" s="84">
        <v>3.6</v>
      </c>
      <c r="G7" s="83">
        <v>6.42</v>
      </c>
      <c r="H7" s="83" t="s">
        <v>26</v>
      </c>
      <c r="I7" s="83" t="s">
        <v>26</v>
      </c>
      <c r="J7" s="83" t="s">
        <v>26</v>
      </c>
      <c r="K7" s="83">
        <v>2.58</v>
      </c>
      <c r="L7" s="84">
        <v>2.03</v>
      </c>
      <c r="M7" s="84">
        <v>4.38</v>
      </c>
      <c r="N7" s="84">
        <v>4.8</v>
      </c>
      <c r="O7" s="83">
        <v>0.92</v>
      </c>
      <c r="P7" s="83">
        <v>2.35</v>
      </c>
      <c r="Q7" s="190">
        <f t="shared" ref="Q7:Q21" si="1">AVERAGE(E7,F7,G7,H7,I7,J7,K7,L7,M7,N7,O7,P7)</f>
        <v>3.385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50" t="s">
        <v>172</v>
      </c>
      <c r="E8" s="85" t="s">
        <v>26</v>
      </c>
      <c r="F8" s="85">
        <v>3.09</v>
      </c>
      <c r="G8" s="85">
        <v>3.73</v>
      </c>
      <c r="H8" s="85" t="s">
        <v>26</v>
      </c>
      <c r="I8" s="85" t="s">
        <v>26</v>
      </c>
      <c r="J8" s="85" t="s">
        <v>26</v>
      </c>
      <c r="K8" s="24">
        <v>2.9</v>
      </c>
      <c r="L8" s="24">
        <v>3.04</v>
      </c>
      <c r="M8" s="24">
        <v>4.5</v>
      </c>
      <c r="N8" s="85">
        <v>5.15</v>
      </c>
      <c r="O8" s="85">
        <v>0.07</v>
      </c>
      <c r="P8" s="85">
        <v>2.39</v>
      </c>
      <c r="Q8" s="192">
        <f t="shared" si="1"/>
        <v>3.10875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50" t="s">
        <v>173</v>
      </c>
      <c r="E9" s="24" t="s">
        <v>26</v>
      </c>
      <c r="F9" s="85">
        <v>3.51</v>
      </c>
      <c r="G9" s="24">
        <v>2.03</v>
      </c>
      <c r="H9" s="24" t="s">
        <v>26</v>
      </c>
      <c r="I9" s="24" t="s">
        <v>26</v>
      </c>
      <c r="J9" s="24" t="s">
        <v>26</v>
      </c>
      <c r="K9" s="85">
        <v>2.38</v>
      </c>
      <c r="L9" s="24">
        <v>2.9</v>
      </c>
      <c r="M9" s="24">
        <v>4.19</v>
      </c>
      <c r="N9" s="85">
        <v>4.58</v>
      </c>
      <c r="O9" s="85">
        <v>1.17</v>
      </c>
      <c r="P9" s="85">
        <v>2.32</v>
      </c>
      <c r="Q9" s="192">
        <f t="shared" si="1"/>
        <v>2.885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47" t="s">
        <v>174</v>
      </c>
      <c r="E10" s="83">
        <v>115.0</v>
      </c>
      <c r="F10" s="120">
        <v>44.0</v>
      </c>
      <c r="G10" s="120">
        <v>231.0</v>
      </c>
      <c r="H10" s="83" t="s">
        <v>26</v>
      </c>
      <c r="I10" s="83" t="s">
        <v>26</v>
      </c>
      <c r="J10" s="83" t="s">
        <v>26</v>
      </c>
      <c r="K10" s="120">
        <v>37.0</v>
      </c>
      <c r="L10" s="120">
        <v>132.0</v>
      </c>
      <c r="M10" s="120">
        <v>21.0</v>
      </c>
      <c r="N10" s="120">
        <v>82.0</v>
      </c>
      <c r="O10" s="83">
        <v>81.0</v>
      </c>
      <c r="P10" s="120">
        <v>56.0</v>
      </c>
      <c r="Q10" s="194">
        <f t="shared" si="1"/>
        <v>88.77777778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50" t="s">
        <v>172</v>
      </c>
      <c r="E11" s="29">
        <v>101.0</v>
      </c>
      <c r="F11" s="85">
        <v>75.0</v>
      </c>
      <c r="G11" s="85">
        <v>189.0</v>
      </c>
      <c r="H11" s="85" t="s">
        <v>26</v>
      </c>
      <c r="I11" s="85" t="s">
        <v>26</v>
      </c>
      <c r="J11" s="85" t="s">
        <v>26</v>
      </c>
      <c r="K11" s="85">
        <v>65.0</v>
      </c>
      <c r="L11" s="85">
        <v>62.0</v>
      </c>
      <c r="M11" s="85">
        <v>25.0</v>
      </c>
      <c r="N11" s="85">
        <v>55.0</v>
      </c>
      <c r="O11" s="85">
        <v>43.0</v>
      </c>
      <c r="P11" s="85">
        <v>52.0</v>
      </c>
      <c r="Q11" s="195">
        <f t="shared" si="1"/>
        <v>74.11111111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50" t="s">
        <v>173</v>
      </c>
      <c r="E12" s="29">
        <v>107.0</v>
      </c>
      <c r="F12" s="85">
        <v>134.0</v>
      </c>
      <c r="G12" s="29">
        <v>271.0</v>
      </c>
      <c r="H12" s="24" t="s">
        <v>26</v>
      </c>
      <c r="I12" s="24" t="s">
        <v>26</v>
      </c>
      <c r="J12" s="24" t="s">
        <v>26</v>
      </c>
      <c r="K12" s="85">
        <v>60.0</v>
      </c>
      <c r="L12" s="85">
        <v>84.0</v>
      </c>
      <c r="M12" s="85">
        <v>22.0</v>
      </c>
      <c r="N12" s="85">
        <v>64.0</v>
      </c>
      <c r="O12" s="85">
        <v>39.0</v>
      </c>
      <c r="P12" s="85">
        <v>39.0</v>
      </c>
      <c r="Q12" s="195">
        <f t="shared" si="1"/>
        <v>91.11111111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47" t="s">
        <v>174</v>
      </c>
      <c r="E13" s="83" t="s">
        <v>26</v>
      </c>
      <c r="F13" s="120">
        <v>7.47</v>
      </c>
      <c r="G13" s="204">
        <v>7.65</v>
      </c>
      <c r="H13" s="83" t="s">
        <v>26</v>
      </c>
      <c r="I13" s="83" t="s">
        <v>26</v>
      </c>
      <c r="J13" s="83" t="s">
        <v>26</v>
      </c>
      <c r="K13" s="120">
        <v>7.85</v>
      </c>
      <c r="L13" s="120">
        <v>7.98</v>
      </c>
      <c r="M13" s="18">
        <v>7.71</v>
      </c>
      <c r="N13" s="120">
        <v>7.45</v>
      </c>
      <c r="O13" s="83">
        <v>7.64</v>
      </c>
      <c r="P13" s="120">
        <v>7.85</v>
      </c>
      <c r="Q13" s="190">
        <f t="shared" si="1"/>
        <v>7.7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50" t="s">
        <v>172</v>
      </c>
      <c r="E14" s="24" t="s">
        <v>26</v>
      </c>
      <c r="F14" s="85">
        <v>7.44</v>
      </c>
      <c r="G14" s="205">
        <v>7.64</v>
      </c>
      <c r="H14" s="85" t="s">
        <v>26</v>
      </c>
      <c r="I14" s="85" t="s">
        <v>26</v>
      </c>
      <c r="J14" s="85" t="s">
        <v>26</v>
      </c>
      <c r="K14" s="85">
        <v>7.87</v>
      </c>
      <c r="L14" s="85">
        <v>7.92</v>
      </c>
      <c r="M14" s="24">
        <v>8.2</v>
      </c>
      <c r="N14" s="85">
        <v>7.33</v>
      </c>
      <c r="O14" s="85">
        <v>7.42</v>
      </c>
      <c r="P14" s="85">
        <v>7.68</v>
      </c>
      <c r="Q14" s="192">
        <f t="shared" si="1"/>
        <v>7.6875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50" t="s">
        <v>173</v>
      </c>
      <c r="E15" s="24" t="s">
        <v>26</v>
      </c>
      <c r="F15" s="85">
        <v>7.57</v>
      </c>
      <c r="G15" s="205">
        <v>7.56</v>
      </c>
      <c r="H15" s="24" t="s">
        <v>26</v>
      </c>
      <c r="I15" s="24" t="s">
        <v>26</v>
      </c>
      <c r="J15" s="24" t="s">
        <v>26</v>
      </c>
      <c r="K15" s="24">
        <v>7.83</v>
      </c>
      <c r="L15" s="85">
        <v>7.95</v>
      </c>
      <c r="M15" s="24">
        <v>8.5</v>
      </c>
      <c r="N15" s="85">
        <v>7.22</v>
      </c>
      <c r="O15" s="85">
        <v>7.46</v>
      </c>
      <c r="P15" s="85">
        <v>7.65</v>
      </c>
      <c r="Q15" s="192">
        <f t="shared" si="1"/>
        <v>7.7175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175</v>
      </c>
      <c r="C16" s="16">
        <v>1.0</v>
      </c>
      <c r="D16" s="47" t="s">
        <v>174</v>
      </c>
      <c r="E16" s="83" t="s">
        <v>26</v>
      </c>
      <c r="F16" s="18">
        <v>26.6</v>
      </c>
      <c r="G16" s="18">
        <v>29.3</v>
      </c>
      <c r="H16" s="83" t="s">
        <v>26</v>
      </c>
      <c r="I16" s="83" t="s">
        <v>26</v>
      </c>
      <c r="J16" s="83" t="s">
        <v>26</v>
      </c>
      <c r="K16" s="18">
        <v>30.5</v>
      </c>
      <c r="L16" s="18">
        <v>29.7</v>
      </c>
      <c r="M16" s="18">
        <v>33.3</v>
      </c>
      <c r="N16" s="18">
        <v>32.4</v>
      </c>
      <c r="O16" s="84">
        <v>30.4</v>
      </c>
      <c r="P16" s="18">
        <v>27.9</v>
      </c>
      <c r="Q16" s="190">
        <f t="shared" si="1"/>
        <v>30.0125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50" t="s">
        <v>172</v>
      </c>
      <c r="E17" s="24" t="s">
        <v>26</v>
      </c>
      <c r="F17" s="24">
        <v>27.2</v>
      </c>
      <c r="G17" s="24">
        <v>29.5</v>
      </c>
      <c r="H17" s="85" t="s">
        <v>26</v>
      </c>
      <c r="I17" s="85" t="s">
        <v>26</v>
      </c>
      <c r="J17" s="85" t="s">
        <v>26</v>
      </c>
      <c r="K17" s="24">
        <v>31.1</v>
      </c>
      <c r="L17" s="24">
        <v>30.7</v>
      </c>
      <c r="M17" s="24">
        <v>33.7</v>
      </c>
      <c r="N17" s="24">
        <v>31.9</v>
      </c>
      <c r="O17" s="24">
        <v>30.4</v>
      </c>
      <c r="P17" s="24">
        <v>27.98</v>
      </c>
      <c r="Q17" s="192">
        <f t="shared" si="1"/>
        <v>30.31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50" t="s">
        <v>173</v>
      </c>
      <c r="E18" s="24" t="s">
        <v>26</v>
      </c>
      <c r="F18" s="24">
        <v>28.6</v>
      </c>
      <c r="G18" s="24">
        <v>29.4</v>
      </c>
      <c r="H18" s="24" t="s">
        <v>26</v>
      </c>
      <c r="I18" s="24" t="s">
        <v>26</v>
      </c>
      <c r="J18" s="24" t="s">
        <v>26</v>
      </c>
      <c r="K18" s="24">
        <v>31.5</v>
      </c>
      <c r="L18" s="24">
        <v>31.1</v>
      </c>
      <c r="M18" s="24">
        <v>33.8</v>
      </c>
      <c r="N18" s="24">
        <v>31.55</v>
      </c>
      <c r="O18" s="24">
        <v>31.9</v>
      </c>
      <c r="P18" s="24">
        <v>28.03</v>
      </c>
      <c r="Q18" s="192">
        <f t="shared" si="1"/>
        <v>30.735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47" t="s">
        <v>174</v>
      </c>
      <c r="E19" s="83">
        <v>20.0</v>
      </c>
      <c r="F19" s="120">
        <v>15.0</v>
      </c>
      <c r="G19" s="120">
        <v>15.0</v>
      </c>
      <c r="H19" s="83" t="s">
        <v>26</v>
      </c>
      <c r="I19" s="83" t="s">
        <v>26</v>
      </c>
      <c r="J19" s="83" t="s">
        <v>26</v>
      </c>
      <c r="K19" s="120">
        <v>10.0</v>
      </c>
      <c r="L19" s="120">
        <v>30.0</v>
      </c>
      <c r="M19" s="120">
        <v>25.0</v>
      </c>
      <c r="N19" s="120">
        <v>30.0</v>
      </c>
      <c r="O19" s="83">
        <v>25.0</v>
      </c>
      <c r="P19" s="120">
        <v>10.0</v>
      </c>
      <c r="Q19" s="194">
        <f t="shared" si="1"/>
        <v>20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50" t="s">
        <v>172</v>
      </c>
      <c r="E20" s="29">
        <v>20.0</v>
      </c>
      <c r="F20" s="85">
        <v>15.0</v>
      </c>
      <c r="G20" s="85">
        <v>15.0</v>
      </c>
      <c r="H20" s="85" t="s">
        <v>26</v>
      </c>
      <c r="I20" s="85" t="s">
        <v>26</v>
      </c>
      <c r="J20" s="85" t="s">
        <v>26</v>
      </c>
      <c r="K20" s="85">
        <v>15.0</v>
      </c>
      <c r="L20" s="85">
        <v>25.0</v>
      </c>
      <c r="M20" s="85">
        <v>20.0</v>
      </c>
      <c r="N20" s="85">
        <v>20.0</v>
      </c>
      <c r="O20" s="85">
        <v>25.0</v>
      </c>
      <c r="P20" s="85">
        <v>10.0</v>
      </c>
      <c r="Q20" s="195">
        <f t="shared" si="1"/>
        <v>18.33333333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50" t="s">
        <v>173</v>
      </c>
      <c r="E21" s="29">
        <v>20.0</v>
      </c>
      <c r="F21" s="85">
        <v>15.0</v>
      </c>
      <c r="G21" s="167">
        <v>10.0</v>
      </c>
      <c r="H21" s="24" t="s">
        <v>26</v>
      </c>
      <c r="I21" s="24" t="s">
        <v>26</v>
      </c>
      <c r="J21" s="24" t="s">
        <v>26</v>
      </c>
      <c r="K21" s="85">
        <v>15.0</v>
      </c>
      <c r="L21" s="85">
        <v>20.0</v>
      </c>
      <c r="M21" s="85">
        <v>20.0</v>
      </c>
      <c r="N21" s="85">
        <v>20.0</v>
      </c>
      <c r="O21" s="85">
        <v>25.0</v>
      </c>
      <c r="P21" s="85">
        <v>10.0</v>
      </c>
      <c r="Q21" s="195">
        <f t="shared" si="1"/>
        <v>17.22222222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47" t="s">
        <v>174</v>
      </c>
      <c r="E22" s="83">
        <v>130.0</v>
      </c>
      <c r="F22" s="31">
        <v>2400.0</v>
      </c>
      <c r="G22" s="110">
        <v>16000.0</v>
      </c>
      <c r="H22" s="83" t="s">
        <v>26</v>
      </c>
      <c r="I22" s="83" t="s">
        <v>26</v>
      </c>
      <c r="J22" s="83" t="s">
        <v>26</v>
      </c>
      <c r="K22" s="206" t="s">
        <v>59</v>
      </c>
      <c r="L22" s="31">
        <v>92000.0</v>
      </c>
      <c r="M22" s="31">
        <v>3500.0</v>
      </c>
      <c r="N22" s="31">
        <v>9200.0</v>
      </c>
      <c r="O22" s="87">
        <v>2400.0</v>
      </c>
      <c r="P22" s="31">
        <v>16000.0</v>
      </c>
      <c r="Q22" s="207">
        <f t="shared" ref="Q22:Q24" si="2">GEOMEAN(E22,F22,G22,H22,I22,J22,K22,L22,M22,N22,O22,P22)</f>
        <v>5239.395557</v>
      </c>
      <c r="R22" s="17">
        <v>100.0</v>
      </c>
      <c r="S22" s="121">
        <f>geomean(Q22:Q24)</f>
        <v>3259.032394</v>
      </c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50" t="s">
        <v>172</v>
      </c>
      <c r="E23" s="36">
        <v>170.0</v>
      </c>
      <c r="F23" s="35">
        <v>790.0</v>
      </c>
      <c r="G23" s="111">
        <v>1100.0</v>
      </c>
      <c r="H23" s="85" t="s">
        <v>26</v>
      </c>
      <c r="I23" s="85" t="s">
        <v>26</v>
      </c>
      <c r="J23" s="85" t="s">
        <v>26</v>
      </c>
      <c r="K23" s="208" t="s">
        <v>59</v>
      </c>
      <c r="L23" s="35">
        <v>7900.0</v>
      </c>
      <c r="M23" s="38">
        <v>3500.0</v>
      </c>
      <c r="N23" s="38">
        <v>17000.0</v>
      </c>
      <c r="O23" s="35">
        <v>5400.0</v>
      </c>
      <c r="P23" s="38">
        <v>5400.0</v>
      </c>
      <c r="Q23" s="209">
        <f t="shared" si="2"/>
        <v>2590.001612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50" t="s">
        <v>173</v>
      </c>
      <c r="E24" s="36">
        <v>1100.0</v>
      </c>
      <c r="F24" s="35">
        <v>1100.0</v>
      </c>
      <c r="G24" s="111">
        <v>2400.0</v>
      </c>
      <c r="H24" s="24" t="s">
        <v>26</v>
      </c>
      <c r="I24" s="24" t="s">
        <v>26</v>
      </c>
      <c r="J24" s="24" t="s">
        <v>26</v>
      </c>
      <c r="K24" s="208" t="s">
        <v>59</v>
      </c>
      <c r="L24" s="35">
        <v>17000.0</v>
      </c>
      <c r="M24" s="38">
        <v>330.0</v>
      </c>
      <c r="N24" s="38">
        <v>13000.0</v>
      </c>
      <c r="O24" s="85">
        <v>920.0</v>
      </c>
      <c r="P24" s="38">
        <v>9200.0</v>
      </c>
      <c r="Q24" s="209">
        <f t="shared" si="2"/>
        <v>2550.849347</v>
      </c>
      <c r="R24" s="23">
        <v>100.0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176</v>
      </c>
      <c r="C25" s="16">
        <v>1.0</v>
      </c>
      <c r="D25" s="47" t="s">
        <v>174</v>
      </c>
      <c r="E25" s="83">
        <v>0.569</v>
      </c>
      <c r="F25" s="120">
        <v>0.581</v>
      </c>
      <c r="G25" s="120">
        <v>0.835</v>
      </c>
      <c r="H25" s="83" t="s">
        <v>26</v>
      </c>
      <c r="I25" s="83" t="s">
        <v>26</v>
      </c>
      <c r="J25" s="83" t="s">
        <v>26</v>
      </c>
      <c r="K25" s="206">
        <v>0.143</v>
      </c>
      <c r="L25" s="120">
        <v>1.106</v>
      </c>
      <c r="M25" s="39">
        <v>0.373</v>
      </c>
      <c r="N25" s="120">
        <v>0.755</v>
      </c>
      <c r="O25" s="83">
        <v>1.095</v>
      </c>
      <c r="P25" s="120">
        <v>0.829</v>
      </c>
      <c r="Q25" s="198">
        <f t="shared" ref="Q25:Q30" si="3">AVERAGE(E25,F25,G25,H25,I25,J25,K25,L25,M25,N25,O25,P25)</f>
        <v>0.6984444444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50" t="s">
        <v>172</v>
      </c>
      <c r="E26" s="41">
        <v>0.403</v>
      </c>
      <c r="F26" s="41">
        <v>0.653</v>
      </c>
      <c r="G26" s="85">
        <v>0.744</v>
      </c>
      <c r="H26" s="85" t="s">
        <v>26</v>
      </c>
      <c r="I26" s="85" t="s">
        <v>26</v>
      </c>
      <c r="J26" s="85" t="s">
        <v>26</v>
      </c>
      <c r="K26" s="208">
        <v>0.071</v>
      </c>
      <c r="L26" s="85">
        <v>0.545</v>
      </c>
      <c r="M26" s="85">
        <v>0.149</v>
      </c>
      <c r="N26" s="85">
        <v>0.602</v>
      </c>
      <c r="O26" s="85">
        <v>0.349</v>
      </c>
      <c r="P26" s="85">
        <v>0.783</v>
      </c>
      <c r="Q26" s="200">
        <f t="shared" si="3"/>
        <v>0.4776666667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50" t="s">
        <v>173</v>
      </c>
      <c r="E27" s="41">
        <v>0.487</v>
      </c>
      <c r="F27" s="85">
        <v>0.966</v>
      </c>
      <c r="G27" s="85">
        <v>0.758</v>
      </c>
      <c r="H27" s="24" t="s">
        <v>26</v>
      </c>
      <c r="I27" s="24" t="s">
        <v>26</v>
      </c>
      <c r="J27" s="24" t="s">
        <v>26</v>
      </c>
      <c r="K27" s="208">
        <v>0.265</v>
      </c>
      <c r="L27" s="85">
        <v>0.799</v>
      </c>
      <c r="M27" s="85">
        <v>0.438</v>
      </c>
      <c r="N27" s="85">
        <v>0.923</v>
      </c>
      <c r="O27" s="85">
        <v>0.576</v>
      </c>
      <c r="P27" s="41">
        <v>0.86</v>
      </c>
      <c r="Q27" s="200">
        <f t="shared" si="3"/>
        <v>0.6746666667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177</v>
      </c>
      <c r="C28" s="16">
        <v>1.0</v>
      </c>
      <c r="D28" s="47" t="s">
        <v>174</v>
      </c>
      <c r="E28" s="83">
        <v>0.424</v>
      </c>
      <c r="F28" s="120">
        <v>0.204</v>
      </c>
      <c r="G28" s="39">
        <v>0.817</v>
      </c>
      <c r="H28" s="83" t="s">
        <v>26</v>
      </c>
      <c r="I28" s="83" t="s">
        <v>26</v>
      </c>
      <c r="J28" s="83" t="s">
        <v>26</v>
      </c>
      <c r="K28" s="39">
        <v>0.159</v>
      </c>
      <c r="L28" s="120">
        <v>0.485</v>
      </c>
      <c r="M28" s="39">
        <v>0.26</v>
      </c>
      <c r="N28" s="120">
        <v>0.307</v>
      </c>
      <c r="O28" s="83">
        <v>0.372</v>
      </c>
      <c r="P28" s="120">
        <v>0.311</v>
      </c>
      <c r="Q28" s="198">
        <f t="shared" si="3"/>
        <v>0.371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50" t="s">
        <v>172</v>
      </c>
      <c r="E29" s="41">
        <v>0.35</v>
      </c>
      <c r="F29" s="85">
        <v>0.273</v>
      </c>
      <c r="G29" s="41">
        <v>0.796</v>
      </c>
      <c r="H29" s="85" t="s">
        <v>26</v>
      </c>
      <c r="I29" s="85" t="s">
        <v>26</v>
      </c>
      <c r="J29" s="85" t="s">
        <v>26</v>
      </c>
      <c r="K29" s="41">
        <v>0.172</v>
      </c>
      <c r="L29" s="85">
        <v>0.233</v>
      </c>
      <c r="M29" s="41">
        <v>0.252</v>
      </c>
      <c r="N29" s="41">
        <v>0.269</v>
      </c>
      <c r="O29" s="85">
        <v>0.269</v>
      </c>
      <c r="P29" s="85">
        <v>0.214</v>
      </c>
      <c r="Q29" s="200">
        <f t="shared" si="3"/>
        <v>0.3142222222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50" t="s">
        <v>173</v>
      </c>
      <c r="E30" s="41">
        <v>0.389</v>
      </c>
      <c r="F30" s="85">
        <v>0.456</v>
      </c>
      <c r="G30" s="41">
        <v>0.79</v>
      </c>
      <c r="H30" s="24" t="s">
        <v>26</v>
      </c>
      <c r="I30" s="24" t="s">
        <v>26</v>
      </c>
      <c r="J30" s="24" t="s">
        <v>26</v>
      </c>
      <c r="K30" s="41">
        <v>0.187</v>
      </c>
      <c r="L30" s="85">
        <v>0.273</v>
      </c>
      <c r="M30" s="85">
        <v>0.252</v>
      </c>
      <c r="N30" s="85">
        <v>0.345</v>
      </c>
      <c r="O30" s="85">
        <v>0.338</v>
      </c>
      <c r="P30" s="85">
        <v>0.248</v>
      </c>
      <c r="Q30" s="200">
        <f t="shared" si="3"/>
        <v>0.3642222222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47" t="s">
        <v>174</v>
      </c>
      <c r="E31" s="201"/>
      <c r="F31" s="201"/>
      <c r="G31" s="120"/>
      <c r="H31" s="210">
        <v>0.223</v>
      </c>
      <c r="I31" s="201"/>
      <c r="J31" s="201"/>
      <c r="K31" s="201"/>
      <c r="L31" s="201"/>
      <c r="M31" s="201"/>
      <c r="N31" s="201"/>
      <c r="O31" s="201"/>
      <c r="P31" s="201"/>
      <c r="Q31" s="40" t="str">
        <f t="shared" ref="Q31:Q33" si="4">AVERAGE(I31)</f>
        <v>#DIV/0!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50" t="s">
        <v>172</v>
      </c>
      <c r="E32" s="20"/>
      <c r="F32" s="20"/>
      <c r="G32" s="85"/>
      <c r="H32" s="211">
        <v>0.246</v>
      </c>
      <c r="I32" s="20"/>
      <c r="J32" s="20"/>
      <c r="K32" s="20"/>
      <c r="L32" s="20"/>
      <c r="M32" s="20"/>
      <c r="N32" s="20"/>
      <c r="O32" s="20"/>
      <c r="P32" s="20"/>
      <c r="Q32" s="42" t="str">
        <f t="shared" si="4"/>
        <v>#DIV/0!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50" t="s">
        <v>173</v>
      </c>
      <c r="E33" s="20"/>
      <c r="F33" s="20"/>
      <c r="G33" s="85"/>
      <c r="H33" s="211">
        <v>0.322</v>
      </c>
      <c r="I33" s="20"/>
      <c r="J33" s="20"/>
      <c r="K33" s="20"/>
      <c r="L33" s="20"/>
      <c r="M33" s="20"/>
      <c r="N33" s="20"/>
      <c r="O33" s="20"/>
      <c r="P33" s="20"/>
      <c r="Q33" s="42" t="str">
        <f t="shared" si="4"/>
        <v>#DIV/0!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91" t="s">
        <v>43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 t="s">
        <v>178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126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71"/>
    <col customWidth="1" min="5" max="9" width="10.71"/>
    <col customWidth="1" min="10" max="10" width="11.57"/>
    <col customWidth="1" min="11" max="11" width="10.71"/>
    <col customWidth="1" min="12" max="12" width="9.71"/>
    <col customWidth="1" min="13" max="13" width="11.14"/>
    <col customWidth="1" min="14" max="14" width="8.71"/>
    <col customWidth="1" min="15" max="15" width="10.86"/>
    <col customWidth="1" min="16" max="16" width="11.29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179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157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212" t="s">
        <v>180</v>
      </c>
      <c r="E7" s="83" t="s">
        <v>26</v>
      </c>
      <c r="F7" s="83">
        <v>3.53</v>
      </c>
      <c r="G7" s="83">
        <v>3.71</v>
      </c>
      <c r="H7" s="83" t="s">
        <v>26</v>
      </c>
      <c r="I7" s="83" t="s">
        <v>26</v>
      </c>
      <c r="J7" s="84">
        <v>1.3</v>
      </c>
      <c r="K7" s="83">
        <v>1.92</v>
      </c>
      <c r="L7" s="83">
        <v>2.56</v>
      </c>
      <c r="M7" s="84">
        <v>2.0</v>
      </c>
      <c r="N7" s="83">
        <v>3.96</v>
      </c>
      <c r="O7" s="83">
        <v>3.93</v>
      </c>
      <c r="P7" s="83" t="s">
        <v>26</v>
      </c>
      <c r="Q7" s="190">
        <f t="shared" ref="Q7:Q21" si="1">AVERAGE(E7,F7,G7,H7,I7,J7,K7,L7,M7,N7,O7,P7)</f>
        <v>2.86375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45" t="s">
        <v>181</v>
      </c>
      <c r="E8" s="85" t="s">
        <v>26</v>
      </c>
      <c r="F8" s="24">
        <v>5.7</v>
      </c>
      <c r="G8" s="85">
        <v>4.06</v>
      </c>
      <c r="H8" s="85" t="s">
        <v>26</v>
      </c>
      <c r="I8" s="85" t="s">
        <v>26</v>
      </c>
      <c r="J8" s="85">
        <v>2.46</v>
      </c>
      <c r="K8" s="85">
        <v>2.14</v>
      </c>
      <c r="L8" s="85">
        <v>2.53</v>
      </c>
      <c r="M8" s="24">
        <v>2.6</v>
      </c>
      <c r="N8" s="24">
        <v>3.28</v>
      </c>
      <c r="O8" s="24">
        <v>3.9</v>
      </c>
      <c r="P8" s="85" t="s">
        <v>26</v>
      </c>
      <c r="Q8" s="192">
        <f t="shared" si="1"/>
        <v>3.33375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45" t="s">
        <v>182</v>
      </c>
      <c r="E9" s="85" t="s">
        <v>26</v>
      </c>
      <c r="F9" s="85">
        <v>4.44</v>
      </c>
      <c r="G9" s="85">
        <v>1.52</v>
      </c>
      <c r="H9" s="85" t="s">
        <v>26</v>
      </c>
      <c r="I9" s="85" t="s">
        <v>26</v>
      </c>
      <c r="J9" s="85">
        <v>3.62</v>
      </c>
      <c r="K9" s="85">
        <v>2.03</v>
      </c>
      <c r="L9" s="85">
        <v>5.65</v>
      </c>
      <c r="M9" s="85">
        <v>2.91</v>
      </c>
      <c r="N9" s="85">
        <v>3.48</v>
      </c>
      <c r="O9" s="85">
        <v>4.15</v>
      </c>
      <c r="P9" s="85" t="s">
        <v>26</v>
      </c>
      <c r="Q9" s="192">
        <f t="shared" si="1"/>
        <v>3.475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144" t="s">
        <v>180</v>
      </c>
      <c r="E10" s="120">
        <v>63.0</v>
      </c>
      <c r="F10" s="120">
        <v>4.0</v>
      </c>
      <c r="G10" s="83">
        <v>46.0</v>
      </c>
      <c r="H10" s="83" t="s">
        <v>26</v>
      </c>
      <c r="I10" s="83" t="s">
        <v>26</v>
      </c>
      <c r="J10" s="120">
        <v>66.0</v>
      </c>
      <c r="K10" s="120">
        <v>16.0</v>
      </c>
      <c r="L10" s="120">
        <v>29.0</v>
      </c>
      <c r="M10" s="120">
        <v>21.0</v>
      </c>
      <c r="N10" s="120">
        <v>12.0</v>
      </c>
      <c r="O10" s="120">
        <v>23.0</v>
      </c>
      <c r="P10" s="83" t="s">
        <v>26</v>
      </c>
      <c r="Q10" s="194">
        <f t="shared" si="1"/>
        <v>31.11111111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45" t="s">
        <v>181</v>
      </c>
      <c r="E11" s="85">
        <v>78.0</v>
      </c>
      <c r="F11" s="85">
        <v>50.0</v>
      </c>
      <c r="G11" s="85">
        <v>41.0</v>
      </c>
      <c r="H11" s="85" t="s">
        <v>26</v>
      </c>
      <c r="I11" s="85" t="s">
        <v>26</v>
      </c>
      <c r="J11" s="85">
        <v>52.0</v>
      </c>
      <c r="K11" s="85">
        <v>15.0</v>
      </c>
      <c r="L11" s="85">
        <v>12.0</v>
      </c>
      <c r="M11" s="85">
        <v>39.0</v>
      </c>
      <c r="N11" s="85">
        <v>30.0</v>
      </c>
      <c r="O11" s="85">
        <v>23.0</v>
      </c>
      <c r="P11" s="85" t="s">
        <v>26</v>
      </c>
      <c r="Q11" s="195">
        <f t="shared" si="1"/>
        <v>37.77777778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45" t="s">
        <v>182</v>
      </c>
      <c r="E12" s="85">
        <v>160.0</v>
      </c>
      <c r="F12" s="85">
        <v>17.0</v>
      </c>
      <c r="G12" s="85">
        <v>162.0</v>
      </c>
      <c r="H12" s="85" t="s">
        <v>26</v>
      </c>
      <c r="I12" s="85" t="s">
        <v>26</v>
      </c>
      <c r="J12" s="85">
        <v>59.0</v>
      </c>
      <c r="K12" s="85">
        <v>14.0</v>
      </c>
      <c r="L12" s="85">
        <v>17.0</v>
      </c>
      <c r="M12" s="85">
        <v>48.0</v>
      </c>
      <c r="N12" s="85">
        <v>42.0</v>
      </c>
      <c r="O12" s="85">
        <v>29.0</v>
      </c>
      <c r="P12" s="85" t="s">
        <v>26</v>
      </c>
      <c r="Q12" s="195">
        <f t="shared" si="1"/>
        <v>60.88888889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144" t="s">
        <v>180</v>
      </c>
      <c r="E13" s="83" t="s">
        <v>26</v>
      </c>
      <c r="F13" s="120">
        <v>7.59</v>
      </c>
      <c r="G13" s="120">
        <v>7.76</v>
      </c>
      <c r="H13" s="83" t="s">
        <v>26</v>
      </c>
      <c r="I13" s="83" t="s">
        <v>26</v>
      </c>
      <c r="J13" s="120">
        <v>7.65</v>
      </c>
      <c r="K13" s="120">
        <v>7.43</v>
      </c>
      <c r="L13" s="120">
        <v>7.68</v>
      </c>
      <c r="M13" s="120">
        <v>7.33</v>
      </c>
      <c r="N13" s="120">
        <v>7.45</v>
      </c>
      <c r="O13" s="120">
        <v>7.58</v>
      </c>
      <c r="P13" s="83" t="s">
        <v>26</v>
      </c>
      <c r="Q13" s="190">
        <f t="shared" si="1"/>
        <v>7.55875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45" t="s">
        <v>181</v>
      </c>
      <c r="E14" s="85" t="s">
        <v>26</v>
      </c>
      <c r="F14" s="85">
        <v>7.76</v>
      </c>
      <c r="G14" s="24">
        <v>7.7</v>
      </c>
      <c r="H14" s="85" t="s">
        <v>26</v>
      </c>
      <c r="I14" s="85" t="s">
        <v>26</v>
      </c>
      <c r="J14" s="85">
        <v>7.55</v>
      </c>
      <c r="K14" s="85">
        <v>7.39</v>
      </c>
      <c r="L14" s="85">
        <v>7.62</v>
      </c>
      <c r="M14" s="85">
        <v>7.68</v>
      </c>
      <c r="N14" s="85">
        <v>7.09</v>
      </c>
      <c r="O14" s="85">
        <v>7.28</v>
      </c>
      <c r="P14" s="85" t="s">
        <v>26</v>
      </c>
      <c r="Q14" s="192">
        <f t="shared" si="1"/>
        <v>7.50875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45" t="s">
        <v>182</v>
      </c>
      <c r="E15" s="85" t="s">
        <v>26</v>
      </c>
      <c r="F15" s="24">
        <v>8.0</v>
      </c>
      <c r="G15" s="85">
        <v>7.96</v>
      </c>
      <c r="H15" s="85" t="s">
        <v>26</v>
      </c>
      <c r="I15" s="85" t="s">
        <v>26</v>
      </c>
      <c r="J15" s="85">
        <v>7.48</v>
      </c>
      <c r="K15" s="85">
        <v>7.48</v>
      </c>
      <c r="L15" s="85">
        <v>7.66</v>
      </c>
      <c r="M15" s="85">
        <v>7.75</v>
      </c>
      <c r="N15" s="24">
        <v>7.0</v>
      </c>
      <c r="O15" s="85">
        <v>7.42</v>
      </c>
      <c r="P15" s="85" t="s">
        <v>26</v>
      </c>
      <c r="Q15" s="192">
        <f t="shared" si="1"/>
        <v>7.59375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183</v>
      </c>
      <c r="C16" s="16">
        <v>1.0</v>
      </c>
      <c r="D16" s="144" t="s">
        <v>180</v>
      </c>
      <c r="E16" s="83" t="s">
        <v>26</v>
      </c>
      <c r="F16" s="18">
        <v>28.6</v>
      </c>
      <c r="G16" s="18">
        <v>29.33</v>
      </c>
      <c r="H16" s="83" t="s">
        <v>26</v>
      </c>
      <c r="I16" s="83" t="s">
        <v>26</v>
      </c>
      <c r="J16" s="18">
        <v>29.9</v>
      </c>
      <c r="K16" s="18">
        <v>30.08</v>
      </c>
      <c r="L16" s="18">
        <v>28.58</v>
      </c>
      <c r="M16" s="120">
        <v>32.33</v>
      </c>
      <c r="N16" s="18">
        <v>30.98</v>
      </c>
      <c r="O16" s="120">
        <v>28.56</v>
      </c>
      <c r="P16" s="83" t="s">
        <v>26</v>
      </c>
      <c r="Q16" s="190">
        <f t="shared" si="1"/>
        <v>29.795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45" t="s">
        <v>181</v>
      </c>
      <c r="E17" s="85" t="s">
        <v>26</v>
      </c>
      <c r="F17" s="24">
        <v>30.0</v>
      </c>
      <c r="G17" s="24">
        <v>30.45</v>
      </c>
      <c r="H17" s="85" t="s">
        <v>26</v>
      </c>
      <c r="I17" s="85" t="s">
        <v>26</v>
      </c>
      <c r="J17" s="24">
        <v>29.65</v>
      </c>
      <c r="K17" s="24">
        <v>30.45</v>
      </c>
      <c r="L17" s="24">
        <v>28.9</v>
      </c>
      <c r="M17" s="24">
        <v>33.1</v>
      </c>
      <c r="N17" s="24">
        <v>31.73</v>
      </c>
      <c r="O17" s="24">
        <v>29.0</v>
      </c>
      <c r="P17" s="85" t="s">
        <v>26</v>
      </c>
      <c r="Q17" s="192">
        <f t="shared" si="1"/>
        <v>30.41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45" t="s">
        <v>182</v>
      </c>
      <c r="E18" s="85" t="s">
        <v>26</v>
      </c>
      <c r="F18" s="24">
        <v>31.4</v>
      </c>
      <c r="G18" s="24">
        <v>30.8</v>
      </c>
      <c r="H18" s="85" t="s">
        <v>26</v>
      </c>
      <c r="I18" s="85" t="s">
        <v>26</v>
      </c>
      <c r="J18" s="24">
        <v>28.38</v>
      </c>
      <c r="K18" s="24">
        <v>30.9</v>
      </c>
      <c r="L18" s="24">
        <v>29.0</v>
      </c>
      <c r="M18" s="24">
        <v>33.23</v>
      </c>
      <c r="N18" s="24">
        <v>31.69</v>
      </c>
      <c r="O18" s="85">
        <v>29.35</v>
      </c>
      <c r="P18" s="85" t="s">
        <v>26</v>
      </c>
      <c r="Q18" s="192">
        <f t="shared" si="1"/>
        <v>30.59375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144" t="s">
        <v>180</v>
      </c>
      <c r="E19" s="120">
        <v>10.0</v>
      </c>
      <c r="F19" s="120">
        <v>5.0</v>
      </c>
      <c r="G19" s="120">
        <v>10.0</v>
      </c>
      <c r="H19" s="83" t="s">
        <v>26</v>
      </c>
      <c r="I19" s="83" t="s">
        <v>26</v>
      </c>
      <c r="J19" s="120">
        <v>20.0</v>
      </c>
      <c r="K19" s="120">
        <v>10.0</v>
      </c>
      <c r="L19" s="120">
        <v>10.0</v>
      </c>
      <c r="M19" s="120">
        <v>10.0</v>
      </c>
      <c r="N19" s="120">
        <v>10.0</v>
      </c>
      <c r="O19" s="120">
        <v>10.0</v>
      </c>
      <c r="P19" s="83" t="s">
        <v>26</v>
      </c>
      <c r="Q19" s="194">
        <f t="shared" si="1"/>
        <v>10.55555556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45" t="s">
        <v>181</v>
      </c>
      <c r="E20" s="85">
        <v>10.0</v>
      </c>
      <c r="F20" s="85">
        <v>5.0</v>
      </c>
      <c r="G20" s="85">
        <v>10.0</v>
      </c>
      <c r="H20" s="85" t="s">
        <v>26</v>
      </c>
      <c r="I20" s="85" t="s">
        <v>26</v>
      </c>
      <c r="J20" s="85">
        <v>15.0</v>
      </c>
      <c r="K20" s="85">
        <v>10.0</v>
      </c>
      <c r="L20" s="85">
        <v>10.0</v>
      </c>
      <c r="M20" s="85">
        <v>10.0</v>
      </c>
      <c r="N20" s="85">
        <v>10.0</v>
      </c>
      <c r="O20" s="85">
        <v>10.0</v>
      </c>
      <c r="P20" s="85" t="s">
        <v>26</v>
      </c>
      <c r="Q20" s="195">
        <f t="shared" si="1"/>
        <v>10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45" t="s">
        <v>182</v>
      </c>
      <c r="E21" s="85">
        <v>10.0</v>
      </c>
      <c r="F21" s="85">
        <v>5.0</v>
      </c>
      <c r="G21" s="85">
        <v>10.0</v>
      </c>
      <c r="H21" s="85" t="s">
        <v>26</v>
      </c>
      <c r="I21" s="85" t="s">
        <v>26</v>
      </c>
      <c r="J21" s="85">
        <v>15.0</v>
      </c>
      <c r="K21" s="85">
        <v>10.0</v>
      </c>
      <c r="L21" s="85">
        <v>10.0</v>
      </c>
      <c r="M21" s="85">
        <v>10.0</v>
      </c>
      <c r="N21" s="85">
        <v>15.0</v>
      </c>
      <c r="O21" s="85">
        <v>10.0</v>
      </c>
      <c r="P21" s="85" t="s">
        <v>26</v>
      </c>
      <c r="Q21" s="195">
        <f t="shared" si="1"/>
        <v>10.55555556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144" t="s">
        <v>180</v>
      </c>
      <c r="E22" s="110">
        <v>35000.0</v>
      </c>
      <c r="F22" s="110">
        <v>54000.0</v>
      </c>
      <c r="G22" s="31">
        <v>2400000.0</v>
      </c>
      <c r="H22" s="83" t="s">
        <v>26</v>
      </c>
      <c r="I22" s="83" t="s">
        <v>26</v>
      </c>
      <c r="J22" s="31" t="s">
        <v>109</v>
      </c>
      <c r="K22" s="120" t="s">
        <v>59</v>
      </c>
      <c r="L22" s="31">
        <v>460000.0</v>
      </c>
      <c r="M22" s="31">
        <v>700000.0</v>
      </c>
      <c r="N22" s="31">
        <v>49000.0</v>
      </c>
      <c r="O22" s="31">
        <v>33000.0</v>
      </c>
      <c r="P22" s="83" t="s">
        <v>26</v>
      </c>
      <c r="Q22" s="196">
        <f t="shared" ref="Q22:Q24" si="2">GEOMEAN(E22,F22,G22,H22,I22,J22,K22,L22,M22,N22,O22,P22)</f>
        <v>157100.2916</v>
      </c>
      <c r="R22" s="17">
        <v>100.0</v>
      </c>
      <c r="S22" s="159">
        <f>GEOMEAN(Q22:Q24)</f>
        <v>54486.34234</v>
      </c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45" t="s">
        <v>181</v>
      </c>
      <c r="E23" s="111">
        <v>22000.0</v>
      </c>
      <c r="F23" s="111">
        <v>3300.0</v>
      </c>
      <c r="G23" s="35">
        <v>4900.0</v>
      </c>
      <c r="H23" s="85" t="s">
        <v>26</v>
      </c>
      <c r="I23" s="85" t="s">
        <v>26</v>
      </c>
      <c r="J23" s="35">
        <v>160000.0</v>
      </c>
      <c r="K23" s="85" t="s">
        <v>59</v>
      </c>
      <c r="L23" s="35">
        <v>240000.0</v>
      </c>
      <c r="M23" s="35">
        <v>920000.0</v>
      </c>
      <c r="N23" s="35">
        <v>79000.0</v>
      </c>
      <c r="O23" s="35">
        <v>13000.0</v>
      </c>
      <c r="P23" s="85" t="s">
        <v>26</v>
      </c>
      <c r="Q23" s="197">
        <f t="shared" si="2"/>
        <v>43536.42605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45" t="s">
        <v>182</v>
      </c>
      <c r="E24" s="111">
        <v>2300.0</v>
      </c>
      <c r="F24" s="111">
        <v>2300.0</v>
      </c>
      <c r="G24" s="35">
        <v>24000.0</v>
      </c>
      <c r="H24" s="85" t="s">
        <v>26</v>
      </c>
      <c r="I24" s="85" t="s">
        <v>26</v>
      </c>
      <c r="J24" s="35">
        <v>92000.0</v>
      </c>
      <c r="K24" s="85" t="s">
        <v>59</v>
      </c>
      <c r="L24" s="35">
        <v>240000.0</v>
      </c>
      <c r="M24" s="35">
        <v>33000.0</v>
      </c>
      <c r="N24" s="35">
        <v>23000.0</v>
      </c>
      <c r="O24" s="35">
        <v>46000.0</v>
      </c>
      <c r="P24" s="85" t="s">
        <v>26</v>
      </c>
      <c r="Q24" s="197">
        <f t="shared" si="2"/>
        <v>23650.11184</v>
      </c>
      <c r="R24" s="23">
        <v>100.0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184</v>
      </c>
      <c r="C25" s="16">
        <v>1.0</v>
      </c>
      <c r="D25" s="144" t="s">
        <v>180</v>
      </c>
      <c r="E25" s="120" t="s">
        <v>40</v>
      </c>
      <c r="F25" s="39">
        <v>0.24</v>
      </c>
      <c r="G25" s="120">
        <v>0.244</v>
      </c>
      <c r="H25" s="83" t="s">
        <v>26</v>
      </c>
      <c r="I25" s="83" t="s">
        <v>26</v>
      </c>
      <c r="J25" s="120">
        <v>0.144</v>
      </c>
      <c r="K25" s="120">
        <v>0.438</v>
      </c>
      <c r="L25" s="120">
        <v>0.133</v>
      </c>
      <c r="M25" s="120" t="s">
        <v>40</v>
      </c>
      <c r="N25" s="120">
        <v>0.135</v>
      </c>
      <c r="O25" s="120">
        <v>0.394</v>
      </c>
      <c r="P25" s="83" t="s">
        <v>26</v>
      </c>
      <c r="Q25" s="198">
        <f>AVERAGE(0.045,F25,G25,H25,I25,J25,K25,L25,0.045,N25,O25,P25)</f>
        <v>0.202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45" t="s">
        <v>181</v>
      </c>
      <c r="E26" s="85" t="s">
        <v>40</v>
      </c>
      <c r="F26" s="85">
        <v>0.396</v>
      </c>
      <c r="G26" s="85">
        <v>0.157</v>
      </c>
      <c r="H26" s="85" t="s">
        <v>26</v>
      </c>
      <c r="I26" s="85" t="s">
        <v>26</v>
      </c>
      <c r="J26" s="85">
        <v>0.231</v>
      </c>
      <c r="K26" s="85">
        <v>0.418</v>
      </c>
      <c r="L26" s="85">
        <v>0.161</v>
      </c>
      <c r="M26" s="85">
        <v>0.144</v>
      </c>
      <c r="N26" s="85">
        <v>0.221</v>
      </c>
      <c r="O26" s="85">
        <v>0.409</v>
      </c>
      <c r="P26" s="85" t="s">
        <v>26</v>
      </c>
      <c r="Q26" s="200">
        <f>AVERAGE(0.045,F26,G26,H26,I26,J26,K26,L26,M26,N26,O26,P26)</f>
        <v>0.2424444444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45" t="s">
        <v>182</v>
      </c>
      <c r="E27" s="41">
        <v>0.16</v>
      </c>
      <c r="F27" s="85">
        <v>0.773</v>
      </c>
      <c r="G27" s="85">
        <v>0.045</v>
      </c>
      <c r="H27" s="85" t="s">
        <v>26</v>
      </c>
      <c r="I27" s="85" t="s">
        <v>26</v>
      </c>
      <c r="J27" s="85" t="s">
        <v>40</v>
      </c>
      <c r="K27" s="85">
        <v>0.371</v>
      </c>
      <c r="L27" s="85">
        <v>0.257</v>
      </c>
      <c r="M27" s="85" t="s">
        <v>40</v>
      </c>
      <c r="N27" s="41">
        <v>0.12</v>
      </c>
      <c r="O27" s="85">
        <v>0.395</v>
      </c>
      <c r="P27" s="85" t="s">
        <v>26</v>
      </c>
      <c r="Q27" s="200">
        <f>AVERAGE(E27,F27,G27,H27,I27,0.045,K27,L27,0.045,N27,O27,P27)</f>
        <v>0.2456666667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185</v>
      </c>
      <c r="C28" s="16">
        <v>1.0</v>
      </c>
      <c r="D28" s="144" t="s">
        <v>180</v>
      </c>
      <c r="E28" s="39">
        <v>0.216</v>
      </c>
      <c r="F28" s="39">
        <v>0.073</v>
      </c>
      <c r="G28" s="39">
        <v>0.188</v>
      </c>
      <c r="H28" s="83" t="s">
        <v>26</v>
      </c>
      <c r="I28" s="83" t="s">
        <v>26</v>
      </c>
      <c r="J28" s="39">
        <v>0.14</v>
      </c>
      <c r="K28" s="120">
        <v>0.135</v>
      </c>
      <c r="L28" s="120">
        <v>0.121</v>
      </c>
      <c r="M28" s="120">
        <v>0.132</v>
      </c>
      <c r="N28" s="120">
        <v>0.143</v>
      </c>
      <c r="O28" s="120">
        <v>0.107</v>
      </c>
      <c r="P28" s="83" t="s">
        <v>26</v>
      </c>
      <c r="Q28" s="198">
        <f t="shared" ref="Q28:Q30" si="3">AVERAGE(E28,F28,G28,H28,I28,J28,K28,L28,M28,N28,O28,P28)</f>
        <v>0.1394444444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45" t="s">
        <v>181</v>
      </c>
      <c r="E29" s="41">
        <v>0.189</v>
      </c>
      <c r="F29" s="41">
        <v>0.079</v>
      </c>
      <c r="G29" s="41">
        <v>0.26</v>
      </c>
      <c r="H29" s="85" t="s">
        <v>26</v>
      </c>
      <c r="I29" s="85" t="s">
        <v>26</v>
      </c>
      <c r="J29" s="85">
        <v>0.178</v>
      </c>
      <c r="K29" s="85">
        <v>0.159</v>
      </c>
      <c r="L29" s="85">
        <v>0.124</v>
      </c>
      <c r="M29" s="41">
        <v>0.162</v>
      </c>
      <c r="N29" s="85">
        <v>0.231</v>
      </c>
      <c r="O29" s="85">
        <v>0.104</v>
      </c>
      <c r="P29" s="85" t="s">
        <v>26</v>
      </c>
      <c r="Q29" s="200">
        <f t="shared" si="3"/>
        <v>0.1651111111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45" t="s">
        <v>182</v>
      </c>
      <c r="E30" s="41">
        <v>0.354</v>
      </c>
      <c r="F30" s="41">
        <v>0.159</v>
      </c>
      <c r="G30" s="41">
        <v>0.457</v>
      </c>
      <c r="H30" s="85" t="s">
        <v>26</v>
      </c>
      <c r="I30" s="85" t="s">
        <v>26</v>
      </c>
      <c r="J30" s="85">
        <v>0.161</v>
      </c>
      <c r="K30" s="85">
        <v>0.164</v>
      </c>
      <c r="L30" s="85">
        <v>0.149</v>
      </c>
      <c r="M30" s="85">
        <v>0.172</v>
      </c>
      <c r="N30" s="85">
        <v>0.248</v>
      </c>
      <c r="O30" s="85">
        <v>0.149</v>
      </c>
      <c r="P30" s="85" t="s">
        <v>26</v>
      </c>
      <c r="Q30" s="200">
        <f t="shared" si="3"/>
        <v>0.2236666667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144" t="s">
        <v>180</v>
      </c>
      <c r="E31" s="201"/>
      <c r="F31" s="201"/>
      <c r="G31" s="201"/>
      <c r="H31" s="213">
        <v>0.065</v>
      </c>
      <c r="I31" s="201"/>
      <c r="J31" s="201"/>
      <c r="K31" s="201"/>
      <c r="L31" s="201"/>
      <c r="M31" s="201"/>
      <c r="N31" s="201"/>
      <c r="O31" s="201"/>
      <c r="P31" s="201"/>
      <c r="Q31" s="40" t="str">
        <f t="shared" ref="Q31:Q33" si="4">AVERAGE(I31)</f>
        <v>#DIV/0!</v>
      </c>
      <c r="R31" s="17">
        <v>0.5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145" t="s">
        <v>181</v>
      </c>
      <c r="E32" s="20"/>
      <c r="F32" s="20"/>
      <c r="G32" s="20"/>
      <c r="H32" s="214">
        <v>0.053</v>
      </c>
      <c r="I32" s="20"/>
      <c r="J32" s="20"/>
      <c r="K32" s="20"/>
      <c r="L32" s="20"/>
      <c r="M32" s="20"/>
      <c r="N32" s="20"/>
      <c r="O32" s="20"/>
      <c r="P32" s="20"/>
      <c r="Q32" s="42" t="str">
        <f t="shared" si="4"/>
        <v>#DIV/0!</v>
      </c>
      <c r="R32" s="23">
        <v>0.5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145" t="s">
        <v>182</v>
      </c>
      <c r="E33" s="20"/>
      <c r="F33" s="20"/>
      <c r="G33" s="20"/>
      <c r="H33" s="214">
        <v>0.061</v>
      </c>
      <c r="I33" s="20"/>
      <c r="J33" s="20"/>
      <c r="K33" s="20"/>
      <c r="L33" s="20"/>
      <c r="M33" s="20"/>
      <c r="N33" s="20"/>
      <c r="O33" s="20"/>
      <c r="P33" s="20"/>
      <c r="Q33" s="42" t="str">
        <f t="shared" si="4"/>
        <v>#DIV/0!</v>
      </c>
      <c r="R33" s="23">
        <v>0.5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127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91" t="s">
        <v>43</v>
      </c>
      <c r="D35" s="72"/>
      <c r="E35" s="72"/>
      <c r="F35" s="72"/>
      <c r="G35" s="72"/>
      <c r="H35" s="72"/>
      <c r="I35" s="72"/>
      <c r="J35" s="72"/>
      <c r="K35" s="72"/>
      <c r="L35" s="127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D36" s="72"/>
      <c r="E36" s="72"/>
      <c r="F36" s="72"/>
      <c r="G36" s="72"/>
      <c r="H36" s="72"/>
      <c r="I36" s="72"/>
      <c r="J36" s="72"/>
      <c r="K36" s="72"/>
      <c r="L36" s="127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4.25" customHeight="1">
      <c r="A37" s="72" t="s">
        <v>178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127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127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127"/>
      <c r="M39" s="72"/>
      <c r="N39" s="72"/>
      <c r="O39" s="72"/>
      <c r="P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72"/>
      <c r="N40" s="72"/>
      <c r="O40" s="72"/>
      <c r="P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72"/>
      <c r="N41" s="72"/>
      <c r="O41" s="72"/>
      <c r="P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72"/>
      <c r="N42" s="72"/>
      <c r="O42" s="72"/>
      <c r="P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72"/>
      <c r="N43" s="72"/>
      <c r="O43" s="72"/>
      <c r="P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72"/>
      <c r="N44" s="72"/>
      <c r="O44" s="72"/>
      <c r="P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72"/>
      <c r="N45" s="72"/>
      <c r="O45" s="72"/>
      <c r="P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72"/>
      <c r="N46" s="72"/>
      <c r="O46" s="72"/>
      <c r="P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72"/>
      <c r="N47" s="72"/>
      <c r="O47" s="72"/>
      <c r="P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72"/>
      <c r="N48" s="72"/>
      <c r="O48" s="72"/>
      <c r="P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72"/>
      <c r="N49" s="72"/>
      <c r="O49" s="72"/>
      <c r="P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72"/>
      <c r="N50" s="72"/>
      <c r="O50" s="72"/>
      <c r="P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72"/>
      <c r="N51" s="72"/>
      <c r="O51" s="72"/>
      <c r="P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72"/>
      <c r="N52" s="72"/>
      <c r="O52" s="72"/>
      <c r="P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72"/>
      <c r="N53" s="72"/>
      <c r="O53" s="72"/>
      <c r="P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72"/>
      <c r="N54" s="72"/>
      <c r="O54" s="72"/>
      <c r="P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72"/>
      <c r="N55" s="72"/>
      <c r="O55" s="72"/>
      <c r="P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72"/>
      <c r="N56" s="72"/>
      <c r="O56" s="72"/>
      <c r="P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72"/>
      <c r="N57" s="72"/>
      <c r="O57" s="72"/>
      <c r="P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72"/>
      <c r="N58" s="72"/>
      <c r="O58" s="72"/>
      <c r="P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72"/>
      <c r="N59" s="72"/>
      <c r="O59" s="72"/>
      <c r="P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72"/>
      <c r="N60" s="72"/>
      <c r="O60" s="72"/>
      <c r="P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72"/>
      <c r="N61" s="72"/>
      <c r="O61" s="72"/>
      <c r="P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72"/>
      <c r="N62" s="72"/>
      <c r="O62" s="72"/>
      <c r="P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72"/>
      <c r="N63" s="72"/>
      <c r="O63" s="72"/>
      <c r="P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72"/>
      <c r="N64" s="72"/>
      <c r="O64" s="72"/>
      <c r="P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72"/>
      <c r="N65" s="72"/>
      <c r="O65" s="72"/>
      <c r="P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72"/>
      <c r="N66" s="72"/>
      <c r="O66" s="72"/>
      <c r="P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72"/>
      <c r="N67" s="72"/>
      <c r="O67" s="72"/>
      <c r="P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72"/>
      <c r="N68" s="72"/>
      <c r="O68" s="72"/>
      <c r="P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72"/>
      <c r="N69" s="72"/>
      <c r="O69" s="72"/>
      <c r="P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72"/>
      <c r="N70" s="72"/>
      <c r="O70" s="72"/>
      <c r="P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72"/>
      <c r="N71" s="72"/>
      <c r="O71" s="72"/>
      <c r="P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72"/>
      <c r="N72" s="72"/>
      <c r="O72" s="72"/>
      <c r="P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72"/>
      <c r="N73" s="72"/>
      <c r="O73" s="72"/>
      <c r="P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72"/>
      <c r="N74" s="72"/>
      <c r="O74" s="72"/>
      <c r="P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72"/>
      <c r="N75" s="72"/>
      <c r="O75" s="72"/>
      <c r="P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72"/>
      <c r="N76" s="72"/>
      <c r="O76" s="72"/>
      <c r="P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72"/>
      <c r="N77" s="72"/>
      <c r="O77" s="72"/>
      <c r="P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72"/>
      <c r="N78" s="72"/>
      <c r="O78" s="72"/>
      <c r="P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72"/>
      <c r="N79" s="72"/>
      <c r="O79" s="72"/>
      <c r="P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72"/>
      <c r="N80" s="72"/>
      <c r="O80" s="72"/>
      <c r="P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72"/>
      <c r="N81" s="72"/>
      <c r="O81" s="72"/>
      <c r="P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72"/>
      <c r="N82" s="72"/>
      <c r="O82" s="72"/>
      <c r="P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72"/>
      <c r="N83" s="72"/>
      <c r="O83" s="72"/>
      <c r="P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72"/>
      <c r="N84" s="72"/>
      <c r="O84" s="72"/>
      <c r="P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72"/>
      <c r="N85" s="72"/>
      <c r="O85" s="72"/>
      <c r="P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72"/>
      <c r="N86" s="72"/>
      <c r="O86" s="72"/>
      <c r="P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72"/>
      <c r="N87" s="72"/>
      <c r="O87" s="72"/>
      <c r="P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72"/>
      <c r="N88" s="72"/>
      <c r="O88" s="72"/>
      <c r="P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72"/>
      <c r="N89" s="72"/>
      <c r="O89" s="72"/>
      <c r="P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72"/>
      <c r="N90" s="72"/>
      <c r="O90" s="72"/>
      <c r="P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72"/>
      <c r="N91" s="72"/>
      <c r="O91" s="72"/>
      <c r="P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72"/>
      <c r="N92" s="72"/>
      <c r="O92" s="72"/>
      <c r="P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72"/>
      <c r="N93" s="72"/>
      <c r="O93" s="72"/>
      <c r="P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72"/>
      <c r="N94" s="72"/>
      <c r="O94" s="72"/>
      <c r="P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72"/>
      <c r="N95" s="72"/>
      <c r="O95" s="72"/>
      <c r="P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72"/>
      <c r="N96" s="72"/>
      <c r="O96" s="72"/>
      <c r="P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72"/>
      <c r="N97" s="72"/>
      <c r="O97" s="72"/>
      <c r="P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72"/>
      <c r="N98" s="72"/>
      <c r="O98" s="72"/>
      <c r="P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72"/>
      <c r="N99" s="72"/>
      <c r="O99" s="72"/>
      <c r="P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72"/>
      <c r="N100" s="72"/>
      <c r="O100" s="72"/>
      <c r="P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72"/>
      <c r="N101" s="72"/>
      <c r="O101" s="72"/>
      <c r="P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72"/>
      <c r="N102" s="72"/>
      <c r="O102" s="72"/>
      <c r="P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72"/>
      <c r="N103" s="72"/>
      <c r="O103" s="72"/>
      <c r="P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72"/>
      <c r="N104" s="72"/>
      <c r="O104" s="72"/>
      <c r="P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72"/>
      <c r="N105" s="72"/>
      <c r="O105" s="72"/>
      <c r="P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72"/>
      <c r="N106" s="72"/>
      <c r="O106" s="72"/>
      <c r="P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72"/>
      <c r="N107" s="72"/>
      <c r="O107" s="72"/>
      <c r="P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72"/>
      <c r="N108" s="72"/>
      <c r="O108" s="72"/>
      <c r="P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72"/>
      <c r="N109" s="72"/>
      <c r="O109" s="72"/>
      <c r="P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72"/>
      <c r="N110" s="72"/>
      <c r="O110" s="72"/>
      <c r="P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72"/>
      <c r="N111" s="72"/>
      <c r="O111" s="72"/>
      <c r="P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72"/>
      <c r="N112" s="72"/>
      <c r="O112" s="72"/>
      <c r="P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72"/>
      <c r="N113" s="72"/>
      <c r="O113" s="72"/>
      <c r="P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72"/>
      <c r="N114" s="72"/>
      <c r="O114" s="72"/>
      <c r="P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72"/>
      <c r="N115" s="72"/>
      <c r="O115" s="72"/>
      <c r="P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72"/>
      <c r="N116" s="72"/>
      <c r="O116" s="72"/>
      <c r="P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72"/>
      <c r="N117" s="72"/>
      <c r="O117" s="72"/>
      <c r="P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72"/>
      <c r="N118" s="72"/>
      <c r="O118" s="72"/>
      <c r="P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72"/>
      <c r="N119" s="72"/>
      <c r="O119" s="72"/>
      <c r="P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72"/>
      <c r="N120" s="72"/>
      <c r="O120" s="72"/>
      <c r="P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72"/>
      <c r="N121" s="72"/>
      <c r="O121" s="72"/>
      <c r="P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72"/>
      <c r="N122" s="72"/>
      <c r="O122" s="72"/>
      <c r="P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72"/>
      <c r="N123" s="72"/>
      <c r="O123" s="72"/>
      <c r="P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72"/>
      <c r="N124" s="72"/>
      <c r="O124" s="72"/>
      <c r="P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72"/>
      <c r="N125" s="72"/>
      <c r="O125" s="72"/>
      <c r="P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72"/>
      <c r="N126" s="72"/>
      <c r="O126" s="72"/>
      <c r="P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72"/>
      <c r="N127" s="72"/>
      <c r="O127" s="72"/>
      <c r="P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72"/>
      <c r="N128" s="72"/>
      <c r="O128" s="72"/>
      <c r="P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72"/>
      <c r="N129" s="72"/>
      <c r="O129" s="72"/>
      <c r="P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72"/>
      <c r="N130" s="72"/>
      <c r="O130" s="72"/>
      <c r="P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72"/>
      <c r="N131" s="72"/>
      <c r="O131" s="72"/>
      <c r="P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72"/>
      <c r="N132" s="72"/>
      <c r="O132" s="72"/>
      <c r="P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72"/>
      <c r="N133" s="72"/>
      <c r="O133" s="72"/>
      <c r="P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72"/>
      <c r="N134" s="72"/>
      <c r="O134" s="72"/>
      <c r="P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72"/>
      <c r="N135" s="72"/>
      <c r="O135" s="72"/>
      <c r="P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72"/>
      <c r="N136" s="72"/>
      <c r="O136" s="72"/>
      <c r="P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72"/>
      <c r="N137" s="72"/>
      <c r="O137" s="72"/>
      <c r="P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72"/>
      <c r="N138" s="72"/>
      <c r="O138" s="72"/>
      <c r="P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72"/>
      <c r="N139" s="72"/>
      <c r="O139" s="72"/>
      <c r="P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72"/>
      <c r="N140" s="72"/>
      <c r="O140" s="72"/>
      <c r="P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72"/>
      <c r="N141" s="72"/>
      <c r="O141" s="72"/>
      <c r="P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72"/>
      <c r="N142" s="72"/>
      <c r="O142" s="72"/>
      <c r="P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72"/>
      <c r="N143" s="72"/>
      <c r="O143" s="72"/>
      <c r="P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72"/>
      <c r="N144" s="72"/>
      <c r="O144" s="72"/>
      <c r="P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72"/>
      <c r="N145" s="72"/>
      <c r="O145" s="72"/>
      <c r="P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72"/>
      <c r="N146" s="72"/>
      <c r="O146" s="72"/>
      <c r="P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72"/>
      <c r="N147" s="72"/>
      <c r="O147" s="72"/>
      <c r="P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72"/>
      <c r="N148" s="72"/>
      <c r="O148" s="72"/>
      <c r="P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72"/>
      <c r="N149" s="72"/>
      <c r="O149" s="72"/>
      <c r="P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72"/>
      <c r="N150" s="72"/>
      <c r="O150" s="72"/>
      <c r="P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72"/>
      <c r="N151" s="72"/>
      <c r="O151" s="72"/>
      <c r="P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72"/>
      <c r="N152" s="72"/>
      <c r="O152" s="72"/>
      <c r="P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72"/>
      <c r="N153" s="72"/>
      <c r="O153" s="72"/>
      <c r="P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72"/>
      <c r="N154" s="72"/>
      <c r="O154" s="72"/>
      <c r="P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72"/>
      <c r="N155" s="72"/>
      <c r="O155" s="72"/>
      <c r="P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72"/>
      <c r="N156" s="72"/>
      <c r="O156" s="72"/>
      <c r="P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72"/>
      <c r="N157" s="72"/>
      <c r="O157" s="72"/>
      <c r="P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72"/>
      <c r="N158" s="72"/>
      <c r="O158" s="72"/>
      <c r="P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72"/>
      <c r="N159" s="72"/>
      <c r="O159" s="72"/>
      <c r="P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72"/>
      <c r="N160" s="72"/>
      <c r="O160" s="72"/>
      <c r="P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72"/>
      <c r="N161" s="72"/>
      <c r="O161" s="72"/>
      <c r="P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72"/>
      <c r="N162" s="72"/>
      <c r="O162" s="72"/>
      <c r="P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72"/>
      <c r="N163" s="72"/>
      <c r="O163" s="72"/>
      <c r="P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72"/>
      <c r="N164" s="72"/>
      <c r="O164" s="72"/>
      <c r="P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72"/>
      <c r="N165" s="72"/>
      <c r="O165" s="72"/>
      <c r="P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72"/>
      <c r="N166" s="72"/>
      <c r="O166" s="72"/>
      <c r="P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72"/>
      <c r="N167" s="72"/>
      <c r="O167" s="72"/>
      <c r="P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72"/>
      <c r="N168" s="72"/>
      <c r="O168" s="72"/>
      <c r="P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72"/>
      <c r="N169" s="72"/>
      <c r="O169" s="72"/>
      <c r="P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72"/>
      <c r="N170" s="72"/>
      <c r="O170" s="72"/>
      <c r="P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72"/>
      <c r="N171" s="72"/>
      <c r="O171" s="72"/>
      <c r="P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72"/>
      <c r="N172" s="72"/>
      <c r="O172" s="72"/>
      <c r="P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72"/>
      <c r="N173" s="72"/>
      <c r="O173" s="72"/>
      <c r="P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72"/>
      <c r="N174" s="72"/>
      <c r="O174" s="72"/>
      <c r="P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72"/>
      <c r="N175" s="72"/>
      <c r="O175" s="72"/>
      <c r="P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72"/>
      <c r="N176" s="72"/>
      <c r="O176" s="72"/>
      <c r="P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72"/>
      <c r="N177" s="72"/>
      <c r="O177" s="72"/>
      <c r="P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72"/>
      <c r="N178" s="72"/>
      <c r="O178" s="72"/>
      <c r="P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72"/>
      <c r="N179" s="72"/>
      <c r="O179" s="72"/>
      <c r="P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72"/>
      <c r="N180" s="72"/>
      <c r="O180" s="72"/>
      <c r="P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72"/>
      <c r="N181" s="72"/>
      <c r="O181" s="72"/>
      <c r="P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72"/>
      <c r="N182" s="72"/>
      <c r="O182" s="72"/>
      <c r="P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72"/>
      <c r="N183" s="72"/>
      <c r="O183" s="72"/>
      <c r="P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72"/>
      <c r="N184" s="72"/>
      <c r="O184" s="72"/>
      <c r="P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72"/>
      <c r="N185" s="72"/>
      <c r="O185" s="72"/>
      <c r="P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72"/>
      <c r="N186" s="72"/>
      <c r="O186" s="72"/>
      <c r="P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72"/>
      <c r="N187" s="72"/>
      <c r="O187" s="72"/>
      <c r="P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72"/>
      <c r="N188" s="72"/>
      <c r="O188" s="72"/>
      <c r="P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72"/>
      <c r="N189" s="72"/>
      <c r="O189" s="72"/>
      <c r="P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72"/>
      <c r="N190" s="72"/>
      <c r="O190" s="72"/>
      <c r="P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72"/>
      <c r="N191" s="72"/>
      <c r="O191" s="72"/>
      <c r="P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72"/>
      <c r="N192" s="72"/>
      <c r="O192" s="72"/>
      <c r="P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72"/>
      <c r="N193" s="72"/>
      <c r="O193" s="72"/>
      <c r="P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72"/>
      <c r="N194" s="72"/>
      <c r="O194" s="72"/>
      <c r="P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72"/>
      <c r="N195" s="72"/>
      <c r="O195" s="72"/>
      <c r="P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72"/>
      <c r="N196" s="72"/>
      <c r="O196" s="72"/>
      <c r="P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72"/>
      <c r="N197" s="72"/>
      <c r="O197" s="72"/>
      <c r="P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72"/>
      <c r="N198" s="72"/>
      <c r="O198" s="72"/>
      <c r="P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72"/>
      <c r="N199" s="72"/>
      <c r="O199" s="72"/>
      <c r="P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72"/>
      <c r="N200" s="72"/>
      <c r="O200" s="72"/>
      <c r="P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72"/>
      <c r="N201" s="72"/>
      <c r="O201" s="72"/>
      <c r="P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72"/>
      <c r="N202" s="72"/>
      <c r="O202" s="72"/>
      <c r="P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72"/>
      <c r="N203" s="72"/>
      <c r="O203" s="72"/>
      <c r="P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72"/>
      <c r="N204" s="72"/>
      <c r="O204" s="72"/>
      <c r="P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72"/>
      <c r="N205" s="72"/>
      <c r="O205" s="72"/>
      <c r="P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72"/>
      <c r="N206" s="72"/>
      <c r="O206" s="72"/>
      <c r="P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72"/>
      <c r="N207" s="72"/>
      <c r="O207" s="72"/>
      <c r="P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72"/>
      <c r="N208" s="72"/>
      <c r="O208" s="72"/>
      <c r="P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72"/>
      <c r="N209" s="72"/>
      <c r="O209" s="72"/>
      <c r="P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72"/>
      <c r="N210" s="72"/>
      <c r="O210" s="72"/>
      <c r="P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72"/>
      <c r="N211" s="72"/>
      <c r="O211" s="72"/>
      <c r="P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72"/>
      <c r="N212" s="72"/>
      <c r="O212" s="72"/>
      <c r="P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72"/>
      <c r="N213" s="72"/>
      <c r="O213" s="72"/>
      <c r="P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72"/>
      <c r="N214" s="72"/>
      <c r="O214" s="72"/>
      <c r="P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72"/>
      <c r="N215" s="72"/>
      <c r="O215" s="72"/>
      <c r="P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72"/>
      <c r="N216" s="72"/>
      <c r="O216" s="72"/>
      <c r="P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72"/>
      <c r="N217" s="72"/>
      <c r="O217" s="72"/>
      <c r="P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72"/>
      <c r="N218" s="72"/>
      <c r="O218" s="72"/>
      <c r="P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72"/>
      <c r="N219" s="72"/>
      <c r="O219" s="72"/>
      <c r="P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72"/>
      <c r="N220" s="72"/>
      <c r="O220" s="72"/>
      <c r="P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72"/>
      <c r="N221" s="72"/>
      <c r="O221" s="72"/>
      <c r="P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72"/>
      <c r="N222" s="72"/>
      <c r="O222" s="72"/>
      <c r="P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72"/>
      <c r="N223" s="72"/>
      <c r="O223" s="72"/>
      <c r="P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72"/>
      <c r="N224" s="72"/>
      <c r="O224" s="72"/>
      <c r="P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72"/>
      <c r="N225" s="72"/>
      <c r="O225" s="72"/>
      <c r="P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72"/>
      <c r="N226" s="72"/>
      <c r="O226" s="72"/>
      <c r="P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72"/>
      <c r="N227" s="72"/>
      <c r="O227" s="72"/>
      <c r="P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72"/>
      <c r="N228" s="72"/>
      <c r="O228" s="72"/>
      <c r="P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72"/>
      <c r="N229" s="72"/>
      <c r="O229" s="72"/>
      <c r="P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72"/>
      <c r="N230" s="72"/>
      <c r="O230" s="72"/>
      <c r="P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72"/>
      <c r="N231" s="72"/>
      <c r="O231" s="72"/>
      <c r="P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72"/>
      <c r="N232" s="72"/>
      <c r="O232" s="72"/>
      <c r="P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72"/>
      <c r="N233" s="72"/>
      <c r="O233" s="72"/>
      <c r="P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72"/>
      <c r="N234" s="72"/>
      <c r="O234" s="72"/>
      <c r="P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72"/>
      <c r="N235" s="72"/>
      <c r="O235" s="72"/>
      <c r="P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72"/>
      <c r="N236" s="72"/>
      <c r="O236" s="72"/>
      <c r="P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72"/>
      <c r="N237" s="72"/>
      <c r="O237" s="72"/>
      <c r="P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72"/>
      <c r="N238" s="72"/>
      <c r="O238" s="72"/>
      <c r="P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72"/>
      <c r="N239" s="72"/>
      <c r="O239" s="72"/>
      <c r="P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72"/>
      <c r="N240" s="72"/>
      <c r="O240" s="72"/>
      <c r="P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72"/>
      <c r="N241" s="72"/>
      <c r="O241" s="72"/>
      <c r="P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72"/>
      <c r="N242" s="72"/>
      <c r="O242" s="72"/>
      <c r="P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72"/>
      <c r="N243" s="72"/>
      <c r="O243" s="72"/>
      <c r="P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72"/>
      <c r="N244" s="72"/>
      <c r="O244" s="72"/>
      <c r="P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72"/>
      <c r="N245" s="72"/>
      <c r="O245" s="72"/>
      <c r="P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72"/>
      <c r="N246" s="72"/>
      <c r="O246" s="72"/>
      <c r="P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72"/>
      <c r="N247" s="72"/>
      <c r="O247" s="72"/>
      <c r="P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72"/>
      <c r="N248" s="72"/>
      <c r="O248" s="72"/>
      <c r="P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72"/>
      <c r="N249" s="72"/>
      <c r="O249" s="72"/>
      <c r="P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72"/>
      <c r="N250" s="72"/>
      <c r="O250" s="72"/>
      <c r="P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72"/>
      <c r="N251" s="72"/>
      <c r="O251" s="72"/>
      <c r="P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72"/>
      <c r="N252" s="72"/>
      <c r="O252" s="72"/>
      <c r="P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72"/>
      <c r="N253" s="72"/>
      <c r="O253" s="72"/>
      <c r="P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72"/>
      <c r="N254" s="72"/>
      <c r="O254" s="72"/>
      <c r="P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72"/>
      <c r="N255" s="72"/>
      <c r="O255" s="72"/>
      <c r="P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72"/>
      <c r="N256" s="72"/>
      <c r="O256" s="72"/>
      <c r="P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72"/>
      <c r="N257" s="72"/>
      <c r="O257" s="72"/>
      <c r="P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72"/>
      <c r="N258" s="72"/>
      <c r="O258" s="72"/>
      <c r="P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72"/>
      <c r="N259" s="72"/>
      <c r="O259" s="72"/>
      <c r="P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72"/>
      <c r="N260" s="72"/>
      <c r="O260" s="72"/>
      <c r="P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72"/>
      <c r="N261" s="72"/>
      <c r="O261" s="72"/>
      <c r="P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72"/>
      <c r="N262" s="72"/>
      <c r="O262" s="72"/>
      <c r="P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72"/>
      <c r="N263" s="72"/>
      <c r="O263" s="72"/>
      <c r="P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72"/>
      <c r="N264" s="72"/>
      <c r="O264" s="72"/>
      <c r="P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72"/>
      <c r="N265" s="72"/>
      <c r="O265" s="72"/>
      <c r="P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72"/>
      <c r="N266" s="72"/>
      <c r="O266" s="72"/>
      <c r="P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72"/>
      <c r="N267" s="72"/>
      <c r="O267" s="72"/>
      <c r="P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72"/>
      <c r="N268" s="72"/>
      <c r="O268" s="72"/>
      <c r="P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72"/>
      <c r="N269" s="72"/>
      <c r="O269" s="72"/>
      <c r="P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72"/>
      <c r="N270" s="72"/>
      <c r="O270" s="72"/>
      <c r="P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72"/>
      <c r="N271" s="72"/>
      <c r="O271" s="72"/>
      <c r="P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72"/>
      <c r="N272" s="72"/>
      <c r="O272" s="72"/>
      <c r="P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72"/>
      <c r="N273" s="72"/>
      <c r="O273" s="72"/>
      <c r="P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72"/>
      <c r="N274" s="72"/>
      <c r="O274" s="72"/>
      <c r="P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72"/>
      <c r="N275" s="72"/>
      <c r="O275" s="72"/>
      <c r="P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72"/>
      <c r="N276" s="72"/>
      <c r="O276" s="72"/>
      <c r="P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72"/>
      <c r="N277" s="72"/>
      <c r="O277" s="72"/>
      <c r="P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72"/>
      <c r="N278" s="72"/>
      <c r="O278" s="72"/>
      <c r="P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72"/>
      <c r="N279" s="72"/>
      <c r="O279" s="72"/>
      <c r="P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72"/>
      <c r="N280" s="72"/>
      <c r="O280" s="72"/>
      <c r="P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72"/>
      <c r="N281" s="72"/>
      <c r="O281" s="72"/>
      <c r="P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72"/>
      <c r="N282" s="72"/>
      <c r="O282" s="72"/>
      <c r="P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72"/>
      <c r="N283" s="72"/>
      <c r="O283" s="72"/>
      <c r="P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72"/>
      <c r="N284" s="72"/>
      <c r="O284" s="72"/>
      <c r="P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72"/>
      <c r="N285" s="72"/>
      <c r="O285" s="72"/>
      <c r="P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72"/>
      <c r="N286" s="72"/>
      <c r="O286" s="72"/>
      <c r="P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72"/>
      <c r="N287" s="72"/>
      <c r="O287" s="72"/>
      <c r="P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72"/>
      <c r="N288" s="72"/>
      <c r="O288" s="72"/>
      <c r="P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72"/>
      <c r="N289" s="72"/>
      <c r="O289" s="72"/>
      <c r="P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72"/>
      <c r="N290" s="72"/>
      <c r="O290" s="72"/>
      <c r="P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72"/>
      <c r="N291" s="72"/>
      <c r="O291" s="72"/>
      <c r="P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72"/>
      <c r="N292" s="72"/>
      <c r="O292" s="72"/>
      <c r="P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72"/>
      <c r="N293" s="72"/>
      <c r="O293" s="72"/>
      <c r="P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72"/>
      <c r="N294" s="72"/>
      <c r="O294" s="72"/>
      <c r="P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72"/>
      <c r="N295" s="72"/>
      <c r="O295" s="72"/>
      <c r="P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72"/>
      <c r="N296" s="72"/>
      <c r="O296" s="72"/>
      <c r="P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72"/>
      <c r="N297" s="72"/>
      <c r="O297" s="72"/>
      <c r="P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72"/>
      <c r="N298" s="72"/>
      <c r="O298" s="72"/>
      <c r="P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72"/>
      <c r="N299" s="72"/>
      <c r="O299" s="72"/>
      <c r="P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72"/>
      <c r="N300" s="72"/>
      <c r="O300" s="72"/>
      <c r="P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72"/>
      <c r="N301" s="72"/>
      <c r="O301" s="72"/>
      <c r="P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72"/>
      <c r="N302" s="72"/>
      <c r="O302" s="72"/>
      <c r="P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72"/>
      <c r="N303" s="72"/>
      <c r="O303" s="72"/>
      <c r="P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72"/>
      <c r="N304" s="72"/>
      <c r="O304" s="72"/>
      <c r="P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72"/>
      <c r="N305" s="72"/>
      <c r="O305" s="72"/>
      <c r="P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72"/>
      <c r="N306" s="72"/>
      <c r="O306" s="72"/>
      <c r="P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72"/>
      <c r="N307" s="72"/>
      <c r="O307" s="72"/>
      <c r="P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72"/>
      <c r="N308" s="72"/>
      <c r="O308" s="72"/>
      <c r="P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72"/>
      <c r="N309" s="72"/>
      <c r="O309" s="72"/>
      <c r="P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72"/>
      <c r="N310" s="72"/>
      <c r="O310" s="72"/>
      <c r="P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72"/>
      <c r="N311" s="72"/>
      <c r="O311" s="72"/>
      <c r="P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72"/>
      <c r="N312" s="72"/>
      <c r="O312" s="72"/>
      <c r="P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72"/>
      <c r="N313" s="72"/>
      <c r="O313" s="72"/>
      <c r="P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72"/>
      <c r="N314" s="72"/>
      <c r="O314" s="72"/>
      <c r="P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72"/>
      <c r="N315" s="72"/>
      <c r="O315" s="72"/>
      <c r="P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72"/>
      <c r="N316" s="72"/>
      <c r="O316" s="72"/>
      <c r="P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72"/>
      <c r="N317" s="72"/>
      <c r="O317" s="72"/>
      <c r="P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72"/>
      <c r="N318" s="72"/>
      <c r="O318" s="72"/>
      <c r="P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72"/>
      <c r="N319" s="72"/>
      <c r="O319" s="72"/>
      <c r="P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72"/>
      <c r="N320" s="72"/>
      <c r="O320" s="72"/>
      <c r="P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72"/>
      <c r="N321" s="72"/>
      <c r="O321" s="72"/>
      <c r="P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72"/>
      <c r="N322" s="72"/>
      <c r="O322" s="72"/>
      <c r="P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72"/>
      <c r="N323" s="72"/>
      <c r="O323" s="72"/>
      <c r="P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72"/>
      <c r="N324" s="72"/>
      <c r="O324" s="72"/>
      <c r="P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72"/>
      <c r="N325" s="72"/>
      <c r="O325" s="72"/>
      <c r="P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72"/>
      <c r="N326" s="72"/>
      <c r="O326" s="72"/>
      <c r="P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72"/>
      <c r="N327" s="72"/>
      <c r="O327" s="72"/>
      <c r="P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72"/>
      <c r="N328" s="72"/>
      <c r="O328" s="72"/>
      <c r="P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72"/>
      <c r="N329" s="72"/>
      <c r="O329" s="72"/>
      <c r="P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72"/>
      <c r="N330" s="72"/>
      <c r="O330" s="72"/>
      <c r="P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72"/>
      <c r="N331" s="72"/>
      <c r="O331" s="72"/>
      <c r="P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72"/>
      <c r="N332" s="72"/>
      <c r="O332" s="72"/>
      <c r="P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72"/>
      <c r="N333" s="72"/>
      <c r="O333" s="72"/>
      <c r="P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72"/>
      <c r="N334" s="72"/>
      <c r="O334" s="72"/>
      <c r="P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72"/>
      <c r="N335" s="72"/>
      <c r="O335" s="72"/>
      <c r="P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72"/>
      <c r="N336" s="72"/>
      <c r="O336" s="72"/>
      <c r="P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72"/>
      <c r="N337" s="72"/>
      <c r="O337" s="72"/>
      <c r="P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72"/>
      <c r="N338" s="72"/>
      <c r="O338" s="72"/>
      <c r="P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72"/>
      <c r="N339" s="72"/>
      <c r="O339" s="72"/>
      <c r="P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72"/>
      <c r="N340" s="72"/>
      <c r="O340" s="72"/>
      <c r="P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72"/>
      <c r="N341" s="72"/>
      <c r="O341" s="72"/>
      <c r="P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72"/>
      <c r="N342" s="72"/>
      <c r="O342" s="72"/>
      <c r="P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72"/>
      <c r="N343" s="72"/>
      <c r="O343" s="72"/>
      <c r="P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72"/>
      <c r="N344" s="72"/>
      <c r="O344" s="72"/>
      <c r="P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72"/>
      <c r="N345" s="72"/>
      <c r="O345" s="72"/>
      <c r="P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72"/>
      <c r="N346" s="72"/>
      <c r="O346" s="72"/>
      <c r="P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72"/>
      <c r="N347" s="72"/>
      <c r="O347" s="72"/>
      <c r="P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72"/>
      <c r="N348" s="72"/>
      <c r="O348" s="72"/>
      <c r="P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72"/>
      <c r="N349" s="72"/>
      <c r="O349" s="72"/>
      <c r="P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72"/>
      <c r="N350" s="72"/>
      <c r="O350" s="72"/>
      <c r="P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72"/>
      <c r="N351" s="72"/>
      <c r="O351" s="72"/>
      <c r="P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72"/>
      <c r="N352" s="72"/>
      <c r="O352" s="72"/>
      <c r="P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72"/>
      <c r="N353" s="72"/>
      <c r="O353" s="72"/>
      <c r="P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72"/>
      <c r="N354" s="72"/>
      <c r="O354" s="72"/>
      <c r="P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72"/>
      <c r="N355" s="72"/>
      <c r="O355" s="72"/>
      <c r="P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72"/>
      <c r="N356" s="72"/>
      <c r="O356" s="72"/>
      <c r="P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72"/>
      <c r="N357" s="72"/>
      <c r="O357" s="72"/>
      <c r="P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72"/>
      <c r="N358" s="72"/>
      <c r="O358" s="72"/>
      <c r="P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72"/>
      <c r="N359" s="72"/>
      <c r="O359" s="72"/>
      <c r="P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72"/>
      <c r="N360" s="72"/>
      <c r="O360" s="72"/>
      <c r="P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72"/>
      <c r="N361" s="72"/>
      <c r="O361" s="72"/>
      <c r="P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72"/>
      <c r="N362" s="72"/>
      <c r="O362" s="72"/>
      <c r="P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72"/>
      <c r="N363" s="72"/>
      <c r="O363" s="72"/>
      <c r="P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72"/>
      <c r="N364" s="72"/>
      <c r="O364" s="72"/>
      <c r="P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72"/>
      <c r="N365" s="72"/>
      <c r="O365" s="72"/>
      <c r="P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72"/>
      <c r="N366" s="72"/>
      <c r="O366" s="72"/>
      <c r="P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72"/>
      <c r="N367" s="72"/>
      <c r="O367" s="72"/>
      <c r="P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72"/>
      <c r="N368" s="72"/>
      <c r="O368" s="72"/>
      <c r="P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72"/>
      <c r="N369" s="72"/>
      <c r="O369" s="72"/>
      <c r="P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72"/>
      <c r="N370" s="72"/>
      <c r="O370" s="72"/>
      <c r="P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72"/>
      <c r="N371" s="72"/>
      <c r="O371" s="72"/>
      <c r="P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72"/>
      <c r="N372" s="72"/>
      <c r="O372" s="72"/>
      <c r="P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72"/>
      <c r="N373" s="72"/>
      <c r="O373" s="72"/>
      <c r="P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72"/>
      <c r="N374" s="72"/>
      <c r="O374" s="72"/>
      <c r="P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72"/>
      <c r="N375" s="72"/>
      <c r="O375" s="72"/>
      <c r="P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72"/>
      <c r="N376" s="72"/>
      <c r="O376" s="72"/>
      <c r="P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72"/>
      <c r="N377" s="72"/>
      <c r="O377" s="72"/>
      <c r="P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72"/>
      <c r="N378" s="72"/>
      <c r="O378" s="72"/>
      <c r="P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72"/>
      <c r="N379" s="72"/>
      <c r="O379" s="72"/>
      <c r="P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72"/>
      <c r="N380" s="72"/>
      <c r="O380" s="72"/>
      <c r="P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72"/>
      <c r="N381" s="72"/>
      <c r="O381" s="72"/>
      <c r="P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72"/>
      <c r="N382" s="72"/>
      <c r="O382" s="72"/>
      <c r="P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72"/>
      <c r="N383" s="72"/>
      <c r="O383" s="72"/>
      <c r="P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72"/>
      <c r="N384" s="72"/>
      <c r="O384" s="72"/>
      <c r="P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72"/>
      <c r="N385" s="72"/>
      <c r="O385" s="72"/>
      <c r="P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72"/>
      <c r="N386" s="72"/>
      <c r="O386" s="72"/>
      <c r="P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72"/>
      <c r="N387" s="72"/>
      <c r="O387" s="72"/>
      <c r="P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72"/>
      <c r="N388" s="72"/>
      <c r="O388" s="72"/>
      <c r="P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72"/>
      <c r="N389" s="72"/>
      <c r="O389" s="72"/>
      <c r="P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72"/>
      <c r="N390" s="72"/>
      <c r="O390" s="72"/>
      <c r="P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72"/>
      <c r="N391" s="72"/>
      <c r="O391" s="72"/>
      <c r="P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72"/>
      <c r="N392" s="72"/>
      <c r="O392" s="72"/>
      <c r="P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72"/>
      <c r="N393" s="72"/>
      <c r="O393" s="72"/>
      <c r="P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72"/>
      <c r="N394" s="72"/>
      <c r="O394" s="72"/>
      <c r="P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72"/>
      <c r="N395" s="72"/>
      <c r="O395" s="72"/>
      <c r="P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72"/>
      <c r="N396" s="72"/>
      <c r="O396" s="72"/>
      <c r="P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72"/>
      <c r="N397" s="72"/>
      <c r="O397" s="72"/>
      <c r="P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72"/>
      <c r="N398" s="72"/>
      <c r="O398" s="72"/>
      <c r="P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72"/>
      <c r="N399" s="72"/>
      <c r="O399" s="72"/>
      <c r="P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72"/>
      <c r="N400" s="72"/>
      <c r="O400" s="72"/>
      <c r="P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72"/>
      <c r="N401" s="72"/>
      <c r="O401" s="72"/>
      <c r="P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72"/>
      <c r="N402" s="72"/>
      <c r="O402" s="72"/>
      <c r="P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72"/>
      <c r="N403" s="72"/>
      <c r="O403" s="72"/>
      <c r="P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72"/>
      <c r="N404" s="72"/>
      <c r="O404" s="72"/>
      <c r="P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72"/>
      <c r="N405" s="72"/>
      <c r="O405" s="72"/>
      <c r="P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72"/>
      <c r="N406" s="72"/>
      <c r="O406" s="72"/>
      <c r="P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72"/>
      <c r="N407" s="72"/>
      <c r="O407" s="72"/>
      <c r="P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72"/>
      <c r="N408" s="72"/>
      <c r="O408" s="72"/>
      <c r="P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72"/>
      <c r="N409" s="72"/>
      <c r="O409" s="72"/>
      <c r="P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72"/>
      <c r="N410" s="72"/>
      <c r="O410" s="72"/>
      <c r="P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72"/>
      <c r="N411" s="72"/>
      <c r="O411" s="72"/>
      <c r="P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72"/>
      <c r="N412" s="72"/>
      <c r="O412" s="72"/>
      <c r="P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72"/>
      <c r="N413" s="72"/>
      <c r="O413" s="72"/>
      <c r="P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72"/>
      <c r="N414" s="72"/>
      <c r="O414" s="72"/>
      <c r="P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72"/>
      <c r="N415" s="72"/>
      <c r="O415" s="72"/>
      <c r="P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72"/>
      <c r="N416" s="72"/>
      <c r="O416" s="72"/>
      <c r="P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72"/>
      <c r="N417" s="72"/>
      <c r="O417" s="72"/>
      <c r="P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72"/>
      <c r="N418" s="72"/>
      <c r="O418" s="72"/>
      <c r="P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72"/>
      <c r="N419" s="72"/>
      <c r="O419" s="72"/>
      <c r="P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72"/>
      <c r="N420" s="72"/>
      <c r="O420" s="72"/>
      <c r="P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72"/>
      <c r="N421" s="72"/>
      <c r="O421" s="72"/>
      <c r="P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72"/>
      <c r="N422" s="72"/>
      <c r="O422" s="72"/>
      <c r="P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72"/>
      <c r="N423" s="72"/>
      <c r="O423" s="72"/>
      <c r="P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72"/>
      <c r="N424" s="72"/>
      <c r="O424" s="72"/>
      <c r="P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72"/>
      <c r="N425" s="72"/>
      <c r="O425" s="72"/>
      <c r="P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72"/>
      <c r="N426" s="72"/>
      <c r="O426" s="72"/>
      <c r="P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72"/>
      <c r="N427" s="72"/>
      <c r="O427" s="72"/>
      <c r="P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72"/>
      <c r="N428" s="72"/>
      <c r="O428" s="72"/>
      <c r="P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72"/>
      <c r="N429" s="72"/>
      <c r="O429" s="72"/>
      <c r="P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72"/>
      <c r="N430" s="72"/>
      <c r="O430" s="72"/>
      <c r="P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72"/>
      <c r="N431" s="72"/>
      <c r="O431" s="72"/>
      <c r="P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72"/>
      <c r="N432" s="72"/>
      <c r="O432" s="72"/>
      <c r="P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72"/>
      <c r="N433" s="72"/>
      <c r="O433" s="72"/>
      <c r="P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72"/>
      <c r="N434" s="72"/>
      <c r="O434" s="72"/>
      <c r="P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72"/>
      <c r="N435" s="72"/>
      <c r="O435" s="72"/>
      <c r="P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72"/>
      <c r="N436" s="72"/>
      <c r="O436" s="72"/>
      <c r="P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72"/>
      <c r="N437" s="72"/>
      <c r="O437" s="72"/>
      <c r="P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72"/>
      <c r="N438" s="72"/>
      <c r="O438" s="72"/>
      <c r="P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72"/>
      <c r="N439" s="72"/>
      <c r="O439" s="72"/>
      <c r="P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72"/>
      <c r="N440" s="72"/>
      <c r="O440" s="72"/>
      <c r="P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72"/>
      <c r="N441" s="72"/>
      <c r="O441" s="72"/>
      <c r="P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72"/>
      <c r="N442" s="72"/>
      <c r="O442" s="72"/>
      <c r="P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72"/>
      <c r="N443" s="72"/>
      <c r="O443" s="72"/>
      <c r="P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72"/>
      <c r="N444" s="72"/>
      <c r="O444" s="72"/>
      <c r="P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72"/>
      <c r="N445" s="72"/>
      <c r="O445" s="72"/>
      <c r="P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72"/>
      <c r="N446" s="72"/>
      <c r="O446" s="72"/>
      <c r="P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72"/>
      <c r="N447" s="72"/>
      <c r="O447" s="72"/>
      <c r="P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72"/>
      <c r="N448" s="72"/>
      <c r="O448" s="72"/>
      <c r="P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72"/>
      <c r="N449" s="72"/>
      <c r="O449" s="72"/>
      <c r="P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72"/>
      <c r="N450" s="72"/>
      <c r="O450" s="72"/>
      <c r="P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72"/>
      <c r="N451" s="72"/>
      <c r="O451" s="72"/>
      <c r="P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72"/>
      <c r="N452" s="72"/>
      <c r="O452" s="72"/>
      <c r="P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72"/>
      <c r="N453" s="72"/>
      <c r="O453" s="72"/>
      <c r="P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72"/>
      <c r="N454" s="72"/>
      <c r="O454" s="72"/>
      <c r="P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72"/>
      <c r="N455" s="72"/>
      <c r="O455" s="72"/>
      <c r="P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72"/>
      <c r="N456" s="72"/>
      <c r="O456" s="72"/>
      <c r="P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72"/>
      <c r="N457" s="72"/>
      <c r="O457" s="72"/>
      <c r="P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72"/>
      <c r="N458" s="72"/>
      <c r="O458" s="72"/>
      <c r="P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72"/>
      <c r="N459" s="72"/>
      <c r="O459" s="72"/>
      <c r="P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72"/>
      <c r="N460" s="72"/>
      <c r="O460" s="72"/>
      <c r="P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72"/>
      <c r="N461" s="72"/>
      <c r="O461" s="72"/>
      <c r="P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72"/>
      <c r="N462" s="72"/>
      <c r="O462" s="72"/>
      <c r="P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72"/>
      <c r="N463" s="72"/>
      <c r="O463" s="72"/>
      <c r="P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72"/>
      <c r="N464" s="72"/>
      <c r="O464" s="72"/>
      <c r="P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72"/>
      <c r="N465" s="72"/>
      <c r="O465" s="72"/>
      <c r="P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72"/>
      <c r="N466" s="72"/>
      <c r="O466" s="72"/>
      <c r="P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72"/>
      <c r="N467" s="72"/>
      <c r="O467" s="72"/>
      <c r="P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72"/>
      <c r="N468" s="72"/>
      <c r="O468" s="72"/>
      <c r="P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72"/>
      <c r="N469" s="72"/>
      <c r="O469" s="72"/>
      <c r="P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72"/>
      <c r="N470" s="72"/>
      <c r="O470" s="72"/>
      <c r="P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72"/>
      <c r="N471" s="72"/>
      <c r="O471" s="72"/>
      <c r="P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72"/>
      <c r="N472" s="72"/>
      <c r="O472" s="72"/>
      <c r="P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72"/>
      <c r="N473" s="72"/>
      <c r="O473" s="72"/>
      <c r="P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72"/>
      <c r="N474" s="72"/>
      <c r="O474" s="72"/>
      <c r="P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72"/>
      <c r="N475" s="72"/>
      <c r="O475" s="72"/>
      <c r="P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72"/>
      <c r="N476" s="72"/>
      <c r="O476" s="72"/>
      <c r="P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72"/>
      <c r="N477" s="72"/>
      <c r="O477" s="72"/>
      <c r="P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72"/>
      <c r="N478" s="72"/>
      <c r="O478" s="72"/>
      <c r="P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72"/>
      <c r="N479" s="72"/>
      <c r="O479" s="72"/>
      <c r="P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72"/>
      <c r="N480" s="72"/>
      <c r="O480" s="72"/>
      <c r="P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72"/>
      <c r="N481" s="72"/>
      <c r="O481" s="72"/>
      <c r="P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72"/>
      <c r="N482" s="72"/>
      <c r="O482" s="72"/>
      <c r="P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72"/>
      <c r="N483" s="72"/>
      <c r="O483" s="72"/>
      <c r="P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72"/>
      <c r="N484" s="72"/>
      <c r="O484" s="72"/>
      <c r="P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72"/>
      <c r="N485" s="72"/>
      <c r="O485" s="72"/>
      <c r="P485" s="72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72"/>
      <c r="N486" s="72"/>
      <c r="O486" s="72"/>
      <c r="P486" s="72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72"/>
      <c r="N487" s="72"/>
      <c r="O487" s="72"/>
      <c r="P487" s="72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72"/>
      <c r="N488" s="72"/>
      <c r="O488" s="72"/>
      <c r="P488" s="72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72"/>
      <c r="N489" s="72"/>
      <c r="O489" s="72"/>
      <c r="P489" s="72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72"/>
      <c r="N490" s="72"/>
      <c r="O490" s="72"/>
      <c r="P490" s="72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72"/>
      <c r="N491" s="72"/>
      <c r="O491" s="72"/>
      <c r="P491" s="72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72"/>
      <c r="N492" s="72"/>
      <c r="O492" s="72"/>
      <c r="P492" s="72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72"/>
      <c r="N493" s="72"/>
      <c r="O493" s="72"/>
      <c r="P493" s="72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72"/>
      <c r="N494" s="72"/>
      <c r="O494" s="72"/>
      <c r="P494" s="72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72"/>
      <c r="N495" s="72"/>
      <c r="O495" s="72"/>
      <c r="P495" s="72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72"/>
      <c r="N496" s="72"/>
      <c r="O496" s="72"/>
      <c r="P496" s="72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72"/>
      <c r="N497" s="72"/>
      <c r="O497" s="72"/>
      <c r="P497" s="72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72"/>
      <c r="N498" s="72"/>
      <c r="O498" s="72"/>
      <c r="P498" s="72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72"/>
      <c r="N499" s="72"/>
      <c r="O499" s="72"/>
      <c r="P499" s="72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72"/>
      <c r="N500" s="72"/>
      <c r="O500" s="72"/>
      <c r="P500" s="72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72"/>
      <c r="N501" s="72"/>
      <c r="O501" s="72"/>
      <c r="P501" s="72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72"/>
      <c r="N502" s="72"/>
      <c r="O502" s="72"/>
      <c r="P502" s="72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72"/>
      <c r="N503" s="72"/>
      <c r="O503" s="72"/>
      <c r="P503" s="72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72"/>
      <c r="N504" s="72"/>
      <c r="O504" s="72"/>
      <c r="P504" s="72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72"/>
      <c r="N505" s="72"/>
      <c r="O505" s="72"/>
      <c r="P505" s="72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72"/>
      <c r="N506" s="72"/>
      <c r="O506" s="72"/>
      <c r="P506" s="72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72"/>
      <c r="N507" s="72"/>
      <c r="O507" s="72"/>
      <c r="P507" s="72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72"/>
      <c r="N508" s="72"/>
      <c r="O508" s="72"/>
      <c r="P508" s="72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72"/>
      <c r="N509" s="72"/>
      <c r="O509" s="72"/>
      <c r="P509" s="72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72"/>
      <c r="N510" s="72"/>
      <c r="O510" s="72"/>
      <c r="P510" s="72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72"/>
      <c r="N511" s="72"/>
      <c r="O511" s="72"/>
      <c r="P511" s="72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72"/>
      <c r="N512" s="72"/>
      <c r="O512" s="72"/>
      <c r="P512" s="72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72"/>
      <c r="N513" s="72"/>
      <c r="O513" s="72"/>
      <c r="P513" s="72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72"/>
      <c r="N514" s="72"/>
      <c r="O514" s="72"/>
      <c r="P514" s="72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72"/>
      <c r="N515" s="72"/>
      <c r="O515" s="72"/>
      <c r="P515" s="72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72"/>
      <c r="N516" s="72"/>
      <c r="O516" s="72"/>
      <c r="P516" s="72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72"/>
      <c r="N517" s="72"/>
      <c r="O517" s="72"/>
      <c r="P517" s="72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72"/>
      <c r="N518" s="72"/>
      <c r="O518" s="72"/>
      <c r="P518" s="72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72"/>
      <c r="N519" s="72"/>
      <c r="O519" s="72"/>
      <c r="P519" s="72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72"/>
      <c r="N520" s="72"/>
      <c r="O520" s="72"/>
      <c r="P520" s="72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72"/>
      <c r="N521" s="72"/>
      <c r="O521" s="72"/>
      <c r="P521" s="72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72"/>
      <c r="N522" s="72"/>
      <c r="O522" s="72"/>
      <c r="P522" s="72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72"/>
      <c r="N523" s="72"/>
      <c r="O523" s="72"/>
      <c r="P523" s="72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72"/>
      <c r="N524" s="72"/>
      <c r="O524" s="72"/>
      <c r="P524" s="72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72"/>
      <c r="N525" s="72"/>
      <c r="O525" s="72"/>
      <c r="P525" s="72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72"/>
      <c r="N526" s="72"/>
      <c r="O526" s="72"/>
      <c r="P526" s="72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72"/>
      <c r="N527" s="72"/>
      <c r="O527" s="72"/>
      <c r="P527" s="72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72"/>
      <c r="N528" s="72"/>
      <c r="O528" s="72"/>
      <c r="P528" s="72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72"/>
      <c r="N529" s="72"/>
      <c r="O529" s="72"/>
      <c r="P529" s="72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72"/>
      <c r="N530" s="72"/>
      <c r="O530" s="72"/>
      <c r="P530" s="72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72"/>
      <c r="N531" s="72"/>
      <c r="O531" s="72"/>
      <c r="P531" s="72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72"/>
      <c r="N532" s="72"/>
      <c r="O532" s="72"/>
      <c r="P532" s="72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72"/>
      <c r="N533" s="72"/>
      <c r="O533" s="72"/>
      <c r="P533" s="72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72"/>
      <c r="N534" s="72"/>
      <c r="O534" s="72"/>
      <c r="P534" s="72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72"/>
      <c r="N535" s="72"/>
      <c r="O535" s="72"/>
      <c r="P535" s="72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72"/>
      <c r="N536" s="72"/>
      <c r="O536" s="72"/>
      <c r="P536" s="72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72"/>
      <c r="N537" s="72"/>
      <c r="O537" s="72"/>
      <c r="P537" s="72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72"/>
      <c r="N538" s="72"/>
      <c r="O538" s="72"/>
      <c r="P538" s="72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72"/>
      <c r="N539" s="72"/>
      <c r="O539" s="72"/>
      <c r="P539" s="72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72"/>
      <c r="N540" s="72"/>
      <c r="O540" s="72"/>
      <c r="P540" s="72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72"/>
      <c r="N541" s="72"/>
      <c r="O541" s="72"/>
      <c r="P541" s="72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72"/>
      <c r="N542" s="72"/>
      <c r="O542" s="72"/>
      <c r="P542" s="72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72"/>
      <c r="N543" s="72"/>
      <c r="O543" s="72"/>
      <c r="P543" s="72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72"/>
      <c r="N544" s="72"/>
      <c r="O544" s="72"/>
      <c r="P544" s="72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72"/>
      <c r="N545" s="72"/>
      <c r="O545" s="72"/>
      <c r="P545" s="72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72"/>
      <c r="N546" s="72"/>
      <c r="O546" s="72"/>
      <c r="P546" s="72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72"/>
      <c r="N547" s="72"/>
      <c r="O547" s="72"/>
      <c r="P547" s="72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72"/>
      <c r="N548" s="72"/>
      <c r="O548" s="72"/>
      <c r="P548" s="72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72"/>
      <c r="N549" s="72"/>
      <c r="O549" s="72"/>
      <c r="P549" s="72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72"/>
      <c r="N550" s="72"/>
      <c r="O550" s="72"/>
      <c r="P550" s="72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72"/>
      <c r="N551" s="72"/>
      <c r="O551" s="72"/>
      <c r="P551" s="72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72"/>
      <c r="N552" s="72"/>
      <c r="O552" s="72"/>
      <c r="P552" s="72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72"/>
      <c r="N553" s="72"/>
      <c r="O553" s="72"/>
      <c r="P553" s="72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72"/>
      <c r="N554" s="72"/>
      <c r="O554" s="72"/>
      <c r="P554" s="72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72"/>
      <c r="N555" s="72"/>
      <c r="O555" s="72"/>
      <c r="P555" s="72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72"/>
      <c r="N556" s="72"/>
      <c r="O556" s="72"/>
      <c r="P556" s="72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72"/>
      <c r="N557" s="72"/>
      <c r="O557" s="72"/>
      <c r="P557" s="72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72"/>
      <c r="N558" s="72"/>
      <c r="O558" s="72"/>
      <c r="P558" s="72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72"/>
      <c r="N559" s="72"/>
      <c r="O559" s="72"/>
      <c r="P559" s="72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72"/>
      <c r="N560" s="72"/>
      <c r="O560" s="72"/>
      <c r="P560" s="72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72"/>
      <c r="N561" s="72"/>
      <c r="O561" s="72"/>
      <c r="P561" s="72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72"/>
      <c r="N562" s="72"/>
      <c r="O562" s="72"/>
      <c r="P562" s="72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72"/>
      <c r="N563" s="72"/>
      <c r="O563" s="72"/>
      <c r="P563" s="72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72"/>
      <c r="N564" s="72"/>
      <c r="O564" s="72"/>
      <c r="P564" s="72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72"/>
      <c r="N565" s="72"/>
      <c r="O565" s="72"/>
      <c r="P565" s="72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72"/>
      <c r="N566" s="72"/>
      <c r="O566" s="72"/>
      <c r="P566" s="72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72"/>
      <c r="N567" s="72"/>
      <c r="O567" s="72"/>
      <c r="P567" s="72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72"/>
      <c r="N568" s="72"/>
      <c r="O568" s="72"/>
      <c r="P568" s="72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72"/>
      <c r="N569" s="72"/>
      <c r="O569" s="72"/>
      <c r="P569" s="72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72"/>
      <c r="N570" s="72"/>
      <c r="O570" s="72"/>
      <c r="P570" s="72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72"/>
      <c r="N571" s="72"/>
      <c r="O571" s="72"/>
      <c r="P571" s="72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72"/>
      <c r="N572" s="72"/>
      <c r="O572" s="72"/>
      <c r="P572" s="72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72"/>
      <c r="N573" s="72"/>
      <c r="O573" s="72"/>
      <c r="P573" s="72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72"/>
      <c r="N574" s="72"/>
      <c r="O574" s="72"/>
      <c r="P574" s="72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72"/>
      <c r="N575" s="72"/>
      <c r="O575" s="72"/>
      <c r="P575" s="72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72"/>
      <c r="N576" s="72"/>
      <c r="O576" s="72"/>
      <c r="P576" s="72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72"/>
      <c r="N577" s="72"/>
      <c r="O577" s="72"/>
      <c r="P577" s="72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72"/>
      <c r="N578" s="72"/>
      <c r="O578" s="72"/>
      <c r="P578" s="72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72"/>
      <c r="N579" s="72"/>
      <c r="O579" s="72"/>
      <c r="P579" s="72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72"/>
      <c r="N580" s="72"/>
      <c r="O580" s="72"/>
      <c r="P580" s="72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72"/>
      <c r="N581" s="72"/>
      <c r="O581" s="72"/>
      <c r="P581" s="72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72"/>
      <c r="N582" s="72"/>
      <c r="O582" s="72"/>
      <c r="P582" s="72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72"/>
      <c r="N583" s="72"/>
      <c r="O583" s="72"/>
      <c r="P583" s="72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72"/>
      <c r="N584" s="72"/>
      <c r="O584" s="72"/>
      <c r="P584" s="72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72"/>
      <c r="N585" s="72"/>
      <c r="O585" s="72"/>
      <c r="P585" s="72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72"/>
      <c r="N586" s="72"/>
      <c r="O586" s="72"/>
      <c r="P586" s="72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72"/>
      <c r="N587" s="72"/>
      <c r="O587" s="72"/>
      <c r="P587" s="72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72"/>
      <c r="N588" s="72"/>
      <c r="O588" s="72"/>
      <c r="P588" s="72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72"/>
      <c r="N589" s="72"/>
      <c r="O589" s="72"/>
      <c r="P589" s="72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72"/>
      <c r="N590" s="72"/>
      <c r="O590" s="72"/>
      <c r="P590" s="72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72"/>
      <c r="N591" s="72"/>
      <c r="O591" s="72"/>
      <c r="P591" s="72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72"/>
      <c r="N592" s="72"/>
      <c r="O592" s="72"/>
      <c r="P592" s="72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72"/>
      <c r="N593" s="72"/>
      <c r="O593" s="72"/>
      <c r="P593" s="72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72"/>
      <c r="N594" s="72"/>
      <c r="O594" s="72"/>
      <c r="P594" s="72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72"/>
      <c r="N595" s="72"/>
      <c r="O595" s="72"/>
      <c r="P595" s="72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72"/>
      <c r="N596" s="72"/>
      <c r="O596" s="72"/>
      <c r="P596" s="72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72"/>
      <c r="N597" s="72"/>
      <c r="O597" s="72"/>
      <c r="P597" s="72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72"/>
      <c r="N598" s="72"/>
      <c r="O598" s="72"/>
      <c r="P598" s="72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72"/>
      <c r="N599" s="72"/>
      <c r="O599" s="72"/>
      <c r="P599" s="72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72"/>
      <c r="N600" s="72"/>
      <c r="O600" s="72"/>
      <c r="P600" s="72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72"/>
      <c r="N601" s="72"/>
      <c r="O601" s="72"/>
      <c r="P601" s="72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72"/>
      <c r="N602" s="72"/>
      <c r="O602" s="72"/>
      <c r="P602" s="72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72"/>
      <c r="N603" s="72"/>
      <c r="O603" s="72"/>
      <c r="P603" s="72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72"/>
      <c r="N604" s="72"/>
      <c r="O604" s="72"/>
      <c r="P604" s="72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72"/>
      <c r="N605" s="72"/>
      <c r="O605" s="72"/>
      <c r="P605" s="72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72"/>
      <c r="N606" s="72"/>
      <c r="O606" s="72"/>
      <c r="P606" s="72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72"/>
      <c r="N607" s="72"/>
      <c r="O607" s="72"/>
      <c r="P607" s="72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72"/>
      <c r="N608" s="72"/>
      <c r="O608" s="72"/>
      <c r="P608" s="72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72"/>
      <c r="N609" s="72"/>
      <c r="O609" s="72"/>
      <c r="P609" s="72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72"/>
      <c r="N610" s="72"/>
      <c r="O610" s="72"/>
      <c r="P610" s="72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72"/>
      <c r="N611" s="72"/>
      <c r="O611" s="72"/>
      <c r="P611" s="72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72"/>
      <c r="N612" s="72"/>
      <c r="O612" s="72"/>
      <c r="P612" s="72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72"/>
      <c r="N613" s="72"/>
      <c r="O613" s="72"/>
      <c r="P613" s="72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72"/>
      <c r="N614" s="72"/>
      <c r="O614" s="72"/>
      <c r="P614" s="72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72"/>
      <c r="N615" s="72"/>
      <c r="O615" s="72"/>
      <c r="P615" s="72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72"/>
      <c r="N616" s="72"/>
      <c r="O616" s="72"/>
      <c r="P616" s="72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72"/>
      <c r="N617" s="72"/>
      <c r="O617" s="72"/>
      <c r="P617" s="72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72"/>
      <c r="N618" s="72"/>
      <c r="O618" s="72"/>
      <c r="P618" s="72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72"/>
      <c r="N619" s="72"/>
      <c r="O619" s="72"/>
      <c r="P619" s="72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72"/>
      <c r="N620" s="72"/>
      <c r="O620" s="72"/>
      <c r="P620" s="72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72"/>
      <c r="N621" s="72"/>
      <c r="O621" s="72"/>
      <c r="P621" s="72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72"/>
      <c r="N622" s="72"/>
      <c r="O622" s="72"/>
      <c r="P622" s="72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72"/>
      <c r="N623" s="72"/>
      <c r="O623" s="72"/>
      <c r="P623" s="72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72"/>
      <c r="N624" s="72"/>
      <c r="O624" s="72"/>
      <c r="P624" s="72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72"/>
      <c r="N625" s="72"/>
      <c r="O625" s="72"/>
      <c r="P625" s="72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72"/>
      <c r="N626" s="72"/>
      <c r="O626" s="72"/>
      <c r="P626" s="72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72"/>
      <c r="N627" s="72"/>
      <c r="O627" s="72"/>
      <c r="P627" s="72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72"/>
      <c r="N628" s="72"/>
      <c r="O628" s="72"/>
      <c r="P628" s="72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72"/>
      <c r="N629" s="72"/>
      <c r="O629" s="72"/>
      <c r="P629" s="72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72"/>
      <c r="N630" s="72"/>
      <c r="O630" s="72"/>
      <c r="P630" s="72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72"/>
      <c r="N631" s="72"/>
      <c r="O631" s="72"/>
      <c r="P631" s="72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72"/>
      <c r="N632" s="72"/>
      <c r="O632" s="72"/>
      <c r="P632" s="72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72"/>
      <c r="N633" s="72"/>
      <c r="O633" s="72"/>
      <c r="P633" s="72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72"/>
      <c r="N634" s="72"/>
      <c r="O634" s="72"/>
      <c r="P634" s="72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72"/>
      <c r="N635" s="72"/>
      <c r="O635" s="72"/>
      <c r="P635" s="72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72"/>
      <c r="N636" s="72"/>
      <c r="O636" s="72"/>
      <c r="P636" s="72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72"/>
      <c r="N637" s="72"/>
      <c r="O637" s="72"/>
      <c r="P637" s="72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72"/>
      <c r="N638" s="72"/>
      <c r="O638" s="72"/>
      <c r="P638" s="72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72"/>
      <c r="N639" s="72"/>
      <c r="O639" s="72"/>
      <c r="P639" s="72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72"/>
      <c r="N640" s="72"/>
      <c r="O640" s="72"/>
      <c r="P640" s="72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72"/>
      <c r="N641" s="72"/>
      <c r="O641" s="72"/>
      <c r="P641" s="72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72"/>
      <c r="N642" s="72"/>
      <c r="O642" s="72"/>
      <c r="P642" s="72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72"/>
      <c r="N643" s="72"/>
      <c r="O643" s="72"/>
      <c r="P643" s="72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72"/>
      <c r="N644" s="72"/>
      <c r="O644" s="72"/>
      <c r="P644" s="72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72"/>
      <c r="N645" s="72"/>
      <c r="O645" s="72"/>
      <c r="P645" s="72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72"/>
      <c r="N646" s="72"/>
      <c r="O646" s="72"/>
      <c r="P646" s="72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72"/>
      <c r="N647" s="72"/>
      <c r="O647" s="72"/>
      <c r="P647" s="72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72"/>
      <c r="N648" s="72"/>
      <c r="O648" s="72"/>
      <c r="P648" s="72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72"/>
      <c r="N649" s="72"/>
      <c r="O649" s="72"/>
      <c r="P649" s="72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72"/>
      <c r="N650" s="72"/>
      <c r="O650" s="72"/>
      <c r="P650" s="72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72"/>
      <c r="N651" s="72"/>
      <c r="O651" s="72"/>
      <c r="P651" s="72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72"/>
      <c r="N652" s="72"/>
      <c r="O652" s="72"/>
      <c r="P652" s="72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72"/>
      <c r="N653" s="72"/>
      <c r="O653" s="72"/>
      <c r="P653" s="72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72"/>
      <c r="N654" s="72"/>
      <c r="O654" s="72"/>
      <c r="P654" s="72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72"/>
      <c r="N655" s="72"/>
      <c r="O655" s="72"/>
      <c r="P655" s="72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72"/>
      <c r="N656" s="72"/>
      <c r="O656" s="72"/>
      <c r="P656" s="72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72"/>
      <c r="N657" s="72"/>
      <c r="O657" s="72"/>
      <c r="P657" s="72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72"/>
      <c r="N658" s="72"/>
      <c r="O658" s="72"/>
      <c r="P658" s="72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72"/>
      <c r="N659" s="72"/>
      <c r="O659" s="72"/>
      <c r="P659" s="72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72"/>
      <c r="N660" s="72"/>
      <c r="O660" s="72"/>
      <c r="P660" s="72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72"/>
      <c r="N661" s="72"/>
      <c r="O661" s="72"/>
      <c r="P661" s="72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72"/>
      <c r="N662" s="72"/>
      <c r="O662" s="72"/>
      <c r="P662" s="72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72"/>
      <c r="N663" s="72"/>
      <c r="O663" s="72"/>
      <c r="P663" s="72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72"/>
      <c r="N664" s="72"/>
      <c r="O664" s="72"/>
      <c r="P664" s="72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72"/>
      <c r="N665" s="72"/>
      <c r="O665" s="72"/>
      <c r="P665" s="72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72"/>
      <c r="N666" s="72"/>
      <c r="O666" s="72"/>
      <c r="P666" s="72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72"/>
      <c r="N667" s="72"/>
      <c r="O667" s="72"/>
      <c r="P667" s="72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72"/>
      <c r="N668" s="72"/>
      <c r="O668" s="72"/>
      <c r="P668" s="72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72"/>
      <c r="N669" s="72"/>
      <c r="O669" s="72"/>
      <c r="P669" s="72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72"/>
      <c r="N670" s="72"/>
      <c r="O670" s="72"/>
      <c r="P670" s="72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72"/>
      <c r="N671" s="72"/>
      <c r="O671" s="72"/>
      <c r="P671" s="72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72"/>
      <c r="N672" s="72"/>
      <c r="O672" s="72"/>
      <c r="P672" s="72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72"/>
      <c r="N673" s="72"/>
      <c r="O673" s="72"/>
      <c r="P673" s="72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72"/>
      <c r="N674" s="72"/>
      <c r="O674" s="72"/>
      <c r="P674" s="72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72"/>
      <c r="N675" s="72"/>
      <c r="O675" s="72"/>
      <c r="P675" s="72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72"/>
      <c r="N676" s="72"/>
      <c r="O676" s="72"/>
      <c r="P676" s="72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72"/>
      <c r="N677" s="72"/>
      <c r="O677" s="72"/>
      <c r="P677" s="72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72"/>
      <c r="N678" s="72"/>
      <c r="O678" s="72"/>
      <c r="P678" s="72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72"/>
      <c r="N679" s="72"/>
      <c r="O679" s="72"/>
      <c r="P679" s="72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72"/>
      <c r="N680" s="72"/>
      <c r="O680" s="72"/>
      <c r="P680" s="72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72"/>
      <c r="N681" s="72"/>
      <c r="O681" s="72"/>
      <c r="P681" s="72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72"/>
      <c r="N682" s="72"/>
      <c r="O682" s="72"/>
      <c r="P682" s="72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72"/>
      <c r="N683" s="72"/>
      <c r="O683" s="72"/>
      <c r="P683" s="72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72"/>
      <c r="N684" s="72"/>
      <c r="O684" s="72"/>
      <c r="P684" s="72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72"/>
      <c r="N685" s="72"/>
      <c r="O685" s="72"/>
      <c r="P685" s="72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72"/>
      <c r="N686" s="72"/>
      <c r="O686" s="72"/>
      <c r="P686" s="72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72"/>
      <c r="N687" s="72"/>
      <c r="O687" s="72"/>
      <c r="P687" s="72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72"/>
      <c r="N688" s="72"/>
      <c r="O688" s="72"/>
      <c r="P688" s="72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72"/>
      <c r="N689" s="72"/>
      <c r="O689" s="72"/>
      <c r="P689" s="72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72"/>
      <c r="N690" s="72"/>
      <c r="O690" s="72"/>
      <c r="P690" s="72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72"/>
      <c r="N691" s="72"/>
      <c r="O691" s="72"/>
      <c r="P691" s="72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72"/>
      <c r="N692" s="72"/>
      <c r="O692" s="72"/>
      <c r="P692" s="72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72"/>
      <c r="N693" s="72"/>
      <c r="O693" s="72"/>
      <c r="P693" s="72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72"/>
      <c r="N694" s="72"/>
      <c r="O694" s="72"/>
      <c r="P694" s="72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72"/>
      <c r="N695" s="72"/>
      <c r="O695" s="72"/>
      <c r="P695" s="72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72"/>
      <c r="N696" s="72"/>
      <c r="O696" s="72"/>
      <c r="P696" s="72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72"/>
      <c r="N697" s="72"/>
      <c r="O697" s="72"/>
      <c r="P697" s="72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72"/>
      <c r="N698" s="72"/>
      <c r="O698" s="72"/>
      <c r="P698" s="72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72"/>
      <c r="N699" s="72"/>
      <c r="O699" s="72"/>
      <c r="P699" s="72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72"/>
      <c r="N700" s="72"/>
      <c r="O700" s="72"/>
      <c r="P700" s="72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72"/>
      <c r="N701" s="72"/>
      <c r="O701" s="72"/>
      <c r="P701" s="72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72"/>
      <c r="N702" s="72"/>
      <c r="O702" s="72"/>
      <c r="P702" s="72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72"/>
      <c r="N703" s="72"/>
      <c r="O703" s="72"/>
      <c r="P703" s="72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72"/>
      <c r="N704" s="72"/>
      <c r="O704" s="72"/>
      <c r="P704" s="72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72"/>
      <c r="N705" s="72"/>
      <c r="O705" s="72"/>
      <c r="P705" s="72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72"/>
      <c r="N706" s="72"/>
      <c r="O706" s="72"/>
      <c r="P706" s="72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72"/>
      <c r="N707" s="72"/>
      <c r="O707" s="72"/>
      <c r="P707" s="72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72"/>
      <c r="N708" s="72"/>
      <c r="O708" s="72"/>
      <c r="P708" s="72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72"/>
      <c r="N709" s="72"/>
      <c r="O709" s="72"/>
      <c r="P709" s="72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72"/>
      <c r="N710" s="72"/>
      <c r="O710" s="72"/>
      <c r="P710" s="72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72"/>
      <c r="N711" s="72"/>
      <c r="O711" s="72"/>
      <c r="P711" s="72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72"/>
      <c r="N712" s="72"/>
      <c r="O712" s="72"/>
      <c r="P712" s="72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72"/>
      <c r="N713" s="72"/>
      <c r="O713" s="72"/>
      <c r="P713" s="72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72"/>
      <c r="N714" s="72"/>
      <c r="O714" s="72"/>
      <c r="P714" s="72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72"/>
      <c r="N715" s="72"/>
      <c r="O715" s="72"/>
      <c r="P715" s="72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72"/>
      <c r="N716" s="72"/>
      <c r="O716" s="72"/>
      <c r="P716" s="72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72"/>
      <c r="N717" s="72"/>
      <c r="O717" s="72"/>
      <c r="P717" s="72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72"/>
      <c r="N718" s="72"/>
      <c r="O718" s="72"/>
      <c r="P718" s="72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72"/>
      <c r="N719" s="72"/>
      <c r="O719" s="72"/>
      <c r="P719" s="72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72"/>
      <c r="N720" s="72"/>
      <c r="O720" s="72"/>
      <c r="P720" s="72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72"/>
      <c r="N721" s="72"/>
      <c r="O721" s="72"/>
      <c r="P721" s="72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72"/>
      <c r="N722" s="72"/>
      <c r="O722" s="72"/>
      <c r="P722" s="72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72"/>
      <c r="N723" s="72"/>
      <c r="O723" s="72"/>
      <c r="P723" s="72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72"/>
      <c r="N724" s="72"/>
      <c r="O724" s="72"/>
      <c r="P724" s="72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72"/>
      <c r="N725" s="72"/>
      <c r="O725" s="72"/>
      <c r="P725" s="72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72"/>
      <c r="N726" s="72"/>
      <c r="O726" s="72"/>
      <c r="P726" s="72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72"/>
      <c r="N727" s="72"/>
      <c r="O727" s="72"/>
      <c r="P727" s="72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72"/>
      <c r="N728" s="72"/>
      <c r="O728" s="72"/>
      <c r="P728" s="72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72"/>
      <c r="N729" s="72"/>
      <c r="O729" s="72"/>
      <c r="P729" s="72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72"/>
      <c r="N730" s="72"/>
      <c r="O730" s="72"/>
      <c r="P730" s="72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72"/>
      <c r="N731" s="72"/>
      <c r="O731" s="72"/>
      <c r="P731" s="72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72"/>
      <c r="N732" s="72"/>
      <c r="O732" s="72"/>
      <c r="P732" s="72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72"/>
      <c r="N733" s="72"/>
      <c r="O733" s="72"/>
      <c r="P733" s="72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72"/>
      <c r="N734" s="72"/>
      <c r="O734" s="72"/>
      <c r="P734" s="72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72"/>
      <c r="N735" s="72"/>
      <c r="O735" s="72"/>
      <c r="P735" s="72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72"/>
      <c r="N736" s="72"/>
      <c r="O736" s="72"/>
      <c r="P736" s="72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72"/>
      <c r="N737" s="72"/>
      <c r="O737" s="72"/>
      <c r="P737" s="72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72"/>
      <c r="N738" s="72"/>
      <c r="O738" s="72"/>
      <c r="P738" s="72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72"/>
      <c r="N739" s="72"/>
      <c r="O739" s="72"/>
      <c r="P739" s="72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72"/>
      <c r="N740" s="72"/>
      <c r="O740" s="72"/>
      <c r="P740" s="72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72"/>
      <c r="N741" s="72"/>
      <c r="O741" s="72"/>
      <c r="P741" s="72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72"/>
      <c r="N742" s="72"/>
      <c r="O742" s="72"/>
      <c r="P742" s="72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72"/>
      <c r="N743" s="72"/>
      <c r="O743" s="72"/>
      <c r="P743" s="72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72"/>
      <c r="N744" s="72"/>
      <c r="O744" s="72"/>
      <c r="P744" s="72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72"/>
      <c r="N745" s="72"/>
      <c r="O745" s="72"/>
      <c r="P745" s="72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72"/>
      <c r="N746" s="72"/>
      <c r="O746" s="72"/>
      <c r="P746" s="72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72"/>
      <c r="N747" s="72"/>
      <c r="O747" s="72"/>
      <c r="P747" s="72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72"/>
      <c r="N748" s="72"/>
      <c r="O748" s="72"/>
      <c r="P748" s="72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72"/>
      <c r="N749" s="72"/>
      <c r="O749" s="72"/>
      <c r="P749" s="72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72"/>
      <c r="N750" s="72"/>
      <c r="O750" s="72"/>
      <c r="P750" s="72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72"/>
      <c r="N751" s="72"/>
      <c r="O751" s="72"/>
      <c r="P751" s="72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72"/>
      <c r="N752" s="72"/>
      <c r="O752" s="72"/>
      <c r="P752" s="72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72"/>
      <c r="N753" s="72"/>
      <c r="O753" s="72"/>
      <c r="P753" s="72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72"/>
      <c r="N754" s="72"/>
      <c r="O754" s="72"/>
      <c r="P754" s="72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72"/>
      <c r="N755" s="72"/>
      <c r="O755" s="72"/>
      <c r="P755" s="72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72"/>
      <c r="N756" s="72"/>
      <c r="O756" s="72"/>
      <c r="P756" s="72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72"/>
      <c r="N757" s="72"/>
      <c r="O757" s="72"/>
      <c r="P757" s="72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72"/>
      <c r="N758" s="72"/>
      <c r="O758" s="72"/>
      <c r="P758" s="72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72"/>
      <c r="N759" s="72"/>
      <c r="O759" s="72"/>
      <c r="P759" s="72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72"/>
      <c r="N760" s="72"/>
      <c r="O760" s="72"/>
      <c r="P760" s="72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72"/>
      <c r="N761" s="72"/>
      <c r="O761" s="72"/>
      <c r="P761" s="72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72"/>
      <c r="N762" s="72"/>
      <c r="O762" s="72"/>
      <c r="P762" s="72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72"/>
      <c r="N763" s="72"/>
      <c r="O763" s="72"/>
      <c r="P763" s="72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72"/>
      <c r="N764" s="72"/>
      <c r="O764" s="72"/>
      <c r="P764" s="72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72"/>
      <c r="N765" s="72"/>
      <c r="O765" s="72"/>
      <c r="P765" s="72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72"/>
      <c r="N766" s="72"/>
      <c r="O766" s="72"/>
      <c r="P766" s="72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72"/>
      <c r="N767" s="72"/>
      <c r="O767" s="72"/>
      <c r="P767" s="72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72"/>
      <c r="N768" s="72"/>
      <c r="O768" s="72"/>
      <c r="P768" s="72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72"/>
      <c r="N769" s="72"/>
      <c r="O769" s="72"/>
      <c r="P769" s="72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72"/>
      <c r="N770" s="72"/>
      <c r="O770" s="72"/>
      <c r="P770" s="72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72"/>
      <c r="N771" s="72"/>
      <c r="O771" s="72"/>
      <c r="P771" s="72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72"/>
      <c r="N772" s="72"/>
      <c r="O772" s="72"/>
      <c r="P772" s="72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72"/>
      <c r="N773" s="72"/>
      <c r="O773" s="72"/>
      <c r="P773" s="72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72"/>
      <c r="N774" s="72"/>
      <c r="O774" s="72"/>
      <c r="P774" s="72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72"/>
      <c r="N775" s="72"/>
      <c r="O775" s="72"/>
      <c r="P775" s="72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72"/>
      <c r="N776" s="72"/>
      <c r="O776" s="72"/>
      <c r="P776" s="72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72"/>
      <c r="N777" s="72"/>
      <c r="O777" s="72"/>
      <c r="P777" s="72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72"/>
      <c r="N778" s="72"/>
      <c r="O778" s="72"/>
      <c r="P778" s="72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72"/>
      <c r="N779" s="72"/>
      <c r="O779" s="72"/>
      <c r="P779" s="72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72"/>
      <c r="N780" s="72"/>
      <c r="O780" s="72"/>
      <c r="P780" s="72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72"/>
      <c r="N781" s="72"/>
      <c r="O781" s="72"/>
      <c r="P781" s="72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72"/>
      <c r="N782" s="72"/>
      <c r="O782" s="72"/>
      <c r="P782" s="72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72"/>
      <c r="N783" s="72"/>
      <c r="O783" s="72"/>
      <c r="P783" s="72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72"/>
      <c r="N784" s="72"/>
      <c r="O784" s="72"/>
      <c r="P784" s="72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72"/>
      <c r="N785" s="72"/>
      <c r="O785" s="72"/>
      <c r="P785" s="72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72"/>
      <c r="N786" s="72"/>
      <c r="O786" s="72"/>
      <c r="P786" s="72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72"/>
      <c r="N787" s="72"/>
      <c r="O787" s="72"/>
      <c r="P787" s="72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72"/>
      <c r="N788" s="72"/>
      <c r="O788" s="72"/>
      <c r="P788" s="72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72"/>
      <c r="N789" s="72"/>
      <c r="O789" s="72"/>
      <c r="P789" s="72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72"/>
      <c r="N790" s="72"/>
      <c r="O790" s="72"/>
      <c r="P790" s="72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72"/>
      <c r="N791" s="72"/>
      <c r="O791" s="72"/>
      <c r="P791" s="72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72"/>
      <c r="N792" s="72"/>
      <c r="O792" s="72"/>
      <c r="P792" s="72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72"/>
      <c r="N793" s="72"/>
      <c r="O793" s="72"/>
      <c r="P793" s="72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72"/>
      <c r="N794" s="72"/>
      <c r="O794" s="72"/>
      <c r="P794" s="72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72"/>
      <c r="N795" s="72"/>
      <c r="O795" s="72"/>
      <c r="P795" s="72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72"/>
      <c r="N796" s="72"/>
      <c r="O796" s="72"/>
      <c r="P796" s="72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72"/>
      <c r="N797" s="72"/>
      <c r="O797" s="72"/>
      <c r="P797" s="72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72"/>
      <c r="N798" s="72"/>
      <c r="O798" s="72"/>
      <c r="P798" s="72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72"/>
      <c r="N799" s="72"/>
      <c r="O799" s="72"/>
      <c r="P799" s="72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72"/>
      <c r="N800" s="72"/>
      <c r="O800" s="72"/>
      <c r="P800" s="72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72"/>
      <c r="N801" s="72"/>
      <c r="O801" s="72"/>
      <c r="P801" s="72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72"/>
      <c r="N802" s="72"/>
      <c r="O802" s="72"/>
      <c r="P802" s="72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72"/>
      <c r="N803" s="72"/>
      <c r="O803" s="72"/>
      <c r="P803" s="72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72"/>
      <c r="N804" s="72"/>
      <c r="O804" s="72"/>
      <c r="P804" s="72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72"/>
      <c r="N805" s="72"/>
      <c r="O805" s="72"/>
      <c r="P805" s="72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72"/>
      <c r="N806" s="72"/>
      <c r="O806" s="72"/>
      <c r="P806" s="72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72"/>
      <c r="N807" s="72"/>
      <c r="O807" s="72"/>
      <c r="P807" s="72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72"/>
      <c r="N808" s="72"/>
      <c r="O808" s="72"/>
      <c r="P808" s="72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72"/>
      <c r="N809" s="72"/>
      <c r="O809" s="72"/>
      <c r="P809" s="72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72"/>
      <c r="N810" s="72"/>
      <c r="O810" s="72"/>
      <c r="P810" s="72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72"/>
      <c r="N811" s="72"/>
      <c r="O811" s="72"/>
      <c r="P811" s="72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72"/>
      <c r="N812" s="72"/>
      <c r="O812" s="72"/>
      <c r="P812" s="72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72"/>
      <c r="N813" s="72"/>
      <c r="O813" s="72"/>
      <c r="P813" s="72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72"/>
      <c r="N814" s="72"/>
      <c r="O814" s="72"/>
      <c r="P814" s="72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72"/>
      <c r="N815" s="72"/>
      <c r="O815" s="72"/>
      <c r="P815" s="72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72"/>
      <c r="N816" s="72"/>
      <c r="O816" s="72"/>
      <c r="P816" s="72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72"/>
      <c r="N817" s="72"/>
      <c r="O817" s="72"/>
      <c r="P817" s="72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72"/>
      <c r="N818" s="72"/>
      <c r="O818" s="72"/>
      <c r="P818" s="72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72"/>
      <c r="N819" s="72"/>
      <c r="O819" s="72"/>
      <c r="P819" s="72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72"/>
      <c r="N820" s="72"/>
      <c r="O820" s="72"/>
      <c r="P820" s="72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72"/>
      <c r="N821" s="72"/>
      <c r="O821" s="72"/>
      <c r="P821" s="72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72"/>
      <c r="N822" s="72"/>
      <c r="O822" s="72"/>
      <c r="P822" s="72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72"/>
      <c r="N823" s="72"/>
      <c r="O823" s="72"/>
      <c r="P823" s="72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72"/>
      <c r="N824" s="72"/>
      <c r="O824" s="72"/>
      <c r="P824" s="72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72"/>
      <c r="N825" s="72"/>
      <c r="O825" s="72"/>
      <c r="P825" s="72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72"/>
      <c r="N826" s="72"/>
      <c r="O826" s="72"/>
      <c r="P826" s="72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72"/>
      <c r="N827" s="72"/>
      <c r="O827" s="72"/>
      <c r="P827" s="72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72"/>
      <c r="N828" s="72"/>
      <c r="O828" s="72"/>
      <c r="P828" s="72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72"/>
      <c r="N829" s="72"/>
      <c r="O829" s="72"/>
      <c r="P829" s="72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72"/>
      <c r="N830" s="72"/>
      <c r="O830" s="72"/>
      <c r="P830" s="72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72"/>
      <c r="N831" s="72"/>
      <c r="O831" s="72"/>
      <c r="P831" s="72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72"/>
      <c r="N832" s="72"/>
      <c r="O832" s="72"/>
      <c r="P832" s="72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72"/>
      <c r="N833" s="72"/>
      <c r="O833" s="72"/>
      <c r="P833" s="72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72"/>
      <c r="N834" s="72"/>
      <c r="O834" s="72"/>
      <c r="P834" s="72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72"/>
      <c r="N835" s="72"/>
      <c r="O835" s="72"/>
      <c r="P835" s="72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72"/>
      <c r="N836" s="72"/>
      <c r="O836" s="72"/>
      <c r="P836" s="72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72"/>
      <c r="N837" s="72"/>
      <c r="O837" s="72"/>
      <c r="P837" s="72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72"/>
      <c r="N838" s="72"/>
      <c r="O838" s="72"/>
      <c r="P838" s="72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72"/>
      <c r="N839" s="72"/>
      <c r="O839" s="72"/>
      <c r="P839" s="72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72"/>
      <c r="N840" s="72"/>
      <c r="O840" s="72"/>
      <c r="P840" s="72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72"/>
      <c r="N841" s="72"/>
      <c r="O841" s="72"/>
      <c r="P841" s="72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72"/>
      <c r="N842" s="72"/>
      <c r="O842" s="72"/>
      <c r="P842" s="72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72"/>
      <c r="N843" s="72"/>
      <c r="O843" s="72"/>
      <c r="P843" s="72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72"/>
      <c r="N844" s="72"/>
      <c r="O844" s="72"/>
      <c r="P844" s="72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72"/>
      <c r="N845" s="72"/>
      <c r="O845" s="72"/>
      <c r="P845" s="72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72"/>
      <c r="N846" s="72"/>
      <c r="O846" s="72"/>
      <c r="P846" s="72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72"/>
      <c r="N847" s="72"/>
      <c r="O847" s="72"/>
      <c r="P847" s="72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72"/>
      <c r="N848" s="72"/>
      <c r="O848" s="72"/>
      <c r="P848" s="72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72"/>
      <c r="N849" s="72"/>
      <c r="O849" s="72"/>
      <c r="P849" s="72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72"/>
      <c r="N850" s="72"/>
      <c r="O850" s="72"/>
      <c r="P850" s="72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72"/>
      <c r="N851" s="72"/>
      <c r="O851" s="72"/>
      <c r="P851" s="72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72"/>
      <c r="N852" s="72"/>
      <c r="O852" s="72"/>
      <c r="P852" s="72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72"/>
      <c r="N853" s="72"/>
      <c r="O853" s="72"/>
      <c r="P853" s="72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72"/>
      <c r="N854" s="72"/>
      <c r="O854" s="72"/>
      <c r="P854" s="72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72"/>
      <c r="N855" s="72"/>
      <c r="O855" s="72"/>
      <c r="P855" s="72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72"/>
      <c r="N856" s="72"/>
      <c r="O856" s="72"/>
      <c r="P856" s="72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72"/>
      <c r="N857" s="72"/>
      <c r="O857" s="72"/>
      <c r="P857" s="72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72"/>
      <c r="N858" s="72"/>
      <c r="O858" s="72"/>
      <c r="P858" s="72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72"/>
      <c r="N859" s="72"/>
      <c r="O859" s="72"/>
      <c r="P859" s="72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72"/>
      <c r="N860" s="72"/>
      <c r="O860" s="72"/>
      <c r="P860" s="72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72"/>
      <c r="N861" s="72"/>
      <c r="O861" s="72"/>
      <c r="P861" s="72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72"/>
      <c r="N862" s="72"/>
      <c r="O862" s="72"/>
      <c r="P862" s="72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72"/>
      <c r="N863" s="72"/>
      <c r="O863" s="72"/>
      <c r="P863" s="72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72"/>
      <c r="N864" s="72"/>
      <c r="O864" s="72"/>
      <c r="P864" s="72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72"/>
      <c r="N865" s="72"/>
      <c r="O865" s="72"/>
      <c r="P865" s="72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72"/>
      <c r="N866" s="72"/>
      <c r="O866" s="72"/>
      <c r="P866" s="72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72"/>
      <c r="N867" s="72"/>
      <c r="O867" s="72"/>
      <c r="P867" s="72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72"/>
      <c r="N868" s="72"/>
      <c r="O868" s="72"/>
      <c r="P868" s="72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72"/>
      <c r="N869" s="72"/>
      <c r="O869" s="72"/>
      <c r="P869" s="72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72"/>
      <c r="N870" s="72"/>
      <c r="O870" s="72"/>
      <c r="P870" s="72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72"/>
      <c r="N871" s="72"/>
      <c r="O871" s="72"/>
      <c r="P871" s="72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72"/>
      <c r="N872" s="72"/>
      <c r="O872" s="72"/>
      <c r="P872" s="72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72"/>
      <c r="N873" s="72"/>
      <c r="O873" s="72"/>
      <c r="P873" s="72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72"/>
      <c r="N874" s="72"/>
      <c r="O874" s="72"/>
      <c r="P874" s="72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72"/>
      <c r="N875" s="72"/>
      <c r="O875" s="72"/>
      <c r="P875" s="72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72"/>
      <c r="N876" s="72"/>
      <c r="O876" s="72"/>
      <c r="P876" s="72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72"/>
      <c r="N877" s="72"/>
      <c r="O877" s="72"/>
      <c r="P877" s="72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72"/>
      <c r="N878" s="72"/>
      <c r="O878" s="72"/>
      <c r="P878" s="72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72"/>
      <c r="N879" s="72"/>
      <c r="O879" s="72"/>
      <c r="P879" s="72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72"/>
      <c r="N880" s="72"/>
      <c r="O880" s="72"/>
      <c r="P880" s="72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72"/>
      <c r="N881" s="72"/>
      <c r="O881" s="72"/>
      <c r="P881" s="72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72"/>
      <c r="N882" s="72"/>
      <c r="O882" s="72"/>
      <c r="P882" s="72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72"/>
      <c r="N883" s="72"/>
      <c r="O883" s="72"/>
      <c r="P883" s="72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72"/>
      <c r="N884" s="72"/>
      <c r="O884" s="72"/>
      <c r="P884" s="72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72"/>
      <c r="N885" s="72"/>
      <c r="O885" s="72"/>
      <c r="P885" s="72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72"/>
      <c r="N886" s="72"/>
      <c r="O886" s="72"/>
      <c r="P886" s="72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72"/>
      <c r="N887" s="72"/>
      <c r="O887" s="72"/>
      <c r="P887" s="72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72"/>
      <c r="N888" s="72"/>
      <c r="O888" s="72"/>
      <c r="P888" s="72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72"/>
      <c r="N889" s="72"/>
      <c r="O889" s="72"/>
      <c r="P889" s="72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72"/>
      <c r="N890" s="72"/>
      <c r="O890" s="72"/>
      <c r="P890" s="72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72"/>
      <c r="N891" s="72"/>
      <c r="O891" s="72"/>
      <c r="P891" s="72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72"/>
      <c r="N892" s="72"/>
      <c r="O892" s="72"/>
      <c r="P892" s="72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72"/>
      <c r="N893" s="72"/>
      <c r="O893" s="72"/>
      <c r="P893" s="72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72"/>
      <c r="N894" s="72"/>
      <c r="O894" s="72"/>
      <c r="P894" s="72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72"/>
      <c r="N895" s="72"/>
      <c r="O895" s="72"/>
      <c r="P895" s="72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72"/>
      <c r="N896" s="72"/>
      <c r="O896" s="72"/>
      <c r="P896" s="72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72"/>
      <c r="N897" s="72"/>
      <c r="O897" s="72"/>
      <c r="P897" s="72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72"/>
      <c r="N898" s="72"/>
      <c r="O898" s="72"/>
      <c r="P898" s="72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72"/>
      <c r="N899" s="72"/>
      <c r="O899" s="72"/>
      <c r="P899" s="72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72"/>
      <c r="N900" s="72"/>
      <c r="O900" s="72"/>
      <c r="P900" s="72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72"/>
      <c r="N901" s="72"/>
      <c r="O901" s="72"/>
      <c r="P901" s="72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72"/>
      <c r="N902" s="72"/>
      <c r="O902" s="72"/>
      <c r="P902" s="72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72"/>
      <c r="N903" s="72"/>
      <c r="O903" s="72"/>
      <c r="P903" s="72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72"/>
      <c r="N904" s="72"/>
      <c r="O904" s="72"/>
      <c r="P904" s="72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72"/>
      <c r="N905" s="72"/>
      <c r="O905" s="72"/>
      <c r="P905" s="72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72"/>
      <c r="N906" s="72"/>
      <c r="O906" s="72"/>
      <c r="P906" s="72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72"/>
      <c r="N907" s="72"/>
      <c r="O907" s="72"/>
      <c r="P907" s="72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72"/>
      <c r="N908" s="72"/>
      <c r="O908" s="72"/>
      <c r="P908" s="72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72"/>
      <c r="N909" s="72"/>
      <c r="O909" s="72"/>
      <c r="P909" s="72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72"/>
      <c r="N910" s="72"/>
      <c r="O910" s="72"/>
      <c r="P910" s="72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72"/>
      <c r="N911" s="72"/>
      <c r="O911" s="72"/>
      <c r="P911" s="72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72"/>
      <c r="N912" s="72"/>
      <c r="O912" s="72"/>
      <c r="P912" s="72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72"/>
      <c r="N913" s="72"/>
      <c r="O913" s="72"/>
      <c r="P913" s="72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72"/>
      <c r="N914" s="72"/>
      <c r="O914" s="72"/>
      <c r="P914" s="72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72"/>
      <c r="N915" s="72"/>
      <c r="O915" s="72"/>
      <c r="P915" s="72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72"/>
      <c r="N916" s="72"/>
      <c r="O916" s="72"/>
      <c r="P916" s="72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72"/>
      <c r="N917" s="72"/>
      <c r="O917" s="72"/>
      <c r="P917" s="72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72"/>
      <c r="N918" s="72"/>
      <c r="O918" s="72"/>
      <c r="P918" s="72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72"/>
      <c r="N919" s="72"/>
      <c r="O919" s="72"/>
      <c r="P919" s="72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72"/>
      <c r="N920" s="72"/>
      <c r="O920" s="72"/>
      <c r="P920" s="72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72"/>
      <c r="N921" s="72"/>
      <c r="O921" s="72"/>
      <c r="P921" s="72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72"/>
      <c r="N922" s="72"/>
      <c r="O922" s="72"/>
      <c r="P922" s="72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72"/>
      <c r="N923" s="72"/>
      <c r="O923" s="72"/>
      <c r="P923" s="72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72"/>
      <c r="N924" s="72"/>
      <c r="O924" s="72"/>
      <c r="P924" s="72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72"/>
      <c r="N925" s="72"/>
      <c r="O925" s="72"/>
      <c r="P925" s="72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72"/>
      <c r="N926" s="72"/>
      <c r="O926" s="72"/>
      <c r="P926" s="72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72"/>
      <c r="N927" s="72"/>
      <c r="O927" s="72"/>
      <c r="P927" s="72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72"/>
      <c r="N928" s="72"/>
      <c r="O928" s="72"/>
      <c r="P928" s="72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72"/>
      <c r="N929" s="72"/>
      <c r="O929" s="72"/>
      <c r="P929" s="72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72"/>
      <c r="N930" s="72"/>
      <c r="O930" s="72"/>
      <c r="P930" s="72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72"/>
      <c r="N931" s="72"/>
      <c r="O931" s="72"/>
      <c r="P931" s="72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72"/>
      <c r="N932" s="72"/>
      <c r="O932" s="72"/>
      <c r="P932" s="72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72"/>
      <c r="N933" s="72"/>
      <c r="O933" s="72"/>
      <c r="P933" s="72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72"/>
      <c r="N934" s="72"/>
      <c r="O934" s="72"/>
      <c r="P934" s="72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72"/>
      <c r="N935" s="72"/>
      <c r="O935" s="72"/>
      <c r="P935" s="72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72"/>
      <c r="N936" s="72"/>
      <c r="O936" s="72"/>
      <c r="P936" s="72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72"/>
      <c r="N937" s="72"/>
      <c r="O937" s="72"/>
      <c r="P937" s="72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72"/>
      <c r="N938" s="72"/>
      <c r="O938" s="72"/>
      <c r="P938" s="72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72"/>
      <c r="N939" s="72"/>
      <c r="O939" s="72"/>
      <c r="P939" s="72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72"/>
      <c r="N940" s="72"/>
      <c r="O940" s="72"/>
      <c r="P940" s="72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72"/>
      <c r="N941" s="72"/>
      <c r="O941" s="72"/>
      <c r="P941" s="72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72"/>
      <c r="N942" s="72"/>
      <c r="O942" s="72"/>
      <c r="P942" s="72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72"/>
      <c r="N943" s="72"/>
      <c r="O943" s="72"/>
      <c r="P943" s="72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72"/>
      <c r="N944" s="72"/>
      <c r="O944" s="72"/>
      <c r="P944" s="72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72"/>
      <c r="N945" s="72"/>
      <c r="O945" s="72"/>
      <c r="P945" s="72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72"/>
      <c r="N946" s="72"/>
      <c r="O946" s="72"/>
      <c r="P946" s="72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72"/>
      <c r="N947" s="72"/>
      <c r="O947" s="72"/>
      <c r="P947" s="72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72"/>
      <c r="N948" s="72"/>
      <c r="O948" s="72"/>
      <c r="P948" s="72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72"/>
      <c r="N949" s="72"/>
      <c r="O949" s="72"/>
      <c r="P949" s="72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72"/>
      <c r="N950" s="72"/>
      <c r="O950" s="72"/>
      <c r="P950" s="72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72"/>
      <c r="N951" s="72"/>
      <c r="O951" s="72"/>
      <c r="P951" s="72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72"/>
      <c r="N952" s="72"/>
      <c r="O952" s="72"/>
      <c r="P952" s="72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72"/>
      <c r="N953" s="72"/>
      <c r="O953" s="72"/>
      <c r="P953" s="72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72"/>
      <c r="N954" s="72"/>
      <c r="O954" s="72"/>
      <c r="P954" s="72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72"/>
      <c r="N955" s="72"/>
      <c r="O955" s="72"/>
      <c r="P955" s="72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72"/>
      <c r="N956" s="72"/>
      <c r="O956" s="72"/>
      <c r="P956" s="72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72"/>
      <c r="N957" s="72"/>
      <c r="O957" s="72"/>
      <c r="P957" s="72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72"/>
      <c r="N958" s="72"/>
      <c r="O958" s="72"/>
      <c r="P958" s="72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72"/>
      <c r="N959" s="72"/>
      <c r="O959" s="72"/>
      <c r="P959" s="72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72"/>
      <c r="N960" s="72"/>
      <c r="O960" s="72"/>
      <c r="P960" s="72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72"/>
      <c r="N961" s="72"/>
      <c r="O961" s="72"/>
      <c r="P961" s="72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72"/>
      <c r="N962" s="72"/>
      <c r="O962" s="72"/>
      <c r="P962" s="72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72"/>
      <c r="N963" s="72"/>
      <c r="O963" s="72"/>
      <c r="P963" s="72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72"/>
      <c r="N964" s="72"/>
      <c r="O964" s="72"/>
      <c r="P964" s="72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72"/>
      <c r="N965" s="72"/>
      <c r="O965" s="72"/>
      <c r="P965" s="72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72"/>
      <c r="N966" s="72"/>
      <c r="O966" s="72"/>
      <c r="P966" s="72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72"/>
      <c r="N967" s="72"/>
      <c r="O967" s="72"/>
      <c r="P967" s="72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72"/>
      <c r="N968" s="72"/>
      <c r="O968" s="72"/>
      <c r="P968" s="72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72"/>
      <c r="N969" s="72"/>
      <c r="O969" s="72"/>
      <c r="P969" s="72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72"/>
      <c r="N970" s="72"/>
      <c r="O970" s="72"/>
      <c r="P970" s="72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72"/>
      <c r="N971" s="72"/>
      <c r="O971" s="72"/>
      <c r="P971" s="72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72"/>
      <c r="N972" s="72"/>
      <c r="O972" s="72"/>
      <c r="P972" s="72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72"/>
      <c r="N973" s="72"/>
      <c r="O973" s="72"/>
      <c r="P973" s="72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72"/>
      <c r="N974" s="72"/>
      <c r="O974" s="72"/>
      <c r="P974" s="72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72"/>
      <c r="N975" s="72"/>
      <c r="O975" s="72"/>
      <c r="P975" s="72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72"/>
      <c r="N976" s="72"/>
      <c r="O976" s="72"/>
      <c r="P976" s="72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72"/>
      <c r="N977" s="72"/>
      <c r="O977" s="72"/>
      <c r="P977" s="72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72"/>
      <c r="N978" s="72"/>
      <c r="O978" s="72"/>
      <c r="P978" s="72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72"/>
      <c r="N979" s="72"/>
      <c r="O979" s="72"/>
      <c r="P979" s="72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72"/>
      <c r="N980" s="72"/>
      <c r="O980" s="72"/>
      <c r="P980" s="72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72"/>
      <c r="N981" s="72"/>
      <c r="O981" s="72"/>
      <c r="P981" s="72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72"/>
      <c r="N982" s="72"/>
      <c r="O982" s="72"/>
      <c r="P982" s="72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72"/>
      <c r="N983" s="72"/>
      <c r="O983" s="72"/>
      <c r="P983" s="72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72"/>
      <c r="N984" s="72"/>
      <c r="O984" s="72"/>
      <c r="P984" s="72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72"/>
      <c r="N985" s="72"/>
      <c r="O985" s="72"/>
      <c r="P985" s="72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72"/>
      <c r="N986" s="72"/>
      <c r="O986" s="72"/>
      <c r="P986" s="72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72"/>
      <c r="N987" s="72"/>
      <c r="O987" s="72"/>
      <c r="P987" s="72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72"/>
      <c r="N988" s="72"/>
      <c r="O988" s="72"/>
      <c r="P988" s="72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72"/>
      <c r="N989" s="72"/>
      <c r="O989" s="72"/>
      <c r="P989" s="72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72"/>
      <c r="N990" s="72"/>
      <c r="O990" s="72"/>
      <c r="P990" s="72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72"/>
      <c r="N991" s="72"/>
      <c r="O991" s="72"/>
      <c r="P991" s="72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72"/>
      <c r="N992" s="72"/>
      <c r="O992" s="72"/>
      <c r="P992" s="72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72"/>
      <c r="N993" s="72"/>
      <c r="O993" s="72"/>
      <c r="P993" s="72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72"/>
      <c r="N994" s="72"/>
      <c r="O994" s="72"/>
      <c r="P994" s="72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72"/>
      <c r="N995" s="72"/>
      <c r="O995" s="72"/>
      <c r="P995" s="72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72"/>
      <c r="N996" s="72"/>
      <c r="O996" s="72"/>
      <c r="P996" s="72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72"/>
      <c r="N997" s="72"/>
      <c r="O997" s="72"/>
      <c r="P997" s="72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72"/>
      <c r="N998" s="72"/>
      <c r="O998" s="72"/>
      <c r="P998" s="72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72"/>
      <c r="N999" s="72"/>
      <c r="O999" s="72"/>
      <c r="P999" s="72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72"/>
      <c r="N1000" s="72"/>
      <c r="O1000" s="72"/>
      <c r="P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57"/>
    <col customWidth="1" min="3" max="3" width="8.71"/>
    <col customWidth="1" min="4" max="4" width="28.71"/>
    <col customWidth="1" min="5" max="11" width="10.71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9.43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</row>
    <row r="5">
      <c r="A5" s="10" t="s">
        <v>186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187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0" t="s">
        <v>23</v>
      </c>
      <c r="B7" s="46" t="s">
        <v>24</v>
      </c>
      <c r="C7" s="81">
        <v>1.0</v>
      </c>
      <c r="D7" s="82" t="s">
        <v>188</v>
      </c>
      <c r="E7" s="83">
        <v>9.69</v>
      </c>
      <c r="F7" s="83">
        <v>4.34</v>
      </c>
      <c r="G7" s="83" t="s">
        <v>26</v>
      </c>
      <c r="H7" s="83" t="s">
        <v>26</v>
      </c>
      <c r="I7" s="83" t="s">
        <v>26</v>
      </c>
      <c r="J7" s="83" t="s">
        <v>26</v>
      </c>
      <c r="K7" s="83" t="s">
        <v>26</v>
      </c>
      <c r="L7" s="83">
        <v>1.28</v>
      </c>
      <c r="M7" s="83">
        <v>1.93</v>
      </c>
      <c r="N7" s="83">
        <v>0.73</v>
      </c>
      <c r="O7" s="83">
        <v>1.31</v>
      </c>
      <c r="P7" s="83">
        <v>0.51</v>
      </c>
      <c r="Q7" s="190">
        <f t="shared" ref="Q7:Q36" si="1">AVERAGE(E7,F7,G7,H7,I7,J7,K7,L7,M7,N7,O7,P7)</f>
        <v>2.827142857</v>
      </c>
      <c r="R7" s="162">
        <v>6.0</v>
      </c>
    </row>
    <row r="8">
      <c r="A8" s="20"/>
      <c r="B8" s="21"/>
      <c r="C8" s="178">
        <v>2.0</v>
      </c>
      <c r="D8" s="50" t="s">
        <v>189</v>
      </c>
      <c r="E8" s="85">
        <v>9.21</v>
      </c>
      <c r="F8" s="85">
        <v>3.11</v>
      </c>
      <c r="G8" s="215" t="s">
        <v>26</v>
      </c>
      <c r="H8" s="215" t="s">
        <v>26</v>
      </c>
      <c r="I8" s="215" t="s">
        <v>26</v>
      </c>
      <c r="J8" s="215" t="s">
        <v>26</v>
      </c>
      <c r="K8" s="215" t="s">
        <v>26</v>
      </c>
      <c r="L8" s="85">
        <v>1.46</v>
      </c>
      <c r="M8" s="85">
        <v>1.63</v>
      </c>
      <c r="N8" s="85">
        <v>1.45</v>
      </c>
      <c r="O8" s="85">
        <v>1.33</v>
      </c>
      <c r="P8" s="85">
        <v>0.76</v>
      </c>
      <c r="Q8" s="192">
        <f t="shared" si="1"/>
        <v>2.707142857</v>
      </c>
      <c r="R8" s="23">
        <v>6.0</v>
      </c>
    </row>
    <row r="9">
      <c r="A9" s="20"/>
      <c r="B9" s="21"/>
      <c r="C9" s="178">
        <v>3.0</v>
      </c>
      <c r="D9" s="50" t="s">
        <v>190</v>
      </c>
      <c r="E9" s="85">
        <v>5.23</v>
      </c>
      <c r="F9" s="85">
        <v>2.75</v>
      </c>
      <c r="G9" s="215" t="s">
        <v>26</v>
      </c>
      <c r="H9" s="215" t="s">
        <v>26</v>
      </c>
      <c r="I9" s="215" t="s">
        <v>26</v>
      </c>
      <c r="J9" s="215" t="s">
        <v>26</v>
      </c>
      <c r="K9" s="215" t="s">
        <v>26</v>
      </c>
      <c r="L9" s="85">
        <v>1.98</v>
      </c>
      <c r="M9" s="85">
        <v>0.98</v>
      </c>
      <c r="N9" s="85">
        <v>1.38</v>
      </c>
      <c r="O9" s="85">
        <v>0.97</v>
      </c>
      <c r="P9" s="85" t="s">
        <v>191</v>
      </c>
      <c r="Q9" s="192">
        <f t="shared" si="1"/>
        <v>2.215</v>
      </c>
      <c r="R9" s="23">
        <v>6.0</v>
      </c>
    </row>
    <row r="10">
      <c r="A10" s="20"/>
      <c r="B10" s="21"/>
      <c r="C10" s="178">
        <v>4.0</v>
      </c>
      <c r="D10" s="50" t="s">
        <v>192</v>
      </c>
      <c r="E10" s="85">
        <v>3.02</v>
      </c>
      <c r="F10" s="85">
        <v>3.75</v>
      </c>
      <c r="G10" s="215" t="s">
        <v>26</v>
      </c>
      <c r="H10" s="215" t="s">
        <v>26</v>
      </c>
      <c r="I10" s="215" t="s">
        <v>26</v>
      </c>
      <c r="J10" s="215" t="s">
        <v>26</v>
      </c>
      <c r="K10" s="215" t="s">
        <v>26</v>
      </c>
      <c r="L10" s="85">
        <v>0.93</v>
      </c>
      <c r="M10" s="85">
        <v>1.98</v>
      </c>
      <c r="N10" s="85">
        <v>1.75</v>
      </c>
      <c r="O10" s="85">
        <v>1.69</v>
      </c>
      <c r="P10" s="85">
        <v>0.85</v>
      </c>
      <c r="Q10" s="192">
        <f t="shared" si="1"/>
        <v>1.995714286</v>
      </c>
      <c r="R10" s="216">
        <v>6.0</v>
      </c>
    </row>
    <row r="11">
      <c r="A11" s="20"/>
      <c r="B11" s="21"/>
      <c r="C11" s="178">
        <v>5.0</v>
      </c>
      <c r="D11" s="50" t="s">
        <v>193</v>
      </c>
      <c r="E11" s="85">
        <v>8.68</v>
      </c>
      <c r="F11" s="85">
        <v>2.99</v>
      </c>
      <c r="G11" s="215" t="s">
        <v>26</v>
      </c>
      <c r="H11" s="215" t="s">
        <v>26</v>
      </c>
      <c r="I11" s="215" t="s">
        <v>26</v>
      </c>
      <c r="J11" s="215" t="s">
        <v>26</v>
      </c>
      <c r="K11" s="215" t="s">
        <v>26</v>
      </c>
      <c r="L11" s="85">
        <v>1.59</v>
      </c>
      <c r="M11" s="85">
        <v>1.56</v>
      </c>
      <c r="N11" s="85">
        <v>0.96</v>
      </c>
      <c r="O11" s="85">
        <v>1.24</v>
      </c>
      <c r="P11" s="85">
        <v>2.36</v>
      </c>
      <c r="Q11" s="192">
        <f t="shared" si="1"/>
        <v>2.768571429</v>
      </c>
      <c r="R11" s="23">
        <v>6.0</v>
      </c>
    </row>
    <row r="12">
      <c r="A12" s="20"/>
      <c r="B12" s="26"/>
      <c r="C12" s="178">
        <v>6.0</v>
      </c>
      <c r="D12" s="50" t="s">
        <v>194</v>
      </c>
      <c r="E12" s="85">
        <v>6.14</v>
      </c>
      <c r="F12" s="24">
        <v>5.1</v>
      </c>
      <c r="G12" s="215" t="s">
        <v>26</v>
      </c>
      <c r="H12" s="215" t="s">
        <v>26</v>
      </c>
      <c r="I12" s="215" t="s">
        <v>26</v>
      </c>
      <c r="J12" s="215" t="s">
        <v>26</v>
      </c>
      <c r="K12" s="215" t="s">
        <v>26</v>
      </c>
      <c r="L12" s="85">
        <v>1.39</v>
      </c>
      <c r="M12" s="85">
        <v>1.92</v>
      </c>
      <c r="N12" s="85">
        <v>0.84</v>
      </c>
      <c r="O12" s="85">
        <v>1.41</v>
      </c>
      <c r="P12" s="85">
        <v>1.19</v>
      </c>
      <c r="Q12" s="192">
        <f t="shared" si="1"/>
        <v>2.57</v>
      </c>
      <c r="R12" s="23">
        <v>6.0</v>
      </c>
    </row>
    <row r="13">
      <c r="A13" s="20"/>
      <c r="B13" s="15" t="s">
        <v>32</v>
      </c>
      <c r="C13" s="16">
        <v>1.0</v>
      </c>
      <c r="D13" s="47" t="s">
        <v>188</v>
      </c>
      <c r="E13" s="120">
        <v>64.0</v>
      </c>
      <c r="F13" s="120">
        <v>262.0</v>
      </c>
      <c r="G13" s="83" t="s">
        <v>26</v>
      </c>
      <c r="H13" s="83" t="s">
        <v>26</v>
      </c>
      <c r="I13" s="83" t="s">
        <v>26</v>
      </c>
      <c r="J13" s="83" t="s">
        <v>26</v>
      </c>
      <c r="K13" s="83" t="s">
        <v>26</v>
      </c>
      <c r="L13" s="83">
        <v>44.0</v>
      </c>
      <c r="M13" s="83">
        <v>51.0</v>
      </c>
      <c r="N13" s="83">
        <v>19.0</v>
      </c>
      <c r="O13" s="120">
        <v>13.0</v>
      </c>
      <c r="P13" s="120">
        <v>31.0</v>
      </c>
      <c r="Q13" s="194">
        <f t="shared" si="1"/>
        <v>69.14285714</v>
      </c>
      <c r="R13" s="17">
        <v>50.0</v>
      </c>
    </row>
    <row r="14">
      <c r="A14" s="20"/>
      <c r="B14" s="21"/>
      <c r="C14" s="178">
        <v>2.0</v>
      </c>
      <c r="D14" s="50" t="s">
        <v>189</v>
      </c>
      <c r="E14" s="85">
        <v>30.0</v>
      </c>
      <c r="F14" s="85">
        <v>70.0</v>
      </c>
      <c r="G14" s="215" t="s">
        <v>26</v>
      </c>
      <c r="H14" s="215" t="s">
        <v>26</v>
      </c>
      <c r="I14" s="215" t="s">
        <v>26</v>
      </c>
      <c r="J14" s="215" t="s">
        <v>26</v>
      </c>
      <c r="K14" s="215" t="s">
        <v>26</v>
      </c>
      <c r="L14" s="215">
        <v>43.0</v>
      </c>
      <c r="M14" s="85">
        <v>88.0</v>
      </c>
      <c r="N14" s="85">
        <v>35.0</v>
      </c>
      <c r="O14" s="85">
        <v>28.0</v>
      </c>
      <c r="P14" s="85">
        <v>59.0</v>
      </c>
      <c r="Q14" s="195">
        <f t="shared" si="1"/>
        <v>50.42857143</v>
      </c>
      <c r="R14" s="23">
        <v>50.0</v>
      </c>
    </row>
    <row r="15">
      <c r="A15" s="20"/>
      <c r="B15" s="21"/>
      <c r="C15" s="178">
        <v>3.0</v>
      </c>
      <c r="D15" s="50" t="s">
        <v>190</v>
      </c>
      <c r="E15" s="85">
        <v>40.0</v>
      </c>
      <c r="F15" s="85">
        <v>84.0</v>
      </c>
      <c r="G15" s="215" t="s">
        <v>26</v>
      </c>
      <c r="H15" s="215" t="s">
        <v>26</v>
      </c>
      <c r="I15" s="215" t="s">
        <v>26</v>
      </c>
      <c r="J15" s="215" t="s">
        <v>26</v>
      </c>
      <c r="K15" s="215" t="s">
        <v>26</v>
      </c>
      <c r="L15" s="215">
        <v>22.0</v>
      </c>
      <c r="M15" s="85">
        <v>42.0</v>
      </c>
      <c r="N15" s="85">
        <v>21.0</v>
      </c>
      <c r="O15" s="85">
        <v>155.0</v>
      </c>
      <c r="P15" s="85">
        <v>59.0</v>
      </c>
      <c r="Q15" s="195">
        <f t="shared" si="1"/>
        <v>60.42857143</v>
      </c>
      <c r="R15" s="23">
        <v>50.0</v>
      </c>
    </row>
    <row r="16">
      <c r="A16" s="20"/>
      <c r="B16" s="21"/>
      <c r="C16" s="178">
        <v>4.0</v>
      </c>
      <c r="D16" s="50" t="s">
        <v>192</v>
      </c>
      <c r="E16" s="85">
        <v>41.0</v>
      </c>
      <c r="F16" s="85">
        <v>65.0</v>
      </c>
      <c r="G16" s="215" t="s">
        <v>26</v>
      </c>
      <c r="H16" s="215" t="s">
        <v>26</v>
      </c>
      <c r="I16" s="215" t="s">
        <v>26</v>
      </c>
      <c r="J16" s="215" t="s">
        <v>26</v>
      </c>
      <c r="K16" s="215" t="s">
        <v>26</v>
      </c>
      <c r="L16" s="215">
        <v>39.0</v>
      </c>
      <c r="M16" s="85">
        <v>46.0</v>
      </c>
      <c r="N16" s="85">
        <v>14.0</v>
      </c>
      <c r="O16" s="85">
        <v>37.0</v>
      </c>
      <c r="P16" s="85">
        <v>32.0</v>
      </c>
      <c r="Q16" s="195">
        <f t="shared" si="1"/>
        <v>39.14285714</v>
      </c>
      <c r="R16" s="23">
        <v>50.0</v>
      </c>
    </row>
    <row r="17">
      <c r="A17" s="20"/>
      <c r="B17" s="21"/>
      <c r="C17" s="178">
        <v>5.0</v>
      </c>
      <c r="D17" s="50" t="s">
        <v>193</v>
      </c>
      <c r="E17" s="85">
        <v>40.0</v>
      </c>
      <c r="F17" s="85">
        <v>117.0</v>
      </c>
      <c r="G17" s="215" t="s">
        <v>26</v>
      </c>
      <c r="H17" s="215" t="s">
        <v>26</v>
      </c>
      <c r="I17" s="215" t="s">
        <v>26</v>
      </c>
      <c r="J17" s="215" t="s">
        <v>26</v>
      </c>
      <c r="K17" s="215" t="s">
        <v>26</v>
      </c>
      <c r="L17" s="215">
        <v>50.0</v>
      </c>
      <c r="M17" s="85">
        <v>50.0</v>
      </c>
      <c r="N17" s="85">
        <v>18.0</v>
      </c>
      <c r="O17" s="85">
        <v>27.0</v>
      </c>
      <c r="P17" s="85">
        <v>44.0</v>
      </c>
      <c r="Q17" s="195">
        <f t="shared" si="1"/>
        <v>49.42857143</v>
      </c>
      <c r="R17" s="23">
        <v>50.0</v>
      </c>
    </row>
    <row r="18">
      <c r="A18" s="20"/>
      <c r="B18" s="26"/>
      <c r="C18" s="178">
        <v>6.0</v>
      </c>
      <c r="D18" s="50" t="s">
        <v>194</v>
      </c>
      <c r="E18" s="85">
        <v>52.0</v>
      </c>
      <c r="F18" s="85">
        <v>55.0</v>
      </c>
      <c r="G18" s="215" t="s">
        <v>26</v>
      </c>
      <c r="H18" s="215" t="s">
        <v>26</v>
      </c>
      <c r="I18" s="215" t="s">
        <v>26</v>
      </c>
      <c r="J18" s="215" t="s">
        <v>26</v>
      </c>
      <c r="K18" s="215" t="s">
        <v>26</v>
      </c>
      <c r="L18" s="215">
        <v>38.0</v>
      </c>
      <c r="M18" s="85">
        <v>67.0</v>
      </c>
      <c r="N18" s="85">
        <v>25.0</v>
      </c>
      <c r="O18" s="85">
        <v>19.0</v>
      </c>
      <c r="P18" s="85">
        <v>29.0</v>
      </c>
      <c r="Q18" s="195">
        <f t="shared" si="1"/>
        <v>40.71428571</v>
      </c>
      <c r="R18" s="23">
        <v>50.0</v>
      </c>
    </row>
    <row r="19">
      <c r="A19" s="20"/>
      <c r="B19" s="15" t="s">
        <v>33</v>
      </c>
      <c r="C19" s="16">
        <v>1.0</v>
      </c>
      <c r="D19" s="47" t="s">
        <v>188</v>
      </c>
      <c r="E19" s="120">
        <v>7.63</v>
      </c>
      <c r="F19" s="18">
        <v>6.7</v>
      </c>
      <c r="G19" s="83" t="s">
        <v>26</v>
      </c>
      <c r="H19" s="83" t="s">
        <v>26</v>
      </c>
      <c r="I19" s="83" t="s">
        <v>26</v>
      </c>
      <c r="J19" s="83" t="s">
        <v>26</v>
      </c>
      <c r="K19" s="83" t="s">
        <v>26</v>
      </c>
      <c r="L19" s="120">
        <v>7.92</v>
      </c>
      <c r="M19" s="84">
        <v>7.98</v>
      </c>
      <c r="N19" s="83">
        <v>7.42</v>
      </c>
      <c r="O19" s="120">
        <v>7.67</v>
      </c>
      <c r="P19" s="120">
        <v>7.33</v>
      </c>
      <c r="Q19" s="190">
        <f t="shared" si="1"/>
        <v>7.521428571</v>
      </c>
      <c r="R19" s="59" t="s">
        <v>161</v>
      </c>
    </row>
    <row r="20">
      <c r="A20" s="20"/>
      <c r="B20" s="21"/>
      <c r="C20" s="178">
        <v>2.0</v>
      </c>
      <c r="D20" s="50" t="s">
        <v>189</v>
      </c>
      <c r="E20" s="85">
        <v>7.46</v>
      </c>
      <c r="F20" s="85">
        <v>7.79</v>
      </c>
      <c r="G20" s="215" t="s">
        <v>26</v>
      </c>
      <c r="H20" s="215" t="s">
        <v>26</v>
      </c>
      <c r="I20" s="215" t="s">
        <v>26</v>
      </c>
      <c r="J20" s="215" t="s">
        <v>26</v>
      </c>
      <c r="K20" s="215" t="s">
        <v>26</v>
      </c>
      <c r="L20" s="85">
        <v>7.94</v>
      </c>
      <c r="M20" s="24">
        <v>8.0</v>
      </c>
      <c r="N20" s="85">
        <v>7.59</v>
      </c>
      <c r="O20" s="85">
        <v>7.72</v>
      </c>
      <c r="P20" s="85">
        <v>7.45</v>
      </c>
      <c r="Q20" s="192">
        <f t="shared" si="1"/>
        <v>7.707142857</v>
      </c>
      <c r="R20" s="60" t="s">
        <v>161</v>
      </c>
    </row>
    <row r="21" ht="15.75" customHeight="1">
      <c r="A21" s="20"/>
      <c r="B21" s="21"/>
      <c r="C21" s="178">
        <v>3.0</v>
      </c>
      <c r="D21" s="50" t="s">
        <v>190</v>
      </c>
      <c r="E21" s="85">
        <v>7.49</v>
      </c>
      <c r="F21" s="85">
        <v>7.56</v>
      </c>
      <c r="G21" s="215" t="s">
        <v>26</v>
      </c>
      <c r="H21" s="215" t="s">
        <v>26</v>
      </c>
      <c r="I21" s="215" t="s">
        <v>26</v>
      </c>
      <c r="J21" s="215" t="s">
        <v>26</v>
      </c>
      <c r="K21" s="215" t="s">
        <v>26</v>
      </c>
      <c r="L21" s="85">
        <v>7.62</v>
      </c>
      <c r="M21" s="24">
        <v>8.1</v>
      </c>
      <c r="N21" s="85">
        <v>7.65</v>
      </c>
      <c r="O21" s="85">
        <v>7.74</v>
      </c>
      <c r="P21" s="85">
        <v>7.41</v>
      </c>
      <c r="Q21" s="192">
        <f t="shared" si="1"/>
        <v>7.652857143</v>
      </c>
      <c r="R21" s="60" t="s">
        <v>161</v>
      </c>
    </row>
    <row r="22" ht="15.75" customHeight="1">
      <c r="A22" s="20"/>
      <c r="B22" s="21"/>
      <c r="C22" s="178">
        <v>4.0</v>
      </c>
      <c r="D22" s="50" t="s">
        <v>192</v>
      </c>
      <c r="E22" s="85">
        <v>7.47</v>
      </c>
      <c r="F22" s="85">
        <v>7.73</v>
      </c>
      <c r="G22" s="215" t="s">
        <v>26</v>
      </c>
      <c r="H22" s="215" t="s">
        <v>26</v>
      </c>
      <c r="I22" s="215" t="s">
        <v>26</v>
      </c>
      <c r="J22" s="215" t="s">
        <v>26</v>
      </c>
      <c r="K22" s="215" t="s">
        <v>26</v>
      </c>
      <c r="L22" s="85">
        <v>7.73</v>
      </c>
      <c r="M22" s="24">
        <v>7.96</v>
      </c>
      <c r="N22" s="85">
        <v>7.6</v>
      </c>
      <c r="O22" s="24">
        <v>7.9</v>
      </c>
      <c r="P22" s="85">
        <v>7.41</v>
      </c>
      <c r="Q22" s="192">
        <f t="shared" si="1"/>
        <v>7.685714286</v>
      </c>
      <c r="R22" s="60" t="s">
        <v>161</v>
      </c>
    </row>
    <row r="23" ht="15.75" customHeight="1">
      <c r="A23" s="20"/>
      <c r="B23" s="21"/>
      <c r="C23" s="178">
        <v>5.0</v>
      </c>
      <c r="D23" s="50" t="s">
        <v>193</v>
      </c>
      <c r="E23" s="24">
        <v>7.9</v>
      </c>
      <c r="F23" s="85">
        <v>7.58</v>
      </c>
      <c r="G23" s="215" t="s">
        <v>26</v>
      </c>
      <c r="H23" s="215" t="s">
        <v>26</v>
      </c>
      <c r="I23" s="215" t="s">
        <v>26</v>
      </c>
      <c r="J23" s="215" t="s">
        <v>26</v>
      </c>
      <c r="K23" s="215" t="s">
        <v>26</v>
      </c>
      <c r="L23" s="85">
        <v>8.17</v>
      </c>
      <c r="M23" s="24">
        <v>8.03</v>
      </c>
      <c r="N23" s="85">
        <v>7.56</v>
      </c>
      <c r="O23" s="85">
        <v>7.66</v>
      </c>
      <c r="P23" s="24">
        <v>7.6</v>
      </c>
      <c r="Q23" s="192">
        <f t="shared" si="1"/>
        <v>7.785714286</v>
      </c>
      <c r="R23" s="60" t="s">
        <v>161</v>
      </c>
    </row>
    <row r="24" ht="15.75" customHeight="1">
      <c r="A24" s="20"/>
      <c r="B24" s="26"/>
      <c r="C24" s="178">
        <v>6.0</v>
      </c>
      <c r="D24" s="50" t="s">
        <v>194</v>
      </c>
      <c r="E24" s="85">
        <v>7.86</v>
      </c>
      <c r="F24" s="85">
        <v>7.86</v>
      </c>
      <c r="G24" s="215" t="s">
        <v>26</v>
      </c>
      <c r="H24" s="215" t="s">
        <v>26</v>
      </c>
      <c r="I24" s="215" t="s">
        <v>26</v>
      </c>
      <c r="J24" s="215" t="s">
        <v>26</v>
      </c>
      <c r="K24" s="215" t="s">
        <v>26</v>
      </c>
      <c r="L24" s="85">
        <v>8.07</v>
      </c>
      <c r="M24" s="24">
        <v>8.17</v>
      </c>
      <c r="N24" s="85">
        <v>7.45</v>
      </c>
      <c r="O24" s="24">
        <v>7.4</v>
      </c>
      <c r="P24" s="85">
        <v>7.38</v>
      </c>
      <c r="Q24" s="192">
        <f t="shared" si="1"/>
        <v>7.741428571</v>
      </c>
      <c r="R24" s="60" t="s">
        <v>161</v>
      </c>
    </row>
    <row r="25" ht="15.75" customHeight="1">
      <c r="A25" s="20"/>
      <c r="B25" s="15" t="s">
        <v>195</v>
      </c>
      <c r="C25" s="16">
        <v>1.0</v>
      </c>
      <c r="D25" s="47" t="s">
        <v>188</v>
      </c>
      <c r="E25" s="18">
        <v>28.9</v>
      </c>
      <c r="F25" s="18">
        <v>28.2</v>
      </c>
      <c r="G25" s="83" t="s">
        <v>26</v>
      </c>
      <c r="H25" s="83" t="s">
        <v>26</v>
      </c>
      <c r="I25" s="83" t="s">
        <v>26</v>
      </c>
      <c r="J25" s="83" t="s">
        <v>26</v>
      </c>
      <c r="K25" s="83" t="s">
        <v>26</v>
      </c>
      <c r="L25" s="18">
        <v>31.3</v>
      </c>
      <c r="M25" s="84">
        <v>28.0</v>
      </c>
      <c r="N25" s="83">
        <v>29.9</v>
      </c>
      <c r="O25" s="18">
        <v>30.6</v>
      </c>
      <c r="P25" s="18">
        <v>30.4</v>
      </c>
      <c r="Q25" s="190">
        <f t="shared" si="1"/>
        <v>29.61428571</v>
      </c>
      <c r="R25" s="18" t="s">
        <v>163</v>
      </c>
    </row>
    <row r="26" ht="15.75" customHeight="1">
      <c r="A26" s="20"/>
      <c r="B26" s="21"/>
      <c r="C26" s="178">
        <v>2.0</v>
      </c>
      <c r="D26" s="50" t="s">
        <v>189</v>
      </c>
      <c r="E26" s="24">
        <v>28.98</v>
      </c>
      <c r="F26" s="24">
        <v>28.0</v>
      </c>
      <c r="G26" s="215" t="s">
        <v>26</v>
      </c>
      <c r="H26" s="215" t="s">
        <v>26</v>
      </c>
      <c r="I26" s="215" t="s">
        <v>26</v>
      </c>
      <c r="J26" s="215" t="s">
        <v>26</v>
      </c>
      <c r="K26" s="215" t="s">
        <v>26</v>
      </c>
      <c r="L26" s="24">
        <v>31.3</v>
      </c>
      <c r="M26" s="24">
        <v>28.68</v>
      </c>
      <c r="N26" s="85">
        <v>29.03</v>
      </c>
      <c r="O26" s="24">
        <v>30.0</v>
      </c>
      <c r="P26" s="24">
        <v>30.1</v>
      </c>
      <c r="Q26" s="192">
        <f t="shared" si="1"/>
        <v>29.44142857</v>
      </c>
      <c r="R26" s="24" t="s">
        <v>163</v>
      </c>
    </row>
    <row r="27" ht="15.75" customHeight="1">
      <c r="A27" s="20"/>
      <c r="B27" s="21"/>
      <c r="C27" s="178">
        <v>3.0</v>
      </c>
      <c r="D27" s="50" t="s">
        <v>190</v>
      </c>
      <c r="E27" s="24">
        <v>28.6</v>
      </c>
      <c r="F27" s="24">
        <v>26.1</v>
      </c>
      <c r="G27" s="215" t="s">
        <v>26</v>
      </c>
      <c r="H27" s="215" t="s">
        <v>26</v>
      </c>
      <c r="I27" s="215" t="s">
        <v>26</v>
      </c>
      <c r="J27" s="215" t="s">
        <v>26</v>
      </c>
      <c r="K27" s="215" t="s">
        <v>26</v>
      </c>
      <c r="L27" s="24">
        <v>30.1</v>
      </c>
      <c r="M27" s="24">
        <v>28.1</v>
      </c>
      <c r="N27" s="85">
        <v>28.4</v>
      </c>
      <c r="O27" s="24">
        <v>28.03</v>
      </c>
      <c r="P27" s="24">
        <v>27.1</v>
      </c>
      <c r="Q27" s="192">
        <f t="shared" si="1"/>
        <v>28.06142857</v>
      </c>
      <c r="R27" s="24" t="s">
        <v>163</v>
      </c>
    </row>
    <row r="28" ht="15.75" customHeight="1">
      <c r="A28" s="20"/>
      <c r="B28" s="21"/>
      <c r="C28" s="178">
        <v>4.0</v>
      </c>
      <c r="D28" s="50" t="s">
        <v>192</v>
      </c>
      <c r="E28" s="24">
        <v>28.23</v>
      </c>
      <c r="F28" s="24">
        <v>26.4</v>
      </c>
      <c r="G28" s="215" t="s">
        <v>26</v>
      </c>
      <c r="H28" s="215" t="s">
        <v>26</v>
      </c>
      <c r="I28" s="215" t="s">
        <v>26</v>
      </c>
      <c r="J28" s="215" t="s">
        <v>26</v>
      </c>
      <c r="K28" s="215" t="s">
        <v>26</v>
      </c>
      <c r="L28" s="24">
        <v>31.2</v>
      </c>
      <c r="M28" s="24">
        <v>28.6</v>
      </c>
      <c r="N28" s="85">
        <v>28.8</v>
      </c>
      <c r="O28" s="24">
        <v>29.8</v>
      </c>
      <c r="P28" s="24">
        <v>28.7</v>
      </c>
      <c r="Q28" s="192">
        <f t="shared" si="1"/>
        <v>28.81857143</v>
      </c>
      <c r="R28" s="24" t="s">
        <v>163</v>
      </c>
    </row>
    <row r="29" ht="15.75" customHeight="1">
      <c r="A29" s="20"/>
      <c r="B29" s="21"/>
      <c r="C29" s="178">
        <v>5.0</v>
      </c>
      <c r="D29" s="50" t="s">
        <v>193</v>
      </c>
      <c r="E29" s="24">
        <v>28.6</v>
      </c>
      <c r="F29" s="24">
        <v>26.2</v>
      </c>
      <c r="G29" s="215" t="s">
        <v>26</v>
      </c>
      <c r="H29" s="215" t="s">
        <v>26</v>
      </c>
      <c r="I29" s="215" t="s">
        <v>26</v>
      </c>
      <c r="J29" s="215" t="s">
        <v>26</v>
      </c>
      <c r="K29" s="215" t="s">
        <v>26</v>
      </c>
      <c r="L29" s="24">
        <v>31.0</v>
      </c>
      <c r="M29" s="24">
        <v>28.1</v>
      </c>
      <c r="N29" s="85">
        <v>29.2</v>
      </c>
      <c r="O29" s="24">
        <v>29.8</v>
      </c>
      <c r="P29" s="24">
        <v>30.8</v>
      </c>
      <c r="Q29" s="192">
        <f t="shared" si="1"/>
        <v>29.1</v>
      </c>
      <c r="R29" s="24" t="s">
        <v>163</v>
      </c>
    </row>
    <row r="30" ht="15.75" customHeight="1">
      <c r="A30" s="20"/>
      <c r="B30" s="26"/>
      <c r="C30" s="178">
        <v>6.0</v>
      </c>
      <c r="D30" s="50" t="s">
        <v>194</v>
      </c>
      <c r="E30" s="24">
        <v>27.6</v>
      </c>
      <c r="F30" s="24">
        <v>25.93</v>
      </c>
      <c r="G30" s="215" t="s">
        <v>26</v>
      </c>
      <c r="H30" s="215" t="s">
        <v>26</v>
      </c>
      <c r="I30" s="215" t="s">
        <v>26</v>
      </c>
      <c r="J30" s="215" t="s">
        <v>26</v>
      </c>
      <c r="K30" s="215" t="s">
        <v>26</v>
      </c>
      <c r="L30" s="24">
        <v>31.3</v>
      </c>
      <c r="M30" s="24">
        <v>28.58</v>
      </c>
      <c r="N30" s="85">
        <v>29.8</v>
      </c>
      <c r="O30" s="24">
        <v>30.0</v>
      </c>
      <c r="P30" s="24">
        <v>29.1</v>
      </c>
      <c r="Q30" s="192">
        <f t="shared" si="1"/>
        <v>28.90142857</v>
      </c>
      <c r="R30" s="24" t="s">
        <v>163</v>
      </c>
    </row>
    <row r="31" ht="15.75" customHeight="1">
      <c r="A31" s="20"/>
      <c r="B31" s="15" t="s">
        <v>37</v>
      </c>
      <c r="C31" s="16">
        <v>1.0</v>
      </c>
      <c r="D31" s="47" t="s">
        <v>188</v>
      </c>
      <c r="E31" s="120">
        <v>5.0</v>
      </c>
      <c r="F31" s="120">
        <v>15.0</v>
      </c>
      <c r="G31" s="83" t="s">
        <v>26</v>
      </c>
      <c r="H31" s="83" t="s">
        <v>26</v>
      </c>
      <c r="I31" s="83" t="s">
        <v>26</v>
      </c>
      <c r="J31" s="83" t="s">
        <v>26</v>
      </c>
      <c r="K31" s="83" t="s">
        <v>26</v>
      </c>
      <c r="L31" s="83">
        <v>10.0</v>
      </c>
      <c r="M31" s="83">
        <v>5.0</v>
      </c>
      <c r="N31" s="83">
        <v>15.0</v>
      </c>
      <c r="O31" s="120">
        <v>30.0</v>
      </c>
      <c r="P31" s="120">
        <v>15.0</v>
      </c>
      <c r="Q31" s="194">
        <f t="shared" si="1"/>
        <v>13.57142857</v>
      </c>
      <c r="R31" s="27">
        <v>50.0</v>
      </c>
    </row>
    <row r="32" ht="15.75" customHeight="1">
      <c r="A32" s="20"/>
      <c r="B32" s="21"/>
      <c r="C32" s="178">
        <v>2.0</v>
      </c>
      <c r="D32" s="50" t="s">
        <v>189</v>
      </c>
      <c r="E32" s="85">
        <v>10.0</v>
      </c>
      <c r="F32" s="85">
        <v>5.0</v>
      </c>
      <c r="G32" s="215" t="s">
        <v>26</v>
      </c>
      <c r="H32" s="215" t="s">
        <v>26</v>
      </c>
      <c r="I32" s="215" t="s">
        <v>26</v>
      </c>
      <c r="J32" s="215" t="s">
        <v>26</v>
      </c>
      <c r="K32" s="215" t="s">
        <v>26</v>
      </c>
      <c r="L32" s="215">
        <v>10.0</v>
      </c>
      <c r="M32" s="85">
        <v>5.0</v>
      </c>
      <c r="N32" s="85">
        <v>15.0</v>
      </c>
      <c r="O32" s="85">
        <v>30.0</v>
      </c>
      <c r="P32" s="85">
        <v>15.0</v>
      </c>
      <c r="Q32" s="195">
        <f t="shared" si="1"/>
        <v>12.85714286</v>
      </c>
      <c r="R32" s="29">
        <v>50.0</v>
      </c>
    </row>
    <row r="33" ht="15.75" customHeight="1">
      <c r="A33" s="20"/>
      <c r="B33" s="21"/>
      <c r="C33" s="178">
        <v>3.0</v>
      </c>
      <c r="D33" s="50" t="s">
        <v>190</v>
      </c>
      <c r="E33" s="85">
        <v>5.0</v>
      </c>
      <c r="F33" s="85">
        <v>10.0</v>
      </c>
      <c r="G33" s="215" t="s">
        <v>26</v>
      </c>
      <c r="H33" s="215" t="s">
        <v>26</v>
      </c>
      <c r="I33" s="215" t="s">
        <v>26</v>
      </c>
      <c r="J33" s="215" t="s">
        <v>26</v>
      </c>
      <c r="K33" s="215" t="s">
        <v>26</v>
      </c>
      <c r="L33" s="215">
        <v>25.0</v>
      </c>
      <c r="M33" s="85">
        <v>10.0</v>
      </c>
      <c r="N33" s="85">
        <v>25.0</v>
      </c>
      <c r="O33" s="85">
        <v>25.0</v>
      </c>
      <c r="P33" s="85">
        <v>5.0</v>
      </c>
      <c r="Q33" s="195">
        <f t="shared" si="1"/>
        <v>15</v>
      </c>
      <c r="R33" s="29">
        <v>50.0</v>
      </c>
    </row>
    <row r="34" ht="15.75" customHeight="1">
      <c r="A34" s="20"/>
      <c r="B34" s="21"/>
      <c r="C34" s="178">
        <v>4.0</v>
      </c>
      <c r="D34" s="50" t="s">
        <v>192</v>
      </c>
      <c r="E34" s="85">
        <v>5.0</v>
      </c>
      <c r="F34" s="85">
        <v>5.0</v>
      </c>
      <c r="G34" s="215" t="s">
        <v>26</v>
      </c>
      <c r="H34" s="215" t="s">
        <v>26</v>
      </c>
      <c r="I34" s="215" t="s">
        <v>26</v>
      </c>
      <c r="J34" s="215" t="s">
        <v>26</v>
      </c>
      <c r="K34" s="215" t="s">
        <v>26</v>
      </c>
      <c r="L34" s="215">
        <v>10.0</v>
      </c>
      <c r="M34" s="85">
        <v>5.0</v>
      </c>
      <c r="N34" s="85">
        <v>25.0</v>
      </c>
      <c r="O34" s="85">
        <v>30.0</v>
      </c>
      <c r="P34" s="85">
        <v>10.0</v>
      </c>
      <c r="Q34" s="195">
        <f t="shared" si="1"/>
        <v>12.85714286</v>
      </c>
      <c r="R34" s="29">
        <v>50.0</v>
      </c>
    </row>
    <row r="35" ht="15.75" customHeight="1">
      <c r="A35" s="20"/>
      <c r="B35" s="21"/>
      <c r="C35" s="178">
        <v>5.0</v>
      </c>
      <c r="D35" s="50" t="s">
        <v>193</v>
      </c>
      <c r="E35" s="85">
        <v>5.0</v>
      </c>
      <c r="F35" s="85">
        <v>10.0</v>
      </c>
      <c r="G35" s="215" t="s">
        <v>26</v>
      </c>
      <c r="H35" s="215" t="s">
        <v>26</v>
      </c>
      <c r="I35" s="215" t="s">
        <v>26</v>
      </c>
      <c r="J35" s="215" t="s">
        <v>26</v>
      </c>
      <c r="K35" s="215" t="s">
        <v>26</v>
      </c>
      <c r="L35" s="215">
        <v>10.0</v>
      </c>
      <c r="M35" s="85">
        <v>5.0</v>
      </c>
      <c r="N35" s="85">
        <v>10.0</v>
      </c>
      <c r="O35" s="85">
        <v>10.0</v>
      </c>
      <c r="P35" s="85">
        <v>10.0</v>
      </c>
      <c r="Q35" s="195">
        <f t="shared" si="1"/>
        <v>8.571428571</v>
      </c>
      <c r="R35" s="29">
        <v>50.0</v>
      </c>
    </row>
    <row r="36" ht="15.75" customHeight="1">
      <c r="A36" s="20"/>
      <c r="B36" s="26"/>
      <c r="C36" s="178">
        <v>6.0</v>
      </c>
      <c r="D36" s="50" t="s">
        <v>194</v>
      </c>
      <c r="E36" s="85">
        <v>5.0</v>
      </c>
      <c r="F36" s="85">
        <v>5.0</v>
      </c>
      <c r="G36" s="215" t="s">
        <v>26</v>
      </c>
      <c r="H36" s="215" t="s">
        <v>26</v>
      </c>
      <c r="I36" s="215" t="s">
        <v>26</v>
      </c>
      <c r="J36" s="215" t="s">
        <v>26</v>
      </c>
      <c r="K36" s="215" t="s">
        <v>26</v>
      </c>
      <c r="L36" s="215">
        <v>10.0</v>
      </c>
      <c r="M36" s="85">
        <v>5.0</v>
      </c>
      <c r="N36" s="85">
        <v>10.0</v>
      </c>
      <c r="O36" s="85">
        <v>15.0</v>
      </c>
      <c r="P36" s="85">
        <v>10.0</v>
      </c>
      <c r="Q36" s="195">
        <f t="shared" si="1"/>
        <v>8.571428571</v>
      </c>
      <c r="R36" s="29">
        <v>50.0</v>
      </c>
    </row>
    <row r="37" ht="15.75" customHeight="1">
      <c r="A37" s="20"/>
      <c r="B37" s="15" t="s">
        <v>38</v>
      </c>
      <c r="C37" s="16">
        <v>1.0</v>
      </c>
      <c r="D37" s="47" t="s">
        <v>188</v>
      </c>
      <c r="E37" s="32">
        <v>490.0</v>
      </c>
      <c r="F37" s="120">
        <v>49.0</v>
      </c>
      <c r="G37" s="83" t="s">
        <v>26</v>
      </c>
      <c r="H37" s="83" t="s">
        <v>26</v>
      </c>
      <c r="I37" s="83" t="s">
        <v>26</v>
      </c>
      <c r="J37" s="83" t="s">
        <v>26</v>
      </c>
      <c r="K37" s="83" t="s">
        <v>26</v>
      </c>
      <c r="L37" s="120">
        <v>170.0</v>
      </c>
      <c r="M37" s="83">
        <v>49.0</v>
      </c>
      <c r="N37" s="83">
        <v>27.0</v>
      </c>
      <c r="O37" s="31">
        <v>9200.0</v>
      </c>
      <c r="P37" s="31">
        <v>49.0</v>
      </c>
      <c r="Q37" s="196">
        <f t="shared" ref="Q37:Q42" si="2">GEOMEAN(E37,F37,G37,H37,I37,J37,K37,L37,M37,N37,O37,P37)</f>
        <v>157.7810988</v>
      </c>
      <c r="R37" s="17">
        <v>100.0</v>
      </c>
      <c r="S37" s="217">
        <f>geomean(Q37:Q42)</f>
        <v>545.0852107</v>
      </c>
    </row>
    <row r="38" ht="15.75" customHeight="1">
      <c r="A38" s="20"/>
      <c r="B38" s="21"/>
      <c r="C38" s="178">
        <v>2.0</v>
      </c>
      <c r="D38" s="50" t="s">
        <v>189</v>
      </c>
      <c r="E38" s="36">
        <v>790.0</v>
      </c>
      <c r="F38" s="85">
        <v>170.0</v>
      </c>
      <c r="G38" s="215" t="s">
        <v>26</v>
      </c>
      <c r="H38" s="215" t="s">
        <v>26</v>
      </c>
      <c r="I38" s="215" t="s">
        <v>26</v>
      </c>
      <c r="J38" s="215" t="s">
        <v>26</v>
      </c>
      <c r="K38" s="215" t="s">
        <v>26</v>
      </c>
      <c r="L38" s="85">
        <v>920.0</v>
      </c>
      <c r="M38" s="35">
        <v>3500.0</v>
      </c>
      <c r="N38" s="85">
        <v>350.0</v>
      </c>
      <c r="O38" s="35">
        <v>5400.0</v>
      </c>
      <c r="P38" s="35">
        <v>1700.0</v>
      </c>
      <c r="Q38" s="197">
        <f t="shared" si="2"/>
        <v>1048.108124</v>
      </c>
      <c r="R38" s="23">
        <v>100.0</v>
      </c>
    </row>
    <row r="39" ht="15.75" customHeight="1">
      <c r="A39" s="20"/>
      <c r="B39" s="21"/>
      <c r="C39" s="178">
        <v>3.0</v>
      </c>
      <c r="D39" s="50" t="s">
        <v>190</v>
      </c>
      <c r="E39" s="36">
        <v>490.0</v>
      </c>
      <c r="F39" s="35">
        <v>5400.0</v>
      </c>
      <c r="G39" s="215" t="s">
        <v>26</v>
      </c>
      <c r="H39" s="215" t="s">
        <v>26</v>
      </c>
      <c r="I39" s="215" t="s">
        <v>26</v>
      </c>
      <c r="J39" s="215" t="s">
        <v>26</v>
      </c>
      <c r="K39" s="215" t="s">
        <v>26</v>
      </c>
      <c r="L39" s="35">
        <v>5400.0</v>
      </c>
      <c r="M39" s="35">
        <v>1600.0</v>
      </c>
      <c r="N39" s="35">
        <v>9200.0</v>
      </c>
      <c r="O39" s="35">
        <v>5400.0</v>
      </c>
      <c r="P39" s="35">
        <v>16000.0</v>
      </c>
      <c r="Q39" s="197">
        <f t="shared" si="2"/>
        <v>4059.629973</v>
      </c>
      <c r="R39" s="23">
        <v>100.0</v>
      </c>
    </row>
    <row r="40" ht="15.75" customHeight="1">
      <c r="A40" s="20"/>
      <c r="B40" s="21"/>
      <c r="C40" s="178">
        <v>4.0</v>
      </c>
      <c r="D40" s="50" t="s">
        <v>192</v>
      </c>
      <c r="E40" s="36">
        <v>1300.0</v>
      </c>
      <c r="F40" s="85">
        <v>49.0</v>
      </c>
      <c r="G40" s="215" t="s">
        <v>26</v>
      </c>
      <c r="H40" s="215" t="s">
        <v>26</v>
      </c>
      <c r="I40" s="215" t="s">
        <v>26</v>
      </c>
      <c r="J40" s="215" t="s">
        <v>26</v>
      </c>
      <c r="K40" s="215" t="s">
        <v>26</v>
      </c>
      <c r="L40" s="35">
        <v>5400.0</v>
      </c>
      <c r="M40" s="85">
        <v>540.0</v>
      </c>
      <c r="N40" s="35">
        <v>1100.0</v>
      </c>
      <c r="O40" s="35">
        <v>5400.0</v>
      </c>
      <c r="P40" s="35">
        <v>3500.0</v>
      </c>
      <c r="Q40" s="197">
        <f t="shared" si="2"/>
        <v>1212.902581</v>
      </c>
      <c r="R40" s="23">
        <v>100.0</v>
      </c>
    </row>
    <row r="41" ht="15.75" customHeight="1">
      <c r="A41" s="20"/>
      <c r="B41" s="21"/>
      <c r="C41" s="178">
        <v>5.0</v>
      </c>
      <c r="D41" s="50" t="s">
        <v>193</v>
      </c>
      <c r="E41" s="36">
        <v>790.0</v>
      </c>
      <c r="F41" s="85">
        <v>23.0</v>
      </c>
      <c r="G41" s="215" t="s">
        <v>26</v>
      </c>
      <c r="H41" s="215" t="s">
        <v>26</v>
      </c>
      <c r="I41" s="215" t="s">
        <v>26</v>
      </c>
      <c r="J41" s="215" t="s">
        <v>26</v>
      </c>
      <c r="K41" s="215" t="s">
        <v>26</v>
      </c>
      <c r="L41" s="35">
        <v>310.0</v>
      </c>
      <c r="M41" s="85">
        <v>350.0</v>
      </c>
      <c r="N41" s="85">
        <v>14.0</v>
      </c>
      <c r="O41" s="85">
        <v>33.0</v>
      </c>
      <c r="P41" s="85">
        <v>49.0</v>
      </c>
      <c r="Q41" s="197">
        <f t="shared" si="2"/>
        <v>89.11403386</v>
      </c>
      <c r="R41" s="23">
        <v>100.0</v>
      </c>
    </row>
    <row r="42" ht="15.75" customHeight="1">
      <c r="A42" s="20"/>
      <c r="B42" s="26"/>
      <c r="C42" s="178">
        <v>6.0</v>
      </c>
      <c r="D42" s="50" t="s">
        <v>194</v>
      </c>
      <c r="E42" s="36">
        <v>2400.0</v>
      </c>
      <c r="F42" s="85">
        <v>23.0</v>
      </c>
      <c r="G42" s="215" t="s">
        <v>26</v>
      </c>
      <c r="H42" s="215" t="s">
        <v>26</v>
      </c>
      <c r="I42" s="215" t="s">
        <v>26</v>
      </c>
      <c r="J42" s="215" t="s">
        <v>26</v>
      </c>
      <c r="K42" s="215" t="s">
        <v>26</v>
      </c>
      <c r="L42" s="85">
        <v>540.0</v>
      </c>
      <c r="M42" s="85">
        <v>920.0</v>
      </c>
      <c r="N42" s="85">
        <v>350.0</v>
      </c>
      <c r="O42" s="85">
        <v>350.0</v>
      </c>
      <c r="P42" s="85">
        <v>240.0</v>
      </c>
      <c r="Q42" s="197">
        <f t="shared" si="2"/>
        <v>361.4655033</v>
      </c>
      <c r="R42" s="23">
        <v>100.0</v>
      </c>
    </row>
    <row r="43" ht="15.75" customHeight="1">
      <c r="A43" s="20"/>
      <c r="B43" s="15" t="s">
        <v>196</v>
      </c>
      <c r="C43" s="16">
        <v>1.0</v>
      </c>
      <c r="D43" s="47" t="s">
        <v>188</v>
      </c>
      <c r="E43" s="120">
        <v>0.247</v>
      </c>
      <c r="F43" s="120">
        <v>0.457</v>
      </c>
      <c r="G43" s="83" t="s">
        <v>26</v>
      </c>
      <c r="H43" s="83" t="s">
        <v>26</v>
      </c>
      <c r="I43" s="83" t="s">
        <v>26</v>
      </c>
      <c r="J43" s="83" t="s">
        <v>26</v>
      </c>
      <c r="K43" s="83" t="s">
        <v>26</v>
      </c>
      <c r="L43" s="83">
        <v>0.108</v>
      </c>
      <c r="M43" s="83" t="s">
        <v>40</v>
      </c>
      <c r="N43" s="83" t="s">
        <v>40</v>
      </c>
      <c r="O43" s="120">
        <v>0.091</v>
      </c>
      <c r="P43" s="120">
        <v>0.121</v>
      </c>
      <c r="Q43" s="198">
        <f t="shared" ref="Q43:Q48" si="3">AVERAGE(E43,F43,G43,H43,I43,J43,K43,L43,0.045,N43,O43,P43)</f>
        <v>0.1781666667</v>
      </c>
      <c r="R43" s="17">
        <v>10.0</v>
      </c>
    </row>
    <row r="44" ht="15.75" customHeight="1">
      <c r="A44" s="20"/>
      <c r="B44" s="21"/>
      <c r="C44" s="178">
        <v>2.0</v>
      </c>
      <c r="D44" s="50" t="s">
        <v>189</v>
      </c>
      <c r="E44" s="85">
        <v>0.121</v>
      </c>
      <c r="F44" s="85">
        <v>0.121</v>
      </c>
      <c r="G44" s="215" t="s">
        <v>26</v>
      </c>
      <c r="H44" s="215" t="s">
        <v>26</v>
      </c>
      <c r="I44" s="215" t="s">
        <v>26</v>
      </c>
      <c r="J44" s="215" t="s">
        <v>26</v>
      </c>
      <c r="K44" s="215" t="s">
        <v>26</v>
      </c>
      <c r="L44" s="215">
        <v>0.135</v>
      </c>
      <c r="M44" s="85" t="s">
        <v>40</v>
      </c>
      <c r="N44" s="85" t="s">
        <v>40</v>
      </c>
      <c r="O44" s="85">
        <v>0.318</v>
      </c>
      <c r="P44" s="85">
        <v>0.098</v>
      </c>
      <c r="Q44" s="200">
        <f t="shared" si="3"/>
        <v>0.1396666667</v>
      </c>
      <c r="R44" s="23">
        <v>10.0</v>
      </c>
    </row>
    <row r="45" ht="15.75" customHeight="1">
      <c r="A45" s="20"/>
      <c r="B45" s="21"/>
      <c r="C45" s="178">
        <v>3.0</v>
      </c>
      <c r="D45" s="50" t="s">
        <v>190</v>
      </c>
      <c r="E45" s="85">
        <v>0.183</v>
      </c>
      <c r="F45" s="85">
        <v>0.777</v>
      </c>
      <c r="G45" s="215" t="s">
        <v>26</v>
      </c>
      <c r="H45" s="215" t="s">
        <v>26</v>
      </c>
      <c r="I45" s="215" t="s">
        <v>26</v>
      </c>
      <c r="J45" s="215" t="s">
        <v>26</v>
      </c>
      <c r="K45" s="215" t="s">
        <v>26</v>
      </c>
      <c r="L45" s="215">
        <v>0.138</v>
      </c>
      <c r="M45" s="85" t="s">
        <v>40</v>
      </c>
      <c r="N45" s="85">
        <v>0.342</v>
      </c>
      <c r="O45" s="85">
        <v>1.546</v>
      </c>
      <c r="P45" s="85">
        <v>0.342</v>
      </c>
      <c r="Q45" s="200">
        <f t="shared" si="3"/>
        <v>0.4818571429</v>
      </c>
      <c r="R45" s="23">
        <v>10.0</v>
      </c>
    </row>
    <row r="46" ht="15.75" customHeight="1">
      <c r="A46" s="20"/>
      <c r="B46" s="21"/>
      <c r="C46" s="178">
        <v>4.0</v>
      </c>
      <c r="D46" s="50" t="s">
        <v>192</v>
      </c>
      <c r="E46" s="85">
        <v>0.211</v>
      </c>
      <c r="F46" s="85">
        <v>0.259</v>
      </c>
      <c r="G46" s="215" t="s">
        <v>26</v>
      </c>
      <c r="H46" s="215" t="s">
        <v>26</v>
      </c>
      <c r="I46" s="215" t="s">
        <v>26</v>
      </c>
      <c r="J46" s="215" t="s">
        <v>26</v>
      </c>
      <c r="K46" s="215" t="s">
        <v>26</v>
      </c>
      <c r="L46" s="215">
        <v>0.131</v>
      </c>
      <c r="M46" s="85" t="s">
        <v>40</v>
      </c>
      <c r="N46" s="85">
        <v>0.046</v>
      </c>
      <c r="O46" s="85">
        <v>0.607</v>
      </c>
      <c r="P46" s="85" t="s">
        <v>40</v>
      </c>
      <c r="Q46" s="200">
        <f t="shared" si="3"/>
        <v>0.2165</v>
      </c>
      <c r="R46" s="23">
        <v>10.0</v>
      </c>
    </row>
    <row r="47" ht="15.75" customHeight="1">
      <c r="A47" s="20"/>
      <c r="B47" s="21"/>
      <c r="C47" s="178">
        <v>5.0</v>
      </c>
      <c r="D47" s="50" t="s">
        <v>193</v>
      </c>
      <c r="E47" s="85">
        <v>0.228</v>
      </c>
      <c r="F47" s="85">
        <v>0.302</v>
      </c>
      <c r="G47" s="215" t="s">
        <v>26</v>
      </c>
      <c r="H47" s="215" t="s">
        <v>26</v>
      </c>
      <c r="I47" s="215" t="s">
        <v>26</v>
      </c>
      <c r="J47" s="215" t="s">
        <v>26</v>
      </c>
      <c r="K47" s="215" t="s">
        <v>26</v>
      </c>
      <c r="L47" s="215">
        <v>0.072</v>
      </c>
      <c r="M47" s="85" t="s">
        <v>40</v>
      </c>
      <c r="N47" s="85" t="s">
        <v>40</v>
      </c>
      <c r="O47" s="85">
        <v>0.194</v>
      </c>
      <c r="P47" s="85" t="s">
        <v>40</v>
      </c>
      <c r="Q47" s="200">
        <f t="shared" si="3"/>
        <v>0.1682</v>
      </c>
      <c r="R47" s="23">
        <v>10.0</v>
      </c>
    </row>
    <row r="48" ht="15.75" customHeight="1">
      <c r="A48" s="20"/>
      <c r="B48" s="26"/>
      <c r="C48" s="178">
        <v>6.0</v>
      </c>
      <c r="D48" s="50" t="s">
        <v>194</v>
      </c>
      <c r="E48" s="85">
        <v>0.192</v>
      </c>
      <c r="F48" s="85">
        <v>0.261</v>
      </c>
      <c r="G48" s="215" t="s">
        <v>26</v>
      </c>
      <c r="H48" s="215" t="s">
        <v>26</v>
      </c>
      <c r="I48" s="215" t="s">
        <v>26</v>
      </c>
      <c r="J48" s="215" t="s">
        <v>26</v>
      </c>
      <c r="K48" s="215" t="s">
        <v>26</v>
      </c>
      <c r="L48" s="218">
        <v>0.08</v>
      </c>
      <c r="M48" s="85" t="s">
        <v>40</v>
      </c>
      <c r="N48" s="85" t="s">
        <v>40</v>
      </c>
      <c r="O48" s="41">
        <v>1.18</v>
      </c>
      <c r="P48" s="85">
        <v>0.114</v>
      </c>
      <c r="Q48" s="200">
        <f t="shared" si="3"/>
        <v>0.312</v>
      </c>
      <c r="R48" s="23">
        <v>10.0</v>
      </c>
    </row>
    <row r="49" ht="15.75" customHeight="1">
      <c r="A49" s="20"/>
      <c r="B49" s="15" t="s">
        <v>197</v>
      </c>
      <c r="C49" s="16">
        <v>1.0</v>
      </c>
      <c r="D49" s="47" t="s">
        <v>188</v>
      </c>
      <c r="E49" s="120">
        <v>0.318</v>
      </c>
      <c r="F49" s="39">
        <v>0.57</v>
      </c>
      <c r="G49" s="83" t="s">
        <v>26</v>
      </c>
      <c r="H49" s="83" t="s">
        <v>26</v>
      </c>
      <c r="I49" s="83" t="s">
        <v>26</v>
      </c>
      <c r="J49" s="83" t="s">
        <v>26</v>
      </c>
      <c r="K49" s="83" t="s">
        <v>26</v>
      </c>
      <c r="L49" s="39">
        <v>0.18</v>
      </c>
      <c r="M49" s="83">
        <v>0.182</v>
      </c>
      <c r="N49" s="83">
        <v>0.319</v>
      </c>
      <c r="O49" s="120">
        <v>0.284</v>
      </c>
      <c r="P49" s="120">
        <v>0.359</v>
      </c>
      <c r="Q49" s="198">
        <f t="shared" ref="Q49:Q54" si="4">AVERAGE(E49,F49,G49,H49,I49,J49,K49,L49,M49,N49,O49,P49)</f>
        <v>0.316</v>
      </c>
      <c r="R49" s="17">
        <v>0.5</v>
      </c>
    </row>
    <row r="50" ht="15.75" customHeight="1">
      <c r="A50" s="20"/>
      <c r="B50" s="21"/>
      <c r="C50" s="178">
        <v>2.0</v>
      </c>
      <c r="D50" s="50" t="s">
        <v>189</v>
      </c>
      <c r="E50" s="85">
        <v>0.191</v>
      </c>
      <c r="F50" s="85">
        <v>0.181</v>
      </c>
      <c r="G50" s="215" t="s">
        <v>26</v>
      </c>
      <c r="H50" s="215" t="s">
        <v>26</v>
      </c>
      <c r="I50" s="215" t="s">
        <v>26</v>
      </c>
      <c r="J50" s="215" t="s">
        <v>26</v>
      </c>
      <c r="K50" s="215" t="s">
        <v>26</v>
      </c>
      <c r="L50" s="41">
        <v>0.135</v>
      </c>
      <c r="M50" s="85">
        <v>0.307</v>
      </c>
      <c r="N50" s="85">
        <v>0.171</v>
      </c>
      <c r="O50" s="85">
        <v>0.197</v>
      </c>
      <c r="P50" s="85">
        <v>0.236</v>
      </c>
      <c r="Q50" s="200">
        <f t="shared" si="4"/>
        <v>0.2025714286</v>
      </c>
      <c r="R50" s="23">
        <v>0.5</v>
      </c>
    </row>
    <row r="51" ht="15.75" customHeight="1">
      <c r="A51" s="20"/>
      <c r="B51" s="21"/>
      <c r="C51" s="178">
        <v>3.0</v>
      </c>
      <c r="D51" s="50" t="s">
        <v>190</v>
      </c>
      <c r="E51" s="85">
        <v>0.185</v>
      </c>
      <c r="F51" s="85">
        <v>0.263</v>
      </c>
      <c r="G51" s="215" t="s">
        <v>26</v>
      </c>
      <c r="H51" s="215" t="s">
        <v>26</v>
      </c>
      <c r="I51" s="215" t="s">
        <v>26</v>
      </c>
      <c r="J51" s="215" t="s">
        <v>26</v>
      </c>
      <c r="K51" s="215" t="s">
        <v>26</v>
      </c>
      <c r="L51" s="41">
        <v>0.138</v>
      </c>
      <c r="M51" s="85">
        <v>0.185</v>
      </c>
      <c r="N51" s="85">
        <v>0.179</v>
      </c>
      <c r="O51" s="85">
        <v>0.328</v>
      </c>
      <c r="P51" s="85">
        <v>0.136</v>
      </c>
      <c r="Q51" s="200">
        <f t="shared" si="4"/>
        <v>0.202</v>
      </c>
      <c r="R51" s="23">
        <v>0.5</v>
      </c>
    </row>
    <row r="52" ht="15.75" customHeight="1">
      <c r="A52" s="20"/>
      <c r="B52" s="21"/>
      <c r="C52" s="178">
        <v>4.0</v>
      </c>
      <c r="D52" s="50" t="s">
        <v>192</v>
      </c>
      <c r="E52" s="85">
        <v>0.223</v>
      </c>
      <c r="F52" s="85">
        <v>0.207</v>
      </c>
      <c r="G52" s="215" t="s">
        <v>26</v>
      </c>
      <c r="H52" s="215" t="s">
        <v>26</v>
      </c>
      <c r="I52" s="215" t="s">
        <v>26</v>
      </c>
      <c r="J52" s="215" t="s">
        <v>26</v>
      </c>
      <c r="K52" s="215" t="s">
        <v>26</v>
      </c>
      <c r="L52" s="41">
        <v>0.131</v>
      </c>
      <c r="M52" s="85">
        <v>0.177</v>
      </c>
      <c r="N52" s="85">
        <v>0.185</v>
      </c>
      <c r="O52" s="85">
        <v>0.152</v>
      </c>
      <c r="P52" s="85">
        <v>0.137</v>
      </c>
      <c r="Q52" s="200">
        <f t="shared" si="4"/>
        <v>0.1731428571</v>
      </c>
      <c r="R52" s="23">
        <v>0.5</v>
      </c>
    </row>
    <row r="53" ht="15.75" customHeight="1">
      <c r="A53" s="20"/>
      <c r="B53" s="21"/>
      <c r="C53" s="178">
        <v>5.0</v>
      </c>
      <c r="D53" s="50" t="s">
        <v>193</v>
      </c>
      <c r="E53" s="41">
        <v>0.28</v>
      </c>
      <c r="F53" s="85">
        <v>0.394</v>
      </c>
      <c r="G53" s="215" t="s">
        <v>26</v>
      </c>
      <c r="H53" s="215" t="s">
        <v>26</v>
      </c>
      <c r="I53" s="215" t="s">
        <v>26</v>
      </c>
      <c r="J53" s="215" t="s">
        <v>26</v>
      </c>
      <c r="K53" s="215" t="s">
        <v>26</v>
      </c>
      <c r="L53" s="41">
        <v>0.072</v>
      </c>
      <c r="M53" s="85">
        <v>0.211</v>
      </c>
      <c r="N53" s="85">
        <v>0.213</v>
      </c>
      <c r="O53" s="85">
        <v>0.078</v>
      </c>
      <c r="P53" s="85">
        <v>0.168</v>
      </c>
      <c r="Q53" s="200">
        <f t="shared" si="4"/>
        <v>0.2022857143</v>
      </c>
      <c r="R53" s="23">
        <v>0.5</v>
      </c>
    </row>
    <row r="54" ht="15.75" customHeight="1">
      <c r="A54" s="20"/>
      <c r="B54" s="26"/>
      <c r="C54" s="178">
        <v>6.0</v>
      </c>
      <c r="D54" s="50" t="s">
        <v>194</v>
      </c>
      <c r="E54" s="85">
        <v>0.208</v>
      </c>
      <c r="F54" s="85">
        <v>0.125</v>
      </c>
      <c r="G54" s="215" t="s">
        <v>26</v>
      </c>
      <c r="H54" s="215" t="s">
        <v>26</v>
      </c>
      <c r="I54" s="215" t="s">
        <v>26</v>
      </c>
      <c r="J54" s="215" t="s">
        <v>26</v>
      </c>
      <c r="K54" s="215" t="s">
        <v>26</v>
      </c>
      <c r="L54" s="41">
        <v>0.08</v>
      </c>
      <c r="M54" s="41">
        <v>0.22</v>
      </c>
      <c r="N54" s="85">
        <v>0.172</v>
      </c>
      <c r="O54" s="85">
        <v>0.137</v>
      </c>
      <c r="P54" s="85">
        <v>1.196</v>
      </c>
      <c r="Q54" s="200">
        <f t="shared" si="4"/>
        <v>0.3054285714</v>
      </c>
      <c r="R54" s="23">
        <v>0.5</v>
      </c>
    </row>
    <row r="55" ht="15.75" customHeight="1">
      <c r="Q55" s="219">
        <f>GEOMEAN(Q37:Q42)</f>
        <v>545.0852107</v>
      </c>
    </row>
    <row r="56" ht="15.75" customHeight="1">
      <c r="A56" s="44" t="s">
        <v>43</v>
      </c>
    </row>
    <row r="57" ht="15.75" customHeight="1"/>
    <row r="58" ht="15.75" customHeight="1">
      <c r="A58" s="186"/>
      <c r="D58" s="72"/>
    </row>
    <row r="59" ht="15.75" customHeight="1">
      <c r="A59" s="7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9:B24"/>
    <mergeCell ref="B25:B30"/>
    <mergeCell ref="B31:B36"/>
    <mergeCell ref="B37:B42"/>
    <mergeCell ref="B43:B48"/>
    <mergeCell ref="B49:B54"/>
    <mergeCell ref="A56:C57"/>
    <mergeCell ref="A58:C58"/>
    <mergeCell ref="A1:R1"/>
    <mergeCell ref="A2:R2"/>
    <mergeCell ref="A3:R3"/>
    <mergeCell ref="A5:R5"/>
    <mergeCell ref="A6:R6"/>
    <mergeCell ref="B7:B12"/>
    <mergeCell ref="B13:B18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8.71"/>
    <col customWidth="1" min="4" max="4" width="21.29"/>
    <col customWidth="1" min="5" max="11" width="10.71"/>
    <col customWidth="1" min="12" max="12" width="8.29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</row>
    <row r="5">
      <c r="A5" s="10" t="s">
        <v>198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157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0" t="s">
        <v>23</v>
      </c>
      <c r="B7" s="46" t="s">
        <v>24</v>
      </c>
      <c r="C7" s="81">
        <v>1.0</v>
      </c>
      <c r="D7" s="82" t="s">
        <v>199</v>
      </c>
      <c r="E7" s="83">
        <v>5.31</v>
      </c>
      <c r="F7" s="83">
        <v>3.01</v>
      </c>
      <c r="G7" s="84">
        <v>5.99</v>
      </c>
      <c r="H7" s="83" t="s">
        <v>26</v>
      </c>
      <c r="I7" s="83" t="s">
        <v>26</v>
      </c>
      <c r="J7" s="83" t="s">
        <v>26</v>
      </c>
      <c r="K7" s="83" t="s">
        <v>26</v>
      </c>
      <c r="L7" s="84">
        <v>1.27</v>
      </c>
      <c r="M7" s="84">
        <v>0.7</v>
      </c>
      <c r="N7" s="84">
        <v>1.17</v>
      </c>
      <c r="O7" s="83">
        <v>0.92</v>
      </c>
      <c r="P7" s="83">
        <v>2.13</v>
      </c>
      <c r="Q7" s="190">
        <f t="shared" ref="Q7:Q21" si="1">AVERAGE(E7,F7,G7,H7,I7,J7,K7,L7,M7,N7,O7,P7)</f>
        <v>2.5625</v>
      </c>
      <c r="R7" s="162">
        <v>6.0</v>
      </c>
    </row>
    <row r="8">
      <c r="A8" s="20"/>
      <c r="B8" s="21"/>
      <c r="C8" s="22">
        <v>2.0</v>
      </c>
      <c r="D8" s="50" t="s">
        <v>200</v>
      </c>
      <c r="E8" s="85">
        <v>5.93</v>
      </c>
      <c r="F8" s="85">
        <v>5.62</v>
      </c>
      <c r="G8" s="24">
        <v>6.35</v>
      </c>
      <c r="H8" s="215" t="s">
        <v>26</v>
      </c>
      <c r="I8" s="215" t="s">
        <v>26</v>
      </c>
      <c r="J8" s="215" t="s">
        <v>26</v>
      </c>
      <c r="K8" s="215" t="s">
        <v>26</v>
      </c>
      <c r="L8" s="24">
        <v>1.61</v>
      </c>
      <c r="M8" s="85">
        <v>0.36</v>
      </c>
      <c r="N8" s="85">
        <v>1.31</v>
      </c>
      <c r="O8" s="85">
        <v>0.07</v>
      </c>
      <c r="P8" s="85">
        <v>1.99</v>
      </c>
      <c r="Q8" s="192">
        <f t="shared" si="1"/>
        <v>2.905</v>
      </c>
      <c r="R8" s="23">
        <v>6.0</v>
      </c>
    </row>
    <row r="9">
      <c r="A9" s="20"/>
      <c r="B9" s="26"/>
      <c r="C9" s="22">
        <v>3.0</v>
      </c>
      <c r="D9" s="50" t="s">
        <v>201</v>
      </c>
      <c r="E9" s="24">
        <v>7.68</v>
      </c>
      <c r="F9" s="24">
        <v>6.05</v>
      </c>
      <c r="G9" s="24">
        <v>5.87</v>
      </c>
      <c r="H9" s="215" t="s">
        <v>26</v>
      </c>
      <c r="I9" s="215" t="s">
        <v>26</v>
      </c>
      <c r="J9" s="215" t="s">
        <v>26</v>
      </c>
      <c r="K9" s="215" t="s">
        <v>26</v>
      </c>
      <c r="L9" s="85">
        <v>1.89</v>
      </c>
      <c r="M9" s="85">
        <v>0.35</v>
      </c>
      <c r="N9" s="85">
        <v>1.43</v>
      </c>
      <c r="O9" s="85">
        <v>1.17</v>
      </c>
      <c r="P9" s="85">
        <v>1.68</v>
      </c>
      <c r="Q9" s="192">
        <f t="shared" si="1"/>
        <v>3.265</v>
      </c>
      <c r="R9" s="23">
        <v>6.0</v>
      </c>
    </row>
    <row r="10">
      <c r="A10" s="20"/>
      <c r="B10" s="15" t="s">
        <v>32</v>
      </c>
      <c r="C10" s="16">
        <v>1.0</v>
      </c>
      <c r="D10" s="47" t="s">
        <v>199</v>
      </c>
      <c r="E10" s="120">
        <v>67.0</v>
      </c>
      <c r="F10" s="120">
        <v>55.0</v>
      </c>
      <c r="G10" s="83">
        <v>245.0</v>
      </c>
      <c r="H10" s="83" t="s">
        <v>26</v>
      </c>
      <c r="I10" s="83" t="s">
        <v>26</v>
      </c>
      <c r="J10" s="83" t="s">
        <v>26</v>
      </c>
      <c r="K10" s="83" t="s">
        <v>26</v>
      </c>
      <c r="L10" s="83">
        <v>20.0</v>
      </c>
      <c r="M10" s="120">
        <v>35.0</v>
      </c>
      <c r="N10" s="120">
        <v>44.0</v>
      </c>
      <c r="O10" s="120">
        <v>81.0</v>
      </c>
      <c r="P10" s="120">
        <v>74.0</v>
      </c>
      <c r="Q10" s="194">
        <f t="shared" si="1"/>
        <v>77.625</v>
      </c>
      <c r="R10" s="17">
        <v>50.0</v>
      </c>
    </row>
    <row r="11">
      <c r="A11" s="20"/>
      <c r="B11" s="21"/>
      <c r="C11" s="22">
        <v>2.0</v>
      </c>
      <c r="D11" s="50" t="s">
        <v>200</v>
      </c>
      <c r="E11" s="85">
        <v>52.0</v>
      </c>
      <c r="F11" s="85">
        <v>74.0</v>
      </c>
      <c r="G11" s="215">
        <v>59.0</v>
      </c>
      <c r="H11" s="215" t="s">
        <v>26</v>
      </c>
      <c r="I11" s="215" t="s">
        <v>26</v>
      </c>
      <c r="J11" s="215" t="s">
        <v>26</v>
      </c>
      <c r="K11" s="215" t="s">
        <v>26</v>
      </c>
      <c r="L11" s="215">
        <v>24.0</v>
      </c>
      <c r="M11" s="85">
        <v>26.0</v>
      </c>
      <c r="N11" s="85">
        <v>19.0</v>
      </c>
      <c r="O11" s="85">
        <v>43.0</v>
      </c>
      <c r="P11" s="85">
        <v>31.0</v>
      </c>
      <c r="Q11" s="195">
        <f t="shared" si="1"/>
        <v>41</v>
      </c>
      <c r="R11" s="23">
        <v>50.0</v>
      </c>
    </row>
    <row r="12">
      <c r="A12" s="20"/>
      <c r="B12" s="26"/>
      <c r="C12" s="22">
        <v>3.0</v>
      </c>
      <c r="D12" s="50" t="s">
        <v>201</v>
      </c>
      <c r="E12" s="29">
        <v>42.0</v>
      </c>
      <c r="F12" s="29">
        <v>170.0</v>
      </c>
      <c r="G12" s="215">
        <v>170.0</v>
      </c>
      <c r="H12" s="215" t="s">
        <v>26</v>
      </c>
      <c r="I12" s="215" t="s">
        <v>26</v>
      </c>
      <c r="J12" s="215" t="s">
        <v>26</v>
      </c>
      <c r="K12" s="215" t="s">
        <v>26</v>
      </c>
      <c r="L12" s="215">
        <v>21.0</v>
      </c>
      <c r="M12" s="85">
        <v>70.0</v>
      </c>
      <c r="N12" s="85">
        <v>34.0</v>
      </c>
      <c r="O12" s="85">
        <v>39.0</v>
      </c>
      <c r="P12" s="85">
        <v>19.0</v>
      </c>
      <c r="Q12" s="195">
        <f t="shared" si="1"/>
        <v>70.625</v>
      </c>
      <c r="R12" s="23">
        <v>50.0</v>
      </c>
    </row>
    <row r="13">
      <c r="A13" s="20"/>
      <c r="B13" s="15" t="s">
        <v>33</v>
      </c>
      <c r="C13" s="16">
        <v>1.0</v>
      </c>
      <c r="D13" s="47" t="s">
        <v>199</v>
      </c>
      <c r="E13" s="120">
        <v>7.47</v>
      </c>
      <c r="F13" s="120">
        <v>7.34</v>
      </c>
      <c r="G13" s="204">
        <v>7.43</v>
      </c>
      <c r="H13" s="83" t="s">
        <v>26</v>
      </c>
      <c r="I13" s="83" t="s">
        <v>26</v>
      </c>
      <c r="J13" s="83" t="s">
        <v>26</v>
      </c>
      <c r="K13" s="83" t="s">
        <v>26</v>
      </c>
      <c r="L13" s="18">
        <v>7.78</v>
      </c>
      <c r="M13" s="120">
        <v>7.55</v>
      </c>
      <c r="N13" s="120">
        <v>7.55</v>
      </c>
      <c r="O13" s="120">
        <v>7.64</v>
      </c>
      <c r="P13" s="120">
        <v>7.77</v>
      </c>
      <c r="Q13" s="190">
        <f t="shared" si="1"/>
        <v>7.56625</v>
      </c>
      <c r="R13" s="59" t="s">
        <v>161</v>
      </c>
    </row>
    <row r="14">
      <c r="A14" s="20"/>
      <c r="B14" s="21"/>
      <c r="C14" s="22">
        <v>2.0</v>
      </c>
      <c r="D14" s="50" t="s">
        <v>200</v>
      </c>
      <c r="E14" s="85">
        <v>7.48</v>
      </c>
      <c r="F14" s="85">
        <v>7.53</v>
      </c>
      <c r="G14" s="205">
        <v>7.8</v>
      </c>
      <c r="H14" s="215" t="s">
        <v>26</v>
      </c>
      <c r="I14" s="215" t="s">
        <v>26</v>
      </c>
      <c r="J14" s="215" t="s">
        <v>26</v>
      </c>
      <c r="K14" s="215" t="s">
        <v>26</v>
      </c>
      <c r="L14" s="24">
        <v>7.62</v>
      </c>
      <c r="M14" s="85">
        <v>7.63</v>
      </c>
      <c r="N14" s="24">
        <v>7.55</v>
      </c>
      <c r="O14" s="85">
        <v>7.42</v>
      </c>
      <c r="P14" s="85">
        <v>7.57</v>
      </c>
      <c r="Q14" s="192">
        <f t="shared" si="1"/>
        <v>7.575</v>
      </c>
      <c r="R14" s="60" t="s">
        <v>161</v>
      </c>
    </row>
    <row r="15">
      <c r="A15" s="20"/>
      <c r="B15" s="26"/>
      <c r="C15" s="22">
        <v>3.0</v>
      </c>
      <c r="D15" s="50" t="s">
        <v>201</v>
      </c>
      <c r="E15" s="24">
        <v>7.44</v>
      </c>
      <c r="F15" s="24">
        <v>7.53</v>
      </c>
      <c r="G15" s="205">
        <v>7.63</v>
      </c>
      <c r="H15" s="215" t="s">
        <v>26</v>
      </c>
      <c r="I15" s="215" t="s">
        <v>26</v>
      </c>
      <c r="J15" s="215" t="s">
        <v>26</v>
      </c>
      <c r="K15" s="215" t="s">
        <v>26</v>
      </c>
      <c r="L15" s="85">
        <v>7.72</v>
      </c>
      <c r="M15" s="85">
        <v>7.61</v>
      </c>
      <c r="N15" s="85">
        <v>7.65</v>
      </c>
      <c r="O15" s="85">
        <v>7.46</v>
      </c>
      <c r="P15" s="85">
        <v>7.69</v>
      </c>
      <c r="Q15" s="192">
        <f t="shared" si="1"/>
        <v>7.59125</v>
      </c>
      <c r="R15" s="60" t="s">
        <v>161</v>
      </c>
    </row>
    <row r="16">
      <c r="A16" s="20"/>
      <c r="B16" s="15" t="s">
        <v>202</v>
      </c>
      <c r="C16" s="16">
        <v>1.0</v>
      </c>
      <c r="D16" s="47" t="s">
        <v>199</v>
      </c>
      <c r="E16" s="18">
        <v>27.6</v>
      </c>
      <c r="F16" s="18">
        <v>28.8</v>
      </c>
      <c r="G16" s="18">
        <v>30.4</v>
      </c>
      <c r="H16" s="83" t="s">
        <v>26</v>
      </c>
      <c r="I16" s="83" t="s">
        <v>26</v>
      </c>
      <c r="J16" s="83" t="s">
        <v>26</v>
      </c>
      <c r="K16" s="83" t="s">
        <v>26</v>
      </c>
      <c r="L16" s="18">
        <v>31.78</v>
      </c>
      <c r="M16" s="18">
        <v>30.1</v>
      </c>
      <c r="N16" s="18">
        <v>30.2</v>
      </c>
      <c r="O16" s="18">
        <v>30.4</v>
      </c>
      <c r="P16" s="18">
        <v>27.4</v>
      </c>
      <c r="Q16" s="190">
        <f t="shared" si="1"/>
        <v>29.585</v>
      </c>
      <c r="R16" s="18" t="s">
        <v>163</v>
      </c>
    </row>
    <row r="17">
      <c r="A17" s="20"/>
      <c r="B17" s="21"/>
      <c r="C17" s="22">
        <v>2.0</v>
      </c>
      <c r="D17" s="50" t="s">
        <v>200</v>
      </c>
      <c r="E17" s="24">
        <v>28.6</v>
      </c>
      <c r="F17" s="24">
        <v>28.7</v>
      </c>
      <c r="G17" s="24">
        <v>30.4</v>
      </c>
      <c r="H17" s="215" t="s">
        <v>26</v>
      </c>
      <c r="I17" s="215" t="s">
        <v>26</v>
      </c>
      <c r="J17" s="215" t="s">
        <v>26</v>
      </c>
      <c r="K17" s="215" t="s">
        <v>26</v>
      </c>
      <c r="L17" s="24">
        <v>31.35</v>
      </c>
      <c r="M17" s="24">
        <v>31.1</v>
      </c>
      <c r="N17" s="24">
        <v>30.1</v>
      </c>
      <c r="O17" s="24">
        <v>30.4</v>
      </c>
      <c r="P17" s="24">
        <v>28.3</v>
      </c>
      <c r="Q17" s="192">
        <f t="shared" si="1"/>
        <v>29.86875</v>
      </c>
      <c r="R17" s="24" t="s">
        <v>163</v>
      </c>
    </row>
    <row r="18">
      <c r="A18" s="20"/>
      <c r="B18" s="26"/>
      <c r="C18" s="22">
        <v>3.0</v>
      </c>
      <c r="D18" s="50" t="s">
        <v>201</v>
      </c>
      <c r="E18" s="24">
        <v>27.6</v>
      </c>
      <c r="F18" s="24">
        <v>28.2</v>
      </c>
      <c r="G18" s="24">
        <v>30.3</v>
      </c>
      <c r="H18" s="215" t="s">
        <v>26</v>
      </c>
      <c r="I18" s="215" t="s">
        <v>26</v>
      </c>
      <c r="J18" s="215" t="s">
        <v>26</v>
      </c>
      <c r="K18" s="215" t="s">
        <v>26</v>
      </c>
      <c r="L18" s="24">
        <v>32.3</v>
      </c>
      <c r="M18" s="24">
        <v>31.1</v>
      </c>
      <c r="N18" s="24">
        <v>30.5</v>
      </c>
      <c r="O18" s="24">
        <v>31.9</v>
      </c>
      <c r="P18" s="24">
        <v>29.7</v>
      </c>
      <c r="Q18" s="192">
        <f t="shared" si="1"/>
        <v>30.2</v>
      </c>
      <c r="R18" s="24" t="s">
        <v>163</v>
      </c>
    </row>
    <row r="19">
      <c r="A19" s="20"/>
      <c r="B19" s="15" t="s">
        <v>37</v>
      </c>
      <c r="C19" s="16">
        <v>1.0</v>
      </c>
      <c r="D19" s="47" t="s">
        <v>199</v>
      </c>
      <c r="E19" s="120">
        <v>20.0</v>
      </c>
      <c r="F19" s="120">
        <v>15.0</v>
      </c>
      <c r="G19" s="83">
        <v>5.0</v>
      </c>
      <c r="H19" s="83" t="s">
        <v>26</v>
      </c>
      <c r="I19" s="83" t="s">
        <v>26</v>
      </c>
      <c r="J19" s="83" t="s">
        <v>26</v>
      </c>
      <c r="K19" s="83" t="s">
        <v>26</v>
      </c>
      <c r="L19" s="83">
        <v>30.0</v>
      </c>
      <c r="M19" s="120">
        <v>20.0</v>
      </c>
      <c r="N19" s="120">
        <v>40.0</v>
      </c>
      <c r="O19" s="120">
        <v>25.0</v>
      </c>
      <c r="P19" s="120">
        <v>30.0</v>
      </c>
      <c r="Q19" s="194">
        <f t="shared" si="1"/>
        <v>23.125</v>
      </c>
      <c r="R19" s="27">
        <v>50.0</v>
      </c>
    </row>
    <row r="20">
      <c r="A20" s="20"/>
      <c r="B20" s="21"/>
      <c r="C20" s="22">
        <v>2.0</v>
      </c>
      <c r="D20" s="50" t="s">
        <v>200</v>
      </c>
      <c r="E20" s="85">
        <v>20.0</v>
      </c>
      <c r="F20" s="85">
        <v>10.0</v>
      </c>
      <c r="G20" s="215">
        <v>5.0</v>
      </c>
      <c r="H20" s="215" t="s">
        <v>26</v>
      </c>
      <c r="I20" s="215" t="s">
        <v>26</v>
      </c>
      <c r="J20" s="215" t="s">
        <v>26</v>
      </c>
      <c r="K20" s="215" t="s">
        <v>26</v>
      </c>
      <c r="L20" s="215">
        <v>30.0</v>
      </c>
      <c r="M20" s="85">
        <v>20.0</v>
      </c>
      <c r="N20" s="85">
        <v>30.0</v>
      </c>
      <c r="O20" s="85">
        <v>25.0</v>
      </c>
      <c r="P20" s="85">
        <v>30.0</v>
      </c>
      <c r="Q20" s="195">
        <f t="shared" si="1"/>
        <v>21.25</v>
      </c>
      <c r="R20" s="29">
        <v>50.0</v>
      </c>
    </row>
    <row r="21" ht="15.75" customHeight="1">
      <c r="A21" s="20"/>
      <c r="B21" s="26"/>
      <c r="C21" s="22">
        <v>3.0</v>
      </c>
      <c r="D21" s="50" t="s">
        <v>201</v>
      </c>
      <c r="E21" s="29">
        <v>15.0</v>
      </c>
      <c r="F21" s="29">
        <v>15.0</v>
      </c>
      <c r="G21" s="215">
        <v>5.0</v>
      </c>
      <c r="H21" s="215" t="s">
        <v>26</v>
      </c>
      <c r="I21" s="215" t="s">
        <v>26</v>
      </c>
      <c r="J21" s="215" t="s">
        <v>26</v>
      </c>
      <c r="K21" s="215" t="s">
        <v>26</v>
      </c>
      <c r="L21" s="215">
        <v>30.0</v>
      </c>
      <c r="M21" s="85">
        <v>20.0</v>
      </c>
      <c r="N21" s="85">
        <v>25.0</v>
      </c>
      <c r="O21" s="85">
        <v>25.0</v>
      </c>
      <c r="P21" s="85">
        <v>20.0</v>
      </c>
      <c r="Q21" s="195">
        <f t="shared" si="1"/>
        <v>19.375</v>
      </c>
      <c r="R21" s="29">
        <v>50.0</v>
      </c>
    </row>
    <row r="22" ht="15.75" customHeight="1">
      <c r="A22" s="20"/>
      <c r="B22" s="15" t="s">
        <v>38</v>
      </c>
      <c r="C22" s="16">
        <v>1.0</v>
      </c>
      <c r="D22" s="47" t="s">
        <v>199</v>
      </c>
      <c r="E22" s="32">
        <v>2400.0</v>
      </c>
      <c r="F22" s="120">
        <v>230.0</v>
      </c>
      <c r="G22" s="83" t="s">
        <v>59</v>
      </c>
      <c r="H22" s="83" t="s">
        <v>26</v>
      </c>
      <c r="I22" s="83" t="s">
        <v>26</v>
      </c>
      <c r="J22" s="83" t="s">
        <v>26</v>
      </c>
      <c r="K22" s="83" t="s">
        <v>26</v>
      </c>
      <c r="L22" s="31">
        <v>330.0</v>
      </c>
      <c r="M22" s="120">
        <v>490.0</v>
      </c>
      <c r="N22" s="31">
        <v>3500.0</v>
      </c>
      <c r="O22" s="31">
        <v>2400.0</v>
      </c>
      <c r="P22" s="31">
        <v>9200.0</v>
      </c>
      <c r="Q22" s="196">
        <f t="shared" ref="Q22:Q24" si="2">GEOMEAN(E22,F22,G22,H22,I22,J22,K22,L22,M22,N22,O22,P22)</f>
        <v>1317.700169</v>
      </c>
      <c r="R22" s="17">
        <v>100.0</v>
      </c>
      <c r="S22" s="217">
        <f>geomean(Q22:Q24)</f>
        <v>1232.636161</v>
      </c>
    </row>
    <row r="23" ht="15.75" customHeight="1">
      <c r="A23" s="20"/>
      <c r="B23" s="21"/>
      <c r="C23" s="22">
        <v>2.0</v>
      </c>
      <c r="D23" s="50" t="s">
        <v>200</v>
      </c>
      <c r="E23" s="36">
        <v>1700.0</v>
      </c>
      <c r="F23" s="85">
        <v>78.0</v>
      </c>
      <c r="G23" s="215" t="s">
        <v>59</v>
      </c>
      <c r="H23" s="215" t="s">
        <v>26</v>
      </c>
      <c r="I23" s="215" t="s">
        <v>26</v>
      </c>
      <c r="J23" s="215" t="s">
        <v>26</v>
      </c>
      <c r="K23" s="215" t="s">
        <v>26</v>
      </c>
      <c r="L23" s="35">
        <v>2400.0</v>
      </c>
      <c r="M23" s="85">
        <v>230.0</v>
      </c>
      <c r="N23" s="35">
        <v>7000.0</v>
      </c>
      <c r="O23" s="35">
        <v>3500.0</v>
      </c>
      <c r="P23" s="35">
        <v>9200.0</v>
      </c>
      <c r="Q23" s="197">
        <f t="shared" si="2"/>
        <v>1492.51774</v>
      </c>
      <c r="R23" s="23">
        <v>100.0</v>
      </c>
    </row>
    <row r="24" ht="15.75" customHeight="1">
      <c r="A24" s="20"/>
      <c r="B24" s="26"/>
      <c r="C24" s="22">
        <v>3.0</v>
      </c>
      <c r="D24" s="50" t="s">
        <v>201</v>
      </c>
      <c r="E24" s="36">
        <v>9300.0</v>
      </c>
      <c r="F24" s="29">
        <v>110.0</v>
      </c>
      <c r="G24" s="215" t="s">
        <v>59</v>
      </c>
      <c r="H24" s="215" t="s">
        <v>26</v>
      </c>
      <c r="I24" s="215" t="s">
        <v>26</v>
      </c>
      <c r="J24" s="215" t="s">
        <v>26</v>
      </c>
      <c r="K24" s="215" t="s">
        <v>26</v>
      </c>
      <c r="L24" s="35">
        <v>4000.0</v>
      </c>
      <c r="M24" s="35">
        <v>490.0</v>
      </c>
      <c r="N24" s="85">
        <v>460.0</v>
      </c>
      <c r="O24" s="35">
        <v>2200.0</v>
      </c>
      <c r="P24" s="85">
        <v>350.0</v>
      </c>
      <c r="Q24" s="197">
        <f t="shared" si="2"/>
        <v>952.2886515</v>
      </c>
      <c r="R24" s="23">
        <v>100.0</v>
      </c>
    </row>
    <row r="25" ht="15.75" customHeight="1">
      <c r="A25" s="20"/>
      <c r="B25" s="15" t="s">
        <v>203</v>
      </c>
      <c r="C25" s="16">
        <v>1.0</v>
      </c>
      <c r="D25" s="47" t="s">
        <v>199</v>
      </c>
      <c r="E25" s="120">
        <v>0.685</v>
      </c>
      <c r="F25" s="120">
        <v>0.541</v>
      </c>
      <c r="G25" s="90">
        <v>0.357</v>
      </c>
      <c r="H25" s="83" t="s">
        <v>26</v>
      </c>
      <c r="I25" s="83" t="s">
        <v>26</v>
      </c>
      <c r="J25" s="83" t="s">
        <v>26</v>
      </c>
      <c r="K25" s="83" t="s">
        <v>26</v>
      </c>
      <c r="L25" s="83" t="s">
        <v>40</v>
      </c>
      <c r="M25" s="39">
        <v>0.05</v>
      </c>
      <c r="N25" s="39">
        <v>0.47</v>
      </c>
      <c r="O25" s="120">
        <v>0.464</v>
      </c>
      <c r="P25" s="120">
        <v>0.778</v>
      </c>
      <c r="Q25" s="198">
        <f>AVERAGE(E25,F25,G25,H25,I25,J25,K25,0.045,M25,N25,O25,P25)</f>
        <v>0.42375</v>
      </c>
      <c r="R25" s="17">
        <v>10.0</v>
      </c>
    </row>
    <row r="26" ht="15.75" customHeight="1">
      <c r="A26" s="20"/>
      <c r="B26" s="21"/>
      <c r="C26" s="22">
        <v>2.0</v>
      </c>
      <c r="D26" s="50" t="s">
        <v>200</v>
      </c>
      <c r="E26" s="85">
        <v>0.274</v>
      </c>
      <c r="F26" s="85">
        <v>0.283</v>
      </c>
      <c r="G26" s="218">
        <v>0.222</v>
      </c>
      <c r="H26" s="215" t="s">
        <v>26</v>
      </c>
      <c r="I26" s="215" t="s">
        <v>26</v>
      </c>
      <c r="J26" s="215" t="s">
        <v>26</v>
      </c>
      <c r="K26" s="215" t="s">
        <v>26</v>
      </c>
      <c r="L26" s="218">
        <v>0.25</v>
      </c>
      <c r="M26" s="41">
        <v>0.147</v>
      </c>
      <c r="N26" s="41">
        <v>0.377</v>
      </c>
      <c r="O26" s="85">
        <v>0.551</v>
      </c>
      <c r="P26" s="85">
        <v>0.288</v>
      </c>
      <c r="Q26" s="200">
        <f>AVERAGE(E26,F26,G26,H26,I26,J26,K26,L26,M26,N26,O26,P26)</f>
        <v>0.299</v>
      </c>
      <c r="R26" s="23">
        <v>10.0</v>
      </c>
    </row>
    <row r="27" ht="15.75" customHeight="1">
      <c r="A27" s="20"/>
      <c r="B27" s="26"/>
      <c r="C27" s="22">
        <v>3.0</v>
      </c>
      <c r="D27" s="50" t="s">
        <v>201</v>
      </c>
      <c r="E27" s="41">
        <v>0.399</v>
      </c>
      <c r="F27" s="41">
        <v>0.871</v>
      </c>
      <c r="G27" s="218">
        <v>0.284</v>
      </c>
      <c r="H27" s="215" t="s">
        <v>26</v>
      </c>
      <c r="I27" s="215" t="s">
        <v>26</v>
      </c>
      <c r="J27" s="215" t="s">
        <v>26</v>
      </c>
      <c r="K27" s="215" t="s">
        <v>26</v>
      </c>
      <c r="L27" s="215" t="s">
        <v>40</v>
      </c>
      <c r="M27" s="41" t="s">
        <v>40</v>
      </c>
      <c r="N27" s="41">
        <v>0.43</v>
      </c>
      <c r="O27" s="85">
        <v>1.107</v>
      </c>
      <c r="P27" s="41">
        <v>0.16</v>
      </c>
      <c r="Q27" s="200">
        <f>AVERAGE(E27,F27,G27,H27,I27,J27,K27,0.045,0.045,N27,O27,P27)</f>
        <v>0.417625</v>
      </c>
      <c r="R27" s="23">
        <v>10.0</v>
      </c>
    </row>
    <row r="28" ht="15.75" customHeight="1">
      <c r="A28" s="20"/>
      <c r="B28" s="15" t="s">
        <v>204</v>
      </c>
      <c r="C28" s="16">
        <v>1.0</v>
      </c>
      <c r="D28" s="47" t="s">
        <v>199</v>
      </c>
      <c r="E28" s="120">
        <v>0.465</v>
      </c>
      <c r="F28" s="120">
        <v>0.365</v>
      </c>
      <c r="G28" s="90">
        <v>0.25</v>
      </c>
      <c r="H28" s="83" t="s">
        <v>26</v>
      </c>
      <c r="I28" s="83" t="s">
        <v>26</v>
      </c>
      <c r="J28" s="83" t="s">
        <v>26</v>
      </c>
      <c r="K28" s="83" t="s">
        <v>26</v>
      </c>
      <c r="L28" s="120">
        <v>0.292</v>
      </c>
      <c r="M28" s="39">
        <v>0.289</v>
      </c>
      <c r="N28" s="39">
        <v>0.481</v>
      </c>
      <c r="O28" s="120">
        <v>0.372</v>
      </c>
      <c r="P28" s="120">
        <v>0.441</v>
      </c>
      <c r="Q28" s="198">
        <f t="shared" ref="Q28:Q30" si="3">AVERAGE(E28,F28,G28,H28,I28,J28,K28,L28,M28,N28,O28,P28)</f>
        <v>0.369375</v>
      </c>
      <c r="R28" s="17">
        <v>0.5</v>
      </c>
    </row>
    <row r="29" ht="15.75" customHeight="1">
      <c r="A29" s="20"/>
      <c r="B29" s="21"/>
      <c r="C29" s="22">
        <v>2.0</v>
      </c>
      <c r="D29" s="50" t="s">
        <v>200</v>
      </c>
      <c r="E29" s="85">
        <v>0.274</v>
      </c>
      <c r="F29" s="85">
        <v>0.265</v>
      </c>
      <c r="G29" s="218">
        <v>0.117</v>
      </c>
      <c r="H29" s="215" t="s">
        <v>26</v>
      </c>
      <c r="I29" s="215" t="s">
        <v>26</v>
      </c>
      <c r="J29" s="215" t="s">
        <v>26</v>
      </c>
      <c r="K29" s="215" t="s">
        <v>26</v>
      </c>
      <c r="L29" s="85">
        <v>0.159</v>
      </c>
      <c r="M29" s="41">
        <v>0.32</v>
      </c>
      <c r="N29" s="41">
        <v>0.44</v>
      </c>
      <c r="O29" s="85">
        <v>0.269</v>
      </c>
      <c r="P29" s="85">
        <v>0.313</v>
      </c>
      <c r="Q29" s="200">
        <f t="shared" si="3"/>
        <v>0.269625</v>
      </c>
      <c r="R29" s="23">
        <v>0.5</v>
      </c>
    </row>
    <row r="30" ht="15.75" customHeight="1">
      <c r="A30" s="20"/>
      <c r="B30" s="26"/>
      <c r="C30" s="22">
        <v>3.0</v>
      </c>
      <c r="D30" s="50" t="s">
        <v>201</v>
      </c>
      <c r="E30" s="41">
        <v>0.326</v>
      </c>
      <c r="F30" s="41">
        <v>0.492</v>
      </c>
      <c r="G30" s="218">
        <v>0.227</v>
      </c>
      <c r="H30" s="215" t="s">
        <v>26</v>
      </c>
      <c r="I30" s="215" t="s">
        <v>26</v>
      </c>
      <c r="J30" s="215" t="s">
        <v>26</v>
      </c>
      <c r="K30" s="215" t="s">
        <v>26</v>
      </c>
      <c r="L30" s="85">
        <v>0.245</v>
      </c>
      <c r="M30" s="41">
        <v>0.281</v>
      </c>
      <c r="N30" s="41">
        <v>0.385</v>
      </c>
      <c r="O30" s="85">
        <v>0.338</v>
      </c>
      <c r="P30" s="85">
        <v>0.262</v>
      </c>
      <c r="Q30" s="200">
        <f t="shared" si="3"/>
        <v>0.3195</v>
      </c>
      <c r="R30" s="23">
        <v>0.5</v>
      </c>
    </row>
    <row r="31" ht="15.75" customHeight="1">
      <c r="Q31" s="219">
        <f>GEOMEAN(Q22:Q24)</f>
        <v>1232.636161</v>
      </c>
    </row>
    <row r="32" ht="15.75" customHeight="1">
      <c r="A32" s="44" t="s">
        <v>43</v>
      </c>
    </row>
    <row r="33" ht="15.75" customHeight="1"/>
    <row r="34" ht="33.0" customHeight="1">
      <c r="A34" s="93" t="s">
        <v>169</v>
      </c>
      <c r="B34" s="93"/>
      <c r="C34" s="93"/>
      <c r="Q34" s="72"/>
      <c r="R34" s="72"/>
    </row>
    <row r="35" ht="15.75" customHeight="1">
      <c r="A35" s="126"/>
      <c r="Q35" s="72"/>
      <c r="R35" s="7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B15"/>
    <mergeCell ref="B16:B18"/>
    <mergeCell ref="B19:B21"/>
    <mergeCell ref="B22:B24"/>
    <mergeCell ref="B25:B27"/>
    <mergeCell ref="B28:B30"/>
    <mergeCell ref="A32:C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scale="8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8.71"/>
    <col customWidth="1" min="2" max="2" width="18.57"/>
    <col customWidth="1" min="3" max="3" width="8.71"/>
    <col customWidth="1" min="4" max="4" width="28.0"/>
    <col customWidth="1" min="5" max="9" width="10.71" outlineLevel="1"/>
    <col customWidth="1" min="10" max="10" width="11.86" outlineLevel="1"/>
    <col customWidth="1" min="11" max="11" width="10.71" outlineLevel="1"/>
    <col customWidth="1" min="12" max="12" width="12.57" outlineLevel="1"/>
    <col customWidth="1" min="13" max="13" width="11.14" outlineLevel="1"/>
    <col customWidth="1" min="14" max="14" width="11.43" outlineLevel="1"/>
    <col customWidth="1" min="15" max="15" width="10.86" outlineLevel="1"/>
    <col customWidth="1" min="16" max="16" width="13.43" outlineLevel="1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</row>
    <row r="5">
      <c r="A5" s="10" t="s">
        <v>205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206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0" t="s">
        <v>23</v>
      </c>
      <c r="B7" s="46" t="s">
        <v>24</v>
      </c>
      <c r="C7" s="81">
        <v>1.0</v>
      </c>
      <c r="D7" s="82" t="s">
        <v>207</v>
      </c>
      <c r="E7" s="84">
        <v>7.6</v>
      </c>
      <c r="F7" s="83">
        <v>8.46</v>
      </c>
      <c r="G7" s="83" t="s">
        <v>26</v>
      </c>
      <c r="H7" s="83" t="s">
        <v>26</v>
      </c>
      <c r="I7" s="83" t="s">
        <v>26</v>
      </c>
      <c r="J7" s="84" t="s">
        <v>26</v>
      </c>
      <c r="K7" s="84" t="s">
        <v>26</v>
      </c>
      <c r="L7" s="84">
        <v>2.3</v>
      </c>
      <c r="M7" s="83" t="s">
        <v>208</v>
      </c>
      <c r="N7" s="84">
        <v>1.28</v>
      </c>
      <c r="O7" s="83">
        <v>2.92</v>
      </c>
      <c r="P7" s="83">
        <v>2.08</v>
      </c>
      <c r="Q7" s="190">
        <f t="shared" ref="Q7:Q41" si="1">AVERAGE(E7,F7,G7,H7,I7,J7,K7,L7,M7,N7,O7,P7)</f>
        <v>4.106666667</v>
      </c>
      <c r="R7" s="162">
        <v>6.0</v>
      </c>
    </row>
    <row r="8">
      <c r="A8" s="20"/>
      <c r="B8" s="21"/>
      <c r="C8" s="178">
        <v>2.0</v>
      </c>
      <c r="D8" s="50" t="s">
        <v>209</v>
      </c>
      <c r="E8" s="24">
        <v>5.8</v>
      </c>
      <c r="F8" s="85">
        <v>4.66</v>
      </c>
      <c r="G8" s="215" t="s">
        <v>26</v>
      </c>
      <c r="H8" s="215" t="s">
        <v>26</v>
      </c>
      <c r="I8" s="215" t="s">
        <v>26</v>
      </c>
      <c r="J8" s="24" t="s">
        <v>26</v>
      </c>
      <c r="K8" s="24" t="s">
        <v>26</v>
      </c>
      <c r="L8" s="24">
        <v>0.8</v>
      </c>
      <c r="M8" s="85" t="s">
        <v>208</v>
      </c>
      <c r="N8" s="24">
        <v>1.42</v>
      </c>
      <c r="O8" s="85">
        <v>2.52</v>
      </c>
      <c r="P8" s="85">
        <v>2.47</v>
      </c>
      <c r="Q8" s="192">
        <f t="shared" si="1"/>
        <v>2.945</v>
      </c>
      <c r="R8" s="23">
        <v>6.0</v>
      </c>
    </row>
    <row r="9">
      <c r="A9" s="20"/>
      <c r="B9" s="21"/>
      <c r="C9" s="178">
        <v>3.0</v>
      </c>
      <c r="D9" s="50" t="s">
        <v>210</v>
      </c>
      <c r="E9" s="24">
        <v>4.6</v>
      </c>
      <c r="F9" s="85">
        <v>5.61</v>
      </c>
      <c r="G9" s="215" t="s">
        <v>26</v>
      </c>
      <c r="H9" s="215" t="s">
        <v>26</v>
      </c>
      <c r="I9" s="215" t="s">
        <v>26</v>
      </c>
      <c r="J9" s="24" t="s">
        <v>26</v>
      </c>
      <c r="K9" s="24" t="s">
        <v>26</v>
      </c>
      <c r="L9" s="24">
        <v>1.14</v>
      </c>
      <c r="M9" s="85" t="s">
        <v>208</v>
      </c>
      <c r="N9" s="24">
        <v>1.1</v>
      </c>
      <c r="O9" s="24">
        <v>2.57</v>
      </c>
      <c r="P9" s="85">
        <v>1.86</v>
      </c>
      <c r="Q9" s="192">
        <f t="shared" si="1"/>
        <v>2.813333333</v>
      </c>
      <c r="R9" s="23">
        <v>6.0</v>
      </c>
    </row>
    <row r="10">
      <c r="A10" s="20"/>
      <c r="B10" s="21"/>
      <c r="C10" s="178">
        <v>4.0</v>
      </c>
      <c r="D10" s="50" t="s">
        <v>211</v>
      </c>
      <c r="E10" s="24">
        <v>7.5</v>
      </c>
      <c r="F10" s="85">
        <v>6.72</v>
      </c>
      <c r="G10" s="215" t="s">
        <v>26</v>
      </c>
      <c r="H10" s="215" t="s">
        <v>26</v>
      </c>
      <c r="I10" s="215" t="s">
        <v>26</v>
      </c>
      <c r="J10" s="24" t="s">
        <v>26</v>
      </c>
      <c r="K10" s="24" t="s">
        <v>26</v>
      </c>
      <c r="L10" s="24">
        <v>1.04</v>
      </c>
      <c r="M10" s="85" t="s">
        <v>208</v>
      </c>
      <c r="N10" s="85">
        <v>1.55</v>
      </c>
      <c r="O10" s="85">
        <v>2.32</v>
      </c>
      <c r="P10" s="85">
        <v>2.05</v>
      </c>
      <c r="Q10" s="192">
        <f t="shared" si="1"/>
        <v>3.53</v>
      </c>
      <c r="R10" s="216">
        <v>6.0</v>
      </c>
    </row>
    <row r="11">
      <c r="A11" s="20"/>
      <c r="B11" s="21"/>
      <c r="C11" s="178">
        <v>5.0</v>
      </c>
      <c r="D11" s="50" t="s">
        <v>212</v>
      </c>
      <c r="E11" s="24">
        <v>5.9</v>
      </c>
      <c r="F11" s="85">
        <v>5.67</v>
      </c>
      <c r="G11" s="215" t="s">
        <v>26</v>
      </c>
      <c r="H11" s="215" t="s">
        <v>26</v>
      </c>
      <c r="I11" s="215" t="s">
        <v>26</v>
      </c>
      <c r="J11" s="24" t="s">
        <v>26</v>
      </c>
      <c r="K11" s="24" t="s">
        <v>26</v>
      </c>
      <c r="L11" s="24">
        <v>1.12</v>
      </c>
      <c r="M11" s="85" t="s">
        <v>208</v>
      </c>
      <c r="N11" s="85">
        <v>0.82</v>
      </c>
      <c r="O11" s="85">
        <v>1.99</v>
      </c>
      <c r="P11" s="85">
        <v>1.92</v>
      </c>
      <c r="Q11" s="192">
        <f t="shared" si="1"/>
        <v>2.903333333</v>
      </c>
      <c r="R11" s="23">
        <v>6.0</v>
      </c>
    </row>
    <row r="12">
      <c r="A12" s="20"/>
      <c r="B12" s="21"/>
      <c r="C12" s="178">
        <v>6.0</v>
      </c>
      <c r="D12" s="50" t="s">
        <v>213</v>
      </c>
      <c r="E12" s="24">
        <v>7.9</v>
      </c>
      <c r="F12" s="24">
        <v>5.0</v>
      </c>
      <c r="G12" s="215">
        <v>3.76</v>
      </c>
      <c r="H12" s="215" t="s">
        <v>26</v>
      </c>
      <c r="I12" s="215" t="s">
        <v>26</v>
      </c>
      <c r="J12" s="24">
        <v>6.02</v>
      </c>
      <c r="K12" s="24">
        <v>5.66</v>
      </c>
      <c r="L12" s="24">
        <v>3.19</v>
      </c>
      <c r="M12" s="85">
        <v>0.36</v>
      </c>
      <c r="N12" s="85">
        <v>0.94</v>
      </c>
      <c r="O12" s="24">
        <v>7.4</v>
      </c>
      <c r="P12" s="85">
        <v>2.08</v>
      </c>
      <c r="Q12" s="192">
        <f t="shared" si="1"/>
        <v>4.231</v>
      </c>
      <c r="R12" s="23">
        <v>6.0</v>
      </c>
    </row>
    <row r="13">
      <c r="A13" s="20"/>
      <c r="B13" s="26"/>
      <c r="C13" s="178">
        <v>7.0</v>
      </c>
      <c r="D13" s="50" t="s">
        <v>214</v>
      </c>
      <c r="E13" s="24">
        <v>7.0</v>
      </c>
      <c r="F13" s="24">
        <v>6.0</v>
      </c>
      <c r="G13" s="215">
        <v>3.19</v>
      </c>
      <c r="H13" s="215" t="s">
        <v>26</v>
      </c>
      <c r="I13" s="215" t="s">
        <v>26</v>
      </c>
      <c r="J13" s="24">
        <v>6.06</v>
      </c>
      <c r="K13" s="24">
        <v>6.15</v>
      </c>
      <c r="L13" s="24">
        <v>4.47</v>
      </c>
      <c r="M13" s="85">
        <v>1.45</v>
      </c>
      <c r="N13" s="85">
        <v>1.94</v>
      </c>
      <c r="O13" s="24">
        <v>7.2</v>
      </c>
      <c r="P13" s="85">
        <v>1.25</v>
      </c>
      <c r="Q13" s="192">
        <f t="shared" si="1"/>
        <v>4.471</v>
      </c>
      <c r="R13" s="23">
        <v>6.0</v>
      </c>
    </row>
    <row r="14">
      <c r="A14" s="20"/>
      <c r="B14" s="15" t="s">
        <v>32</v>
      </c>
      <c r="C14" s="16">
        <v>1.0</v>
      </c>
      <c r="D14" s="47" t="s">
        <v>207</v>
      </c>
      <c r="E14" s="120">
        <v>27.0</v>
      </c>
      <c r="F14" s="120">
        <v>48.0</v>
      </c>
      <c r="G14" s="83" t="s">
        <v>26</v>
      </c>
      <c r="H14" s="83" t="s">
        <v>26</v>
      </c>
      <c r="I14" s="83" t="s">
        <v>26</v>
      </c>
      <c r="J14" s="84" t="s">
        <v>26</v>
      </c>
      <c r="K14" s="84" t="s">
        <v>26</v>
      </c>
      <c r="L14" s="86">
        <v>27.0</v>
      </c>
      <c r="M14" s="120">
        <v>37.0</v>
      </c>
      <c r="N14" s="120">
        <v>26.0</v>
      </c>
      <c r="O14" s="120">
        <v>60.0</v>
      </c>
      <c r="P14" s="120">
        <v>53.0</v>
      </c>
      <c r="Q14" s="194">
        <f t="shared" si="1"/>
        <v>39.71428571</v>
      </c>
      <c r="R14" s="17">
        <v>50.0</v>
      </c>
    </row>
    <row r="15">
      <c r="A15" s="20"/>
      <c r="B15" s="21"/>
      <c r="C15" s="178">
        <v>2.0</v>
      </c>
      <c r="D15" s="50" t="s">
        <v>209</v>
      </c>
      <c r="E15" s="85">
        <v>36.0</v>
      </c>
      <c r="F15" s="85">
        <v>49.0</v>
      </c>
      <c r="G15" s="215" t="s">
        <v>26</v>
      </c>
      <c r="H15" s="215" t="s">
        <v>26</v>
      </c>
      <c r="I15" s="215" t="s">
        <v>26</v>
      </c>
      <c r="J15" s="24" t="s">
        <v>26</v>
      </c>
      <c r="K15" s="24" t="s">
        <v>26</v>
      </c>
      <c r="L15" s="29">
        <v>20.0</v>
      </c>
      <c r="M15" s="85">
        <v>34.0</v>
      </c>
      <c r="N15" s="85">
        <v>26.0</v>
      </c>
      <c r="O15" s="85">
        <v>27.0</v>
      </c>
      <c r="P15" s="85">
        <v>24.0</v>
      </c>
      <c r="Q15" s="195">
        <f t="shared" si="1"/>
        <v>30.85714286</v>
      </c>
      <c r="R15" s="23">
        <v>50.0</v>
      </c>
    </row>
    <row r="16">
      <c r="A16" s="20"/>
      <c r="B16" s="21"/>
      <c r="C16" s="178">
        <v>3.0</v>
      </c>
      <c r="D16" s="50" t="s">
        <v>210</v>
      </c>
      <c r="E16" s="85">
        <v>49.0</v>
      </c>
      <c r="F16" s="85">
        <v>44.0</v>
      </c>
      <c r="G16" s="215" t="s">
        <v>26</v>
      </c>
      <c r="H16" s="215" t="s">
        <v>26</v>
      </c>
      <c r="I16" s="215" t="s">
        <v>26</v>
      </c>
      <c r="J16" s="24" t="s">
        <v>26</v>
      </c>
      <c r="K16" s="24" t="s">
        <v>26</v>
      </c>
      <c r="L16" s="29">
        <v>23.0</v>
      </c>
      <c r="M16" s="85">
        <v>30.0</v>
      </c>
      <c r="N16" s="85">
        <v>26.0</v>
      </c>
      <c r="O16" s="85">
        <v>23.0</v>
      </c>
      <c r="P16" s="85">
        <v>48.0</v>
      </c>
      <c r="Q16" s="195">
        <f t="shared" si="1"/>
        <v>34.71428571</v>
      </c>
      <c r="R16" s="23">
        <v>50.0</v>
      </c>
    </row>
    <row r="17">
      <c r="A17" s="20"/>
      <c r="B17" s="21"/>
      <c r="C17" s="178">
        <v>4.0</v>
      </c>
      <c r="D17" s="50" t="s">
        <v>211</v>
      </c>
      <c r="E17" s="85">
        <v>104.0</v>
      </c>
      <c r="F17" s="85">
        <v>125.0</v>
      </c>
      <c r="G17" s="215" t="s">
        <v>26</v>
      </c>
      <c r="H17" s="215" t="s">
        <v>26</v>
      </c>
      <c r="I17" s="215" t="s">
        <v>26</v>
      </c>
      <c r="J17" s="24" t="s">
        <v>26</v>
      </c>
      <c r="K17" s="24" t="s">
        <v>26</v>
      </c>
      <c r="L17" s="29">
        <v>22.0</v>
      </c>
      <c r="M17" s="85">
        <v>23.0</v>
      </c>
      <c r="N17" s="85">
        <v>42.0</v>
      </c>
      <c r="O17" s="85">
        <v>49.0</v>
      </c>
      <c r="P17" s="85">
        <v>23.0</v>
      </c>
      <c r="Q17" s="195">
        <f t="shared" si="1"/>
        <v>55.42857143</v>
      </c>
      <c r="R17" s="23">
        <v>50.0</v>
      </c>
    </row>
    <row r="18">
      <c r="A18" s="20"/>
      <c r="B18" s="21"/>
      <c r="C18" s="178">
        <v>5.0</v>
      </c>
      <c r="D18" s="50" t="s">
        <v>215</v>
      </c>
      <c r="E18" s="85">
        <v>106.0</v>
      </c>
      <c r="F18" s="85">
        <v>71.0</v>
      </c>
      <c r="G18" s="215" t="s">
        <v>26</v>
      </c>
      <c r="H18" s="215" t="s">
        <v>26</v>
      </c>
      <c r="I18" s="215" t="s">
        <v>26</v>
      </c>
      <c r="J18" s="24" t="s">
        <v>26</v>
      </c>
      <c r="K18" s="24" t="s">
        <v>26</v>
      </c>
      <c r="L18" s="29">
        <v>38.0</v>
      </c>
      <c r="M18" s="85">
        <v>35.0</v>
      </c>
      <c r="N18" s="85">
        <v>21.0</v>
      </c>
      <c r="O18" s="85">
        <v>16.0</v>
      </c>
      <c r="P18" s="85">
        <v>23.0</v>
      </c>
      <c r="Q18" s="195">
        <f t="shared" si="1"/>
        <v>44.28571429</v>
      </c>
      <c r="R18" s="23">
        <v>50.0</v>
      </c>
    </row>
    <row r="19">
      <c r="A19" s="20"/>
      <c r="B19" s="21"/>
      <c r="C19" s="178">
        <v>6.0</v>
      </c>
      <c r="D19" s="50" t="s">
        <v>213</v>
      </c>
      <c r="E19" s="85">
        <v>59.0</v>
      </c>
      <c r="F19" s="85">
        <v>51.0</v>
      </c>
      <c r="G19" s="215">
        <v>61.0</v>
      </c>
      <c r="H19" s="215" t="s">
        <v>26</v>
      </c>
      <c r="I19" s="215" t="s">
        <v>26</v>
      </c>
      <c r="J19" s="85">
        <v>47.0</v>
      </c>
      <c r="K19" s="68" t="s">
        <v>59</v>
      </c>
      <c r="L19" s="85">
        <v>28.0</v>
      </c>
      <c r="M19" s="85">
        <v>95.0</v>
      </c>
      <c r="N19" s="85">
        <v>58.0</v>
      </c>
      <c r="O19" s="85">
        <v>34.0</v>
      </c>
      <c r="P19" s="85">
        <v>26.0</v>
      </c>
      <c r="Q19" s="195">
        <f t="shared" si="1"/>
        <v>51</v>
      </c>
      <c r="R19" s="23">
        <v>50.0</v>
      </c>
    </row>
    <row r="20">
      <c r="A20" s="20"/>
      <c r="B20" s="26"/>
      <c r="C20" s="178">
        <v>7.0</v>
      </c>
      <c r="D20" s="50" t="s">
        <v>214</v>
      </c>
      <c r="E20" s="85">
        <v>16.0</v>
      </c>
      <c r="F20" s="85">
        <v>50.0</v>
      </c>
      <c r="G20" s="215">
        <v>24.0</v>
      </c>
      <c r="H20" s="215" t="s">
        <v>26</v>
      </c>
      <c r="I20" s="215" t="s">
        <v>26</v>
      </c>
      <c r="J20" s="85">
        <v>43.0</v>
      </c>
      <c r="K20" s="68" t="s">
        <v>59</v>
      </c>
      <c r="L20" s="85">
        <v>36.0</v>
      </c>
      <c r="M20" s="85">
        <v>46.0</v>
      </c>
      <c r="N20" s="85">
        <v>23.0</v>
      </c>
      <c r="O20" s="85">
        <v>55.0</v>
      </c>
      <c r="P20" s="85">
        <v>47.0</v>
      </c>
      <c r="Q20" s="195">
        <f t="shared" si="1"/>
        <v>37.77777778</v>
      </c>
      <c r="R20" s="23">
        <v>50.0</v>
      </c>
    </row>
    <row r="21" ht="15.75" customHeight="1">
      <c r="A21" s="20"/>
      <c r="B21" s="15" t="s">
        <v>33</v>
      </c>
      <c r="C21" s="16">
        <v>1.0</v>
      </c>
      <c r="D21" s="47" t="s">
        <v>207</v>
      </c>
      <c r="E21" s="18">
        <v>8.0</v>
      </c>
      <c r="F21" s="18">
        <v>7.6</v>
      </c>
      <c r="G21" s="83" t="s">
        <v>26</v>
      </c>
      <c r="H21" s="83" t="s">
        <v>26</v>
      </c>
      <c r="I21" s="83" t="s">
        <v>26</v>
      </c>
      <c r="J21" s="84" t="s">
        <v>26</v>
      </c>
      <c r="K21" s="84" t="s">
        <v>26</v>
      </c>
      <c r="L21" s="120">
        <v>7.44</v>
      </c>
      <c r="M21" s="83" t="s">
        <v>208</v>
      </c>
      <c r="N21" s="120">
        <v>7.48</v>
      </c>
      <c r="O21" s="120">
        <v>7.15</v>
      </c>
      <c r="P21" s="120">
        <v>7.14</v>
      </c>
      <c r="Q21" s="190">
        <f t="shared" si="1"/>
        <v>7.468333333</v>
      </c>
      <c r="R21" s="59" t="s">
        <v>161</v>
      </c>
    </row>
    <row r="22" ht="15.75" customHeight="1">
      <c r="A22" s="20"/>
      <c r="B22" s="21"/>
      <c r="C22" s="178">
        <v>2.0</v>
      </c>
      <c r="D22" s="50" t="s">
        <v>209</v>
      </c>
      <c r="E22" s="85">
        <v>7.73</v>
      </c>
      <c r="F22" s="85">
        <v>7.48</v>
      </c>
      <c r="G22" s="215" t="s">
        <v>26</v>
      </c>
      <c r="H22" s="215" t="s">
        <v>26</v>
      </c>
      <c r="I22" s="215" t="s">
        <v>26</v>
      </c>
      <c r="J22" s="24" t="s">
        <v>26</v>
      </c>
      <c r="K22" s="24" t="s">
        <v>26</v>
      </c>
      <c r="L22" s="85">
        <v>7.44</v>
      </c>
      <c r="M22" s="85" t="s">
        <v>208</v>
      </c>
      <c r="N22" s="85">
        <v>7.64</v>
      </c>
      <c r="O22" s="24">
        <v>7.3</v>
      </c>
      <c r="P22" s="85">
        <v>7.59</v>
      </c>
      <c r="Q22" s="192">
        <f t="shared" si="1"/>
        <v>7.53</v>
      </c>
      <c r="R22" s="60" t="s">
        <v>161</v>
      </c>
    </row>
    <row r="23" ht="15.75" customHeight="1">
      <c r="A23" s="20"/>
      <c r="B23" s="21"/>
      <c r="C23" s="178">
        <v>3.0</v>
      </c>
      <c r="D23" s="50" t="s">
        <v>210</v>
      </c>
      <c r="E23" s="85">
        <v>7.64</v>
      </c>
      <c r="F23" s="85">
        <v>7.61</v>
      </c>
      <c r="G23" s="215" t="s">
        <v>26</v>
      </c>
      <c r="H23" s="215" t="s">
        <v>26</v>
      </c>
      <c r="I23" s="215" t="s">
        <v>26</v>
      </c>
      <c r="J23" s="24" t="s">
        <v>26</v>
      </c>
      <c r="K23" s="24" t="s">
        <v>26</v>
      </c>
      <c r="L23" s="85">
        <v>7.57</v>
      </c>
      <c r="M23" s="85" t="s">
        <v>208</v>
      </c>
      <c r="N23" s="85">
        <v>7.58</v>
      </c>
      <c r="O23" s="24">
        <v>7.44</v>
      </c>
      <c r="P23" s="85">
        <v>7.57</v>
      </c>
      <c r="Q23" s="192">
        <f t="shared" si="1"/>
        <v>7.568333333</v>
      </c>
      <c r="R23" s="60" t="s">
        <v>161</v>
      </c>
    </row>
    <row r="24" ht="15.75" customHeight="1">
      <c r="A24" s="20"/>
      <c r="B24" s="21"/>
      <c r="C24" s="178">
        <v>4.0</v>
      </c>
      <c r="D24" s="50" t="s">
        <v>211</v>
      </c>
      <c r="E24" s="85">
        <v>8.04</v>
      </c>
      <c r="F24" s="85">
        <v>7.56</v>
      </c>
      <c r="G24" s="215" t="s">
        <v>26</v>
      </c>
      <c r="H24" s="215" t="s">
        <v>26</v>
      </c>
      <c r="I24" s="215" t="s">
        <v>26</v>
      </c>
      <c r="J24" s="24" t="s">
        <v>26</v>
      </c>
      <c r="K24" s="24" t="s">
        <v>26</v>
      </c>
      <c r="L24" s="85">
        <v>7.54</v>
      </c>
      <c r="M24" s="85" t="s">
        <v>208</v>
      </c>
      <c r="N24" s="85">
        <v>7.95</v>
      </c>
      <c r="O24" s="85">
        <v>7.56</v>
      </c>
      <c r="P24" s="85">
        <v>7.64</v>
      </c>
      <c r="Q24" s="192">
        <f t="shared" si="1"/>
        <v>7.715</v>
      </c>
      <c r="R24" s="60" t="s">
        <v>161</v>
      </c>
    </row>
    <row r="25" ht="15.75" customHeight="1">
      <c r="A25" s="20"/>
      <c r="B25" s="21"/>
      <c r="C25" s="178">
        <v>5.0</v>
      </c>
      <c r="D25" s="50" t="s">
        <v>215</v>
      </c>
      <c r="E25" s="85">
        <v>7.88</v>
      </c>
      <c r="F25" s="85">
        <v>7.48</v>
      </c>
      <c r="G25" s="215" t="s">
        <v>26</v>
      </c>
      <c r="H25" s="215" t="s">
        <v>26</v>
      </c>
      <c r="I25" s="215" t="s">
        <v>26</v>
      </c>
      <c r="J25" s="24" t="s">
        <v>26</v>
      </c>
      <c r="K25" s="24" t="s">
        <v>26</v>
      </c>
      <c r="L25" s="24">
        <v>7.68</v>
      </c>
      <c r="M25" s="85" t="s">
        <v>208</v>
      </c>
      <c r="N25" s="24">
        <v>7.49</v>
      </c>
      <c r="O25" s="85">
        <v>7.49</v>
      </c>
      <c r="P25" s="85">
        <v>7.61</v>
      </c>
      <c r="Q25" s="192">
        <f t="shared" si="1"/>
        <v>7.605</v>
      </c>
      <c r="R25" s="60" t="s">
        <v>161</v>
      </c>
    </row>
    <row r="26" ht="15.75" customHeight="1">
      <c r="A26" s="20"/>
      <c r="B26" s="21"/>
      <c r="C26" s="178">
        <v>6.0</v>
      </c>
      <c r="D26" s="50" t="s">
        <v>213</v>
      </c>
      <c r="E26" s="85">
        <v>8.44</v>
      </c>
      <c r="F26" s="85">
        <v>8.05</v>
      </c>
      <c r="G26" s="215">
        <v>7.71</v>
      </c>
      <c r="H26" s="215" t="s">
        <v>26</v>
      </c>
      <c r="I26" s="215" t="s">
        <v>26</v>
      </c>
      <c r="J26" s="85">
        <v>8.01</v>
      </c>
      <c r="K26" s="85">
        <v>7.19</v>
      </c>
      <c r="L26" s="85">
        <v>7.59</v>
      </c>
      <c r="M26" s="24">
        <v>7.61</v>
      </c>
      <c r="N26" s="85">
        <v>7.46</v>
      </c>
      <c r="O26" s="24">
        <v>8.06</v>
      </c>
      <c r="P26" s="85">
        <v>7.06</v>
      </c>
      <c r="Q26" s="192">
        <f t="shared" si="1"/>
        <v>7.718</v>
      </c>
      <c r="R26" s="60" t="s">
        <v>161</v>
      </c>
    </row>
    <row r="27" ht="15.75" customHeight="1">
      <c r="A27" s="20"/>
      <c r="B27" s="26"/>
      <c r="C27" s="178">
        <v>7.0</v>
      </c>
      <c r="D27" s="50" t="s">
        <v>214</v>
      </c>
      <c r="E27" s="85">
        <v>8.02</v>
      </c>
      <c r="F27" s="85">
        <v>8.11</v>
      </c>
      <c r="G27" s="215">
        <v>7.61</v>
      </c>
      <c r="H27" s="215" t="s">
        <v>26</v>
      </c>
      <c r="I27" s="215" t="s">
        <v>26</v>
      </c>
      <c r="J27" s="24">
        <v>8.04</v>
      </c>
      <c r="K27" s="24">
        <v>7.9</v>
      </c>
      <c r="L27" s="85">
        <v>8.04</v>
      </c>
      <c r="M27" s="85">
        <v>7.92</v>
      </c>
      <c r="N27" s="85">
        <v>8.01</v>
      </c>
      <c r="O27" s="24">
        <v>7.3</v>
      </c>
      <c r="P27" s="85">
        <v>7.56</v>
      </c>
      <c r="Q27" s="192">
        <f t="shared" si="1"/>
        <v>7.851</v>
      </c>
      <c r="R27" s="60" t="s">
        <v>161</v>
      </c>
    </row>
    <row r="28" ht="15.75" customHeight="1">
      <c r="A28" s="20"/>
      <c r="B28" s="15" t="s">
        <v>216</v>
      </c>
      <c r="C28" s="16">
        <v>1.0</v>
      </c>
      <c r="D28" s="47" t="s">
        <v>207</v>
      </c>
      <c r="E28" s="120">
        <v>28.78</v>
      </c>
      <c r="F28" s="18">
        <v>29.3</v>
      </c>
      <c r="G28" s="83" t="s">
        <v>26</v>
      </c>
      <c r="H28" s="83" t="s">
        <v>26</v>
      </c>
      <c r="I28" s="83" t="s">
        <v>26</v>
      </c>
      <c r="J28" s="84" t="s">
        <v>26</v>
      </c>
      <c r="K28" s="84" t="s">
        <v>26</v>
      </c>
      <c r="L28" s="18">
        <v>31.8</v>
      </c>
      <c r="M28" s="83" t="s">
        <v>208</v>
      </c>
      <c r="N28" s="18">
        <v>33.2</v>
      </c>
      <c r="O28" s="18">
        <v>29.9</v>
      </c>
      <c r="P28" s="18">
        <v>29.4</v>
      </c>
      <c r="Q28" s="190">
        <f t="shared" si="1"/>
        <v>30.39666667</v>
      </c>
      <c r="R28" s="18" t="s">
        <v>163</v>
      </c>
    </row>
    <row r="29" ht="15.75" customHeight="1">
      <c r="A29" s="20"/>
      <c r="B29" s="21"/>
      <c r="C29" s="178">
        <v>2.0</v>
      </c>
      <c r="D29" s="50" t="s">
        <v>209</v>
      </c>
      <c r="E29" s="24">
        <v>28.5</v>
      </c>
      <c r="F29" s="24">
        <v>27.8</v>
      </c>
      <c r="G29" s="215" t="s">
        <v>26</v>
      </c>
      <c r="H29" s="215" t="s">
        <v>26</v>
      </c>
      <c r="I29" s="215" t="s">
        <v>26</v>
      </c>
      <c r="J29" s="24" t="s">
        <v>26</v>
      </c>
      <c r="K29" s="24" t="s">
        <v>26</v>
      </c>
      <c r="L29" s="24">
        <v>31.3</v>
      </c>
      <c r="M29" s="85" t="s">
        <v>208</v>
      </c>
      <c r="N29" s="24">
        <v>33.2</v>
      </c>
      <c r="O29" s="24">
        <v>30.3</v>
      </c>
      <c r="P29" s="24">
        <v>28.93</v>
      </c>
      <c r="Q29" s="192">
        <f t="shared" si="1"/>
        <v>30.005</v>
      </c>
      <c r="R29" s="24" t="s">
        <v>163</v>
      </c>
    </row>
    <row r="30" ht="15.75" customHeight="1">
      <c r="A30" s="20"/>
      <c r="B30" s="21"/>
      <c r="C30" s="178">
        <v>3.0</v>
      </c>
      <c r="D30" s="50" t="s">
        <v>210</v>
      </c>
      <c r="E30" s="85">
        <v>28.15</v>
      </c>
      <c r="F30" s="24">
        <v>28.13</v>
      </c>
      <c r="G30" s="215" t="s">
        <v>26</v>
      </c>
      <c r="H30" s="215" t="s">
        <v>26</v>
      </c>
      <c r="I30" s="215" t="s">
        <v>26</v>
      </c>
      <c r="J30" s="24" t="s">
        <v>26</v>
      </c>
      <c r="K30" s="24" t="s">
        <v>26</v>
      </c>
      <c r="L30" s="24">
        <v>30.7</v>
      </c>
      <c r="M30" s="85" t="s">
        <v>208</v>
      </c>
      <c r="N30" s="24">
        <v>34.1</v>
      </c>
      <c r="O30" s="24">
        <v>30.8</v>
      </c>
      <c r="P30" s="24">
        <v>29.9</v>
      </c>
      <c r="Q30" s="192">
        <f t="shared" si="1"/>
        <v>30.29666667</v>
      </c>
      <c r="R30" s="24" t="s">
        <v>163</v>
      </c>
    </row>
    <row r="31" ht="15.75" customHeight="1">
      <c r="A31" s="20"/>
      <c r="B31" s="21"/>
      <c r="C31" s="178">
        <v>4.0</v>
      </c>
      <c r="D31" s="50" t="s">
        <v>211</v>
      </c>
      <c r="E31" s="85">
        <v>28.93</v>
      </c>
      <c r="F31" s="24">
        <v>28.9</v>
      </c>
      <c r="G31" s="215" t="s">
        <v>26</v>
      </c>
      <c r="H31" s="215" t="s">
        <v>26</v>
      </c>
      <c r="I31" s="215" t="s">
        <v>26</v>
      </c>
      <c r="J31" s="24" t="s">
        <v>26</v>
      </c>
      <c r="K31" s="24" t="s">
        <v>26</v>
      </c>
      <c r="L31" s="24">
        <v>30.38</v>
      </c>
      <c r="M31" s="85" t="s">
        <v>208</v>
      </c>
      <c r="N31" s="24">
        <v>34.2</v>
      </c>
      <c r="O31" s="24">
        <v>30.6</v>
      </c>
      <c r="P31" s="24">
        <v>29.1</v>
      </c>
      <c r="Q31" s="192">
        <f t="shared" si="1"/>
        <v>30.35166667</v>
      </c>
      <c r="R31" s="24" t="s">
        <v>163</v>
      </c>
    </row>
    <row r="32" ht="15.75" customHeight="1">
      <c r="A32" s="20"/>
      <c r="B32" s="21"/>
      <c r="C32" s="178">
        <v>5.0</v>
      </c>
      <c r="D32" s="50" t="s">
        <v>215</v>
      </c>
      <c r="E32" s="24">
        <v>28.5</v>
      </c>
      <c r="F32" s="24">
        <v>27.6</v>
      </c>
      <c r="G32" s="215" t="s">
        <v>26</v>
      </c>
      <c r="H32" s="215" t="s">
        <v>26</v>
      </c>
      <c r="I32" s="215" t="s">
        <v>26</v>
      </c>
      <c r="J32" s="24" t="s">
        <v>26</v>
      </c>
      <c r="K32" s="24" t="s">
        <v>26</v>
      </c>
      <c r="L32" s="24">
        <v>30.4</v>
      </c>
      <c r="M32" s="85" t="s">
        <v>208</v>
      </c>
      <c r="N32" s="24">
        <v>35.2</v>
      </c>
      <c r="O32" s="85">
        <v>31.45</v>
      </c>
      <c r="P32" s="24">
        <v>29.1</v>
      </c>
      <c r="Q32" s="192">
        <f t="shared" si="1"/>
        <v>30.375</v>
      </c>
      <c r="R32" s="24" t="s">
        <v>163</v>
      </c>
    </row>
    <row r="33" ht="15.75" customHeight="1">
      <c r="A33" s="20"/>
      <c r="B33" s="21"/>
      <c r="C33" s="178">
        <v>6.0</v>
      </c>
      <c r="D33" s="50" t="s">
        <v>213</v>
      </c>
      <c r="E33" s="24">
        <v>28.5</v>
      </c>
      <c r="F33" s="24">
        <v>30.8</v>
      </c>
      <c r="G33" s="220">
        <v>31.2</v>
      </c>
      <c r="H33" s="215" t="s">
        <v>26</v>
      </c>
      <c r="I33" s="215" t="s">
        <v>26</v>
      </c>
      <c r="J33" s="24">
        <v>28.5</v>
      </c>
      <c r="K33" s="24">
        <v>31.2</v>
      </c>
      <c r="L33" s="24">
        <v>32.1</v>
      </c>
      <c r="M33" s="24">
        <v>31.1</v>
      </c>
      <c r="N33" s="24">
        <v>37.0</v>
      </c>
      <c r="O33" s="24">
        <v>29.83</v>
      </c>
      <c r="P33" s="24">
        <v>29.0</v>
      </c>
      <c r="Q33" s="192">
        <f t="shared" si="1"/>
        <v>30.923</v>
      </c>
      <c r="R33" s="24" t="s">
        <v>163</v>
      </c>
    </row>
    <row r="34" ht="15.75" customHeight="1">
      <c r="A34" s="20"/>
      <c r="B34" s="26"/>
      <c r="C34" s="178">
        <v>7.0</v>
      </c>
      <c r="D34" s="50" t="s">
        <v>214</v>
      </c>
      <c r="E34" s="24">
        <v>27.9</v>
      </c>
      <c r="F34" s="24">
        <v>30.0</v>
      </c>
      <c r="G34" s="215">
        <v>29.63</v>
      </c>
      <c r="H34" s="215" t="s">
        <v>26</v>
      </c>
      <c r="I34" s="215" t="s">
        <v>26</v>
      </c>
      <c r="J34" s="24">
        <v>30.0</v>
      </c>
      <c r="K34" s="24">
        <v>34.9</v>
      </c>
      <c r="L34" s="24">
        <v>32.05</v>
      </c>
      <c r="M34" s="85">
        <v>33.28</v>
      </c>
      <c r="N34" s="24">
        <v>28.5</v>
      </c>
      <c r="O34" s="24">
        <v>33.13</v>
      </c>
      <c r="P34" s="24">
        <v>28.8</v>
      </c>
      <c r="Q34" s="192">
        <f t="shared" si="1"/>
        <v>30.819</v>
      </c>
      <c r="R34" s="24" t="s">
        <v>163</v>
      </c>
    </row>
    <row r="35" ht="15.75" customHeight="1">
      <c r="A35" s="20"/>
      <c r="B35" s="15" t="s">
        <v>37</v>
      </c>
      <c r="C35" s="16">
        <v>1.0</v>
      </c>
      <c r="D35" s="47" t="s">
        <v>207</v>
      </c>
      <c r="E35" s="120">
        <v>15.0</v>
      </c>
      <c r="F35" s="120">
        <v>15.0</v>
      </c>
      <c r="G35" s="83" t="s">
        <v>26</v>
      </c>
      <c r="H35" s="83" t="s">
        <v>26</v>
      </c>
      <c r="I35" s="83" t="s">
        <v>26</v>
      </c>
      <c r="J35" s="84" t="s">
        <v>26</v>
      </c>
      <c r="K35" s="84" t="s">
        <v>26</v>
      </c>
      <c r="L35" s="86">
        <v>15.0</v>
      </c>
      <c r="M35" s="120">
        <v>20.0</v>
      </c>
      <c r="N35" s="120">
        <v>20.0</v>
      </c>
      <c r="O35" s="120">
        <v>25.0</v>
      </c>
      <c r="P35" s="120">
        <v>20.0</v>
      </c>
      <c r="Q35" s="194">
        <f t="shared" si="1"/>
        <v>18.57142857</v>
      </c>
      <c r="R35" s="27">
        <v>50.0</v>
      </c>
    </row>
    <row r="36" ht="15.75" customHeight="1">
      <c r="A36" s="20"/>
      <c r="B36" s="21"/>
      <c r="C36" s="178">
        <v>2.0</v>
      </c>
      <c r="D36" s="50" t="s">
        <v>209</v>
      </c>
      <c r="E36" s="85">
        <v>15.0</v>
      </c>
      <c r="F36" s="85">
        <v>15.0</v>
      </c>
      <c r="G36" s="215" t="s">
        <v>26</v>
      </c>
      <c r="H36" s="215" t="s">
        <v>26</v>
      </c>
      <c r="I36" s="215" t="s">
        <v>26</v>
      </c>
      <c r="J36" s="24" t="s">
        <v>26</v>
      </c>
      <c r="K36" s="24" t="s">
        <v>26</v>
      </c>
      <c r="L36" s="29">
        <v>20.0</v>
      </c>
      <c r="M36" s="85">
        <v>15.0</v>
      </c>
      <c r="N36" s="85">
        <v>20.0</v>
      </c>
      <c r="O36" s="85">
        <v>20.0</v>
      </c>
      <c r="P36" s="85">
        <v>15.0</v>
      </c>
      <c r="Q36" s="195">
        <f t="shared" si="1"/>
        <v>17.14285714</v>
      </c>
      <c r="R36" s="29">
        <v>50.0</v>
      </c>
    </row>
    <row r="37" ht="15.75" customHeight="1">
      <c r="A37" s="20"/>
      <c r="B37" s="21"/>
      <c r="C37" s="178">
        <v>3.0</v>
      </c>
      <c r="D37" s="50" t="s">
        <v>210</v>
      </c>
      <c r="E37" s="85">
        <v>15.0</v>
      </c>
      <c r="F37" s="85">
        <v>10.0</v>
      </c>
      <c r="G37" s="215" t="s">
        <v>26</v>
      </c>
      <c r="H37" s="215" t="s">
        <v>26</v>
      </c>
      <c r="I37" s="215" t="s">
        <v>26</v>
      </c>
      <c r="J37" s="24" t="s">
        <v>26</v>
      </c>
      <c r="K37" s="24" t="s">
        <v>26</v>
      </c>
      <c r="L37" s="29">
        <v>15.0</v>
      </c>
      <c r="M37" s="85">
        <v>15.0</v>
      </c>
      <c r="N37" s="85">
        <v>20.0</v>
      </c>
      <c r="O37" s="85">
        <v>20.0</v>
      </c>
      <c r="P37" s="85">
        <v>15.0</v>
      </c>
      <c r="Q37" s="195">
        <f t="shared" si="1"/>
        <v>15.71428571</v>
      </c>
      <c r="R37" s="29">
        <v>50.0</v>
      </c>
    </row>
    <row r="38" ht="15.75" customHeight="1">
      <c r="A38" s="20"/>
      <c r="B38" s="21"/>
      <c r="C38" s="178">
        <v>4.0</v>
      </c>
      <c r="D38" s="50" t="s">
        <v>211</v>
      </c>
      <c r="E38" s="85">
        <v>10.0</v>
      </c>
      <c r="F38" s="85">
        <v>10.0</v>
      </c>
      <c r="G38" s="215" t="s">
        <v>26</v>
      </c>
      <c r="H38" s="215" t="s">
        <v>26</v>
      </c>
      <c r="I38" s="215" t="s">
        <v>26</v>
      </c>
      <c r="J38" s="24" t="s">
        <v>26</v>
      </c>
      <c r="K38" s="24" t="s">
        <v>26</v>
      </c>
      <c r="L38" s="29">
        <v>15.0</v>
      </c>
      <c r="M38" s="85">
        <v>15.0</v>
      </c>
      <c r="N38" s="85">
        <v>20.0</v>
      </c>
      <c r="O38" s="85">
        <v>25.0</v>
      </c>
      <c r="P38" s="85">
        <v>10.0</v>
      </c>
      <c r="Q38" s="195">
        <f t="shared" si="1"/>
        <v>15</v>
      </c>
      <c r="R38" s="29">
        <v>50.0</v>
      </c>
    </row>
    <row r="39" ht="15.75" customHeight="1">
      <c r="A39" s="20"/>
      <c r="B39" s="21"/>
      <c r="C39" s="178">
        <v>5.0</v>
      </c>
      <c r="D39" s="50" t="s">
        <v>215</v>
      </c>
      <c r="E39" s="85">
        <v>15.0</v>
      </c>
      <c r="F39" s="85">
        <v>10.0</v>
      </c>
      <c r="G39" s="215" t="s">
        <v>26</v>
      </c>
      <c r="H39" s="215" t="s">
        <v>26</v>
      </c>
      <c r="I39" s="215" t="s">
        <v>26</v>
      </c>
      <c r="J39" s="24" t="s">
        <v>26</v>
      </c>
      <c r="K39" s="24" t="s">
        <v>26</v>
      </c>
      <c r="L39" s="29">
        <v>15.0</v>
      </c>
      <c r="M39" s="85">
        <v>10.0</v>
      </c>
      <c r="N39" s="85">
        <v>20.0</v>
      </c>
      <c r="O39" s="85">
        <v>25.0</v>
      </c>
      <c r="P39" s="85">
        <v>10.0</v>
      </c>
      <c r="Q39" s="195">
        <f t="shared" si="1"/>
        <v>15</v>
      </c>
      <c r="R39" s="29">
        <v>50.0</v>
      </c>
    </row>
    <row r="40" ht="15.75" customHeight="1">
      <c r="A40" s="20"/>
      <c r="B40" s="21"/>
      <c r="C40" s="178">
        <v>6.0</v>
      </c>
      <c r="D40" s="50" t="s">
        <v>213</v>
      </c>
      <c r="E40" s="85">
        <v>5.0</v>
      </c>
      <c r="F40" s="85">
        <v>10.0</v>
      </c>
      <c r="G40" s="215">
        <v>5.0</v>
      </c>
      <c r="H40" s="215" t="s">
        <v>26</v>
      </c>
      <c r="I40" s="215" t="s">
        <v>26</v>
      </c>
      <c r="J40" s="85">
        <v>5.0</v>
      </c>
      <c r="K40" s="68" t="s">
        <v>59</v>
      </c>
      <c r="L40" s="85">
        <v>10.0</v>
      </c>
      <c r="M40" s="85">
        <v>10.0</v>
      </c>
      <c r="N40" s="85">
        <v>10.0</v>
      </c>
      <c r="O40" s="85">
        <v>10.0</v>
      </c>
      <c r="P40" s="85">
        <v>10.0</v>
      </c>
      <c r="Q40" s="195">
        <f t="shared" si="1"/>
        <v>8.333333333</v>
      </c>
      <c r="R40" s="29">
        <v>50.0</v>
      </c>
    </row>
    <row r="41" ht="15.75" customHeight="1">
      <c r="A41" s="20"/>
      <c r="B41" s="26"/>
      <c r="C41" s="178">
        <v>7.0</v>
      </c>
      <c r="D41" s="50" t="s">
        <v>214</v>
      </c>
      <c r="E41" s="85">
        <v>5.0</v>
      </c>
      <c r="F41" s="85">
        <v>5.0</v>
      </c>
      <c r="G41" s="215">
        <v>5.0</v>
      </c>
      <c r="H41" s="215" t="s">
        <v>26</v>
      </c>
      <c r="I41" s="215" t="s">
        <v>26</v>
      </c>
      <c r="J41" s="85">
        <v>5.0</v>
      </c>
      <c r="K41" s="68" t="s">
        <v>59</v>
      </c>
      <c r="L41" s="85">
        <v>10.0</v>
      </c>
      <c r="M41" s="85">
        <v>5.0</v>
      </c>
      <c r="N41" s="85">
        <v>10.0</v>
      </c>
      <c r="O41" s="85">
        <v>10.0</v>
      </c>
      <c r="P41" s="85">
        <v>5.0</v>
      </c>
      <c r="Q41" s="195">
        <f t="shared" si="1"/>
        <v>6.666666667</v>
      </c>
      <c r="R41" s="29">
        <v>50.0</v>
      </c>
    </row>
    <row r="42" ht="15.75" customHeight="1">
      <c r="A42" s="20"/>
      <c r="B42" s="15" t="s">
        <v>38</v>
      </c>
      <c r="C42" s="16">
        <v>1.0</v>
      </c>
      <c r="D42" s="47" t="s">
        <v>207</v>
      </c>
      <c r="E42" s="32">
        <v>7900.0</v>
      </c>
      <c r="F42" s="120">
        <v>540.0</v>
      </c>
      <c r="G42" s="83" t="s">
        <v>26</v>
      </c>
      <c r="H42" s="83" t="s">
        <v>26</v>
      </c>
      <c r="I42" s="83" t="s">
        <v>26</v>
      </c>
      <c r="J42" s="84" t="s">
        <v>26</v>
      </c>
      <c r="K42" s="84" t="s">
        <v>26</v>
      </c>
      <c r="L42" s="32">
        <v>460.0</v>
      </c>
      <c r="M42" s="31">
        <v>540.0</v>
      </c>
      <c r="N42" s="31">
        <v>540.0</v>
      </c>
      <c r="O42" s="31">
        <v>24000.0</v>
      </c>
      <c r="P42" s="31">
        <v>3500.0</v>
      </c>
      <c r="Q42" s="196">
        <f t="shared" ref="Q42:Q46" si="2">GEOMEAN(E42,F42,G42,H42,I42,J42,K42,L42,M42,N42,O42,P42)</f>
        <v>1738.856092</v>
      </c>
      <c r="R42" s="17">
        <v>100.0</v>
      </c>
      <c r="S42" s="217">
        <f>GEOMEAN(Q42:Q48)</f>
        <v>6430.781772</v>
      </c>
    </row>
    <row r="43" ht="15.75" customHeight="1">
      <c r="A43" s="20"/>
      <c r="B43" s="21"/>
      <c r="C43" s="178">
        <v>2.0</v>
      </c>
      <c r="D43" s="50" t="s">
        <v>209</v>
      </c>
      <c r="E43" s="36">
        <v>94000.0</v>
      </c>
      <c r="F43" s="35">
        <v>3300.0</v>
      </c>
      <c r="G43" s="215" t="s">
        <v>26</v>
      </c>
      <c r="H43" s="215" t="s">
        <v>26</v>
      </c>
      <c r="I43" s="215" t="s">
        <v>26</v>
      </c>
      <c r="J43" s="24" t="s">
        <v>26</v>
      </c>
      <c r="K43" s="24" t="s">
        <v>26</v>
      </c>
      <c r="L43" s="36">
        <v>17000.0</v>
      </c>
      <c r="M43" s="35">
        <v>110.0</v>
      </c>
      <c r="N43" s="35">
        <v>3500.0</v>
      </c>
      <c r="O43" s="35">
        <v>2400.0</v>
      </c>
      <c r="P43" s="85">
        <v>350.0</v>
      </c>
      <c r="Q43" s="197">
        <f t="shared" si="2"/>
        <v>2895.276893</v>
      </c>
      <c r="R43" s="23">
        <v>100.0</v>
      </c>
    </row>
    <row r="44" ht="15.75" customHeight="1">
      <c r="A44" s="20"/>
      <c r="B44" s="21"/>
      <c r="C44" s="178">
        <v>3.0</v>
      </c>
      <c r="D44" s="50" t="s">
        <v>210</v>
      </c>
      <c r="E44" s="36">
        <v>22000.0</v>
      </c>
      <c r="F44" s="35">
        <v>3300.0</v>
      </c>
      <c r="G44" s="215" t="s">
        <v>26</v>
      </c>
      <c r="H44" s="215" t="s">
        <v>26</v>
      </c>
      <c r="I44" s="215" t="s">
        <v>26</v>
      </c>
      <c r="J44" s="24" t="s">
        <v>26</v>
      </c>
      <c r="K44" s="24" t="s">
        <v>26</v>
      </c>
      <c r="L44" s="36">
        <v>220.0</v>
      </c>
      <c r="M44" s="35">
        <v>350.0</v>
      </c>
      <c r="N44" s="35">
        <v>1100.0</v>
      </c>
      <c r="O44" s="35">
        <v>1600.0</v>
      </c>
      <c r="P44" s="35">
        <v>16000.0</v>
      </c>
      <c r="Q44" s="197">
        <f t="shared" si="2"/>
        <v>2059.992854</v>
      </c>
      <c r="R44" s="23">
        <v>100.0</v>
      </c>
    </row>
    <row r="45" ht="15.75" customHeight="1">
      <c r="A45" s="20"/>
      <c r="B45" s="21"/>
      <c r="C45" s="178">
        <v>4.0</v>
      </c>
      <c r="D45" s="50" t="s">
        <v>211</v>
      </c>
      <c r="E45" s="36">
        <v>3300.0</v>
      </c>
      <c r="F45" s="35">
        <v>3300.0</v>
      </c>
      <c r="G45" s="215" t="s">
        <v>26</v>
      </c>
      <c r="H45" s="215" t="s">
        <v>26</v>
      </c>
      <c r="I45" s="215" t="s">
        <v>26</v>
      </c>
      <c r="J45" s="24" t="s">
        <v>26</v>
      </c>
      <c r="K45" s="24" t="s">
        <v>26</v>
      </c>
      <c r="L45" s="36">
        <v>92000.0</v>
      </c>
      <c r="M45" s="35">
        <v>36.0</v>
      </c>
      <c r="N45" s="36">
        <v>120.0</v>
      </c>
      <c r="O45" s="35">
        <v>2400.0</v>
      </c>
      <c r="P45" s="85">
        <v>33.0</v>
      </c>
      <c r="Q45" s="197">
        <f t="shared" si="2"/>
        <v>858.1732003</v>
      </c>
      <c r="R45" s="23">
        <v>100.0</v>
      </c>
    </row>
    <row r="46" ht="15.75" customHeight="1">
      <c r="A46" s="20"/>
      <c r="B46" s="21"/>
      <c r="C46" s="178">
        <v>5.0</v>
      </c>
      <c r="D46" s="50" t="s">
        <v>215</v>
      </c>
      <c r="E46" s="36">
        <v>4900.0</v>
      </c>
      <c r="F46" s="35">
        <v>4600.0</v>
      </c>
      <c r="G46" s="215" t="s">
        <v>26</v>
      </c>
      <c r="H46" s="215" t="s">
        <v>26</v>
      </c>
      <c r="I46" s="215" t="s">
        <v>26</v>
      </c>
      <c r="J46" s="24" t="s">
        <v>26</v>
      </c>
      <c r="K46" s="24" t="s">
        <v>26</v>
      </c>
      <c r="L46" s="36">
        <v>350000.0</v>
      </c>
      <c r="M46" s="35">
        <v>3300.0</v>
      </c>
      <c r="N46" s="35">
        <v>1600.0</v>
      </c>
      <c r="O46" s="35">
        <v>3500.0</v>
      </c>
      <c r="P46" s="35">
        <v>16000.0</v>
      </c>
      <c r="Q46" s="197">
        <f t="shared" si="2"/>
        <v>8122.54239</v>
      </c>
      <c r="R46" s="23">
        <v>100.0</v>
      </c>
    </row>
    <row r="47" ht="18.75" customHeight="1">
      <c r="A47" s="221"/>
      <c r="B47" s="21"/>
      <c r="C47" s="222">
        <v>6.0</v>
      </c>
      <c r="D47" s="145" t="s">
        <v>213</v>
      </c>
      <c r="E47" s="166" t="s">
        <v>217</v>
      </c>
      <c r="F47" s="35">
        <v>350000.0</v>
      </c>
      <c r="G47" s="35">
        <v>920000.0</v>
      </c>
      <c r="H47" s="215" t="s">
        <v>26</v>
      </c>
      <c r="I47" s="215" t="s">
        <v>26</v>
      </c>
      <c r="J47" s="35" t="s">
        <v>109</v>
      </c>
      <c r="K47" s="68" t="s">
        <v>59</v>
      </c>
      <c r="L47" s="35" t="s">
        <v>109</v>
      </c>
      <c r="M47" s="35">
        <v>350000.0</v>
      </c>
      <c r="N47" s="35">
        <v>54000.0</v>
      </c>
      <c r="O47" s="35">
        <v>160000.0</v>
      </c>
      <c r="P47" s="35">
        <v>110000.0</v>
      </c>
      <c r="Q47" s="197">
        <f>GEOMEAN(1600,F47,G47,H47,I47,J47,K47,16000000,M47,N47,O47,P47)</f>
        <v>201724.5655</v>
      </c>
      <c r="R47" s="23">
        <v>100.0</v>
      </c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0"/>
      <c r="B48" s="26"/>
      <c r="C48" s="178">
        <v>7.0</v>
      </c>
      <c r="D48" s="50" t="s">
        <v>214</v>
      </c>
      <c r="E48" s="85" t="s">
        <v>218</v>
      </c>
      <c r="F48" s="35">
        <v>1700.0</v>
      </c>
      <c r="G48" s="35">
        <v>594266.0</v>
      </c>
      <c r="H48" s="215" t="s">
        <v>26</v>
      </c>
      <c r="I48" s="215" t="s">
        <v>26</v>
      </c>
      <c r="J48" s="224">
        <v>9.2E7</v>
      </c>
      <c r="K48" s="68" t="s">
        <v>59</v>
      </c>
      <c r="L48" s="35">
        <v>460.0</v>
      </c>
      <c r="M48" s="35">
        <v>54000.0</v>
      </c>
      <c r="N48" s="35">
        <v>700000.0</v>
      </c>
      <c r="O48" s="35">
        <v>240000.0</v>
      </c>
      <c r="P48" s="85">
        <v>450.0</v>
      </c>
      <c r="Q48" s="197">
        <f>GEOMEAN(160,F48,G48,H48,I48,J48,K48,L48,M48,N48,O48,P48)</f>
        <v>31188.98363</v>
      </c>
      <c r="R48" s="23">
        <v>100.0</v>
      </c>
    </row>
    <row r="49" ht="15.75" customHeight="1">
      <c r="A49" s="20"/>
      <c r="B49" s="15" t="s">
        <v>196</v>
      </c>
      <c r="C49" s="16">
        <v>1.0</v>
      </c>
      <c r="D49" s="47" t="s">
        <v>207</v>
      </c>
      <c r="E49" s="120">
        <v>0.423</v>
      </c>
      <c r="F49" s="120">
        <v>0.051</v>
      </c>
      <c r="G49" s="83" t="s">
        <v>26</v>
      </c>
      <c r="H49" s="83" t="s">
        <v>26</v>
      </c>
      <c r="I49" s="83" t="s">
        <v>26</v>
      </c>
      <c r="J49" s="18" t="s">
        <v>26</v>
      </c>
      <c r="K49" s="84" t="s">
        <v>26</v>
      </c>
      <c r="L49" s="84" t="s">
        <v>40</v>
      </c>
      <c r="M49" s="120" t="s">
        <v>40</v>
      </c>
      <c r="N49" s="120">
        <v>0.523</v>
      </c>
      <c r="O49" s="120">
        <v>0.705</v>
      </c>
      <c r="P49" s="120">
        <v>0.469</v>
      </c>
      <c r="Q49" s="198">
        <f>AVERAGE(E49,F49,G49,H49,I49,J49,K49,0.045,0.045,N49,O49,P49)</f>
        <v>0.323</v>
      </c>
      <c r="R49" s="17">
        <v>10.0</v>
      </c>
    </row>
    <row r="50" ht="15.75" customHeight="1">
      <c r="A50" s="20"/>
      <c r="B50" s="21"/>
      <c r="C50" s="178">
        <v>2.0</v>
      </c>
      <c r="D50" s="50" t="s">
        <v>209</v>
      </c>
      <c r="E50" s="41">
        <v>0.4</v>
      </c>
      <c r="F50" s="85">
        <v>0.186</v>
      </c>
      <c r="G50" s="215" t="s">
        <v>26</v>
      </c>
      <c r="H50" s="215" t="s">
        <v>26</v>
      </c>
      <c r="I50" s="215" t="s">
        <v>26</v>
      </c>
      <c r="J50" s="24" t="s">
        <v>26</v>
      </c>
      <c r="K50" s="24" t="s">
        <v>26</v>
      </c>
      <c r="L50" s="24" t="s">
        <v>40</v>
      </c>
      <c r="M50" s="41">
        <v>0.054</v>
      </c>
      <c r="N50" s="85">
        <v>0.317</v>
      </c>
      <c r="O50" s="85">
        <v>0.755</v>
      </c>
      <c r="P50" s="85">
        <v>0.293</v>
      </c>
      <c r="Q50" s="200">
        <f>AVERAGE(E50,F50,G50,H50,I50,J50,K50,0.045,M50,N50,O50,P50)</f>
        <v>0.2928571429</v>
      </c>
      <c r="R50" s="23">
        <v>10.0</v>
      </c>
    </row>
    <row r="51" ht="15.75" customHeight="1">
      <c r="A51" s="20"/>
      <c r="B51" s="21"/>
      <c r="C51" s="178">
        <v>3.0</v>
      </c>
      <c r="D51" s="50" t="s">
        <v>210</v>
      </c>
      <c r="E51" s="85">
        <v>0.227</v>
      </c>
      <c r="F51" s="85" t="s">
        <v>40</v>
      </c>
      <c r="G51" s="215" t="s">
        <v>26</v>
      </c>
      <c r="H51" s="215" t="s">
        <v>26</v>
      </c>
      <c r="I51" s="215" t="s">
        <v>26</v>
      </c>
      <c r="J51" s="24" t="s">
        <v>26</v>
      </c>
      <c r="K51" s="24" t="s">
        <v>26</v>
      </c>
      <c r="L51" s="24" t="s">
        <v>40</v>
      </c>
      <c r="M51" s="85" t="s">
        <v>40</v>
      </c>
      <c r="N51" s="85">
        <v>0.247</v>
      </c>
      <c r="O51" s="85">
        <v>0.591</v>
      </c>
      <c r="P51" s="85" t="s">
        <v>40</v>
      </c>
      <c r="Q51" s="200">
        <f>AVERAGE(E51,0.045,G51,H51,I51,J51,K51,0.045,0.045,N51,O51,P51)</f>
        <v>0.2</v>
      </c>
      <c r="R51" s="23">
        <v>10.0</v>
      </c>
    </row>
    <row r="52" ht="15.75" customHeight="1">
      <c r="A52" s="20"/>
      <c r="B52" s="21"/>
      <c r="C52" s="178">
        <v>4.0</v>
      </c>
      <c r="D52" s="50" t="s">
        <v>211</v>
      </c>
      <c r="E52" s="85">
        <v>0.828</v>
      </c>
      <c r="F52" s="85">
        <v>0.256</v>
      </c>
      <c r="G52" s="215" t="s">
        <v>26</v>
      </c>
      <c r="H52" s="215" t="s">
        <v>26</v>
      </c>
      <c r="I52" s="215" t="s">
        <v>26</v>
      </c>
      <c r="J52" s="24" t="s">
        <v>26</v>
      </c>
      <c r="K52" s="24" t="s">
        <v>26</v>
      </c>
      <c r="L52" s="41">
        <v>0.142</v>
      </c>
      <c r="M52" s="85">
        <v>0.052</v>
      </c>
      <c r="N52" s="85">
        <v>0.333</v>
      </c>
      <c r="O52" s="85">
        <v>0.616</v>
      </c>
      <c r="P52" s="85" t="s">
        <v>40</v>
      </c>
      <c r="Q52" s="200">
        <f>AVERAGE(E52,F52,G52,H52,I52,J52,K52,L52,M52,N52,O52,P52)</f>
        <v>0.3711666667</v>
      </c>
      <c r="R52" s="23">
        <v>10.0</v>
      </c>
    </row>
    <row r="53" ht="15.75" customHeight="1">
      <c r="A53" s="20"/>
      <c r="B53" s="21"/>
      <c r="C53" s="178">
        <v>5.0</v>
      </c>
      <c r="D53" s="50" t="s">
        <v>215</v>
      </c>
      <c r="E53" s="41">
        <v>0.26</v>
      </c>
      <c r="F53" s="85">
        <v>0.075</v>
      </c>
      <c r="G53" s="215" t="s">
        <v>26</v>
      </c>
      <c r="H53" s="215" t="s">
        <v>26</v>
      </c>
      <c r="I53" s="215" t="s">
        <v>26</v>
      </c>
      <c r="J53" s="24" t="s">
        <v>26</v>
      </c>
      <c r="K53" s="24" t="s">
        <v>26</v>
      </c>
      <c r="L53" s="41">
        <v>0.155</v>
      </c>
      <c r="M53" s="85" t="s">
        <v>40</v>
      </c>
      <c r="N53" s="85">
        <v>0.192</v>
      </c>
      <c r="O53" s="41">
        <v>0.48</v>
      </c>
      <c r="P53" s="85" t="s">
        <v>40</v>
      </c>
      <c r="Q53" s="200">
        <f t="shared" ref="Q53:Q54" si="3">AVERAGE(E53,F53,G53,H53,I53,J53,K53,L53,0.045,N53,O53,P53)</f>
        <v>0.2011666667</v>
      </c>
      <c r="R53" s="23">
        <v>10.0</v>
      </c>
    </row>
    <row r="54" ht="15.75" customHeight="1">
      <c r="A54" s="20"/>
      <c r="B54" s="21"/>
      <c r="C54" s="178">
        <v>6.0</v>
      </c>
      <c r="D54" s="50" t="s">
        <v>213</v>
      </c>
      <c r="E54" s="85">
        <v>0.816</v>
      </c>
      <c r="F54" s="85">
        <v>1.072</v>
      </c>
      <c r="G54" s="85">
        <v>0.398</v>
      </c>
      <c r="H54" s="215" t="s">
        <v>26</v>
      </c>
      <c r="I54" s="215" t="s">
        <v>26</v>
      </c>
      <c r="J54" s="85">
        <v>0.267</v>
      </c>
      <c r="K54" s="68" t="s">
        <v>59</v>
      </c>
      <c r="L54" s="85">
        <v>0.594</v>
      </c>
      <c r="M54" s="41" t="s">
        <v>40</v>
      </c>
      <c r="N54" s="41">
        <v>0.6</v>
      </c>
      <c r="O54" s="41">
        <v>0.45</v>
      </c>
      <c r="P54" s="85">
        <v>0.538</v>
      </c>
      <c r="Q54" s="200">
        <f t="shared" si="3"/>
        <v>0.5311111111</v>
      </c>
      <c r="R54" s="23">
        <v>10.0</v>
      </c>
    </row>
    <row r="55" ht="15.75" customHeight="1">
      <c r="A55" s="20"/>
      <c r="B55" s="26"/>
      <c r="C55" s="178">
        <v>7.0</v>
      </c>
      <c r="D55" s="50" t="s">
        <v>214</v>
      </c>
      <c r="E55" s="85">
        <v>0.616</v>
      </c>
      <c r="F55" s="85">
        <v>0.164</v>
      </c>
      <c r="G55" s="85">
        <v>0.258</v>
      </c>
      <c r="H55" s="215" t="s">
        <v>26</v>
      </c>
      <c r="I55" s="215" t="s">
        <v>26</v>
      </c>
      <c r="J55" s="85" t="s">
        <v>40</v>
      </c>
      <c r="K55" s="68" t="s">
        <v>59</v>
      </c>
      <c r="L55" s="41" t="s">
        <v>40</v>
      </c>
      <c r="M55" s="85" t="s">
        <v>40</v>
      </c>
      <c r="N55" s="85">
        <v>0.486</v>
      </c>
      <c r="O55" s="85">
        <v>0.208</v>
      </c>
      <c r="P55" s="85">
        <v>0.177</v>
      </c>
      <c r="Q55" s="200">
        <f>AVERAGE(E55,F55,G55,H55,I55,J55,K55,0.045,0.045,N55,O55,P55)</f>
        <v>0.249875</v>
      </c>
      <c r="R55" s="23">
        <v>10.0</v>
      </c>
    </row>
    <row r="56" ht="15.75" customHeight="1">
      <c r="A56" s="20"/>
      <c r="B56" s="15" t="s">
        <v>197</v>
      </c>
      <c r="C56" s="16">
        <v>1.0</v>
      </c>
      <c r="D56" s="47" t="s">
        <v>207</v>
      </c>
      <c r="E56" s="120">
        <v>0.238</v>
      </c>
      <c r="F56" s="120">
        <v>0.231</v>
      </c>
      <c r="G56" s="83" t="s">
        <v>26</v>
      </c>
      <c r="H56" s="83" t="s">
        <v>26</v>
      </c>
      <c r="I56" s="83" t="s">
        <v>26</v>
      </c>
      <c r="J56" s="84" t="s">
        <v>26</v>
      </c>
      <c r="K56" s="84" t="s">
        <v>26</v>
      </c>
      <c r="L56" s="120">
        <v>0.197</v>
      </c>
      <c r="M56" s="39">
        <v>0.282</v>
      </c>
      <c r="N56" s="120">
        <v>0.346</v>
      </c>
      <c r="O56" s="120">
        <v>0.245</v>
      </c>
      <c r="P56" s="120">
        <v>0.293</v>
      </c>
      <c r="Q56" s="198">
        <f t="shared" ref="Q56:Q62" si="4">AVERAGE(E56,F56,G56,H56,I56,J56,K56,L56,M56,N56,O56,P56)</f>
        <v>0.2617142857</v>
      </c>
      <c r="R56" s="17">
        <v>0.5</v>
      </c>
    </row>
    <row r="57" ht="15.75" customHeight="1">
      <c r="A57" s="20"/>
      <c r="B57" s="21"/>
      <c r="C57" s="178">
        <v>2.0</v>
      </c>
      <c r="D57" s="50" t="s">
        <v>209</v>
      </c>
      <c r="E57" s="41">
        <v>0.33</v>
      </c>
      <c r="F57" s="85">
        <v>0.285</v>
      </c>
      <c r="G57" s="215" t="s">
        <v>26</v>
      </c>
      <c r="H57" s="215" t="s">
        <v>26</v>
      </c>
      <c r="I57" s="215" t="s">
        <v>26</v>
      </c>
      <c r="J57" s="24" t="s">
        <v>26</v>
      </c>
      <c r="K57" s="24" t="s">
        <v>26</v>
      </c>
      <c r="L57" s="85">
        <v>0.123</v>
      </c>
      <c r="M57" s="41">
        <v>0.272</v>
      </c>
      <c r="N57" s="85">
        <v>0.301</v>
      </c>
      <c r="O57" s="85">
        <v>0.221</v>
      </c>
      <c r="P57" s="85">
        <v>0.153</v>
      </c>
      <c r="Q57" s="200">
        <f t="shared" si="4"/>
        <v>0.2407142857</v>
      </c>
      <c r="R57" s="23">
        <v>0.5</v>
      </c>
    </row>
    <row r="58" ht="15.75" customHeight="1">
      <c r="A58" s="20"/>
      <c r="B58" s="21"/>
      <c r="C58" s="178">
        <v>3.0</v>
      </c>
      <c r="D58" s="50" t="s">
        <v>210</v>
      </c>
      <c r="E58" s="85">
        <v>0.336</v>
      </c>
      <c r="F58" s="85">
        <v>0.224</v>
      </c>
      <c r="G58" s="215" t="s">
        <v>26</v>
      </c>
      <c r="H58" s="215" t="s">
        <v>26</v>
      </c>
      <c r="I58" s="215" t="s">
        <v>26</v>
      </c>
      <c r="J58" s="24" t="s">
        <v>26</v>
      </c>
      <c r="K58" s="24" t="s">
        <v>26</v>
      </c>
      <c r="L58" s="85">
        <v>0.168</v>
      </c>
      <c r="M58" s="85">
        <v>0.264</v>
      </c>
      <c r="N58" s="41">
        <v>0.3</v>
      </c>
      <c r="O58" s="85">
        <v>0.196</v>
      </c>
      <c r="P58" s="85">
        <v>0.148</v>
      </c>
      <c r="Q58" s="200">
        <f t="shared" si="4"/>
        <v>0.2337142857</v>
      </c>
      <c r="R58" s="23">
        <v>0.5</v>
      </c>
    </row>
    <row r="59" ht="15.75" customHeight="1">
      <c r="A59" s="20"/>
      <c r="B59" s="21"/>
      <c r="C59" s="178">
        <v>4.0</v>
      </c>
      <c r="D59" s="50" t="s">
        <v>211</v>
      </c>
      <c r="E59" s="85">
        <v>0.184</v>
      </c>
      <c r="F59" s="85">
        <v>0.335</v>
      </c>
      <c r="G59" s="215" t="s">
        <v>26</v>
      </c>
      <c r="H59" s="215" t="s">
        <v>26</v>
      </c>
      <c r="I59" s="215" t="s">
        <v>26</v>
      </c>
      <c r="J59" s="24" t="s">
        <v>26</v>
      </c>
      <c r="K59" s="24" t="s">
        <v>26</v>
      </c>
      <c r="L59" s="85">
        <v>0.282</v>
      </c>
      <c r="M59" s="85">
        <v>0.235</v>
      </c>
      <c r="N59" s="85">
        <v>0.234</v>
      </c>
      <c r="O59" s="85">
        <v>0.223</v>
      </c>
      <c r="P59" s="85">
        <v>0.119</v>
      </c>
      <c r="Q59" s="200">
        <f t="shared" si="4"/>
        <v>0.2302857143</v>
      </c>
      <c r="R59" s="23">
        <v>0.5</v>
      </c>
    </row>
    <row r="60" ht="15.75" customHeight="1">
      <c r="A60" s="20"/>
      <c r="B60" s="21"/>
      <c r="C60" s="178">
        <v>5.0</v>
      </c>
      <c r="D60" s="50" t="s">
        <v>215</v>
      </c>
      <c r="E60" s="85">
        <v>0.377</v>
      </c>
      <c r="F60" s="85">
        <v>0.249</v>
      </c>
      <c r="G60" s="215" t="s">
        <v>26</v>
      </c>
      <c r="H60" s="215" t="s">
        <v>26</v>
      </c>
      <c r="I60" s="215" t="s">
        <v>26</v>
      </c>
      <c r="J60" s="24" t="s">
        <v>26</v>
      </c>
      <c r="K60" s="24" t="s">
        <v>26</v>
      </c>
      <c r="L60" s="85">
        <v>0.275</v>
      </c>
      <c r="M60" s="85">
        <v>0.132</v>
      </c>
      <c r="N60" s="85">
        <v>0.284</v>
      </c>
      <c r="O60" s="85">
        <v>0.292</v>
      </c>
      <c r="P60" s="85">
        <v>0.189</v>
      </c>
      <c r="Q60" s="200">
        <f t="shared" si="4"/>
        <v>0.2568571429</v>
      </c>
      <c r="R60" s="23">
        <v>0.5</v>
      </c>
    </row>
    <row r="61" ht="15.75" customHeight="1">
      <c r="A61" s="20"/>
      <c r="B61" s="21"/>
      <c r="C61" s="178">
        <v>6.0</v>
      </c>
      <c r="D61" s="50" t="s">
        <v>213</v>
      </c>
      <c r="E61" s="85">
        <v>0.159</v>
      </c>
      <c r="F61" s="85">
        <v>0.175</v>
      </c>
      <c r="G61" s="41">
        <v>0.16</v>
      </c>
      <c r="H61" s="215" t="s">
        <v>26</v>
      </c>
      <c r="I61" s="215" t="s">
        <v>26</v>
      </c>
      <c r="J61" s="41">
        <v>0.11</v>
      </c>
      <c r="K61" s="68" t="s">
        <v>59</v>
      </c>
      <c r="L61" s="41">
        <v>0.166</v>
      </c>
      <c r="M61" s="85">
        <v>0.209</v>
      </c>
      <c r="N61" s="85">
        <v>0.255</v>
      </c>
      <c r="O61" s="85">
        <v>0.088</v>
      </c>
      <c r="P61" s="85">
        <v>0.121</v>
      </c>
      <c r="Q61" s="200">
        <f t="shared" si="4"/>
        <v>0.1603333333</v>
      </c>
      <c r="R61" s="23">
        <v>0.5</v>
      </c>
    </row>
    <row r="62" ht="15.75" customHeight="1">
      <c r="A62" s="20"/>
      <c r="B62" s="26"/>
      <c r="C62" s="178">
        <v>7.0</v>
      </c>
      <c r="D62" s="50" t="s">
        <v>214</v>
      </c>
      <c r="E62" s="41">
        <v>0.12</v>
      </c>
      <c r="F62" s="85">
        <v>0.071</v>
      </c>
      <c r="G62" s="41">
        <v>0.102</v>
      </c>
      <c r="H62" s="215" t="s">
        <v>26</v>
      </c>
      <c r="I62" s="215" t="s">
        <v>26</v>
      </c>
      <c r="J62" s="85">
        <v>0.055</v>
      </c>
      <c r="K62" s="68" t="s">
        <v>59</v>
      </c>
      <c r="L62" s="85">
        <v>0.055</v>
      </c>
      <c r="M62" s="85">
        <v>0.098</v>
      </c>
      <c r="N62" s="41">
        <v>0.116</v>
      </c>
      <c r="O62" s="85">
        <v>0.092</v>
      </c>
      <c r="P62" s="85">
        <v>0.105</v>
      </c>
      <c r="Q62" s="200">
        <f t="shared" si="4"/>
        <v>0.09044444444</v>
      </c>
      <c r="R62" s="23">
        <v>0.5</v>
      </c>
    </row>
    <row r="63" ht="15.75" customHeight="1">
      <c r="A63" s="91"/>
      <c r="B63" s="225"/>
      <c r="C63" s="226"/>
      <c r="D63" s="227"/>
      <c r="E63" s="228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</row>
    <row r="64" ht="15.75" customHeight="1">
      <c r="A64" s="91" t="s">
        <v>43</v>
      </c>
      <c r="D64" s="91"/>
    </row>
    <row r="65" ht="15.75" customHeight="1"/>
    <row r="66" ht="14.25" customHeight="1">
      <c r="A66" s="72" t="s">
        <v>219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 t="s">
        <v>220</v>
      </c>
      <c r="B67" s="72"/>
      <c r="C67" s="72"/>
    </row>
    <row r="68" ht="15.75" customHeight="1">
      <c r="A68" s="91"/>
      <c r="D68" s="91"/>
    </row>
    <row r="69" ht="15.75" customHeight="1"/>
    <row r="70" ht="15.75" customHeight="1"/>
    <row r="71" ht="15.75" customHeight="1">
      <c r="A71" s="230"/>
    </row>
    <row r="72" ht="15.75" customHeight="1"/>
    <row r="73" ht="15.75" customHeight="1">
      <c r="F73" s="231" t="s">
        <v>221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R1"/>
    <mergeCell ref="A2:R2"/>
    <mergeCell ref="A3:R3"/>
    <mergeCell ref="A5:R5"/>
    <mergeCell ref="A6:R6"/>
    <mergeCell ref="B7:B13"/>
    <mergeCell ref="B14:B20"/>
    <mergeCell ref="A64:C65"/>
    <mergeCell ref="A68:C69"/>
    <mergeCell ref="D68:F69"/>
    <mergeCell ref="A71:C72"/>
    <mergeCell ref="B21:B27"/>
    <mergeCell ref="B28:B34"/>
    <mergeCell ref="B35:B41"/>
    <mergeCell ref="B42:B48"/>
    <mergeCell ref="B49:B55"/>
    <mergeCell ref="B56:B62"/>
    <mergeCell ref="D64:F65"/>
  </mergeCells>
  <printOptions/>
  <pageMargins bottom="0.75" footer="0.0" header="0.0" left="0.7" right="0.7" top="0.75"/>
  <pageSetup scale="7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1" width="10.71"/>
    <col customWidth="1" min="12" max="12" width="7.86"/>
    <col customWidth="1" min="13" max="13" width="11.43"/>
    <col customWidth="1" min="14" max="15" width="11.29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36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232" t="s">
        <v>8</v>
      </c>
      <c r="G4" s="232" t="s">
        <v>9</v>
      </c>
      <c r="H4" s="232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233" t="s">
        <v>18</v>
      </c>
      <c r="Q4" s="8" t="s">
        <v>19</v>
      </c>
      <c r="R4" s="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222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223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234" t="s">
        <v>224</v>
      </c>
      <c r="E7" s="84" t="s">
        <v>59</v>
      </c>
      <c r="F7" s="84">
        <v>5.88</v>
      </c>
      <c r="G7" s="83" t="s">
        <v>26</v>
      </c>
      <c r="H7" s="83" t="s">
        <v>26</v>
      </c>
      <c r="I7" s="83" t="s">
        <v>26</v>
      </c>
      <c r="J7" s="84">
        <v>3.17</v>
      </c>
      <c r="K7" s="83" t="s">
        <v>26</v>
      </c>
      <c r="L7" s="84">
        <v>1.55</v>
      </c>
      <c r="M7" s="84">
        <v>1.26</v>
      </c>
      <c r="N7" s="84" t="s">
        <v>208</v>
      </c>
      <c r="O7" s="84">
        <v>1.96</v>
      </c>
      <c r="P7" s="84">
        <v>7.8</v>
      </c>
      <c r="Q7" s="190">
        <f t="shared" ref="Q7:Q21" si="1">AVERAGE(E7,F7,G7,H7,I7,J7,K7,L7,M7,N7,O7,P7)</f>
        <v>3.603333333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61" t="s">
        <v>225</v>
      </c>
      <c r="E8" s="24">
        <v>7.0</v>
      </c>
      <c r="F8" s="24">
        <v>6.52</v>
      </c>
      <c r="G8" s="215" t="s">
        <v>26</v>
      </c>
      <c r="H8" s="215" t="s">
        <v>26</v>
      </c>
      <c r="I8" s="215" t="s">
        <v>26</v>
      </c>
      <c r="J8" s="24">
        <v>2.55</v>
      </c>
      <c r="K8" s="215" t="s">
        <v>26</v>
      </c>
      <c r="L8" s="24">
        <v>1.16</v>
      </c>
      <c r="M8" s="24">
        <v>1.39</v>
      </c>
      <c r="N8" s="24">
        <v>1.9</v>
      </c>
      <c r="O8" s="24">
        <v>0.74</v>
      </c>
      <c r="P8" s="24">
        <v>7.2</v>
      </c>
      <c r="Q8" s="192">
        <f t="shared" si="1"/>
        <v>3.5575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>
      <c r="A9" s="20"/>
      <c r="B9" s="21"/>
      <c r="C9" s="22">
        <v>3.0</v>
      </c>
      <c r="D9" s="161" t="s">
        <v>226</v>
      </c>
      <c r="E9" s="24">
        <v>6.5</v>
      </c>
      <c r="F9" s="24">
        <v>6.0</v>
      </c>
      <c r="G9" s="215" t="s">
        <v>26</v>
      </c>
      <c r="H9" s="215" t="s">
        <v>26</v>
      </c>
      <c r="I9" s="215" t="s">
        <v>26</v>
      </c>
      <c r="J9" s="24">
        <v>2.48</v>
      </c>
      <c r="K9" s="215" t="s">
        <v>26</v>
      </c>
      <c r="L9" s="24">
        <v>1.63</v>
      </c>
      <c r="M9" s="24">
        <v>1.4</v>
      </c>
      <c r="N9" s="24">
        <v>2.09</v>
      </c>
      <c r="O9" s="24">
        <v>1.22</v>
      </c>
      <c r="P9" s="24">
        <v>7.0</v>
      </c>
      <c r="Q9" s="192">
        <f t="shared" si="1"/>
        <v>3.54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235" t="s">
        <v>224</v>
      </c>
      <c r="E10" s="84" t="s">
        <v>59</v>
      </c>
      <c r="F10" s="27">
        <v>34.0</v>
      </c>
      <c r="G10" s="83" t="s">
        <v>26</v>
      </c>
      <c r="H10" s="83" t="s">
        <v>26</v>
      </c>
      <c r="I10" s="83" t="s">
        <v>26</v>
      </c>
      <c r="J10" s="27">
        <v>42.0</v>
      </c>
      <c r="K10" s="83" t="s">
        <v>26</v>
      </c>
      <c r="L10" s="83">
        <v>54.0</v>
      </c>
      <c r="M10" s="27">
        <v>54.0</v>
      </c>
      <c r="N10" s="84" t="s">
        <v>208</v>
      </c>
      <c r="O10" s="27">
        <v>23.0</v>
      </c>
      <c r="P10" s="27">
        <v>39.0</v>
      </c>
      <c r="Q10" s="194">
        <f t="shared" si="1"/>
        <v>41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61" t="s">
        <v>225</v>
      </c>
      <c r="E11" s="85">
        <v>31.0</v>
      </c>
      <c r="F11" s="29">
        <v>32.0</v>
      </c>
      <c r="G11" s="215" t="s">
        <v>26</v>
      </c>
      <c r="H11" s="215" t="s">
        <v>26</v>
      </c>
      <c r="I11" s="215" t="s">
        <v>26</v>
      </c>
      <c r="J11" s="29">
        <v>9.0</v>
      </c>
      <c r="K11" s="215" t="s">
        <v>26</v>
      </c>
      <c r="L11" s="215">
        <v>69.0</v>
      </c>
      <c r="M11" s="29">
        <v>46.0</v>
      </c>
      <c r="N11" s="29">
        <v>68.0</v>
      </c>
      <c r="O11" s="29">
        <v>27.0</v>
      </c>
      <c r="P11" s="29">
        <v>35.0</v>
      </c>
      <c r="Q11" s="195">
        <f t="shared" si="1"/>
        <v>39.625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1"/>
      <c r="C12" s="22">
        <v>3.0</v>
      </c>
      <c r="D12" s="161" t="s">
        <v>226</v>
      </c>
      <c r="E12" s="85">
        <v>58.0</v>
      </c>
      <c r="F12" s="85">
        <v>29.0</v>
      </c>
      <c r="G12" s="215" t="s">
        <v>26</v>
      </c>
      <c r="H12" s="215" t="s">
        <v>26</v>
      </c>
      <c r="I12" s="215" t="s">
        <v>26</v>
      </c>
      <c r="J12" s="29">
        <v>64.0</v>
      </c>
      <c r="K12" s="215" t="s">
        <v>26</v>
      </c>
      <c r="L12" s="215">
        <v>90.0</v>
      </c>
      <c r="M12" s="29">
        <v>46.0</v>
      </c>
      <c r="N12" s="29">
        <v>128.0</v>
      </c>
      <c r="O12" s="29">
        <v>41.0</v>
      </c>
      <c r="P12" s="29">
        <v>30.0</v>
      </c>
      <c r="Q12" s="195">
        <f t="shared" si="1"/>
        <v>60.75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235" t="s">
        <v>224</v>
      </c>
      <c r="E13" s="84" t="s">
        <v>59</v>
      </c>
      <c r="F13" s="18">
        <v>8.11</v>
      </c>
      <c r="G13" s="83" t="s">
        <v>26</v>
      </c>
      <c r="H13" s="83" t="s">
        <v>26</v>
      </c>
      <c r="I13" s="83" t="s">
        <v>26</v>
      </c>
      <c r="J13" s="18">
        <v>7.86</v>
      </c>
      <c r="K13" s="83" t="s">
        <v>26</v>
      </c>
      <c r="L13" s="84">
        <v>7.84</v>
      </c>
      <c r="M13" s="18">
        <v>7.84</v>
      </c>
      <c r="N13" s="84" t="s">
        <v>208</v>
      </c>
      <c r="O13" s="18">
        <v>7.96</v>
      </c>
      <c r="P13" s="18">
        <v>8.21</v>
      </c>
      <c r="Q13" s="190">
        <f t="shared" si="1"/>
        <v>7.97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61" t="s">
        <v>225</v>
      </c>
      <c r="E14" s="24">
        <v>8.17</v>
      </c>
      <c r="F14" s="24">
        <v>8.04</v>
      </c>
      <c r="G14" s="215" t="s">
        <v>26</v>
      </c>
      <c r="H14" s="215" t="s">
        <v>26</v>
      </c>
      <c r="I14" s="215" t="s">
        <v>26</v>
      </c>
      <c r="J14" s="24">
        <v>7.85</v>
      </c>
      <c r="K14" s="215" t="s">
        <v>26</v>
      </c>
      <c r="L14" s="24">
        <v>7.91</v>
      </c>
      <c r="M14" s="24">
        <v>7.97</v>
      </c>
      <c r="N14" s="24">
        <v>7.89</v>
      </c>
      <c r="O14" s="24">
        <v>7.88</v>
      </c>
      <c r="P14" s="24">
        <v>8.29</v>
      </c>
      <c r="Q14" s="192">
        <f t="shared" si="1"/>
        <v>8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1"/>
      <c r="C15" s="22">
        <v>3.0</v>
      </c>
      <c r="D15" s="161" t="s">
        <v>226</v>
      </c>
      <c r="E15" s="24">
        <v>8.1</v>
      </c>
      <c r="F15" s="24">
        <v>8.15</v>
      </c>
      <c r="G15" s="215" t="s">
        <v>26</v>
      </c>
      <c r="H15" s="215" t="s">
        <v>26</v>
      </c>
      <c r="I15" s="215" t="s">
        <v>26</v>
      </c>
      <c r="J15" s="24">
        <v>7.93</v>
      </c>
      <c r="K15" s="215" t="s">
        <v>26</v>
      </c>
      <c r="L15" s="24">
        <v>7.83</v>
      </c>
      <c r="M15" s="24">
        <v>7.94</v>
      </c>
      <c r="N15" s="24">
        <v>7.66</v>
      </c>
      <c r="O15" s="24">
        <v>7.81</v>
      </c>
      <c r="P15" s="24">
        <v>8.13</v>
      </c>
      <c r="Q15" s="192">
        <f t="shared" si="1"/>
        <v>7.94375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227</v>
      </c>
      <c r="C16" s="16">
        <v>1.0</v>
      </c>
      <c r="D16" s="235" t="s">
        <v>224</v>
      </c>
      <c r="E16" s="84" t="s">
        <v>59</v>
      </c>
      <c r="F16" s="18">
        <v>27.8</v>
      </c>
      <c r="G16" s="83" t="s">
        <v>26</v>
      </c>
      <c r="H16" s="83" t="s">
        <v>26</v>
      </c>
      <c r="I16" s="83" t="s">
        <v>26</v>
      </c>
      <c r="J16" s="18">
        <v>32.6</v>
      </c>
      <c r="K16" s="83" t="s">
        <v>26</v>
      </c>
      <c r="L16" s="84">
        <v>32.65</v>
      </c>
      <c r="M16" s="18">
        <v>31.5</v>
      </c>
      <c r="N16" s="84" t="s">
        <v>208</v>
      </c>
      <c r="O16" s="18">
        <v>29.6</v>
      </c>
      <c r="P16" s="18">
        <v>29.8</v>
      </c>
      <c r="Q16" s="190">
        <f t="shared" si="1"/>
        <v>30.65833333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61" t="s">
        <v>225</v>
      </c>
      <c r="E17" s="24" t="s">
        <v>26</v>
      </c>
      <c r="F17" s="24">
        <v>28.05</v>
      </c>
      <c r="G17" s="215" t="s">
        <v>26</v>
      </c>
      <c r="H17" s="215" t="s">
        <v>26</v>
      </c>
      <c r="I17" s="215" t="s">
        <v>26</v>
      </c>
      <c r="J17" s="24">
        <v>32.4</v>
      </c>
      <c r="K17" s="215" t="s">
        <v>26</v>
      </c>
      <c r="L17" s="24">
        <v>32.3</v>
      </c>
      <c r="M17" s="24">
        <v>31.3</v>
      </c>
      <c r="N17" s="24">
        <v>29.4</v>
      </c>
      <c r="O17" s="24">
        <v>29.63</v>
      </c>
      <c r="P17" s="24">
        <v>29.8</v>
      </c>
      <c r="Q17" s="192">
        <f t="shared" si="1"/>
        <v>30.41142857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1"/>
      <c r="C18" s="22">
        <v>3.0</v>
      </c>
      <c r="D18" s="161" t="s">
        <v>226</v>
      </c>
      <c r="E18" s="24" t="s">
        <v>26</v>
      </c>
      <c r="F18" s="24">
        <v>29.03</v>
      </c>
      <c r="G18" s="215" t="s">
        <v>26</v>
      </c>
      <c r="H18" s="215" t="s">
        <v>26</v>
      </c>
      <c r="I18" s="215" t="s">
        <v>26</v>
      </c>
      <c r="J18" s="24">
        <v>33.4</v>
      </c>
      <c r="K18" s="215" t="s">
        <v>26</v>
      </c>
      <c r="L18" s="24">
        <v>32.48</v>
      </c>
      <c r="M18" s="24">
        <v>31.03</v>
      </c>
      <c r="N18" s="24">
        <v>30.2</v>
      </c>
      <c r="O18" s="24">
        <v>29.4</v>
      </c>
      <c r="P18" s="24">
        <v>29.5</v>
      </c>
      <c r="Q18" s="192">
        <f t="shared" si="1"/>
        <v>30.72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235" t="s">
        <v>224</v>
      </c>
      <c r="E19" s="84" t="s">
        <v>59</v>
      </c>
      <c r="F19" s="27">
        <v>3.0</v>
      </c>
      <c r="G19" s="83" t="s">
        <v>26</v>
      </c>
      <c r="H19" s="83" t="s">
        <v>26</v>
      </c>
      <c r="I19" s="83" t="s">
        <v>26</v>
      </c>
      <c r="J19" s="27">
        <v>5.0</v>
      </c>
      <c r="K19" s="83" t="s">
        <v>26</v>
      </c>
      <c r="L19" s="83">
        <v>3.0</v>
      </c>
      <c r="M19" s="27">
        <v>5.0</v>
      </c>
      <c r="N19" s="84" t="s">
        <v>208</v>
      </c>
      <c r="O19" s="27">
        <v>5.0</v>
      </c>
      <c r="P19" s="27">
        <v>5.0</v>
      </c>
      <c r="Q19" s="194">
        <f t="shared" si="1"/>
        <v>4.333333333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61" t="s">
        <v>225</v>
      </c>
      <c r="E20" s="167">
        <v>3.0</v>
      </c>
      <c r="F20" s="29">
        <v>3.0</v>
      </c>
      <c r="G20" s="215" t="s">
        <v>26</v>
      </c>
      <c r="H20" s="215" t="s">
        <v>26</v>
      </c>
      <c r="I20" s="215" t="s">
        <v>26</v>
      </c>
      <c r="J20" s="29">
        <v>5.0</v>
      </c>
      <c r="K20" s="215" t="s">
        <v>26</v>
      </c>
      <c r="L20" s="215">
        <v>3.0</v>
      </c>
      <c r="M20" s="29">
        <v>5.0</v>
      </c>
      <c r="N20" s="29">
        <v>5.0</v>
      </c>
      <c r="O20" s="29">
        <v>10.0</v>
      </c>
      <c r="P20" s="29">
        <v>5.0</v>
      </c>
      <c r="Q20" s="195">
        <f t="shared" si="1"/>
        <v>4.875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1"/>
      <c r="C21" s="22">
        <v>3.0</v>
      </c>
      <c r="D21" s="161" t="s">
        <v>226</v>
      </c>
      <c r="E21" s="85">
        <v>5.0</v>
      </c>
      <c r="F21" s="85">
        <v>5.0</v>
      </c>
      <c r="G21" s="215" t="s">
        <v>26</v>
      </c>
      <c r="H21" s="215" t="s">
        <v>26</v>
      </c>
      <c r="I21" s="215" t="s">
        <v>26</v>
      </c>
      <c r="J21" s="29">
        <v>5.0</v>
      </c>
      <c r="K21" s="215" t="s">
        <v>26</v>
      </c>
      <c r="L21" s="215">
        <v>5.0</v>
      </c>
      <c r="M21" s="29">
        <v>5.0</v>
      </c>
      <c r="N21" s="29">
        <v>5.0</v>
      </c>
      <c r="O21" s="29">
        <v>5.0</v>
      </c>
      <c r="P21" s="29">
        <v>5.0</v>
      </c>
      <c r="Q21" s="195">
        <f t="shared" si="1"/>
        <v>5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235" t="s">
        <v>224</v>
      </c>
      <c r="E22" s="84" t="s">
        <v>59</v>
      </c>
      <c r="F22" s="27">
        <v>49.0</v>
      </c>
      <c r="G22" s="83" t="s">
        <v>26</v>
      </c>
      <c r="H22" s="83" t="s">
        <v>26</v>
      </c>
      <c r="I22" s="83" t="s">
        <v>26</v>
      </c>
      <c r="J22" s="32">
        <v>460.0</v>
      </c>
      <c r="K22" s="83" t="s">
        <v>26</v>
      </c>
      <c r="L22" s="87">
        <v>140.0</v>
      </c>
      <c r="M22" s="32">
        <v>1100.0</v>
      </c>
      <c r="N22" s="84" t="s">
        <v>208</v>
      </c>
      <c r="O22" s="27">
        <v>130.0</v>
      </c>
      <c r="P22" s="32">
        <v>490.0</v>
      </c>
      <c r="Q22" s="207">
        <f t="shared" ref="Q22:Q24" si="2">GEOMEAN(E22,F22,G22,H22,I22,J22,K22,L22,M22,N22,O22,P22)</f>
        <v>245.9059351</v>
      </c>
      <c r="R22" s="17">
        <v>100.0</v>
      </c>
      <c r="S22" s="121">
        <f>GEOMEAN(Q22:Q24)</f>
        <v>1090.05672</v>
      </c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61" t="s">
        <v>225</v>
      </c>
      <c r="E23" s="35">
        <v>2400.0</v>
      </c>
      <c r="F23" s="29">
        <v>170.0</v>
      </c>
      <c r="G23" s="215" t="s">
        <v>26</v>
      </c>
      <c r="H23" s="215" t="s">
        <v>26</v>
      </c>
      <c r="I23" s="215" t="s">
        <v>26</v>
      </c>
      <c r="J23" s="36">
        <v>24000.0</v>
      </c>
      <c r="K23" s="215" t="s">
        <v>26</v>
      </c>
      <c r="L23" s="236">
        <v>9200.0</v>
      </c>
      <c r="M23" s="36">
        <v>920.0</v>
      </c>
      <c r="N23" s="36">
        <v>35000.0</v>
      </c>
      <c r="O23" s="29">
        <v>230.0</v>
      </c>
      <c r="P23" s="36">
        <v>230.0</v>
      </c>
      <c r="Q23" s="209">
        <f t="shared" si="2"/>
        <v>1876.058372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1"/>
      <c r="C24" s="22">
        <v>3.0</v>
      </c>
      <c r="D24" s="161" t="s">
        <v>226</v>
      </c>
      <c r="E24" s="36">
        <v>5400.0</v>
      </c>
      <c r="F24" s="35">
        <v>790.0</v>
      </c>
      <c r="G24" s="215" t="s">
        <v>26</v>
      </c>
      <c r="H24" s="215" t="s">
        <v>26</v>
      </c>
      <c r="I24" s="215" t="s">
        <v>26</v>
      </c>
      <c r="J24" s="36">
        <v>16000.0</v>
      </c>
      <c r="K24" s="215" t="s">
        <v>26</v>
      </c>
      <c r="L24" s="215">
        <v>540.0</v>
      </c>
      <c r="M24" s="36">
        <v>22000.0</v>
      </c>
      <c r="N24" s="36">
        <v>4600.0</v>
      </c>
      <c r="O24" s="29">
        <v>230.0</v>
      </c>
      <c r="P24" s="36">
        <v>4500.0</v>
      </c>
      <c r="Q24" s="209">
        <f t="shared" si="2"/>
        <v>2807.578655</v>
      </c>
      <c r="R24" s="23">
        <v>100.0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228</v>
      </c>
      <c r="C25" s="16">
        <v>1.0</v>
      </c>
      <c r="D25" s="235" t="s">
        <v>224</v>
      </c>
      <c r="E25" s="84" t="s">
        <v>59</v>
      </c>
      <c r="F25" s="39" t="s">
        <v>40</v>
      </c>
      <c r="G25" s="83" t="s">
        <v>26</v>
      </c>
      <c r="H25" s="83" t="s">
        <v>26</v>
      </c>
      <c r="I25" s="83" t="s">
        <v>26</v>
      </c>
      <c r="J25" s="39" t="s">
        <v>40</v>
      </c>
      <c r="K25" s="83" t="s">
        <v>26</v>
      </c>
      <c r="L25" s="83">
        <v>0.079</v>
      </c>
      <c r="M25" s="39">
        <v>0.182</v>
      </c>
      <c r="N25" s="84" t="s">
        <v>208</v>
      </c>
      <c r="O25" s="39">
        <v>0.152</v>
      </c>
      <c r="P25" s="39">
        <v>0.048</v>
      </c>
      <c r="Q25" s="198">
        <f>AVERAGE(E25,0.045,G25,H25,I25,0.045,K25,L25,M25,N25,O25,P25)</f>
        <v>0.09183333333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61" t="s">
        <v>225</v>
      </c>
      <c r="E26" s="148" t="s">
        <v>40</v>
      </c>
      <c r="F26" s="41">
        <v>0.074</v>
      </c>
      <c r="G26" s="215" t="s">
        <v>26</v>
      </c>
      <c r="H26" s="215" t="s">
        <v>26</v>
      </c>
      <c r="I26" s="215" t="s">
        <v>26</v>
      </c>
      <c r="J26" s="85" t="s">
        <v>40</v>
      </c>
      <c r="K26" s="215" t="s">
        <v>26</v>
      </c>
      <c r="L26" s="215">
        <v>0.211</v>
      </c>
      <c r="M26" s="41">
        <v>0.284</v>
      </c>
      <c r="N26" s="41">
        <v>0.8</v>
      </c>
      <c r="O26" s="41" t="s">
        <v>40</v>
      </c>
      <c r="P26" s="24" t="s">
        <v>40</v>
      </c>
      <c r="Q26" s="200">
        <f>AVERAGE(0.045,F26,G26,H26,I26,0.045,K26,L26,M26,N26,O26,P26)</f>
        <v>0.2431666667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1"/>
      <c r="C27" s="22">
        <v>3.0</v>
      </c>
      <c r="D27" s="161" t="s">
        <v>226</v>
      </c>
      <c r="E27" s="41">
        <v>1.019</v>
      </c>
      <c r="F27" s="85">
        <v>0.063</v>
      </c>
      <c r="G27" s="215" t="s">
        <v>26</v>
      </c>
      <c r="H27" s="215" t="s">
        <v>26</v>
      </c>
      <c r="I27" s="215" t="s">
        <v>26</v>
      </c>
      <c r="J27" s="41" t="s">
        <v>40</v>
      </c>
      <c r="K27" s="215" t="s">
        <v>26</v>
      </c>
      <c r="L27" s="215" t="s">
        <v>40</v>
      </c>
      <c r="M27" s="41">
        <v>0.09</v>
      </c>
      <c r="N27" s="41">
        <v>0.967</v>
      </c>
      <c r="O27" s="41" t="s">
        <v>40</v>
      </c>
      <c r="P27" s="24" t="s">
        <v>40</v>
      </c>
      <c r="Q27" s="200">
        <f>AVERAGE(E27,F27,G27,H27,I27,0.045,K27,0.045,M27,N27,O27,P27)</f>
        <v>0.3715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229</v>
      </c>
      <c r="C28" s="16">
        <v>1.0</v>
      </c>
      <c r="D28" s="235" t="s">
        <v>224</v>
      </c>
      <c r="E28" s="84" t="s">
        <v>59</v>
      </c>
      <c r="F28" s="39">
        <v>0.038</v>
      </c>
      <c r="G28" s="83" t="s">
        <v>26</v>
      </c>
      <c r="H28" s="83" t="s">
        <v>26</v>
      </c>
      <c r="I28" s="83" t="s">
        <v>26</v>
      </c>
      <c r="J28" s="39" t="s">
        <v>230</v>
      </c>
      <c r="K28" s="83" t="s">
        <v>26</v>
      </c>
      <c r="L28" s="90">
        <v>0.04</v>
      </c>
      <c r="M28" s="39">
        <v>0.066</v>
      </c>
      <c r="N28" s="84" t="s">
        <v>208</v>
      </c>
      <c r="O28" s="39">
        <v>0.032</v>
      </c>
      <c r="P28" s="39">
        <v>0.139</v>
      </c>
      <c r="Q28" s="198">
        <f>AVERAGE(E28,F28,G28,H28,I28,0.017,K28,L28,M28,N28,O28,P28)</f>
        <v>0.05533333333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61" t="s">
        <v>225</v>
      </c>
      <c r="E29" s="148" t="s">
        <v>231</v>
      </c>
      <c r="F29" s="41">
        <v>0.031</v>
      </c>
      <c r="G29" s="215" t="s">
        <v>26</v>
      </c>
      <c r="H29" s="215" t="s">
        <v>26</v>
      </c>
      <c r="I29" s="215" t="s">
        <v>26</v>
      </c>
      <c r="J29" s="41" t="s">
        <v>230</v>
      </c>
      <c r="K29" s="215" t="s">
        <v>26</v>
      </c>
      <c r="L29" s="218">
        <v>0.073</v>
      </c>
      <c r="M29" s="41">
        <v>0.102</v>
      </c>
      <c r="N29" s="41">
        <v>0.307</v>
      </c>
      <c r="O29" s="41">
        <v>0.068</v>
      </c>
      <c r="P29" s="41">
        <v>0.038</v>
      </c>
      <c r="Q29" s="200">
        <f>AVERAGE(0.025,F29,G29,H29,I29,0.017,K29,L29,M29,N29,O29,P29)</f>
        <v>0.082625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61" t="s">
        <v>226</v>
      </c>
      <c r="E30" s="218">
        <v>0.08</v>
      </c>
      <c r="F30" s="218">
        <v>0.043</v>
      </c>
      <c r="G30" s="215" t="s">
        <v>26</v>
      </c>
      <c r="H30" s="215" t="s">
        <v>26</v>
      </c>
      <c r="I30" s="215" t="s">
        <v>26</v>
      </c>
      <c r="J30" s="220" t="s">
        <v>230</v>
      </c>
      <c r="K30" s="215" t="s">
        <v>26</v>
      </c>
      <c r="L30" s="218">
        <v>0.05</v>
      </c>
      <c r="M30" s="218">
        <v>0.165</v>
      </c>
      <c r="N30" s="218">
        <v>0.415</v>
      </c>
      <c r="O30" s="218">
        <v>0.076</v>
      </c>
      <c r="P30" s="218">
        <v>0.088</v>
      </c>
      <c r="Q30" s="200">
        <f>AVERAGE(E30,F30,G30,H30,I30,0.017,K30,L30,M30,N30,O30,P30)</f>
        <v>0.11675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235" t="s">
        <v>232</v>
      </c>
      <c r="E31" s="201"/>
      <c r="F31" s="201"/>
      <c r="G31" s="201"/>
      <c r="H31" s="201"/>
      <c r="I31" s="201"/>
      <c r="J31" s="201"/>
      <c r="K31" s="201"/>
      <c r="L31" s="237"/>
      <c r="M31" s="237"/>
      <c r="N31" s="237"/>
      <c r="O31" s="237"/>
      <c r="P31" s="237"/>
      <c r="Q31" s="190" t="str">
        <f t="shared" ref="Q31:Q33" si="3">AVERAGE(E31,F31,G31,H31,I31,J31,K31,L31,M31,N31,O31,P31)</f>
        <v>#DIV/0!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161" t="s">
        <v>233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92" t="str">
        <f t="shared" si="3"/>
        <v>#DIV/0!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161" t="s">
        <v>234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92" t="str">
        <f t="shared" si="3"/>
        <v>#DIV/0!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91"/>
      <c r="B34" s="238"/>
      <c r="C34" s="239"/>
      <c r="D34" s="44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44" t="s">
        <v>235</v>
      </c>
      <c r="D35" s="72"/>
      <c r="E35" s="72"/>
      <c r="F35" s="72"/>
      <c r="G35" s="72"/>
      <c r="H35" s="72"/>
      <c r="I35" s="72"/>
      <c r="J35" s="127"/>
      <c r="K35" s="127"/>
      <c r="L35" s="72"/>
      <c r="M35" s="72"/>
      <c r="N35" s="72"/>
      <c r="O35" s="72"/>
      <c r="P35" s="127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D36" s="72"/>
      <c r="E36" s="72"/>
      <c r="F36" s="72"/>
      <c r="G36" s="72"/>
      <c r="H36" s="72"/>
      <c r="I36" s="72"/>
      <c r="J36" s="127"/>
      <c r="K36" s="127"/>
      <c r="L36" s="72"/>
      <c r="M36" s="72"/>
      <c r="N36" s="72"/>
      <c r="O36" s="72"/>
      <c r="P36" s="127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72" t="s">
        <v>236</v>
      </c>
      <c r="B37" s="72"/>
      <c r="C37" s="72"/>
      <c r="D37" s="72"/>
      <c r="E37" s="72"/>
      <c r="F37" s="72"/>
      <c r="G37" s="72"/>
      <c r="H37" s="72"/>
      <c r="I37" s="72"/>
      <c r="J37" s="127"/>
      <c r="K37" s="127"/>
      <c r="L37" s="72"/>
      <c r="M37" s="72"/>
      <c r="N37" s="72"/>
      <c r="O37" s="72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 t="s">
        <v>237</v>
      </c>
      <c r="B38" s="72"/>
      <c r="C38" s="72"/>
      <c r="D38" s="72"/>
      <c r="E38" s="72"/>
      <c r="F38" s="72"/>
      <c r="G38" s="72"/>
      <c r="H38" s="72"/>
      <c r="I38" s="72"/>
      <c r="J38" s="127"/>
      <c r="K38" s="127"/>
      <c r="L38" s="72"/>
      <c r="M38" s="72"/>
      <c r="N38" s="72"/>
      <c r="O38" s="72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127"/>
      <c r="K39" s="127"/>
      <c r="L39" s="72"/>
      <c r="M39" s="72"/>
      <c r="N39" s="72"/>
      <c r="O39" s="72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127"/>
      <c r="K40" s="127"/>
      <c r="L40" s="72"/>
      <c r="M40" s="72"/>
      <c r="N40" s="72"/>
      <c r="O40" s="72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127"/>
      <c r="K41" s="127"/>
      <c r="L41" s="72"/>
      <c r="M41" s="72"/>
      <c r="N41" s="72"/>
      <c r="O41" s="72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127"/>
      <c r="K42" s="127"/>
      <c r="L42" s="72"/>
      <c r="M42" s="72"/>
      <c r="N42" s="72"/>
      <c r="O42" s="72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127"/>
      <c r="K43" s="127"/>
      <c r="L43" s="72"/>
      <c r="M43" s="72"/>
      <c r="N43" s="72"/>
      <c r="O43" s="72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127"/>
      <c r="K44" s="127"/>
      <c r="L44" s="72"/>
      <c r="M44" s="72"/>
      <c r="N44" s="72"/>
      <c r="O44" s="72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127"/>
      <c r="K45" s="127"/>
      <c r="L45" s="72"/>
      <c r="M45" s="72"/>
      <c r="N45" s="72"/>
      <c r="O45" s="72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127"/>
      <c r="K46" s="127"/>
      <c r="L46" s="72"/>
      <c r="M46" s="72"/>
      <c r="N46" s="72"/>
      <c r="O46" s="72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127"/>
      <c r="K47" s="127"/>
      <c r="L47" s="72"/>
      <c r="M47" s="72"/>
      <c r="N47" s="72"/>
      <c r="O47" s="72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127"/>
      <c r="K48" s="127"/>
      <c r="L48" s="72"/>
      <c r="M48" s="72"/>
      <c r="N48" s="72"/>
      <c r="O48" s="72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127"/>
      <c r="K49" s="127"/>
      <c r="L49" s="72"/>
      <c r="M49" s="72"/>
      <c r="N49" s="72"/>
      <c r="O49" s="72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127"/>
      <c r="K50" s="127"/>
      <c r="L50" s="72"/>
      <c r="M50" s="72"/>
      <c r="N50" s="72"/>
      <c r="O50" s="72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127"/>
      <c r="K51" s="127"/>
      <c r="L51" s="72"/>
      <c r="M51" s="72"/>
      <c r="N51" s="72"/>
      <c r="O51" s="72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127"/>
      <c r="K52" s="127"/>
      <c r="L52" s="72"/>
      <c r="M52" s="72"/>
      <c r="N52" s="72"/>
      <c r="O52" s="72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127"/>
      <c r="K53" s="127"/>
      <c r="L53" s="72"/>
      <c r="M53" s="72"/>
      <c r="N53" s="72"/>
      <c r="O53" s="72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127"/>
      <c r="K54" s="127"/>
      <c r="L54" s="72"/>
      <c r="M54" s="72"/>
      <c r="N54" s="72"/>
      <c r="O54" s="72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127"/>
      <c r="K55" s="127"/>
      <c r="L55" s="72"/>
      <c r="M55" s="72"/>
      <c r="N55" s="72"/>
      <c r="O55" s="72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127"/>
      <c r="K56" s="127"/>
      <c r="L56" s="72"/>
      <c r="M56" s="72"/>
      <c r="N56" s="72"/>
      <c r="O56" s="72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127"/>
      <c r="K57" s="127"/>
      <c r="L57" s="72"/>
      <c r="M57" s="72"/>
      <c r="N57" s="72"/>
      <c r="O57" s="72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127"/>
      <c r="K58" s="127"/>
      <c r="L58" s="72"/>
      <c r="M58" s="72"/>
      <c r="N58" s="72"/>
      <c r="O58" s="72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127"/>
      <c r="K59" s="127"/>
      <c r="L59" s="72"/>
      <c r="M59" s="72"/>
      <c r="N59" s="72"/>
      <c r="O59" s="72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127"/>
      <c r="K60" s="127"/>
      <c r="L60" s="72"/>
      <c r="M60" s="72"/>
      <c r="N60" s="72"/>
      <c r="O60" s="72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127"/>
      <c r="K61" s="127"/>
      <c r="L61" s="72"/>
      <c r="M61" s="72"/>
      <c r="N61" s="72"/>
      <c r="O61" s="72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127"/>
      <c r="K62" s="127"/>
      <c r="L62" s="72"/>
      <c r="M62" s="72"/>
      <c r="N62" s="72"/>
      <c r="O62" s="72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127"/>
      <c r="K63" s="127"/>
      <c r="L63" s="72"/>
      <c r="M63" s="72"/>
      <c r="N63" s="72"/>
      <c r="O63" s="72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127"/>
      <c r="K64" s="127"/>
      <c r="L64" s="72"/>
      <c r="M64" s="72"/>
      <c r="N64" s="72"/>
      <c r="O64" s="72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127"/>
      <c r="K65" s="127"/>
      <c r="L65" s="72"/>
      <c r="M65" s="72"/>
      <c r="N65" s="72"/>
      <c r="O65" s="72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127"/>
      <c r="K66" s="127"/>
      <c r="L66" s="72"/>
      <c r="M66" s="72"/>
      <c r="N66" s="72"/>
      <c r="O66" s="72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127"/>
      <c r="K67" s="127"/>
      <c r="L67" s="72"/>
      <c r="M67" s="72"/>
      <c r="N67" s="72"/>
      <c r="O67" s="72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127"/>
      <c r="K68" s="127"/>
      <c r="L68" s="72"/>
      <c r="M68" s="72"/>
      <c r="N68" s="72"/>
      <c r="O68" s="72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127"/>
      <c r="K69" s="127"/>
      <c r="L69" s="72"/>
      <c r="M69" s="72"/>
      <c r="N69" s="72"/>
      <c r="O69" s="72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127"/>
      <c r="K70" s="127"/>
      <c r="L70" s="72"/>
      <c r="M70" s="72"/>
      <c r="N70" s="72"/>
      <c r="O70" s="72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127"/>
      <c r="K71" s="127"/>
      <c r="L71" s="72"/>
      <c r="M71" s="72"/>
      <c r="N71" s="72"/>
      <c r="O71" s="72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127"/>
      <c r="K72" s="127"/>
      <c r="L72" s="72"/>
      <c r="M72" s="72"/>
      <c r="N72" s="72"/>
      <c r="O72" s="72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127"/>
      <c r="K73" s="127"/>
      <c r="L73" s="72"/>
      <c r="M73" s="72"/>
      <c r="N73" s="72"/>
      <c r="O73" s="72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127"/>
      <c r="K74" s="127"/>
      <c r="L74" s="72"/>
      <c r="M74" s="72"/>
      <c r="N74" s="72"/>
      <c r="O74" s="72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127"/>
      <c r="K75" s="127"/>
      <c r="L75" s="72"/>
      <c r="M75" s="72"/>
      <c r="N75" s="72"/>
      <c r="O75" s="72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127"/>
      <c r="K76" s="127"/>
      <c r="L76" s="72"/>
      <c r="M76" s="72"/>
      <c r="N76" s="72"/>
      <c r="O76" s="72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127"/>
      <c r="K77" s="127"/>
      <c r="L77" s="72"/>
      <c r="M77" s="72"/>
      <c r="N77" s="72"/>
      <c r="O77" s="72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127"/>
      <c r="K78" s="127"/>
      <c r="L78" s="72"/>
      <c r="M78" s="72"/>
      <c r="N78" s="72"/>
      <c r="O78" s="72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127"/>
      <c r="K79" s="127"/>
      <c r="L79" s="72"/>
      <c r="M79" s="72"/>
      <c r="N79" s="72"/>
      <c r="O79" s="72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127"/>
      <c r="K80" s="127"/>
      <c r="L80" s="72"/>
      <c r="M80" s="72"/>
      <c r="N80" s="72"/>
      <c r="O80" s="72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127"/>
      <c r="K81" s="127"/>
      <c r="L81" s="72"/>
      <c r="M81" s="72"/>
      <c r="N81" s="72"/>
      <c r="O81" s="72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127"/>
      <c r="K82" s="127"/>
      <c r="L82" s="72"/>
      <c r="M82" s="72"/>
      <c r="N82" s="72"/>
      <c r="O82" s="72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127"/>
      <c r="K83" s="127"/>
      <c r="L83" s="72"/>
      <c r="M83" s="72"/>
      <c r="N83" s="72"/>
      <c r="O83" s="72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127"/>
      <c r="K84" s="127"/>
      <c r="L84" s="72"/>
      <c r="M84" s="72"/>
      <c r="N84" s="72"/>
      <c r="O84" s="72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127"/>
      <c r="K85" s="127"/>
      <c r="L85" s="72"/>
      <c r="M85" s="72"/>
      <c r="N85" s="72"/>
      <c r="O85" s="72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127"/>
      <c r="K86" s="127"/>
      <c r="L86" s="72"/>
      <c r="M86" s="72"/>
      <c r="N86" s="72"/>
      <c r="O86" s="72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127"/>
      <c r="K87" s="127"/>
      <c r="L87" s="72"/>
      <c r="M87" s="72"/>
      <c r="N87" s="72"/>
      <c r="O87" s="72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127"/>
      <c r="K88" s="127"/>
      <c r="L88" s="72"/>
      <c r="M88" s="72"/>
      <c r="N88" s="72"/>
      <c r="O88" s="72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127"/>
      <c r="K89" s="127"/>
      <c r="L89" s="72"/>
      <c r="M89" s="72"/>
      <c r="N89" s="72"/>
      <c r="O89" s="72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127"/>
      <c r="K90" s="127"/>
      <c r="L90" s="72"/>
      <c r="M90" s="72"/>
      <c r="N90" s="72"/>
      <c r="O90" s="72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127"/>
      <c r="K91" s="127"/>
      <c r="L91" s="72"/>
      <c r="M91" s="72"/>
      <c r="N91" s="72"/>
      <c r="O91" s="72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127"/>
      <c r="K92" s="127"/>
      <c r="L92" s="72"/>
      <c r="M92" s="72"/>
      <c r="N92" s="72"/>
      <c r="O92" s="72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127"/>
      <c r="K93" s="127"/>
      <c r="L93" s="72"/>
      <c r="M93" s="72"/>
      <c r="N93" s="72"/>
      <c r="O93" s="72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127"/>
      <c r="K94" s="127"/>
      <c r="L94" s="72"/>
      <c r="M94" s="72"/>
      <c r="N94" s="72"/>
      <c r="O94" s="72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127"/>
      <c r="K95" s="127"/>
      <c r="L95" s="72"/>
      <c r="M95" s="72"/>
      <c r="N95" s="72"/>
      <c r="O95" s="72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127"/>
      <c r="K96" s="127"/>
      <c r="L96" s="72"/>
      <c r="M96" s="72"/>
      <c r="N96" s="72"/>
      <c r="O96" s="72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127"/>
      <c r="K97" s="127"/>
      <c r="L97" s="72"/>
      <c r="M97" s="72"/>
      <c r="N97" s="72"/>
      <c r="O97" s="72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127"/>
      <c r="K98" s="127"/>
      <c r="L98" s="72"/>
      <c r="M98" s="72"/>
      <c r="N98" s="72"/>
      <c r="O98" s="72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127"/>
      <c r="K99" s="127"/>
      <c r="L99" s="72"/>
      <c r="M99" s="72"/>
      <c r="N99" s="72"/>
      <c r="O99" s="72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127"/>
      <c r="K100" s="127"/>
      <c r="L100" s="72"/>
      <c r="M100" s="72"/>
      <c r="N100" s="72"/>
      <c r="O100" s="72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127"/>
      <c r="K101" s="127"/>
      <c r="L101" s="72"/>
      <c r="M101" s="72"/>
      <c r="N101" s="72"/>
      <c r="O101" s="72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127"/>
      <c r="K102" s="127"/>
      <c r="L102" s="72"/>
      <c r="M102" s="72"/>
      <c r="N102" s="72"/>
      <c r="O102" s="72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127"/>
      <c r="K103" s="127"/>
      <c r="L103" s="72"/>
      <c r="M103" s="72"/>
      <c r="N103" s="72"/>
      <c r="O103" s="72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127"/>
      <c r="K104" s="127"/>
      <c r="L104" s="72"/>
      <c r="M104" s="72"/>
      <c r="N104" s="72"/>
      <c r="O104" s="72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127"/>
      <c r="K105" s="127"/>
      <c r="L105" s="72"/>
      <c r="M105" s="72"/>
      <c r="N105" s="72"/>
      <c r="O105" s="72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127"/>
      <c r="K106" s="127"/>
      <c r="L106" s="72"/>
      <c r="M106" s="72"/>
      <c r="N106" s="72"/>
      <c r="O106" s="72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127"/>
      <c r="K107" s="127"/>
      <c r="L107" s="72"/>
      <c r="M107" s="72"/>
      <c r="N107" s="72"/>
      <c r="O107" s="72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127"/>
      <c r="K108" s="127"/>
      <c r="L108" s="72"/>
      <c r="M108" s="72"/>
      <c r="N108" s="72"/>
      <c r="O108" s="72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127"/>
      <c r="K109" s="127"/>
      <c r="L109" s="72"/>
      <c r="M109" s="72"/>
      <c r="N109" s="72"/>
      <c r="O109" s="72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127"/>
      <c r="K110" s="127"/>
      <c r="L110" s="72"/>
      <c r="M110" s="72"/>
      <c r="N110" s="72"/>
      <c r="O110" s="72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127"/>
      <c r="K111" s="127"/>
      <c r="L111" s="72"/>
      <c r="M111" s="72"/>
      <c r="N111" s="72"/>
      <c r="O111" s="72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127"/>
      <c r="K112" s="127"/>
      <c r="L112" s="72"/>
      <c r="M112" s="72"/>
      <c r="N112" s="72"/>
      <c r="O112" s="72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127"/>
      <c r="K113" s="127"/>
      <c r="L113" s="72"/>
      <c r="M113" s="72"/>
      <c r="N113" s="72"/>
      <c r="O113" s="72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127"/>
      <c r="K114" s="127"/>
      <c r="L114" s="72"/>
      <c r="M114" s="72"/>
      <c r="N114" s="72"/>
      <c r="O114" s="72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127"/>
      <c r="K115" s="127"/>
      <c r="L115" s="72"/>
      <c r="M115" s="72"/>
      <c r="N115" s="72"/>
      <c r="O115" s="72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127"/>
      <c r="K116" s="127"/>
      <c r="L116" s="72"/>
      <c r="M116" s="72"/>
      <c r="N116" s="72"/>
      <c r="O116" s="72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127"/>
      <c r="K117" s="127"/>
      <c r="L117" s="72"/>
      <c r="M117" s="72"/>
      <c r="N117" s="72"/>
      <c r="O117" s="72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127"/>
      <c r="K118" s="127"/>
      <c r="L118" s="72"/>
      <c r="M118" s="72"/>
      <c r="N118" s="72"/>
      <c r="O118" s="72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127"/>
      <c r="K119" s="127"/>
      <c r="L119" s="72"/>
      <c r="M119" s="72"/>
      <c r="N119" s="72"/>
      <c r="O119" s="72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127"/>
      <c r="K120" s="127"/>
      <c r="L120" s="72"/>
      <c r="M120" s="72"/>
      <c r="N120" s="72"/>
      <c r="O120" s="72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127"/>
      <c r="K121" s="127"/>
      <c r="L121" s="72"/>
      <c r="M121" s="72"/>
      <c r="N121" s="72"/>
      <c r="O121" s="72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127"/>
      <c r="K122" s="127"/>
      <c r="L122" s="72"/>
      <c r="M122" s="72"/>
      <c r="N122" s="72"/>
      <c r="O122" s="72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127"/>
      <c r="K123" s="127"/>
      <c r="L123" s="72"/>
      <c r="M123" s="72"/>
      <c r="N123" s="72"/>
      <c r="O123" s="72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127"/>
      <c r="K124" s="127"/>
      <c r="L124" s="72"/>
      <c r="M124" s="72"/>
      <c r="N124" s="72"/>
      <c r="O124" s="72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127"/>
      <c r="K125" s="127"/>
      <c r="L125" s="72"/>
      <c r="M125" s="72"/>
      <c r="N125" s="72"/>
      <c r="O125" s="72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127"/>
      <c r="K126" s="127"/>
      <c r="L126" s="72"/>
      <c r="M126" s="72"/>
      <c r="N126" s="72"/>
      <c r="O126" s="72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127"/>
      <c r="K127" s="127"/>
      <c r="L127" s="72"/>
      <c r="M127" s="72"/>
      <c r="N127" s="72"/>
      <c r="O127" s="72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127"/>
      <c r="K128" s="127"/>
      <c r="L128" s="72"/>
      <c r="M128" s="72"/>
      <c r="N128" s="72"/>
      <c r="O128" s="72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127"/>
      <c r="K129" s="127"/>
      <c r="L129" s="72"/>
      <c r="M129" s="72"/>
      <c r="N129" s="72"/>
      <c r="O129" s="72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127"/>
      <c r="K130" s="127"/>
      <c r="L130" s="72"/>
      <c r="M130" s="72"/>
      <c r="N130" s="72"/>
      <c r="O130" s="72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127"/>
      <c r="K131" s="127"/>
      <c r="L131" s="72"/>
      <c r="M131" s="72"/>
      <c r="N131" s="72"/>
      <c r="O131" s="72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127"/>
      <c r="K132" s="127"/>
      <c r="L132" s="72"/>
      <c r="M132" s="72"/>
      <c r="N132" s="72"/>
      <c r="O132" s="72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127"/>
      <c r="K133" s="127"/>
      <c r="L133" s="72"/>
      <c r="M133" s="72"/>
      <c r="N133" s="72"/>
      <c r="O133" s="72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127"/>
      <c r="K134" s="127"/>
      <c r="L134" s="72"/>
      <c r="M134" s="72"/>
      <c r="N134" s="72"/>
      <c r="O134" s="72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127"/>
      <c r="K135" s="127"/>
      <c r="L135" s="72"/>
      <c r="M135" s="72"/>
      <c r="N135" s="72"/>
      <c r="O135" s="72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127"/>
      <c r="K136" s="127"/>
      <c r="L136" s="72"/>
      <c r="M136" s="72"/>
      <c r="N136" s="72"/>
      <c r="O136" s="72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127"/>
      <c r="K137" s="127"/>
      <c r="L137" s="72"/>
      <c r="M137" s="72"/>
      <c r="N137" s="72"/>
      <c r="O137" s="72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127"/>
      <c r="K138" s="127"/>
      <c r="L138" s="72"/>
      <c r="M138" s="72"/>
      <c r="N138" s="72"/>
      <c r="O138" s="72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127"/>
      <c r="K139" s="127"/>
      <c r="L139" s="72"/>
      <c r="M139" s="72"/>
      <c r="N139" s="72"/>
      <c r="O139" s="72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127"/>
      <c r="K140" s="127"/>
      <c r="L140" s="72"/>
      <c r="M140" s="72"/>
      <c r="N140" s="72"/>
      <c r="O140" s="72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127"/>
      <c r="K141" s="127"/>
      <c r="L141" s="72"/>
      <c r="M141" s="72"/>
      <c r="N141" s="72"/>
      <c r="O141" s="72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127"/>
      <c r="K142" s="127"/>
      <c r="L142" s="72"/>
      <c r="M142" s="72"/>
      <c r="N142" s="72"/>
      <c r="O142" s="72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127"/>
      <c r="K143" s="127"/>
      <c r="L143" s="72"/>
      <c r="M143" s="72"/>
      <c r="N143" s="72"/>
      <c r="O143" s="72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127"/>
      <c r="K144" s="127"/>
      <c r="L144" s="72"/>
      <c r="M144" s="72"/>
      <c r="N144" s="72"/>
      <c r="O144" s="72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127"/>
      <c r="K145" s="127"/>
      <c r="L145" s="72"/>
      <c r="M145" s="72"/>
      <c r="N145" s="72"/>
      <c r="O145" s="72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127"/>
      <c r="K146" s="127"/>
      <c r="L146" s="72"/>
      <c r="M146" s="72"/>
      <c r="N146" s="72"/>
      <c r="O146" s="72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127"/>
      <c r="K147" s="127"/>
      <c r="L147" s="72"/>
      <c r="M147" s="72"/>
      <c r="N147" s="72"/>
      <c r="O147" s="72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127"/>
      <c r="K148" s="127"/>
      <c r="L148" s="72"/>
      <c r="M148" s="72"/>
      <c r="N148" s="72"/>
      <c r="O148" s="72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127"/>
      <c r="K149" s="127"/>
      <c r="L149" s="72"/>
      <c r="M149" s="72"/>
      <c r="N149" s="72"/>
      <c r="O149" s="72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127"/>
      <c r="K150" s="127"/>
      <c r="L150" s="72"/>
      <c r="M150" s="72"/>
      <c r="N150" s="72"/>
      <c r="O150" s="72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127"/>
      <c r="K151" s="127"/>
      <c r="L151" s="72"/>
      <c r="M151" s="72"/>
      <c r="N151" s="72"/>
      <c r="O151" s="72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127"/>
      <c r="K152" s="127"/>
      <c r="L152" s="72"/>
      <c r="M152" s="72"/>
      <c r="N152" s="72"/>
      <c r="O152" s="72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127"/>
      <c r="K153" s="127"/>
      <c r="L153" s="72"/>
      <c r="M153" s="72"/>
      <c r="N153" s="72"/>
      <c r="O153" s="72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127"/>
      <c r="K154" s="127"/>
      <c r="L154" s="72"/>
      <c r="M154" s="72"/>
      <c r="N154" s="72"/>
      <c r="O154" s="72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127"/>
      <c r="K155" s="127"/>
      <c r="L155" s="72"/>
      <c r="M155" s="72"/>
      <c r="N155" s="72"/>
      <c r="O155" s="72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127"/>
      <c r="K156" s="127"/>
      <c r="L156" s="72"/>
      <c r="M156" s="72"/>
      <c r="N156" s="72"/>
      <c r="O156" s="72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127"/>
      <c r="K157" s="127"/>
      <c r="L157" s="72"/>
      <c r="M157" s="72"/>
      <c r="N157" s="72"/>
      <c r="O157" s="72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127"/>
      <c r="K158" s="127"/>
      <c r="L158" s="72"/>
      <c r="M158" s="72"/>
      <c r="N158" s="72"/>
      <c r="O158" s="72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127"/>
      <c r="K159" s="127"/>
      <c r="L159" s="72"/>
      <c r="M159" s="72"/>
      <c r="N159" s="72"/>
      <c r="O159" s="72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127"/>
      <c r="K160" s="127"/>
      <c r="L160" s="72"/>
      <c r="M160" s="72"/>
      <c r="N160" s="72"/>
      <c r="O160" s="72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127"/>
      <c r="K161" s="127"/>
      <c r="L161" s="72"/>
      <c r="M161" s="72"/>
      <c r="N161" s="72"/>
      <c r="O161" s="72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127"/>
      <c r="K162" s="127"/>
      <c r="L162" s="72"/>
      <c r="M162" s="72"/>
      <c r="N162" s="72"/>
      <c r="O162" s="72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127"/>
      <c r="K163" s="127"/>
      <c r="L163" s="72"/>
      <c r="M163" s="72"/>
      <c r="N163" s="72"/>
      <c r="O163" s="72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127"/>
      <c r="K164" s="127"/>
      <c r="L164" s="72"/>
      <c r="M164" s="72"/>
      <c r="N164" s="72"/>
      <c r="O164" s="72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127"/>
      <c r="K165" s="127"/>
      <c r="L165" s="72"/>
      <c r="M165" s="72"/>
      <c r="N165" s="72"/>
      <c r="O165" s="72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127"/>
      <c r="K166" s="127"/>
      <c r="L166" s="72"/>
      <c r="M166" s="72"/>
      <c r="N166" s="72"/>
      <c r="O166" s="72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127"/>
      <c r="K167" s="127"/>
      <c r="L167" s="72"/>
      <c r="M167" s="72"/>
      <c r="N167" s="72"/>
      <c r="O167" s="72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127"/>
      <c r="K168" s="127"/>
      <c r="L168" s="72"/>
      <c r="M168" s="72"/>
      <c r="N168" s="72"/>
      <c r="O168" s="72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127"/>
      <c r="K169" s="127"/>
      <c r="L169" s="72"/>
      <c r="M169" s="72"/>
      <c r="N169" s="72"/>
      <c r="O169" s="72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127"/>
      <c r="K170" s="127"/>
      <c r="L170" s="72"/>
      <c r="M170" s="72"/>
      <c r="N170" s="72"/>
      <c r="O170" s="72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127"/>
      <c r="K171" s="127"/>
      <c r="L171" s="72"/>
      <c r="M171" s="72"/>
      <c r="N171" s="72"/>
      <c r="O171" s="72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127"/>
      <c r="K172" s="127"/>
      <c r="L172" s="72"/>
      <c r="M172" s="72"/>
      <c r="N172" s="72"/>
      <c r="O172" s="72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127"/>
      <c r="K173" s="127"/>
      <c r="L173" s="72"/>
      <c r="M173" s="72"/>
      <c r="N173" s="72"/>
      <c r="O173" s="72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127"/>
      <c r="K174" s="127"/>
      <c r="L174" s="72"/>
      <c r="M174" s="72"/>
      <c r="N174" s="72"/>
      <c r="O174" s="72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127"/>
      <c r="K175" s="127"/>
      <c r="L175" s="72"/>
      <c r="M175" s="72"/>
      <c r="N175" s="72"/>
      <c r="O175" s="72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127"/>
      <c r="K176" s="127"/>
      <c r="L176" s="72"/>
      <c r="M176" s="72"/>
      <c r="N176" s="72"/>
      <c r="O176" s="72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127"/>
      <c r="K177" s="127"/>
      <c r="L177" s="72"/>
      <c r="M177" s="72"/>
      <c r="N177" s="72"/>
      <c r="O177" s="72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127"/>
      <c r="K178" s="127"/>
      <c r="L178" s="72"/>
      <c r="M178" s="72"/>
      <c r="N178" s="72"/>
      <c r="O178" s="72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127"/>
      <c r="K179" s="127"/>
      <c r="L179" s="72"/>
      <c r="M179" s="72"/>
      <c r="N179" s="72"/>
      <c r="O179" s="72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127"/>
      <c r="K180" s="127"/>
      <c r="L180" s="72"/>
      <c r="M180" s="72"/>
      <c r="N180" s="72"/>
      <c r="O180" s="72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127"/>
      <c r="K181" s="127"/>
      <c r="L181" s="72"/>
      <c r="M181" s="72"/>
      <c r="N181" s="72"/>
      <c r="O181" s="72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127"/>
      <c r="K182" s="127"/>
      <c r="L182" s="72"/>
      <c r="M182" s="72"/>
      <c r="N182" s="72"/>
      <c r="O182" s="72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127"/>
      <c r="K183" s="127"/>
      <c r="L183" s="72"/>
      <c r="M183" s="72"/>
      <c r="N183" s="72"/>
      <c r="O183" s="72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127"/>
      <c r="K184" s="127"/>
      <c r="L184" s="72"/>
      <c r="M184" s="72"/>
      <c r="N184" s="72"/>
      <c r="O184" s="72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127"/>
      <c r="K185" s="127"/>
      <c r="L185" s="72"/>
      <c r="M185" s="72"/>
      <c r="N185" s="72"/>
      <c r="O185" s="72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127"/>
      <c r="K186" s="127"/>
      <c r="L186" s="72"/>
      <c r="M186" s="72"/>
      <c r="N186" s="72"/>
      <c r="O186" s="72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127"/>
      <c r="K187" s="127"/>
      <c r="L187" s="72"/>
      <c r="M187" s="72"/>
      <c r="N187" s="72"/>
      <c r="O187" s="72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127"/>
      <c r="K188" s="127"/>
      <c r="L188" s="72"/>
      <c r="M188" s="72"/>
      <c r="N188" s="72"/>
      <c r="O188" s="72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127"/>
      <c r="K189" s="127"/>
      <c r="L189" s="72"/>
      <c r="M189" s="72"/>
      <c r="N189" s="72"/>
      <c r="O189" s="72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127"/>
      <c r="K190" s="127"/>
      <c r="L190" s="72"/>
      <c r="M190" s="72"/>
      <c r="N190" s="72"/>
      <c r="O190" s="72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127"/>
      <c r="K191" s="127"/>
      <c r="L191" s="72"/>
      <c r="M191" s="72"/>
      <c r="N191" s="72"/>
      <c r="O191" s="72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127"/>
      <c r="K192" s="127"/>
      <c r="L192" s="72"/>
      <c r="M192" s="72"/>
      <c r="N192" s="72"/>
      <c r="O192" s="72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127"/>
      <c r="K193" s="127"/>
      <c r="L193" s="72"/>
      <c r="M193" s="72"/>
      <c r="N193" s="72"/>
      <c r="O193" s="72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127"/>
      <c r="K194" s="127"/>
      <c r="L194" s="72"/>
      <c r="M194" s="72"/>
      <c r="N194" s="72"/>
      <c r="O194" s="72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127"/>
      <c r="K195" s="127"/>
      <c r="L195" s="72"/>
      <c r="M195" s="72"/>
      <c r="N195" s="72"/>
      <c r="O195" s="72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127"/>
      <c r="K196" s="127"/>
      <c r="L196" s="72"/>
      <c r="M196" s="72"/>
      <c r="N196" s="72"/>
      <c r="O196" s="72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127"/>
      <c r="K197" s="127"/>
      <c r="L197" s="72"/>
      <c r="M197" s="72"/>
      <c r="N197" s="72"/>
      <c r="O197" s="72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127"/>
      <c r="K198" s="127"/>
      <c r="L198" s="72"/>
      <c r="M198" s="72"/>
      <c r="N198" s="72"/>
      <c r="O198" s="72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127"/>
      <c r="K199" s="127"/>
      <c r="L199" s="72"/>
      <c r="M199" s="72"/>
      <c r="N199" s="72"/>
      <c r="O199" s="72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127"/>
      <c r="K200" s="127"/>
      <c r="L200" s="72"/>
      <c r="M200" s="72"/>
      <c r="N200" s="72"/>
      <c r="O200" s="72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127"/>
      <c r="K201" s="127"/>
      <c r="L201" s="72"/>
      <c r="M201" s="72"/>
      <c r="N201" s="72"/>
      <c r="O201" s="72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127"/>
      <c r="K202" s="127"/>
      <c r="L202" s="72"/>
      <c r="M202" s="72"/>
      <c r="N202" s="72"/>
      <c r="O202" s="72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127"/>
      <c r="K203" s="127"/>
      <c r="L203" s="72"/>
      <c r="M203" s="72"/>
      <c r="N203" s="72"/>
      <c r="O203" s="72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127"/>
      <c r="K204" s="127"/>
      <c r="L204" s="72"/>
      <c r="M204" s="72"/>
      <c r="N204" s="72"/>
      <c r="O204" s="72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127"/>
      <c r="K205" s="127"/>
      <c r="L205" s="72"/>
      <c r="M205" s="72"/>
      <c r="N205" s="72"/>
      <c r="O205" s="72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127"/>
      <c r="K206" s="127"/>
      <c r="L206" s="72"/>
      <c r="M206" s="72"/>
      <c r="N206" s="72"/>
      <c r="O206" s="72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127"/>
      <c r="K207" s="127"/>
      <c r="L207" s="72"/>
      <c r="M207" s="72"/>
      <c r="N207" s="72"/>
      <c r="O207" s="72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127"/>
      <c r="K208" s="127"/>
      <c r="L208" s="72"/>
      <c r="M208" s="72"/>
      <c r="N208" s="72"/>
      <c r="O208" s="72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127"/>
      <c r="K209" s="127"/>
      <c r="L209" s="72"/>
      <c r="M209" s="72"/>
      <c r="N209" s="72"/>
      <c r="O209" s="72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127"/>
      <c r="K210" s="127"/>
      <c r="L210" s="72"/>
      <c r="M210" s="72"/>
      <c r="N210" s="72"/>
      <c r="O210" s="72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127"/>
      <c r="K211" s="127"/>
      <c r="L211" s="72"/>
      <c r="M211" s="72"/>
      <c r="N211" s="72"/>
      <c r="O211" s="72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127"/>
      <c r="K212" s="127"/>
      <c r="L212" s="72"/>
      <c r="M212" s="72"/>
      <c r="N212" s="72"/>
      <c r="O212" s="72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127"/>
      <c r="K213" s="127"/>
      <c r="L213" s="72"/>
      <c r="M213" s="72"/>
      <c r="N213" s="72"/>
      <c r="O213" s="72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127"/>
      <c r="K214" s="127"/>
      <c r="L214" s="72"/>
      <c r="M214" s="72"/>
      <c r="N214" s="72"/>
      <c r="O214" s="72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127"/>
      <c r="K215" s="127"/>
      <c r="L215" s="72"/>
      <c r="M215" s="72"/>
      <c r="N215" s="72"/>
      <c r="O215" s="72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127"/>
      <c r="K216" s="127"/>
      <c r="L216" s="72"/>
      <c r="M216" s="72"/>
      <c r="N216" s="72"/>
      <c r="O216" s="72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127"/>
      <c r="K217" s="127"/>
      <c r="L217" s="72"/>
      <c r="M217" s="72"/>
      <c r="N217" s="72"/>
      <c r="O217" s="72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127"/>
      <c r="K218" s="127"/>
      <c r="L218" s="72"/>
      <c r="M218" s="72"/>
      <c r="N218" s="72"/>
      <c r="O218" s="72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127"/>
      <c r="K219" s="127"/>
      <c r="L219" s="72"/>
      <c r="M219" s="72"/>
      <c r="N219" s="72"/>
      <c r="O219" s="72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127"/>
      <c r="K220" s="127"/>
      <c r="L220" s="72"/>
      <c r="M220" s="72"/>
      <c r="N220" s="72"/>
      <c r="O220" s="72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127"/>
      <c r="K221" s="127"/>
      <c r="L221" s="72"/>
      <c r="M221" s="72"/>
      <c r="N221" s="72"/>
      <c r="O221" s="72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127"/>
      <c r="K222" s="127"/>
      <c r="L222" s="72"/>
      <c r="M222" s="72"/>
      <c r="N222" s="72"/>
      <c r="O222" s="72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127"/>
      <c r="K223" s="127"/>
      <c r="L223" s="72"/>
      <c r="M223" s="72"/>
      <c r="N223" s="72"/>
      <c r="O223" s="72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127"/>
      <c r="K224" s="127"/>
      <c r="L224" s="72"/>
      <c r="M224" s="72"/>
      <c r="N224" s="72"/>
      <c r="O224" s="72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127"/>
      <c r="K225" s="127"/>
      <c r="L225" s="72"/>
      <c r="M225" s="72"/>
      <c r="N225" s="72"/>
      <c r="O225" s="72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127"/>
      <c r="K226" s="127"/>
      <c r="L226" s="72"/>
      <c r="M226" s="72"/>
      <c r="N226" s="72"/>
      <c r="O226" s="72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127"/>
      <c r="K227" s="127"/>
      <c r="L227" s="72"/>
      <c r="M227" s="72"/>
      <c r="N227" s="72"/>
      <c r="O227" s="72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127"/>
      <c r="K228" s="127"/>
      <c r="L228" s="72"/>
      <c r="M228" s="72"/>
      <c r="N228" s="72"/>
      <c r="O228" s="72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127"/>
      <c r="K229" s="127"/>
      <c r="L229" s="72"/>
      <c r="M229" s="72"/>
      <c r="N229" s="72"/>
      <c r="O229" s="72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127"/>
      <c r="K230" s="127"/>
      <c r="L230" s="72"/>
      <c r="M230" s="72"/>
      <c r="N230" s="72"/>
      <c r="O230" s="72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127"/>
      <c r="K231" s="127"/>
      <c r="L231" s="72"/>
      <c r="M231" s="72"/>
      <c r="N231" s="72"/>
      <c r="O231" s="72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127"/>
      <c r="K232" s="127"/>
      <c r="L232" s="72"/>
      <c r="M232" s="72"/>
      <c r="N232" s="72"/>
      <c r="O232" s="72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127"/>
      <c r="K233" s="127"/>
      <c r="L233" s="72"/>
      <c r="M233" s="72"/>
      <c r="N233" s="72"/>
      <c r="O233" s="72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127"/>
      <c r="K234" s="127"/>
      <c r="L234" s="72"/>
      <c r="M234" s="72"/>
      <c r="N234" s="72"/>
      <c r="O234" s="72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127"/>
      <c r="K235" s="127"/>
      <c r="L235" s="72"/>
      <c r="M235" s="72"/>
      <c r="N235" s="72"/>
      <c r="O235" s="72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127"/>
      <c r="K236" s="127"/>
      <c r="L236" s="72"/>
      <c r="M236" s="72"/>
      <c r="N236" s="72"/>
      <c r="O236" s="72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127"/>
      <c r="K237" s="127"/>
      <c r="L237" s="72"/>
      <c r="M237" s="72"/>
      <c r="N237" s="72"/>
      <c r="O237" s="72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127"/>
      <c r="K238" s="127"/>
      <c r="L238" s="72"/>
      <c r="M238" s="72"/>
      <c r="N238" s="72"/>
      <c r="O238" s="72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127"/>
      <c r="K239" s="127"/>
      <c r="L239" s="72"/>
      <c r="M239" s="72"/>
      <c r="N239" s="72"/>
      <c r="O239" s="72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127"/>
      <c r="K240" s="127"/>
      <c r="L240" s="72"/>
      <c r="M240" s="72"/>
      <c r="N240" s="72"/>
      <c r="O240" s="72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127"/>
      <c r="K241" s="127"/>
      <c r="L241" s="72"/>
      <c r="M241" s="72"/>
      <c r="N241" s="72"/>
      <c r="O241" s="72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127"/>
      <c r="K242" s="127"/>
      <c r="L242" s="72"/>
      <c r="M242" s="72"/>
      <c r="N242" s="72"/>
      <c r="O242" s="72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127"/>
      <c r="K243" s="127"/>
      <c r="L243" s="72"/>
      <c r="M243" s="72"/>
      <c r="N243" s="72"/>
      <c r="O243" s="72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127"/>
      <c r="K244" s="127"/>
      <c r="L244" s="72"/>
      <c r="M244" s="72"/>
      <c r="N244" s="72"/>
      <c r="O244" s="72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127"/>
      <c r="K245" s="127"/>
      <c r="L245" s="72"/>
      <c r="M245" s="72"/>
      <c r="N245" s="72"/>
      <c r="O245" s="72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127"/>
      <c r="K246" s="127"/>
      <c r="L246" s="72"/>
      <c r="M246" s="72"/>
      <c r="N246" s="72"/>
      <c r="O246" s="72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127"/>
      <c r="K247" s="127"/>
      <c r="L247" s="72"/>
      <c r="M247" s="72"/>
      <c r="N247" s="72"/>
      <c r="O247" s="72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127"/>
      <c r="K248" s="127"/>
      <c r="L248" s="72"/>
      <c r="M248" s="72"/>
      <c r="N248" s="72"/>
      <c r="O248" s="72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127"/>
      <c r="K249" s="127"/>
      <c r="L249" s="72"/>
      <c r="M249" s="72"/>
      <c r="N249" s="72"/>
      <c r="O249" s="72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127"/>
      <c r="K250" s="127"/>
      <c r="L250" s="72"/>
      <c r="M250" s="72"/>
      <c r="N250" s="72"/>
      <c r="O250" s="72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127"/>
      <c r="K251" s="127"/>
      <c r="L251" s="72"/>
      <c r="M251" s="72"/>
      <c r="N251" s="72"/>
      <c r="O251" s="72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127"/>
      <c r="K252" s="127"/>
      <c r="L252" s="72"/>
      <c r="M252" s="72"/>
      <c r="N252" s="72"/>
      <c r="O252" s="72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127"/>
      <c r="K253" s="127"/>
      <c r="L253" s="72"/>
      <c r="M253" s="72"/>
      <c r="N253" s="72"/>
      <c r="O253" s="72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127"/>
      <c r="K254" s="127"/>
      <c r="L254" s="72"/>
      <c r="M254" s="72"/>
      <c r="N254" s="72"/>
      <c r="O254" s="72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127"/>
      <c r="K255" s="127"/>
      <c r="L255" s="72"/>
      <c r="M255" s="72"/>
      <c r="N255" s="72"/>
      <c r="O255" s="72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127"/>
      <c r="K256" s="127"/>
      <c r="L256" s="72"/>
      <c r="M256" s="72"/>
      <c r="N256" s="72"/>
      <c r="O256" s="72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127"/>
      <c r="K257" s="127"/>
      <c r="L257" s="72"/>
      <c r="M257" s="72"/>
      <c r="N257" s="72"/>
      <c r="O257" s="72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127"/>
      <c r="K258" s="127"/>
      <c r="L258" s="72"/>
      <c r="M258" s="72"/>
      <c r="N258" s="72"/>
      <c r="O258" s="72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127"/>
      <c r="K259" s="127"/>
      <c r="L259" s="72"/>
      <c r="M259" s="72"/>
      <c r="N259" s="72"/>
      <c r="O259" s="72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127"/>
      <c r="K260" s="127"/>
      <c r="L260" s="72"/>
      <c r="M260" s="72"/>
      <c r="N260" s="72"/>
      <c r="O260" s="72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127"/>
      <c r="K261" s="127"/>
      <c r="L261" s="72"/>
      <c r="M261" s="72"/>
      <c r="N261" s="72"/>
      <c r="O261" s="72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127"/>
      <c r="K262" s="127"/>
      <c r="L262" s="72"/>
      <c r="M262" s="72"/>
      <c r="N262" s="72"/>
      <c r="O262" s="72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127"/>
      <c r="K263" s="127"/>
      <c r="L263" s="72"/>
      <c r="M263" s="72"/>
      <c r="N263" s="72"/>
      <c r="O263" s="72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127"/>
      <c r="K264" s="127"/>
      <c r="L264" s="72"/>
      <c r="M264" s="72"/>
      <c r="N264" s="72"/>
      <c r="O264" s="72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127"/>
      <c r="K265" s="127"/>
      <c r="L265" s="72"/>
      <c r="M265" s="72"/>
      <c r="N265" s="72"/>
      <c r="O265" s="72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127"/>
      <c r="K266" s="127"/>
      <c r="L266" s="72"/>
      <c r="M266" s="72"/>
      <c r="N266" s="72"/>
      <c r="O266" s="72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127"/>
      <c r="K267" s="127"/>
      <c r="L267" s="72"/>
      <c r="M267" s="72"/>
      <c r="N267" s="72"/>
      <c r="O267" s="72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127"/>
      <c r="K268" s="127"/>
      <c r="L268" s="72"/>
      <c r="M268" s="72"/>
      <c r="N268" s="72"/>
      <c r="O268" s="72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127"/>
      <c r="K269" s="127"/>
      <c r="L269" s="72"/>
      <c r="M269" s="72"/>
      <c r="N269" s="72"/>
      <c r="O269" s="72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127"/>
      <c r="K270" s="127"/>
      <c r="L270" s="72"/>
      <c r="M270" s="72"/>
      <c r="N270" s="72"/>
      <c r="O270" s="72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127"/>
      <c r="K271" s="127"/>
      <c r="L271" s="72"/>
      <c r="M271" s="72"/>
      <c r="N271" s="72"/>
      <c r="O271" s="72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127"/>
      <c r="K272" s="127"/>
      <c r="L272" s="72"/>
      <c r="M272" s="72"/>
      <c r="N272" s="72"/>
      <c r="O272" s="72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127"/>
      <c r="K273" s="127"/>
      <c r="L273" s="72"/>
      <c r="M273" s="72"/>
      <c r="N273" s="72"/>
      <c r="O273" s="72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127"/>
      <c r="K274" s="127"/>
      <c r="L274" s="72"/>
      <c r="M274" s="72"/>
      <c r="N274" s="72"/>
      <c r="O274" s="72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127"/>
      <c r="K275" s="127"/>
      <c r="L275" s="72"/>
      <c r="M275" s="72"/>
      <c r="N275" s="72"/>
      <c r="O275" s="72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127"/>
      <c r="K276" s="127"/>
      <c r="L276" s="72"/>
      <c r="M276" s="72"/>
      <c r="N276" s="72"/>
      <c r="O276" s="72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127"/>
      <c r="K277" s="127"/>
      <c r="L277" s="72"/>
      <c r="M277" s="72"/>
      <c r="N277" s="72"/>
      <c r="O277" s="72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127"/>
      <c r="K278" s="127"/>
      <c r="L278" s="72"/>
      <c r="M278" s="72"/>
      <c r="N278" s="72"/>
      <c r="O278" s="72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127"/>
      <c r="K279" s="127"/>
      <c r="L279" s="72"/>
      <c r="M279" s="72"/>
      <c r="N279" s="72"/>
      <c r="O279" s="72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127"/>
      <c r="K280" s="127"/>
      <c r="L280" s="72"/>
      <c r="M280" s="72"/>
      <c r="N280" s="72"/>
      <c r="O280" s="72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127"/>
      <c r="K281" s="127"/>
      <c r="L281" s="72"/>
      <c r="M281" s="72"/>
      <c r="N281" s="72"/>
      <c r="O281" s="72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127"/>
      <c r="K282" s="127"/>
      <c r="L282" s="72"/>
      <c r="M282" s="72"/>
      <c r="N282" s="72"/>
      <c r="O282" s="72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127"/>
      <c r="K283" s="127"/>
      <c r="L283" s="72"/>
      <c r="M283" s="72"/>
      <c r="N283" s="72"/>
      <c r="O283" s="72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127"/>
      <c r="K284" s="127"/>
      <c r="L284" s="72"/>
      <c r="M284" s="72"/>
      <c r="N284" s="72"/>
      <c r="O284" s="72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127"/>
      <c r="K285" s="127"/>
      <c r="L285" s="72"/>
      <c r="M285" s="72"/>
      <c r="N285" s="72"/>
      <c r="O285" s="72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127"/>
      <c r="K286" s="127"/>
      <c r="L286" s="72"/>
      <c r="M286" s="72"/>
      <c r="N286" s="72"/>
      <c r="O286" s="72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127"/>
      <c r="K287" s="127"/>
      <c r="L287" s="72"/>
      <c r="M287" s="72"/>
      <c r="N287" s="72"/>
      <c r="O287" s="72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127"/>
      <c r="K288" s="127"/>
      <c r="L288" s="72"/>
      <c r="M288" s="72"/>
      <c r="N288" s="72"/>
      <c r="O288" s="72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127"/>
      <c r="K289" s="127"/>
      <c r="L289" s="72"/>
      <c r="M289" s="72"/>
      <c r="N289" s="72"/>
      <c r="O289" s="72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127"/>
      <c r="K290" s="127"/>
      <c r="L290" s="72"/>
      <c r="M290" s="72"/>
      <c r="N290" s="72"/>
      <c r="O290" s="72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127"/>
      <c r="K291" s="127"/>
      <c r="L291" s="72"/>
      <c r="M291" s="72"/>
      <c r="N291" s="72"/>
      <c r="O291" s="72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127"/>
      <c r="K292" s="127"/>
      <c r="L292" s="72"/>
      <c r="M292" s="72"/>
      <c r="N292" s="72"/>
      <c r="O292" s="72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127"/>
      <c r="K293" s="127"/>
      <c r="L293" s="72"/>
      <c r="M293" s="72"/>
      <c r="N293" s="72"/>
      <c r="O293" s="72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127"/>
      <c r="K294" s="127"/>
      <c r="L294" s="72"/>
      <c r="M294" s="72"/>
      <c r="N294" s="72"/>
      <c r="O294" s="72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127"/>
      <c r="K295" s="127"/>
      <c r="L295" s="72"/>
      <c r="M295" s="72"/>
      <c r="N295" s="72"/>
      <c r="O295" s="72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127"/>
      <c r="K296" s="127"/>
      <c r="L296" s="72"/>
      <c r="M296" s="72"/>
      <c r="N296" s="72"/>
      <c r="O296" s="72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127"/>
      <c r="K297" s="127"/>
      <c r="L297" s="72"/>
      <c r="M297" s="72"/>
      <c r="N297" s="72"/>
      <c r="O297" s="72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127"/>
      <c r="K298" s="127"/>
      <c r="L298" s="72"/>
      <c r="M298" s="72"/>
      <c r="N298" s="72"/>
      <c r="O298" s="72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127"/>
      <c r="K299" s="127"/>
      <c r="L299" s="72"/>
      <c r="M299" s="72"/>
      <c r="N299" s="72"/>
      <c r="O299" s="72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127"/>
      <c r="K300" s="127"/>
      <c r="L300" s="72"/>
      <c r="M300" s="72"/>
      <c r="N300" s="72"/>
      <c r="O300" s="72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127"/>
      <c r="K301" s="127"/>
      <c r="L301" s="72"/>
      <c r="M301" s="72"/>
      <c r="N301" s="72"/>
      <c r="O301" s="72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127"/>
      <c r="K302" s="127"/>
      <c r="L302" s="72"/>
      <c r="M302" s="72"/>
      <c r="N302" s="72"/>
      <c r="O302" s="72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127"/>
      <c r="K303" s="127"/>
      <c r="L303" s="72"/>
      <c r="M303" s="72"/>
      <c r="N303" s="72"/>
      <c r="O303" s="72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127"/>
      <c r="K304" s="127"/>
      <c r="L304" s="72"/>
      <c r="M304" s="72"/>
      <c r="N304" s="72"/>
      <c r="O304" s="72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127"/>
      <c r="K305" s="127"/>
      <c r="L305" s="72"/>
      <c r="M305" s="72"/>
      <c r="N305" s="72"/>
      <c r="O305" s="72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127"/>
      <c r="K306" s="127"/>
      <c r="L306" s="72"/>
      <c r="M306" s="72"/>
      <c r="N306" s="72"/>
      <c r="O306" s="72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127"/>
      <c r="K307" s="127"/>
      <c r="L307" s="72"/>
      <c r="M307" s="72"/>
      <c r="N307" s="72"/>
      <c r="O307" s="72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127"/>
      <c r="K308" s="127"/>
      <c r="L308" s="72"/>
      <c r="M308" s="72"/>
      <c r="N308" s="72"/>
      <c r="O308" s="72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127"/>
      <c r="K309" s="127"/>
      <c r="L309" s="72"/>
      <c r="M309" s="72"/>
      <c r="N309" s="72"/>
      <c r="O309" s="72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127"/>
      <c r="K310" s="127"/>
      <c r="L310" s="72"/>
      <c r="M310" s="72"/>
      <c r="N310" s="72"/>
      <c r="O310" s="72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127"/>
      <c r="K311" s="127"/>
      <c r="L311" s="72"/>
      <c r="M311" s="72"/>
      <c r="N311" s="72"/>
      <c r="O311" s="72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127"/>
      <c r="K312" s="127"/>
      <c r="L312" s="72"/>
      <c r="M312" s="72"/>
      <c r="N312" s="72"/>
      <c r="O312" s="72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127"/>
      <c r="K313" s="127"/>
      <c r="L313" s="72"/>
      <c r="M313" s="72"/>
      <c r="N313" s="72"/>
      <c r="O313" s="72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127"/>
      <c r="K314" s="127"/>
      <c r="L314" s="72"/>
      <c r="M314" s="72"/>
      <c r="N314" s="72"/>
      <c r="O314" s="72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127"/>
      <c r="K315" s="127"/>
      <c r="L315" s="72"/>
      <c r="M315" s="72"/>
      <c r="N315" s="72"/>
      <c r="O315" s="72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127"/>
      <c r="K316" s="127"/>
      <c r="L316" s="72"/>
      <c r="M316" s="72"/>
      <c r="N316" s="72"/>
      <c r="O316" s="72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127"/>
      <c r="K317" s="127"/>
      <c r="L317" s="72"/>
      <c r="M317" s="72"/>
      <c r="N317" s="72"/>
      <c r="O317" s="72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127"/>
      <c r="K318" s="127"/>
      <c r="L318" s="72"/>
      <c r="M318" s="72"/>
      <c r="N318" s="72"/>
      <c r="O318" s="72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127"/>
      <c r="K319" s="127"/>
      <c r="L319" s="72"/>
      <c r="M319" s="72"/>
      <c r="N319" s="72"/>
      <c r="O319" s="72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127"/>
      <c r="K320" s="127"/>
      <c r="L320" s="72"/>
      <c r="M320" s="72"/>
      <c r="N320" s="72"/>
      <c r="O320" s="72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127"/>
      <c r="K321" s="127"/>
      <c r="L321" s="72"/>
      <c r="M321" s="72"/>
      <c r="N321" s="72"/>
      <c r="O321" s="72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127"/>
      <c r="K322" s="127"/>
      <c r="L322" s="72"/>
      <c r="M322" s="72"/>
      <c r="N322" s="72"/>
      <c r="O322" s="72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127"/>
      <c r="K323" s="127"/>
      <c r="L323" s="72"/>
      <c r="M323" s="72"/>
      <c r="N323" s="72"/>
      <c r="O323" s="72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127"/>
      <c r="K324" s="127"/>
      <c r="L324" s="72"/>
      <c r="M324" s="72"/>
      <c r="N324" s="72"/>
      <c r="O324" s="72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127"/>
      <c r="K325" s="127"/>
      <c r="L325" s="72"/>
      <c r="M325" s="72"/>
      <c r="N325" s="72"/>
      <c r="O325" s="72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127"/>
      <c r="K326" s="127"/>
      <c r="L326" s="72"/>
      <c r="M326" s="72"/>
      <c r="N326" s="72"/>
      <c r="O326" s="72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127"/>
      <c r="K327" s="127"/>
      <c r="L327" s="72"/>
      <c r="M327" s="72"/>
      <c r="N327" s="72"/>
      <c r="O327" s="72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127"/>
      <c r="K328" s="127"/>
      <c r="L328" s="72"/>
      <c r="M328" s="72"/>
      <c r="N328" s="72"/>
      <c r="O328" s="72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127"/>
      <c r="K329" s="127"/>
      <c r="L329" s="72"/>
      <c r="M329" s="72"/>
      <c r="N329" s="72"/>
      <c r="O329" s="72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127"/>
      <c r="K330" s="127"/>
      <c r="L330" s="72"/>
      <c r="M330" s="72"/>
      <c r="N330" s="72"/>
      <c r="O330" s="72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127"/>
      <c r="K331" s="127"/>
      <c r="L331" s="72"/>
      <c r="M331" s="72"/>
      <c r="N331" s="72"/>
      <c r="O331" s="72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127"/>
      <c r="K332" s="127"/>
      <c r="L332" s="72"/>
      <c r="M332" s="72"/>
      <c r="N332" s="72"/>
      <c r="O332" s="72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127"/>
      <c r="K333" s="127"/>
      <c r="L333" s="72"/>
      <c r="M333" s="72"/>
      <c r="N333" s="72"/>
      <c r="O333" s="72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127"/>
      <c r="K334" s="127"/>
      <c r="L334" s="72"/>
      <c r="M334" s="72"/>
      <c r="N334" s="72"/>
      <c r="O334" s="72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127"/>
      <c r="K335" s="127"/>
      <c r="L335" s="72"/>
      <c r="M335" s="72"/>
      <c r="N335" s="72"/>
      <c r="O335" s="72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127"/>
      <c r="K336" s="127"/>
      <c r="L336" s="72"/>
      <c r="M336" s="72"/>
      <c r="N336" s="72"/>
      <c r="O336" s="72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127"/>
      <c r="K337" s="127"/>
      <c r="L337" s="72"/>
      <c r="M337" s="72"/>
      <c r="N337" s="72"/>
      <c r="O337" s="72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127"/>
      <c r="K338" s="127"/>
      <c r="L338" s="72"/>
      <c r="M338" s="72"/>
      <c r="N338" s="72"/>
      <c r="O338" s="72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127"/>
      <c r="K339" s="127"/>
      <c r="L339" s="72"/>
      <c r="M339" s="72"/>
      <c r="N339" s="72"/>
      <c r="O339" s="72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127"/>
      <c r="K340" s="127"/>
      <c r="L340" s="72"/>
      <c r="M340" s="72"/>
      <c r="N340" s="72"/>
      <c r="O340" s="72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127"/>
      <c r="K341" s="127"/>
      <c r="L341" s="72"/>
      <c r="M341" s="72"/>
      <c r="N341" s="72"/>
      <c r="O341" s="72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127"/>
      <c r="K342" s="127"/>
      <c r="L342" s="72"/>
      <c r="M342" s="72"/>
      <c r="N342" s="72"/>
      <c r="O342" s="72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127"/>
      <c r="K343" s="127"/>
      <c r="L343" s="72"/>
      <c r="M343" s="72"/>
      <c r="N343" s="72"/>
      <c r="O343" s="72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127"/>
      <c r="K344" s="127"/>
      <c r="L344" s="72"/>
      <c r="M344" s="72"/>
      <c r="N344" s="72"/>
      <c r="O344" s="72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127"/>
      <c r="K345" s="127"/>
      <c r="L345" s="72"/>
      <c r="M345" s="72"/>
      <c r="N345" s="72"/>
      <c r="O345" s="72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127"/>
      <c r="K346" s="127"/>
      <c r="L346" s="72"/>
      <c r="M346" s="72"/>
      <c r="N346" s="72"/>
      <c r="O346" s="72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127"/>
      <c r="K347" s="127"/>
      <c r="L347" s="72"/>
      <c r="M347" s="72"/>
      <c r="N347" s="72"/>
      <c r="O347" s="72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127"/>
      <c r="K348" s="127"/>
      <c r="L348" s="72"/>
      <c r="M348" s="72"/>
      <c r="N348" s="72"/>
      <c r="O348" s="72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127"/>
      <c r="K349" s="127"/>
      <c r="L349" s="72"/>
      <c r="M349" s="72"/>
      <c r="N349" s="72"/>
      <c r="O349" s="72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127"/>
      <c r="K350" s="127"/>
      <c r="L350" s="72"/>
      <c r="M350" s="72"/>
      <c r="N350" s="72"/>
      <c r="O350" s="72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127"/>
      <c r="K351" s="127"/>
      <c r="L351" s="72"/>
      <c r="M351" s="72"/>
      <c r="N351" s="72"/>
      <c r="O351" s="72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127"/>
      <c r="K352" s="127"/>
      <c r="L352" s="72"/>
      <c r="M352" s="72"/>
      <c r="N352" s="72"/>
      <c r="O352" s="72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127"/>
      <c r="K353" s="127"/>
      <c r="L353" s="72"/>
      <c r="M353" s="72"/>
      <c r="N353" s="72"/>
      <c r="O353" s="72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127"/>
      <c r="K354" s="127"/>
      <c r="L354" s="72"/>
      <c r="M354" s="72"/>
      <c r="N354" s="72"/>
      <c r="O354" s="72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127"/>
      <c r="K355" s="127"/>
      <c r="L355" s="72"/>
      <c r="M355" s="72"/>
      <c r="N355" s="72"/>
      <c r="O355" s="72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127"/>
      <c r="K356" s="127"/>
      <c r="L356" s="72"/>
      <c r="M356" s="72"/>
      <c r="N356" s="72"/>
      <c r="O356" s="72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127"/>
      <c r="K357" s="127"/>
      <c r="L357" s="72"/>
      <c r="M357" s="72"/>
      <c r="N357" s="72"/>
      <c r="O357" s="72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127"/>
      <c r="K358" s="127"/>
      <c r="L358" s="72"/>
      <c r="M358" s="72"/>
      <c r="N358" s="72"/>
      <c r="O358" s="72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127"/>
      <c r="K359" s="127"/>
      <c r="L359" s="72"/>
      <c r="M359" s="72"/>
      <c r="N359" s="72"/>
      <c r="O359" s="72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127"/>
      <c r="K360" s="127"/>
      <c r="L360" s="72"/>
      <c r="M360" s="72"/>
      <c r="N360" s="72"/>
      <c r="O360" s="72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127"/>
      <c r="K361" s="127"/>
      <c r="L361" s="72"/>
      <c r="M361" s="72"/>
      <c r="N361" s="72"/>
      <c r="O361" s="72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127"/>
      <c r="K362" s="127"/>
      <c r="L362" s="72"/>
      <c r="M362" s="72"/>
      <c r="N362" s="72"/>
      <c r="O362" s="72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127"/>
      <c r="K363" s="127"/>
      <c r="L363" s="72"/>
      <c r="M363" s="72"/>
      <c r="N363" s="72"/>
      <c r="O363" s="72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127"/>
      <c r="K364" s="127"/>
      <c r="L364" s="72"/>
      <c r="M364" s="72"/>
      <c r="N364" s="72"/>
      <c r="O364" s="72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127"/>
      <c r="K365" s="127"/>
      <c r="L365" s="72"/>
      <c r="M365" s="72"/>
      <c r="N365" s="72"/>
      <c r="O365" s="72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127"/>
      <c r="K366" s="127"/>
      <c r="L366" s="72"/>
      <c r="M366" s="72"/>
      <c r="N366" s="72"/>
      <c r="O366" s="72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127"/>
      <c r="K367" s="127"/>
      <c r="L367" s="72"/>
      <c r="M367" s="72"/>
      <c r="N367" s="72"/>
      <c r="O367" s="72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127"/>
      <c r="K368" s="127"/>
      <c r="L368" s="72"/>
      <c r="M368" s="72"/>
      <c r="N368" s="72"/>
      <c r="O368" s="72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127"/>
      <c r="K369" s="127"/>
      <c r="L369" s="72"/>
      <c r="M369" s="72"/>
      <c r="N369" s="72"/>
      <c r="O369" s="72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127"/>
      <c r="K370" s="127"/>
      <c r="L370" s="72"/>
      <c r="M370" s="72"/>
      <c r="N370" s="72"/>
      <c r="O370" s="72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127"/>
      <c r="K371" s="127"/>
      <c r="L371" s="72"/>
      <c r="M371" s="72"/>
      <c r="N371" s="72"/>
      <c r="O371" s="72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127"/>
      <c r="K372" s="127"/>
      <c r="L372" s="72"/>
      <c r="M372" s="72"/>
      <c r="N372" s="72"/>
      <c r="O372" s="72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127"/>
      <c r="K373" s="127"/>
      <c r="L373" s="72"/>
      <c r="M373" s="72"/>
      <c r="N373" s="72"/>
      <c r="O373" s="72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127"/>
      <c r="K374" s="127"/>
      <c r="L374" s="72"/>
      <c r="M374" s="72"/>
      <c r="N374" s="72"/>
      <c r="O374" s="72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127"/>
      <c r="K375" s="127"/>
      <c r="L375" s="72"/>
      <c r="M375" s="72"/>
      <c r="N375" s="72"/>
      <c r="O375" s="72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127"/>
      <c r="K376" s="127"/>
      <c r="L376" s="72"/>
      <c r="M376" s="72"/>
      <c r="N376" s="72"/>
      <c r="O376" s="72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127"/>
      <c r="K377" s="127"/>
      <c r="L377" s="72"/>
      <c r="M377" s="72"/>
      <c r="N377" s="72"/>
      <c r="O377" s="72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127"/>
      <c r="K378" s="127"/>
      <c r="L378" s="72"/>
      <c r="M378" s="72"/>
      <c r="N378" s="72"/>
      <c r="O378" s="72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127"/>
      <c r="K379" s="127"/>
      <c r="L379" s="72"/>
      <c r="M379" s="72"/>
      <c r="N379" s="72"/>
      <c r="O379" s="72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127"/>
      <c r="K380" s="127"/>
      <c r="L380" s="72"/>
      <c r="M380" s="72"/>
      <c r="N380" s="72"/>
      <c r="O380" s="72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127"/>
      <c r="K381" s="127"/>
      <c r="L381" s="72"/>
      <c r="M381" s="72"/>
      <c r="N381" s="72"/>
      <c r="O381" s="72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127"/>
      <c r="K382" s="127"/>
      <c r="L382" s="72"/>
      <c r="M382" s="72"/>
      <c r="N382" s="72"/>
      <c r="O382" s="72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127"/>
      <c r="K383" s="127"/>
      <c r="L383" s="72"/>
      <c r="M383" s="72"/>
      <c r="N383" s="72"/>
      <c r="O383" s="72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127"/>
      <c r="K384" s="127"/>
      <c r="L384" s="72"/>
      <c r="M384" s="72"/>
      <c r="N384" s="72"/>
      <c r="O384" s="72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127"/>
      <c r="K385" s="127"/>
      <c r="L385" s="72"/>
      <c r="M385" s="72"/>
      <c r="N385" s="72"/>
      <c r="O385" s="72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127"/>
      <c r="K386" s="127"/>
      <c r="L386" s="72"/>
      <c r="M386" s="72"/>
      <c r="N386" s="72"/>
      <c r="O386" s="72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127"/>
      <c r="K387" s="127"/>
      <c r="L387" s="72"/>
      <c r="M387" s="72"/>
      <c r="N387" s="72"/>
      <c r="O387" s="72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127"/>
      <c r="K388" s="127"/>
      <c r="L388" s="72"/>
      <c r="M388" s="72"/>
      <c r="N388" s="72"/>
      <c r="O388" s="72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127"/>
      <c r="K389" s="127"/>
      <c r="L389" s="72"/>
      <c r="M389" s="72"/>
      <c r="N389" s="72"/>
      <c r="O389" s="72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127"/>
      <c r="K390" s="127"/>
      <c r="L390" s="72"/>
      <c r="M390" s="72"/>
      <c r="N390" s="72"/>
      <c r="O390" s="72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127"/>
      <c r="K391" s="127"/>
      <c r="L391" s="72"/>
      <c r="M391" s="72"/>
      <c r="N391" s="72"/>
      <c r="O391" s="72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127"/>
      <c r="K392" s="127"/>
      <c r="L392" s="72"/>
      <c r="M392" s="72"/>
      <c r="N392" s="72"/>
      <c r="O392" s="72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127"/>
      <c r="K393" s="127"/>
      <c r="L393" s="72"/>
      <c r="M393" s="72"/>
      <c r="N393" s="72"/>
      <c r="O393" s="72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127"/>
      <c r="K394" s="127"/>
      <c r="L394" s="72"/>
      <c r="M394" s="72"/>
      <c r="N394" s="72"/>
      <c r="O394" s="72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127"/>
      <c r="K395" s="127"/>
      <c r="L395" s="72"/>
      <c r="M395" s="72"/>
      <c r="N395" s="72"/>
      <c r="O395" s="72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127"/>
      <c r="K396" s="127"/>
      <c r="L396" s="72"/>
      <c r="M396" s="72"/>
      <c r="N396" s="72"/>
      <c r="O396" s="72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127"/>
      <c r="K397" s="127"/>
      <c r="L397" s="72"/>
      <c r="M397" s="72"/>
      <c r="N397" s="72"/>
      <c r="O397" s="72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127"/>
      <c r="K398" s="127"/>
      <c r="L398" s="72"/>
      <c r="M398" s="72"/>
      <c r="N398" s="72"/>
      <c r="O398" s="72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127"/>
      <c r="K399" s="127"/>
      <c r="L399" s="72"/>
      <c r="M399" s="72"/>
      <c r="N399" s="72"/>
      <c r="O399" s="72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127"/>
      <c r="K400" s="127"/>
      <c r="L400" s="72"/>
      <c r="M400" s="72"/>
      <c r="N400" s="72"/>
      <c r="O400" s="72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127"/>
      <c r="K401" s="127"/>
      <c r="L401" s="72"/>
      <c r="M401" s="72"/>
      <c r="N401" s="72"/>
      <c r="O401" s="72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127"/>
      <c r="K402" s="127"/>
      <c r="L402" s="72"/>
      <c r="M402" s="72"/>
      <c r="N402" s="72"/>
      <c r="O402" s="72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127"/>
      <c r="K403" s="127"/>
      <c r="L403" s="72"/>
      <c r="M403" s="72"/>
      <c r="N403" s="72"/>
      <c r="O403" s="72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127"/>
      <c r="K404" s="127"/>
      <c r="L404" s="72"/>
      <c r="M404" s="72"/>
      <c r="N404" s="72"/>
      <c r="O404" s="72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127"/>
      <c r="K405" s="127"/>
      <c r="L405" s="72"/>
      <c r="M405" s="72"/>
      <c r="N405" s="72"/>
      <c r="O405" s="72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127"/>
      <c r="K406" s="127"/>
      <c r="L406" s="72"/>
      <c r="M406" s="72"/>
      <c r="N406" s="72"/>
      <c r="O406" s="72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127"/>
      <c r="K407" s="127"/>
      <c r="L407" s="72"/>
      <c r="M407" s="72"/>
      <c r="N407" s="72"/>
      <c r="O407" s="72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127"/>
      <c r="K408" s="127"/>
      <c r="L408" s="72"/>
      <c r="M408" s="72"/>
      <c r="N408" s="72"/>
      <c r="O408" s="72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127"/>
      <c r="K409" s="127"/>
      <c r="L409" s="72"/>
      <c r="M409" s="72"/>
      <c r="N409" s="72"/>
      <c r="O409" s="72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127"/>
      <c r="K410" s="127"/>
      <c r="L410" s="72"/>
      <c r="M410" s="72"/>
      <c r="N410" s="72"/>
      <c r="O410" s="72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127"/>
      <c r="K411" s="127"/>
      <c r="L411" s="72"/>
      <c r="M411" s="72"/>
      <c r="N411" s="72"/>
      <c r="O411" s="72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127"/>
      <c r="K412" s="127"/>
      <c r="L412" s="72"/>
      <c r="M412" s="72"/>
      <c r="N412" s="72"/>
      <c r="O412" s="72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127"/>
      <c r="K413" s="127"/>
      <c r="L413" s="72"/>
      <c r="M413" s="72"/>
      <c r="N413" s="72"/>
      <c r="O413" s="72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127"/>
      <c r="K414" s="127"/>
      <c r="L414" s="72"/>
      <c r="M414" s="72"/>
      <c r="N414" s="72"/>
      <c r="O414" s="72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127"/>
      <c r="K415" s="127"/>
      <c r="L415" s="72"/>
      <c r="M415" s="72"/>
      <c r="N415" s="72"/>
      <c r="O415" s="72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127"/>
      <c r="K416" s="127"/>
      <c r="L416" s="72"/>
      <c r="M416" s="72"/>
      <c r="N416" s="72"/>
      <c r="O416" s="72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127"/>
      <c r="K417" s="127"/>
      <c r="L417" s="72"/>
      <c r="M417" s="72"/>
      <c r="N417" s="72"/>
      <c r="O417" s="72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127"/>
      <c r="K418" s="127"/>
      <c r="L418" s="72"/>
      <c r="M418" s="72"/>
      <c r="N418" s="72"/>
      <c r="O418" s="72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127"/>
      <c r="K419" s="127"/>
      <c r="L419" s="72"/>
      <c r="M419" s="72"/>
      <c r="N419" s="72"/>
      <c r="O419" s="72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127"/>
      <c r="K420" s="127"/>
      <c r="L420" s="72"/>
      <c r="M420" s="72"/>
      <c r="N420" s="72"/>
      <c r="O420" s="72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127"/>
      <c r="K421" s="127"/>
      <c r="L421" s="72"/>
      <c r="M421" s="72"/>
      <c r="N421" s="72"/>
      <c r="O421" s="72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127"/>
      <c r="K422" s="127"/>
      <c r="L422" s="72"/>
      <c r="M422" s="72"/>
      <c r="N422" s="72"/>
      <c r="O422" s="72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127"/>
      <c r="K423" s="127"/>
      <c r="L423" s="72"/>
      <c r="M423" s="72"/>
      <c r="N423" s="72"/>
      <c r="O423" s="72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127"/>
      <c r="K424" s="127"/>
      <c r="L424" s="72"/>
      <c r="M424" s="72"/>
      <c r="N424" s="72"/>
      <c r="O424" s="72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127"/>
      <c r="K425" s="127"/>
      <c r="L425" s="72"/>
      <c r="M425" s="72"/>
      <c r="N425" s="72"/>
      <c r="O425" s="72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127"/>
      <c r="K426" s="127"/>
      <c r="L426" s="72"/>
      <c r="M426" s="72"/>
      <c r="N426" s="72"/>
      <c r="O426" s="72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127"/>
      <c r="K427" s="127"/>
      <c r="L427" s="72"/>
      <c r="M427" s="72"/>
      <c r="N427" s="72"/>
      <c r="O427" s="72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127"/>
      <c r="K428" s="127"/>
      <c r="L428" s="72"/>
      <c r="M428" s="72"/>
      <c r="N428" s="72"/>
      <c r="O428" s="72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127"/>
      <c r="K429" s="127"/>
      <c r="L429" s="72"/>
      <c r="M429" s="72"/>
      <c r="N429" s="72"/>
      <c r="O429" s="72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127"/>
      <c r="K430" s="127"/>
      <c r="L430" s="72"/>
      <c r="M430" s="72"/>
      <c r="N430" s="72"/>
      <c r="O430" s="72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127"/>
      <c r="K431" s="127"/>
      <c r="L431" s="72"/>
      <c r="M431" s="72"/>
      <c r="N431" s="72"/>
      <c r="O431" s="72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127"/>
      <c r="K432" s="127"/>
      <c r="L432" s="72"/>
      <c r="M432" s="72"/>
      <c r="N432" s="72"/>
      <c r="O432" s="72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127"/>
      <c r="K433" s="127"/>
      <c r="L433" s="72"/>
      <c r="M433" s="72"/>
      <c r="N433" s="72"/>
      <c r="O433" s="72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127"/>
      <c r="K434" s="127"/>
      <c r="L434" s="72"/>
      <c r="M434" s="72"/>
      <c r="N434" s="72"/>
      <c r="O434" s="72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127"/>
      <c r="K435" s="127"/>
      <c r="L435" s="72"/>
      <c r="M435" s="72"/>
      <c r="N435" s="72"/>
      <c r="O435" s="72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127"/>
      <c r="K436" s="127"/>
      <c r="L436" s="72"/>
      <c r="M436" s="72"/>
      <c r="N436" s="72"/>
      <c r="O436" s="72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127"/>
      <c r="K437" s="127"/>
      <c r="L437" s="72"/>
      <c r="M437" s="72"/>
      <c r="N437" s="72"/>
      <c r="O437" s="72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127"/>
      <c r="K438" s="127"/>
      <c r="L438" s="72"/>
      <c r="M438" s="72"/>
      <c r="N438" s="72"/>
      <c r="O438" s="72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127"/>
      <c r="K439" s="127"/>
      <c r="L439" s="72"/>
      <c r="M439" s="72"/>
      <c r="N439" s="72"/>
      <c r="O439" s="72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127"/>
      <c r="K440" s="127"/>
      <c r="L440" s="72"/>
      <c r="M440" s="72"/>
      <c r="N440" s="72"/>
      <c r="O440" s="72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127"/>
      <c r="K441" s="127"/>
      <c r="L441" s="72"/>
      <c r="M441" s="72"/>
      <c r="N441" s="72"/>
      <c r="O441" s="72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127"/>
      <c r="K442" s="127"/>
      <c r="L442" s="72"/>
      <c r="M442" s="72"/>
      <c r="N442" s="72"/>
      <c r="O442" s="72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127"/>
      <c r="K443" s="127"/>
      <c r="L443" s="72"/>
      <c r="M443" s="72"/>
      <c r="N443" s="72"/>
      <c r="O443" s="72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127"/>
      <c r="K444" s="127"/>
      <c r="L444" s="72"/>
      <c r="M444" s="72"/>
      <c r="N444" s="72"/>
      <c r="O444" s="72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127"/>
      <c r="K445" s="127"/>
      <c r="L445" s="72"/>
      <c r="M445" s="72"/>
      <c r="N445" s="72"/>
      <c r="O445" s="72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127"/>
      <c r="K446" s="127"/>
      <c r="L446" s="72"/>
      <c r="M446" s="72"/>
      <c r="N446" s="72"/>
      <c r="O446" s="72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127"/>
      <c r="K447" s="127"/>
      <c r="L447" s="72"/>
      <c r="M447" s="72"/>
      <c r="N447" s="72"/>
      <c r="O447" s="72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127"/>
      <c r="K448" s="127"/>
      <c r="L448" s="72"/>
      <c r="M448" s="72"/>
      <c r="N448" s="72"/>
      <c r="O448" s="72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127"/>
      <c r="K449" s="127"/>
      <c r="L449" s="72"/>
      <c r="M449" s="72"/>
      <c r="N449" s="72"/>
      <c r="O449" s="72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127"/>
      <c r="K450" s="127"/>
      <c r="L450" s="72"/>
      <c r="M450" s="72"/>
      <c r="N450" s="72"/>
      <c r="O450" s="72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127"/>
      <c r="K451" s="127"/>
      <c r="L451" s="72"/>
      <c r="M451" s="72"/>
      <c r="N451" s="72"/>
      <c r="O451" s="72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127"/>
      <c r="K452" s="127"/>
      <c r="L452" s="72"/>
      <c r="M452" s="72"/>
      <c r="N452" s="72"/>
      <c r="O452" s="72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127"/>
      <c r="K453" s="127"/>
      <c r="L453" s="72"/>
      <c r="M453" s="72"/>
      <c r="N453" s="72"/>
      <c r="O453" s="72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127"/>
      <c r="K454" s="127"/>
      <c r="L454" s="72"/>
      <c r="M454" s="72"/>
      <c r="N454" s="72"/>
      <c r="O454" s="72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127"/>
      <c r="K455" s="127"/>
      <c r="L455" s="72"/>
      <c r="M455" s="72"/>
      <c r="N455" s="72"/>
      <c r="O455" s="72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127"/>
      <c r="K456" s="127"/>
      <c r="L456" s="72"/>
      <c r="M456" s="72"/>
      <c r="N456" s="72"/>
      <c r="O456" s="72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127"/>
      <c r="K457" s="127"/>
      <c r="L457" s="72"/>
      <c r="M457" s="72"/>
      <c r="N457" s="72"/>
      <c r="O457" s="72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127"/>
      <c r="K458" s="127"/>
      <c r="L458" s="72"/>
      <c r="M458" s="72"/>
      <c r="N458" s="72"/>
      <c r="O458" s="72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127"/>
      <c r="K459" s="127"/>
      <c r="L459" s="72"/>
      <c r="M459" s="72"/>
      <c r="N459" s="72"/>
      <c r="O459" s="72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127"/>
      <c r="K460" s="127"/>
      <c r="L460" s="72"/>
      <c r="M460" s="72"/>
      <c r="N460" s="72"/>
      <c r="O460" s="72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127"/>
      <c r="K461" s="127"/>
      <c r="L461" s="72"/>
      <c r="M461" s="72"/>
      <c r="N461" s="72"/>
      <c r="O461" s="72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127"/>
      <c r="K462" s="127"/>
      <c r="L462" s="72"/>
      <c r="M462" s="72"/>
      <c r="N462" s="72"/>
      <c r="O462" s="72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127"/>
      <c r="K463" s="127"/>
      <c r="L463" s="72"/>
      <c r="M463" s="72"/>
      <c r="N463" s="72"/>
      <c r="O463" s="72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127"/>
      <c r="K464" s="127"/>
      <c r="L464" s="72"/>
      <c r="M464" s="72"/>
      <c r="N464" s="72"/>
      <c r="O464" s="72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127"/>
      <c r="K465" s="127"/>
      <c r="L465" s="72"/>
      <c r="M465" s="72"/>
      <c r="N465" s="72"/>
      <c r="O465" s="72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127"/>
      <c r="K466" s="127"/>
      <c r="L466" s="72"/>
      <c r="M466" s="72"/>
      <c r="N466" s="72"/>
      <c r="O466" s="72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127"/>
      <c r="K467" s="127"/>
      <c r="L467" s="72"/>
      <c r="M467" s="72"/>
      <c r="N467" s="72"/>
      <c r="O467" s="72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127"/>
      <c r="K468" s="127"/>
      <c r="L468" s="72"/>
      <c r="M468" s="72"/>
      <c r="N468" s="72"/>
      <c r="O468" s="72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127"/>
      <c r="K469" s="127"/>
      <c r="L469" s="72"/>
      <c r="M469" s="72"/>
      <c r="N469" s="72"/>
      <c r="O469" s="72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127"/>
      <c r="K470" s="127"/>
      <c r="L470" s="72"/>
      <c r="M470" s="72"/>
      <c r="N470" s="72"/>
      <c r="O470" s="72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127"/>
      <c r="K471" s="127"/>
      <c r="L471" s="72"/>
      <c r="M471" s="72"/>
      <c r="N471" s="72"/>
      <c r="O471" s="72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127"/>
      <c r="K472" s="127"/>
      <c r="L472" s="72"/>
      <c r="M472" s="72"/>
      <c r="N472" s="72"/>
      <c r="O472" s="72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127"/>
      <c r="K473" s="127"/>
      <c r="L473" s="72"/>
      <c r="M473" s="72"/>
      <c r="N473" s="72"/>
      <c r="O473" s="72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127"/>
      <c r="K474" s="127"/>
      <c r="L474" s="72"/>
      <c r="M474" s="72"/>
      <c r="N474" s="72"/>
      <c r="O474" s="72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127"/>
      <c r="K475" s="127"/>
      <c r="L475" s="72"/>
      <c r="M475" s="72"/>
      <c r="N475" s="72"/>
      <c r="O475" s="72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127"/>
      <c r="K476" s="127"/>
      <c r="L476" s="72"/>
      <c r="M476" s="72"/>
      <c r="N476" s="72"/>
      <c r="O476" s="72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127"/>
      <c r="K477" s="127"/>
      <c r="L477" s="72"/>
      <c r="M477" s="72"/>
      <c r="N477" s="72"/>
      <c r="O477" s="72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127"/>
      <c r="K478" s="127"/>
      <c r="L478" s="72"/>
      <c r="M478" s="72"/>
      <c r="N478" s="72"/>
      <c r="O478" s="72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127"/>
      <c r="K479" s="127"/>
      <c r="L479" s="72"/>
      <c r="M479" s="72"/>
      <c r="N479" s="72"/>
      <c r="O479" s="72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127"/>
      <c r="K480" s="127"/>
      <c r="L480" s="72"/>
      <c r="M480" s="72"/>
      <c r="N480" s="72"/>
      <c r="O480" s="72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127"/>
      <c r="K481" s="127"/>
      <c r="L481" s="72"/>
      <c r="M481" s="72"/>
      <c r="N481" s="72"/>
      <c r="O481" s="72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127"/>
      <c r="K482" s="127"/>
      <c r="L482" s="72"/>
      <c r="M482" s="72"/>
      <c r="N482" s="72"/>
      <c r="O482" s="72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127"/>
      <c r="K483" s="127"/>
      <c r="L483" s="72"/>
      <c r="M483" s="72"/>
      <c r="N483" s="72"/>
      <c r="O483" s="72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127"/>
      <c r="K484" s="127"/>
      <c r="L484" s="72"/>
      <c r="M484" s="72"/>
      <c r="N484" s="72"/>
      <c r="O484" s="72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127"/>
      <c r="K485" s="127"/>
      <c r="L485" s="72"/>
      <c r="M485" s="72"/>
      <c r="N485" s="72"/>
      <c r="O485" s="72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127"/>
      <c r="K486" s="127"/>
      <c r="L486" s="72"/>
      <c r="M486" s="72"/>
      <c r="N486" s="72"/>
      <c r="O486" s="72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127"/>
      <c r="K487" s="127"/>
      <c r="L487" s="72"/>
      <c r="M487" s="72"/>
      <c r="N487" s="72"/>
      <c r="O487" s="72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127"/>
      <c r="K488" s="127"/>
      <c r="L488" s="72"/>
      <c r="M488" s="72"/>
      <c r="N488" s="72"/>
      <c r="O488" s="72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127"/>
      <c r="K489" s="127"/>
      <c r="L489" s="72"/>
      <c r="M489" s="72"/>
      <c r="N489" s="72"/>
      <c r="O489" s="72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127"/>
      <c r="K490" s="127"/>
      <c r="L490" s="72"/>
      <c r="M490" s="72"/>
      <c r="N490" s="72"/>
      <c r="O490" s="72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127"/>
      <c r="K491" s="127"/>
      <c r="L491" s="72"/>
      <c r="M491" s="72"/>
      <c r="N491" s="72"/>
      <c r="O491" s="72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127"/>
      <c r="K492" s="127"/>
      <c r="L492" s="72"/>
      <c r="M492" s="72"/>
      <c r="N492" s="72"/>
      <c r="O492" s="72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127"/>
      <c r="K493" s="127"/>
      <c r="L493" s="72"/>
      <c r="M493" s="72"/>
      <c r="N493" s="72"/>
      <c r="O493" s="72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127"/>
      <c r="K494" s="127"/>
      <c r="L494" s="72"/>
      <c r="M494" s="72"/>
      <c r="N494" s="72"/>
      <c r="O494" s="72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127"/>
      <c r="K495" s="127"/>
      <c r="L495" s="72"/>
      <c r="M495" s="72"/>
      <c r="N495" s="72"/>
      <c r="O495" s="72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127"/>
      <c r="K496" s="127"/>
      <c r="L496" s="72"/>
      <c r="M496" s="72"/>
      <c r="N496" s="72"/>
      <c r="O496" s="72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127"/>
      <c r="K497" s="127"/>
      <c r="L497" s="72"/>
      <c r="M497" s="72"/>
      <c r="N497" s="72"/>
      <c r="O497" s="72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127"/>
      <c r="K498" s="127"/>
      <c r="L498" s="72"/>
      <c r="M498" s="72"/>
      <c r="N498" s="72"/>
      <c r="O498" s="72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127"/>
      <c r="K499" s="127"/>
      <c r="L499" s="72"/>
      <c r="M499" s="72"/>
      <c r="N499" s="72"/>
      <c r="O499" s="72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127"/>
      <c r="K500" s="127"/>
      <c r="L500" s="72"/>
      <c r="M500" s="72"/>
      <c r="N500" s="72"/>
      <c r="O500" s="72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127"/>
      <c r="K501" s="127"/>
      <c r="L501" s="72"/>
      <c r="M501" s="72"/>
      <c r="N501" s="72"/>
      <c r="O501" s="72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127"/>
      <c r="K502" s="127"/>
      <c r="L502" s="72"/>
      <c r="M502" s="72"/>
      <c r="N502" s="72"/>
      <c r="O502" s="72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127"/>
      <c r="K503" s="127"/>
      <c r="L503" s="72"/>
      <c r="M503" s="72"/>
      <c r="N503" s="72"/>
      <c r="O503" s="72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127"/>
      <c r="K504" s="127"/>
      <c r="L504" s="72"/>
      <c r="M504" s="72"/>
      <c r="N504" s="72"/>
      <c r="O504" s="72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127"/>
      <c r="K505" s="127"/>
      <c r="L505" s="72"/>
      <c r="M505" s="72"/>
      <c r="N505" s="72"/>
      <c r="O505" s="72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127"/>
      <c r="K506" s="127"/>
      <c r="L506" s="72"/>
      <c r="M506" s="72"/>
      <c r="N506" s="72"/>
      <c r="O506" s="72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127"/>
      <c r="K507" s="127"/>
      <c r="L507" s="72"/>
      <c r="M507" s="72"/>
      <c r="N507" s="72"/>
      <c r="O507" s="72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127"/>
      <c r="K508" s="127"/>
      <c r="L508" s="72"/>
      <c r="M508" s="72"/>
      <c r="N508" s="72"/>
      <c r="O508" s="72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127"/>
      <c r="K509" s="127"/>
      <c r="L509" s="72"/>
      <c r="M509" s="72"/>
      <c r="N509" s="72"/>
      <c r="O509" s="72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127"/>
      <c r="K510" s="127"/>
      <c r="L510" s="72"/>
      <c r="M510" s="72"/>
      <c r="N510" s="72"/>
      <c r="O510" s="72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127"/>
      <c r="K511" s="127"/>
      <c r="L511" s="72"/>
      <c r="M511" s="72"/>
      <c r="N511" s="72"/>
      <c r="O511" s="72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127"/>
      <c r="K512" s="127"/>
      <c r="L512" s="72"/>
      <c r="M512" s="72"/>
      <c r="N512" s="72"/>
      <c r="O512" s="72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127"/>
      <c r="K513" s="127"/>
      <c r="L513" s="72"/>
      <c r="M513" s="72"/>
      <c r="N513" s="72"/>
      <c r="O513" s="72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127"/>
      <c r="K514" s="127"/>
      <c r="L514" s="72"/>
      <c r="M514" s="72"/>
      <c r="N514" s="72"/>
      <c r="O514" s="72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127"/>
      <c r="K515" s="127"/>
      <c r="L515" s="72"/>
      <c r="M515" s="72"/>
      <c r="N515" s="72"/>
      <c r="O515" s="72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127"/>
      <c r="K516" s="127"/>
      <c r="L516" s="72"/>
      <c r="M516" s="72"/>
      <c r="N516" s="72"/>
      <c r="O516" s="72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127"/>
      <c r="K517" s="127"/>
      <c r="L517" s="72"/>
      <c r="M517" s="72"/>
      <c r="N517" s="72"/>
      <c r="O517" s="72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127"/>
      <c r="K518" s="127"/>
      <c r="L518" s="72"/>
      <c r="M518" s="72"/>
      <c r="N518" s="72"/>
      <c r="O518" s="72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127"/>
      <c r="K519" s="127"/>
      <c r="L519" s="72"/>
      <c r="M519" s="72"/>
      <c r="N519" s="72"/>
      <c r="O519" s="72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127"/>
      <c r="K520" s="127"/>
      <c r="L520" s="72"/>
      <c r="M520" s="72"/>
      <c r="N520" s="72"/>
      <c r="O520" s="72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127"/>
      <c r="K521" s="127"/>
      <c r="L521" s="72"/>
      <c r="M521" s="72"/>
      <c r="N521" s="72"/>
      <c r="O521" s="72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127"/>
      <c r="K522" s="127"/>
      <c r="L522" s="72"/>
      <c r="M522" s="72"/>
      <c r="N522" s="72"/>
      <c r="O522" s="72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127"/>
      <c r="K523" s="127"/>
      <c r="L523" s="72"/>
      <c r="M523" s="72"/>
      <c r="N523" s="72"/>
      <c r="O523" s="72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127"/>
      <c r="K524" s="127"/>
      <c r="L524" s="72"/>
      <c r="M524" s="72"/>
      <c r="N524" s="72"/>
      <c r="O524" s="72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127"/>
      <c r="K525" s="127"/>
      <c r="L525" s="72"/>
      <c r="M525" s="72"/>
      <c r="N525" s="72"/>
      <c r="O525" s="72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127"/>
      <c r="K526" s="127"/>
      <c r="L526" s="72"/>
      <c r="M526" s="72"/>
      <c r="N526" s="72"/>
      <c r="O526" s="72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127"/>
      <c r="K527" s="127"/>
      <c r="L527" s="72"/>
      <c r="M527" s="72"/>
      <c r="N527" s="72"/>
      <c r="O527" s="72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127"/>
      <c r="K528" s="127"/>
      <c r="L528" s="72"/>
      <c r="M528" s="72"/>
      <c r="N528" s="72"/>
      <c r="O528" s="72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127"/>
      <c r="K529" s="127"/>
      <c r="L529" s="72"/>
      <c r="M529" s="72"/>
      <c r="N529" s="72"/>
      <c r="O529" s="72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127"/>
      <c r="K530" s="127"/>
      <c r="L530" s="72"/>
      <c r="M530" s="72"/>
      <c r="N530" s="72"/>
      <c r="O530" s="72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127"/>
      <c r="K531" s="127"/>
      <c r="L531" s="72"/>
      <c r="M531" s="72"/>
      <c r="N531" s="72"/>
      <c r="O531" s="72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127"/>
      <c r="K532" s="127"/>
      <c r="L532" s="72"/>
      <c r="M532" s="72"/>
      <c r="N532" s="72"/>
      <c r="O532" s="72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127"/>
      <c r="K533" s="127"/>
      <c r="L533" s="72"/>
      <c r="M533" s="72"/>
      <c r="N533" s="72"/>
      <c r="O533" s="72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127"/>
      <c r="K534" s="127"/>
      <c r="L534" s="72"/>
      <c r="M534" s="72"/>
      <c r="N534" s="72"/>
      <c r="O534" s="72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127"/>
      <c r="K535" s="127"/>
      <c r="L535" s="72"/>
      <c r="M535" s="72"/>
      <c r="N535" s="72"/>
      <c r="O535" s="72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127"/>
      <c r="K536" s="127"/>
      <c r="L536" s="72"/>
      <c r="M536" s="72"/>
      <c r="N536" s="72"/>
      <c r="O536" s="72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127"/>
      <c r="K537" s="127"/>
      <c r="L537" s="72"/>
      <c r="M537" s="72"/>
      <c r="N537" s="72"/>
      <c r="O537" s="72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127"/>
      <c r="K538" s="127"/>
      <c r="L538" s="72"/>
      <c r="M538" s="72"/>
      <c r="N538" s="72"/>
      <c r="O538" s="72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127"/>
      <c r="K539" s="127"/>
      <c r="L539" s="72"/>
      <c r="M539" s="72"/>
      <c r="N539" s="72"/>
      <c r="O539" s="72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127"/>
      <c r="K540" s="127"/>
      <c r="L540" s="72"/>
      <c r="M540" s="72"/>
      <c r="N540" s="72"/>
      <c r="O540" s="72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127"/>
      <c r="K541" s="127"/>
      <c r="L541" s="72"/>
      <c r="M541" s="72"/>
      <c r="N541" s="72"/>
      <c r="O541" s="72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127"/>
      <c r="K542" s="127"/>
      <c r="L542" s="72"/>
      <c r="M542" s="72"/>
      <c r="N542" s="72"/>
      <c r="O542" s="72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127"/>
      <c r="K543" s="127"/>
      <c r="L543" s="72"/>
      <c r="M543" s="72"/>
      <c r="N543" s="72"/>
      <c r="O543" s="72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127"/>
      <c r="K544" s="127"/>
      <c r="L544" s="72"/>
      <c r="M544" s="72"/>
      <c r="N544" s="72"/>
      <c r="O544" s="72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127"/>
      <c r="K545" s="127"/>
      <c r="L545" s="72"/>
      <c r="M545" s="72"/>
      <c r="N545" s="72"/>
      <c r="O545" s="72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127"/>
      <c r="K546" s="127"/>
      <c r="L546" s="72"/>
      <c r="M546" s="72"/>
      <c r="N546" s="72"/>
      <c r="O546" s="72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127"/>
      <c r="K547" s="127"/>
      <c r="L547" s="72"/>
      <c r="M547" s="72"/>
      <c r="N547" s="72"/>
      <c r="O547" s="72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127"/>
      <c r="K548" s="127"/>
      <c r="L548" s="72"/>
      <c r="M548" s="72"/>
      <c r="N548" s="72"/>
      <c r="O548" s="72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127"/>
      <c r="K549" s="127"/>
      <c r="L549" s="72"/>
      <c r="M549" s="72"/>
      <c r="N549" s="72"/>
      <c r="O549" s="72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127"/>
      <c r="K550" s="127"/>
      <c r="L550" s="72"/>
      <c r="M550" s="72"/>
      <c r="N550" s="72"/>
      <c r="O550" s="72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127"/>
      <c r="K551" s="127"/>
      <c r="L551" s="72"/>
      <c r="M551" s="72"/>
      <c r="N551" s="72"/>
      <c r="O551" s="72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127"/>
      <c r="K552" s="127"/>
      <c r="L552" s="72"/>
      <c r="M552" s="72"/>
      <c r="N552" s="72"/>
      <c r="O552" s="72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127"/>
      <c r="K553" s="127"/>
      <c r="L553" s="72"/>
      <c r="M553" s="72"/>
      <c r="N553" s="72"/>
      <c r="O553" s="72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127"/>
      <c r="K554" s="127"/>
      <c r="L554" s="72"/>
      <c r="M554" s="72"/>
      <c r="N554" s="72"/>
      <c r="O554" s="72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127"/>
      <c r="K555" s="127"/>
      <c r="L555" s="72"/>
      <c r="M555" s="72"/>
      <c r="N555" s="72"/>
      <c r="O555" s="72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127"/>
      <c r="K556" s="127"/>
      <c r="L556" s="72"/>
      <c r="M556" s="72"/>
      <c r="N556" s="72"/>
      <c r="O556" s="72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127"/>
      <c r="K557" s="127"/>
      <c r="L557" s="72"/>
      <c r="M557" s="72"/>
      <c r="N557" s="72"/>
      <c r="O557" s="72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127"/>
      <c r="K558" s="127"/>
      <c r="L558" s="72"/>
      <c r="M558" s="72"/>
      <c r="N558" s="72"/>
      <c r="O558" s="72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127"/>
      <c r="K559" s="127"/>
      <c r="L559" s="72"/>
      <c r="M559" s="72"/>
      <c r="N559" s="72"/>
      <c r="O559" s="72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127"/>
      <c r="K560" s="127"/>
      <c r="L560" s="72"/>
      <c r="M560" s="72"/>
      <c r="N560" s="72"/>
      <c r="O560" s="72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127"/>
      <c r="K561" s="127"/>
      <c r="L561" s="72"/>
      <c r="M561" s="72"/>
      <c r="N561" s="72"/>
      <c r="O561" s="72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127"/>
      <c r="K562" s="127"/>
      <c r="L562" s="72"/>
      <c r="M562" s="72"/>
      <c r="N562" s="72"/>
      <c r="O562" s="72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127"/>
      <c r="K563" s="127"/>
      <c r="L563" s="72"/>
      <c r="M563" s="72"/>
      <c r="N563" s="72"/>
      <c r="O563" s="72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127"/>
      <c r="K564" s="127"/>
      <c r="L564" s="72"/>
      <c r="M564" s="72"/>
      <c r="N564" s="72"/>
      <c r="O564" s="72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127"/>
      <c r="K565" s="127"/>
      <c r="L565" s="72"/>
      <c r="M565" s="72"/>
      <c r="N565" s="72"/>
      <c r="O565" s="72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127"/>
      <c r="K566" s="127"/>
      <c r="L566" s="72"/>
      <c r="M566" s="72"/>
      <c r="N566" s="72"/>
      <c r="O566" s="72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127"/>
      <c r="K567" s="127"/>
      <c r="L567" s="72"/>
      <c r="M567" s="72"/>
      <c r="N567" s="72"/>
      <c r="O567" s="72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127"/>
      <c r="K568" s="127"/>
      <c r="L568" s="72"/>
      <c r="M568" s="72"/>
      <c r="N568" s="72"/>
      <c r="O568" s="72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127"/>
      <c r="K569" s="127"/>
      <c r="L569" s="72"/>
      <c r="M569" s="72"/>
      <c r="N569" s="72"/>
      <c r="O569" s="72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127"/>
      <c r="K570" s="127"/>
      <c r="L570" s="72"/>
      <c r="M570" s="72"/>
      <c r="N570" s="72"/>
      <c r="O570" s="72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127"/>
      <c r="K571" s="127"/>
      <c r="L571" s="72"/>
      <c r="M571" s="72"/>
      <c r="N571" s="72"/>
      <c r="O571" s="72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127"/>
      <c r="K572" s="127"/>
      <c r="L572" s="72"/>
      <c r="M572" s="72"/>
      <c r="N572" s="72"/>
      <c r="O572" s="72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127"/>
      <c r="K573" s="127"/>
      <c r="L573" s="72"/>
      <c r="M573" s="72"/>
      <c r="N573" s="72"/>
      <c r="O573" s="72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127"/>
      <c r="K574" s="127"/>
      <c r="L574" s="72"/>
      <c r="M574" s="72"/>
      <c r="N574" s="72"/>
      <c r="O574" s="72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127"/>
      <c r="K575" s="127"/>
      <c r="L575" s="72"/>
      <c r="M575" s="72"/>
      <c r="N575" s="72"/>
      <c r="O575" s="72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127"/>
      <c r="K576" s="127"/>
      <c r="L576" s="72"/>
      <c r="M576" s="72"/>
      <c r="N576" s="72"/>
      <c r="O576" s="72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127"/>
      <c r="K577" s="127"/>
      <c r="L577" s="72"/>
      <c r="M577" s="72"/>
      <c r="N577" s="72"/>
      <c r="O577" s="72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127"/>
      <c r="K578" s="127"/>
      <c r="L578" s="72"/>
      <c r="M578" s="72"/>
      <c r="N578" s="72"/>
      <c r="O578" s="72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127"/>
      <c r="K579" s="127"/>
      <c r="L579" s="72"/>
      <c r="M579" s="72"/>
      <c r="N579" s="72"/>
      <c r="O579" s="72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127"/>
      <c r="K580" s="127"/>
      <c r="L580" s="72"/>
      <c r="M580" s="72"/>
      <c r="N580" s="72"/>
      <c r="O580" s="72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127"/>
      <c r="K581" s="127"/>
      <c r="L581" s="72"/>
      <c r="M581" s="72"/>
      <c r="N581" s="72"/>
      <c r="O581" s="72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127"/>
      <c r="K582" s="127"/>
      <c r="L582" s="72"/>
      <c r="M582" s="72"/>
      <c r="N582" s="72"/>
      <c r="O582" s="72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127"/>
      <c r="K583" s="127"/>
      <c r="L583" s="72"/>
      <c r="M583" s="72"/>
      <c r="N583" s="72"/>
      <c r="O583" s="72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127"/>
      <c r="K584" s="127"/>
      <c r="L584" s="72"/>
      <c r="M584" s="72"/>
      <c r="N584" s="72"/>
      <c r="O584" s="72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127"/>
      <c r="K585" s="127"/>
      <c r="L585" s="72"/>
      <c r="M585" s="72"/>
      <c r="N585" s="72"/>
      <c r="O585" s="72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127"/>
      <c r="K586" s="127"/>
      <c r="L586" s="72"/>
      <c r="M586" s="72"/>
      <c r="N586" s="72"/>
      <c r="O586" s="72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127"/>
      <c r="K587" s="127"/>
      <c r="L587" s="72"/>
      <c r="M587" s="72"/>
      <c r="N587" s="72"/>
      <c r="O587" s="72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127"/>
      <c r="K588" s="127"/>
      <c r="L588" s="72"/>
      <c r="M588" s="72"/>
      <c r="N588" s="72"/>
      <c r="O588" s="72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127"/>
      <c r="K589" s="127"/>
      <c r="L589" s="72"/>
      <c r="M589" s="72"/>
      <c r="N589" s="72"/>
      <c r="O589" s="72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127"/>
      <c r="K590" s="127"/>
      <c r="L590" s="72"/>
      <c r="M590" s="72"/>
      <c r="N590" s="72"/>
      <c r="O590" s="72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127"/>
      <c r="K591" s="127"/>
      <c r="L591" s="72"/>
      <c r="M591" s="72"/>
      <c r="N591" s="72"/>
      <c r="O591" s="72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127"/>
      <c r="K592" s="127"/>
      <c r="L592" s="72"/>
      <c r="M592" s="72"/>
      <c r="N592" s="72"/>
      <c r="O592" s="72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127"/>
      <c r="K593" s="127"/>
      <c r="L593" s="72"/>
      <c r="M593" s="72"/>
      <c r="N593" s="72"/>
      <c r="O593" s="72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127"/>
      <c r="K594" s="127"/>
      <c r="L594" s="72"/>
      <c r="M594" s="72"/>
      <c r="N594" s="72"/>
      <c r="O594" s="72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127"/>
      <c r="K595" s="127"/>
      <c r="L595" s="72"/>
      <c r="M595" s="72"/>
      <c r="N595" s="72"/>
      <c r="O595" s="72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127"/>
      <c r="K596" s="127"/>
      <c r="L596" s="72"/>
      <c r="M596" s="72"/>
      <c r="N596" s="72"/>
      <c r="O596" s="72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127"/>
      <c r="K597" s="127"/>
      <c r="L597" s="72"/>
      <c r="M597" s="72"/>
      <c r="N597" s="72"/>
      <c r="O597" s="72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127"/>
      <c r="K598" s="127"/>
      <c r="L598" s="72"/>
      <c r="M598" s="72"/>
      <c r="N598" s="72"/>
      <c r="O598" s="72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127"/>
      <c r="K599" s="127"/>
      <c r="L599" s="72"/>
      <c r="M599" s="72"/>
      <c r="N599" s="72"/>
      <c r="O599" s="72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127"/>
      <c r="K600" s="127"/>
      <c r="L600" s="72"/>
      <c r="M600" s="72"/>
      <c r="N600" s="72"/>
      <c r="O600" s="72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127"/>
      <c r="K601" s="127"/>
      <c r="L601" s="72"/>
      <c r="M601" s="72"/>
      <c r="N601" s="72"/>
      <c r="O601" s="72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127"/>
      <c r="K602" s="127"/>
      <c r="L602" s="72"/>
      <c r="M602" s="72"/>
      <c r="N602" s="72"/>
      <c r="O602" s="72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127"/>
      <c r="K603" s="127"/>
      <c r="L603" s="72"/>
      <c r="M603" s="72"/>
      <c r="N603" s="72"/>
      <c r="O603" s="72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127"/>
      <c r="K604" s="127"/>
      <c r="L604" s="72"/>
      <c r="M604" s="72"/>
      <c r="N604" s="72"/>
      <c r="O604" s="72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127"/>
      <c r="K605" s="127"/>
      <c r="L605" s="72"/>
      <c r="M605" s="72"/>
      <c r="N605" s="72"/>
      <c r="O605" s="72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127"/>
      <c r="K606" s="127"/>
      <c r="L606" s="72"/>
      <c r="M606" s="72"/>
      <c r="N606" s="72"/>
      <c r="O606" s="72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127"/>
      <c r="K607" s="127"/>
      <c r="L607" s="72"/>
      <c r="M607" s="72"/>
      <c r="N607" s="72"/>
      <c r="O607" s="72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127"/>
      <c r="K608" s="127"/>
      <c r="L608" s="72"/>
      <c r="M608" s="72"/>
      <c r="N608" s="72"/>
      <c r="O608" s="72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127"/>
      <c r="K609" s="127"/>
      <c r="L609" s="72"/>
      <c r="M609" s="72"/>
      <c r="N609" s="72"/>
      <c r="O609" s="72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127"/>
      <c r="K610" s="127"/>
      <c r="L610" s="72"/>
      <c r="M610" s="72"/>
      <c r="N610" s="72"/>
      <c r="O610" s="72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127"/>
      <c r="K611" s="127"/>
      <c r="L611" s="72"/>
      <c r="M611" s="72"/>
      <c r="N611" s="72"/>
      <c r="O611" s="72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127"/>
      <c r="K612" s="127"/>
      <c r="L612" s="72"/>
      <c r="M612" s="72"/>
      <c r="N612" s="72"/>
      <c r="O612" s="72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127"/>
      <c r="K613" s="127"/>
      <c r="L613" s="72"/>
      <c r="M613" s="72"/>
      <c r="N613" s="72"/>
      <c r="O613" s="72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127"/>
      <c r="K614" s="127"/>
      <c r="L614" s="72"/>
      <c r="M614" s="72"/>
      <c r="N614" s="72"/>
      <c r="O614" s="72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127"/>
      <c r="K615" s="127"/>
      <c r="L615" s="72"/>
      <c r="M615" s="72"/>
      <c r="N615" s="72"/>
      <c r="O615" s="72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127"/>
      <c r="K616" s="127"/>
      <c r="L616" s="72"/>
      <c r="M616" s="72"/>
      <c r="N616" s="72"/>
      <c r="O616" s="72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127"/>
      <c r="K617" s="127"/>
      <c r="L617" s="72"/>
      <c r="M617" s="72"/>
      <c r="N617" s="72"/>
      <c r="O617" s="72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127"/>
      <c r="K618" s="127"/>
      <c r="L618" s="72"/>
      <c r="M618" s="72"/>
      <c r="N618" s="72"/>
      <c r="O618" s="72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127"/>
      <c r="K619" s="127"/>
      <c r="L619" s="72"/>
      <c r="M619" s="72"/>
      <c r="N619" s="72"/>
      <c r="O619" s="72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127"/>
      <c r="K620" s="127"/>
      <c r="L620" s="72"/>
      <c r="M620" s="72"/>
      <c r="N620" s="72"/>
      <c r="O620" s="72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127"/>
      <c r="K621" s="127"/>
      <c r="L621" s="72"/>
      <c r="M621" s="72"/>
      <c r="N621" s="72"/>
      <c r="O621" s="72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127"/>
      <c r="K622" s="127"/>
      <c r="L622" s="72"/>
      <c r="M622" s="72"/>
      <c r="N622" s="72"/>
      <c r="O622" s="72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127"/>
      <c r="K623" s="127"/>
      <c r="L623" s="72"/>
      <c r="M623" s="72"/>
      <c r="N623" s="72"/>
      <c r="O623" s="72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127"/>
      <c r="K624" s="127"/>
      <c r="L624" s="72"/>
      <c r="M624" s="72"/>
      <c r="N624" s="72"/>
      <c r="O624" s="72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127"/>
      <c r="K625" s="127"/>
      <c r="L625" s="72"/>
      <c r="M625" s="72"/>
      <c r="N625" s="72"/>
      <c r="O625" s="72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127"/>
      <c r="K626" s="127"/>
      <c r="L626" s="72"/>
      <c r="M626" s="72"/>
      <c r="N626" s="72"/>
      <c r="O626" s="72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127"/>
      <c r="K627" s="127"/>
      <c r="L627" s="72"/>
      <c r="M627" s="72"/>
      <c r="N627" s="72"/>
      <c r="O627" s="72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127"/>
      <c r="K628" s="127"/>
      <c r="L628" s="72"/>
      <c r="M628" s="72"/>
      <c r="N628" s="72"/>
      <c r="O628" s="72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127"/>
      <c r="K629" s="127"/>
      <c r="L629" s="72"/>
      <c r="M629" s="72"/>
      <c r="N629" s="72"/>
      <c r="O629" s="72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127"/>
      <c r="K630" s="127"/>
      <c r="L630" s="72"/>
      <c r="M630" s="72"/>
      <c r="N630" s="72"/>
      <c r="O630" s="72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127"/>
      <c r="K631" s="127"/>
      <c r="L631" s="72"/>
      <c r="M631" s="72"/>
      <c r="N631" s="72"/>
      <c r="O631" s="72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127"/>
      <c r="K632" s="127"/>
      <c r="L632" s="72"/>
      <c r="M632" s="72"/>
      <c r="N632" s="72"/>
      <c r="O632" s="72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127"/>
      <c r="K633" s="127"/>
      <c r="L633" s="72"/>
      <c r="M633" s="72"/>
      <c r="N633" s="72"/>
      <c r="O633" s="72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127"/>
      <c r="K634" s="127"/>
      <c r="L634" s="72"/>
      <c r="M634" s="72"/>
      <c r="N634" s="72"/>
      <c r="O634" s="72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127"/>
      <c r="K635" s="127"/>
      <c r="L635" s="72"/>
      <c r="M635" s="72"/>
      <c r="N635" s="72"/>
      <c r="O635" s="72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127"/>
      <c r="K636" s="127"/>
      <c r="L636" s="72"/>
      <c r="M636" s="72"/>
      <c r="N636" s="72"/>
      <c r="O636" s="72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127"/>
      <c r="K637" s="127"/>
      <c r="L637" s="72"/>
      <c r="M637" s="72"/>
      <c r="N637" s="72"/>
      <c r="O637" s="72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127"/>
      <c r="K638" s="127"/>
      <c r="L638" s="72"/>
      <c r="M638" s="72"/>
      <c r="N638" s="72"/>
      <c r="O638" s="72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127"/>
      <c r="K639" s="127"/>
      <c r="L639" s="72"/>
      <c r="M639" s="72"/>
      <c r="N639" s="72"/>
      <c r="O639" s="72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127"/>
      <c r="K640" s="127"/>
      <c r="L640" s="72"/>
      <c r="M640" s="72"/>
      <c r="N640" s="72"/>
      <c r="O640" s="72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127"/>
      <c r="K641" s="127"/>
      <c r="L641" s="72"/>
      <c r="M641" s="72"/>
      <c r="N641" s="72"/>
      <c r="O641" s="72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127"/>
      <c r="K642" s="127"/>
      <c r="L642" s="72"/>
      <c r="M642" s="72"/>
      <c r="N642" s="72"/>
      <c r="O642" s="72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127"/>
      <c r="K643" s="127"/>
      <c r="L643" s="72"/>
      <c r="M643" s="72"/>
      <c r="N643" s="72"/>
      <c r="O643" s="72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127"/>
      <c r="K644" s="127"/>
      <c r="L644" s="72"/>
      <c r="M644" s="72"/>
      <c r="N644" s="72"/>
      <c r="O644" s="72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127"/>
      <c r="K645" s="127"/>
      <c r="L645" s="72"/>
      <c r="M645" s="72"/>
      <c r="N645" s="72"/>
      <c r="O645" s="72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127"/>
      <c r="K646" s="127"/>
      <c r="L646" s="72"/>
      <c r="M646" s="72"/>
      <c r="N646" s="72"/>
      <c r="O646" s="72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127"/>
      <c r="K647" s="127"/>
      <c r="L647" s="72"/>
      <c r="M647" s="72"/>
      <c r="N647" s="72"/>
      <c r="O647" s="72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127"/>
      <c r="K648" s="127"/>
      <c r="L648" s="72"/>
      <c r="M648" s="72"/>
      <c r="N648" s="72"/>
      <c r="O648" s="72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127"/>
      <c r="K649" s="127"/>
      <c r="L649" s="72"/>
      <c r="M649" s="72"/>
      <c r="N649" s="72"/>
      <c r="O649" s="72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127"/>
      <c r="K650" s="127"/>
      <c r="L650" s="72"/>
      <c r="M650" s="72"/>
      <c r="N650" s="72"/>
      <c r="O650" s="72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127"/>
      <c r="K651" s="127"/>
      <c r="L651" s="72"/>
      <c r="M651" s="72"/>
      <c r="N651" s="72"/>
      <c r="O651" s="72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127"/>
      <c r="K652" s="127"/>
      <c r="L652" s="72"/>
      <c r="M652" s="72"/>
      <c r="N652" s="72"/>
      <c r="O652" s="72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127"/>
      <c r="K653" s="127"/>
      <c r="L653" s="72"/>
      <c r="M653" s="72"/>
      <c r="N653" s="72"/>
      <c r="O653" s="72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127"/>
      <c r="K654" s="127"/>
      <c r="L654" s="72"/>
      <c r="M654" s="72"/>
      <c r="N654" s="72"/>
      <c r="O654" s="72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127"/>
      <c r="K655" s="127"/>
      <c r="L655" s="72"/>
      <c r="M655" s="72"/>
      <c r="N655" s="72"/>
      <c r="O655" s="72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127"/>
      <c r="K656" s="127"/>
      <c r="L656" s="72"/>
      <c r="M656" s="72"/>
      <c r="N656" s="72"/>
      <c r="O656" s="72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127"/>
      <c r="K657" s="127"/>
      <c r="L657" s="72"/>
      <c r="M657" s="72"/>
      <c r="N657" s="72"/>
      <c r="O657" s="72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127"/>
      <c r="K658" s="127"/>
      <c r="L658" s="72"/>
      <c r="M658" s="72"/>
      <c r="N658" s="72"/>
      <c r="O658" s="72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127"/>
      <c r="K659" s="127"/>
      <c r="L659" s="72"/>
      <c r="M659" s="72"/>
      <c r="N659" s="72"/>
      <c r="O659" s="72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127"/>
      <c r="K660" s="127"/>
      <c r="L660" s="72"/>
      <c r="M660" s="72"/>
      <c r="N660" s="72"/>
      <c r="O660" s="72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127"/>
      <c r="K661" s="127"/>
      <c r="L661" s="72"/>
      <c r="M661" s="72"/>
      <c r="N661" s="72"/>
      <c r="O661" s="72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127"/>
      <c r="K662" s="127"/>
      <c r="L662" s="72"/>
      <c r="M662" s="72"/>
      <c r="N662" s="72"/>
      <c r="O662" s="72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127"/>
      <c r="K663" s="127"/>
      <c r="L663" s="72"/>
      <c r="M663" s="72"/>
      <c r="N663" s="72"/>
      <c r="O663" s="72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127"/>
      <c r="K664" s="127"/>
      <c r="L664" s="72"/>
      <c r="M664" s="72"/>
      <c r="N664" s="72"/>
      <c r="O664" s="72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127"/>
      <c r="K665" s="127"/>
      <c r="L665" s="72"/>
      <c r="M665" s="72"/>
      <c r="N665" s="72"/>
      <c r="O665" s="72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127"/>
      <c r="K666" s="127"/>
      <c r="L666" s="72"/>
      <c r="M666" s="72"/>
      <c r="N666" s="72"/>
      <c r="O666" s="72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127"/>
      <c r="K667" s="127"/>
      <c r="L667" s="72"/>
      <c r="M667" s="72"/>
      <c r="N667" s="72"/>
      <c r="O667" s="72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127"/>
      <c r="K668" s="127"/>
      <c r="L668" s="72"/>
      <c r="M668" s="72"/>
      <c r="N668" s="72"/>
      <c r="O668" s="72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127"/>
      <c r="K669" s="127"/>
      <c r="L669" s="72"/>
      <c r="M669" s="72"/>
      <c r="N669" s="72"/>
      <c r="O669" s="72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127"/>
      <c r="K670" s="127"/>
      <c r="L670" s="72"/>
      <c r="M670" s="72"/>
      <c r="N670" s="72"/>
      <c r="O670" s="72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127"/>
      <c r="K671" s="127"/>
      <c r="L671" s="72"/>
      <c r="M671" s="72"/>
      <c r="N671" s="72"/>
      <c r="O671" s="72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127"/>
      <c r="K672" s="127"/>
      <c r="L672" s="72"/>
      <c r="M672" s="72"/>
      <c r="N672" s="72"/>
      <c r="O672" s="72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127"/>
      <c r="K673" s="127"/>
      <c r="L673" s="72"/>
      <c r="M673" s="72"/>
      <c r="N673" s="72"/>
      <c r="O673" s="72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127"/>
      <c r="K674" s="127"/>
      <c r="L674" s="72"/>
      <c r="M674" s="72"/>
      <c r="N674" s="72"/>
      <c r="O674" s="72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127"/>
      <c r="K675" s="127"/>
      <c r="L675" s="72"/>
      <c r="M675" s="72"/>
      <c r="N675" s="72"/>
      <c r="O675" s="72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127"/>
      <c r="K676" s="127"/>
      <c r="L676" s="72"/>
      <c r="M676" s="72"/>
      <c r="N676" s="72"/>
      <c r="O676" s="72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127"/>
      <c r="K677" s="127"/>
      <c r="L677" s="72"/>
      <c r="M677" s="72"/>
      <c r="N677" s="72"/>
      <c r="O677" s="72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127"/>
      <c r="K678" s="127"/>
      <c r="L678" s="72"/>
      <c r="M678" s="72"/>
      <c r="N678" s="72"/>
      <c r="O678" s="72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127"/>
      <c r="K679" s="127"/>
      <c r="L679" s="72"/>
      <c r="M679" s="72"/>
      <c r="N679" s="72"/>
      <c r="O679" s="72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127"/>
      <c r="K680" s="127"/>
      <c r="L680" s="72"/>
      <c r="M680" s="72"/>
      <c r="N680" s="72"/>
      <c r="O680" s="72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127"/>
      <c r="K681" s="127"/>
      <c r="L681" s="72"/>
      <c r="M681" s="72"/>
      <c r="N681" s="72"/>
      <c r="O681" s="72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127"/>
      <c r="K682" s="127"/>
      <c r="L682" s="72"/>
      <c r="M682" s="72"/>
      <c r="N682" s="72"/>
      <c r="O682" s="72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127"/>
      <c r="K683" s="127"/>
      <c r="L683" s="72"/>
      <c r="M683" s="72"/>
      <c r="N683" s="72"/>
      <c r="O683" s="72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127"/>
      <c r="K684" s="127"/>
      <c r="L684" s="72"/>
      <c r="M684" s="72"/>
      <c r="N684" s="72"/>
      <c r="O684" s="72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127"/>
      <c r="K685" s="127"/>
      <c r="L685" s="72"/>
      <c r="M685" s="72"/>
      <c r="N685" s="72"/>
      <c r="O685" s="72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127"/>
      <c r="K686" s="127"/>
      <c r="L686" s="72"/>
      <c r="M686" s="72"/>
      <c r="N686" s="72"/>
      <c r="O686" s="72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127"/>
      <c r="K687" s="127"/>
      <c r="L687" s="72"/>
      <c r="M687" s="72"/>
      <c r="N687" s="72"/>
      <c r="O687" s="72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127"/>
      <c r="K688" s="127"/>
      <c r="L688" s="72"/>
      <c r="M688" s="72"/>
      <c r="N688" s="72"/>
      <c r="O688" s="72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127"/>
      <c r="K689" s="127"/>
      <c r="L689" s="72"/>
      <c r="M689" s="72"/>
      <c r="N689" s="72"/>
      <c r="O689" s="72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127"/>
      <c r="K690" s="127"/>
      <c r="L690" s="72"/>
      <c r="M690" s="72"/>
      <c r="N690" s="72"/>
      <c r="O690" s="72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127"/>
      <c r="K691" s="127"/>
      <c r="L691" s="72"/>
      <c r="M691" s="72"/>
      <c r="N691" s="72"/>
      <c r="O691" s="72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127"/>
      <c r="K692" s="127"/>
      <c r="L692" s="72"/>
      <c r="M692" s="72"/>
      <c r="N692" s="72"/>
      <c r="O692" s="72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127"/>
      <c r="K693" s="127"/>
      <c r="L693" s="72"/>
      <c r="M693" s="72"/>
      <c r="N693" s="72"/>
      <c r="O693" s="72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127"/>
      <c r="K694" s="127"/>
      <c r="L694" s="72"/>
      <c r="M694" s="72"/>
      <c r="N694" s="72"/>
      <c r="O694" s="72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127"/>
      <c r="K695" s="127"/>
      <c r="L695" s="72"/>
      <c r="M695" s="72"/>
      <c r="N695" s="72"/>
      <c r="O695" s="72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127"/>
      <c r="K696" s="127"/>
      <c r="L696" s="72"/>
      <c r="M696" s="72"/>
      <c r="N696" s="72"/>
      <c r="O696" s="72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127"/>
      <c r="K697" s="127"/>
      <c r="L697" s="72"/>
      <c r="M697" s="72"/>
      <c r="N697" s="72"/>
      <c r="O697" s="72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127"/>
      <c r="K698" s="127"/>
      <c r="L698" s="72"/>
      <c r="M698" s="72"/>
      <c r="N698" s="72"/>
      <c r="O698" s="72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127"/>
      <c r="K699" s="127"/>
      <c r="L699" s="72"/>
      <c r="M699" s="72"/>
      <c r="N699" s="72"/>
      <c r="O699" s="72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127"/>
      <c r="K700" s="127"/>
      <c r="L700" s="72"/>
      <c r="M700" s="72"/>
      <c r="N700" s="72"/>
      <c r="O700" s="72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127"/>
      <c r="K701" s="127"/>
      <c r="L701" s="72"/>
      <c r="M701" s="72"/>
      <c r="N701" s="72"/>
      <c r="O701" s="72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127"/>
      <c r="K702" s="127"/>
      <c r="L702" s="72"/>
      <c r="M702" s="72"/>
      <c r="N702" s="72"/>
      <c r="O702" s="72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127"/>
      <c r="K703" s="127"/>
      <c r="L703" s="72"/>
      <c r="M703" s="72"/>
      <c r="N703" s="72"/>
      <c r="O703" s="72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127"/>
      <c r="K704" s="127"/>
      <c r="L704" s="72"/>
      <c r="M704" s="72"/>
      <c r="N704" s="72"/>
      <c r="O704" s="72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127"/>
      <c r="K705" s="127"/>
      <c r="L705" s="72"/>
      <c r="M705" s="72"/>
      <c r="N705" s="72"/>
      <c r="O705" s="72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127"/>
      <c r="K706" s="127"/>
      <c r="L706" s="72"/>
      <c r="M706" s="72"/>
      <c r="N706" s="72"/>
      <c r="O706" s="72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127"/>
      <c r="K707" s="127"/>
      <c r="L707" s="72"/>
      <c r="M707" s="72"/>
      <c r="N707" s="72"/>
      <c r="O707" s="72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127"/>
      <c r="K708" s="127"/>
      <c r="L708" s="72"/>
      <c r="M708" s="72"/>
      <c r="N708" s="72"/>
      <c r="O708" s="72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127"/>
      <c r="K709" s="127"/>
      <c r="L709" s="72"/>
      <c r="M709" s="72"/>
      <c r="N709" s="72"/>
      <c r="O709" s="72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127"/>
      <c r="K710" s="127"/>
      <c r="L710" s="72"/>
      <c r="M710" s="72"/>
      <c r="N710" s="72"/>
      <c r="O710" s="72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127"/>
      <c r="K711" s="127"/>
      <c r="L711" s="72"/>
      <c r="M711" s="72"/>
      <c r="N711" s="72"/>
      <c r="O711" s="72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127"/>
      <c r="K712" s="127"/>
      <c r="L712" s="72"/>
      <c r="M712" s="72"/>
      <c r="N712" s="72"/>
      <c r="O712" s="72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127"/>
      <c r="K713" s="127"/>
      <c r="L713" s="72"/>
      <c r="M713" s="72"/>
      <c r="N713" s="72"/>
      <c r="O713" s="72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127"/>
      <c r="K714" s="127"/>
      <c r="L714" s="72"/>
      <c r="M714" s="72"/>
      <c r="N714" s="72"/>
      <c r="O714" s="72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127"/>
      <c r="K715" s="127"/>
      <c r="L715" s="72"/>
      <c r="M715" s="72"/>
      <c r="N715" s="72"/>
      <c r="O715" s="72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127"/>
      <c r="K716" s="127"/>
      <c r="L716" s="72"/>
      <c r="M716" s="72"/>
      <c r="N716" s="72"/>
      <c r="O716" s="72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127"/>
      <c r="K717" s="127"/>
      <c r="L717" s="72"/>
      <c r="M717" s="72"/>
      <c r="N717" s="72"/>
      <c r="O717" s="72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127"/>
      <c r="K718" s="127"/>
      <c r="L718" s="72"/>
      <c r="M718" s="72"/>
      <c r="N718" s="72"/>
      <c r="O718" s="72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127"/>
      <c r="K719" s="127"/>
      <c r="L719" s="72"/>
      <c r="M719" s="72"/>
      <c r="N719" s="72"/>
      <c r="O719" s="72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127"/>
      <c r="K720" s="127"/>
      <c r="L720" s="72"/>
      <c r="M720" s="72"/>
      <c r="N720" s="72"/>
      <c r="O720" s="72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127"/>
      <c r="K721" s="127"/>
      <c r="L721" s="72"/>
      <c r="M721" s="72"/>
      <c r="N721" s="72"/>
      <c r="O721" s="72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127"/>
      <c r="K722" s="127"/>
      <c r="L722" s="72"/>
      <c r="M722" s="72"/>
      <c r="N722" s="72"/>
      <c r="O722" s="72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127"/>
      <c r="K723" s="127"/>
      <c r="L723" s="72"/>
      <c r="M723" s="72"/>
      <c r="N723" s="72"/>
      <c r="O723" s="72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127"/>
      <c r="K724" s="127"/>
      <c r="L724" s="72"/>
      <c r="M724" s="72"/>
      <c r="N724" s="72"/>
      <c r="O724" s="72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127"/>
      <c r="K725" s="127"/>
      <c r="L725" s="72"/>
      <c r="M725" s="72"/>
      <c r="N725" s="72"/>
      <c r="O725" s="72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127"/>
      <c r="K726" s="127"/>
      <c r="L726" s="72"/>
      <c r="M726" s="72"/>
      <c r="N726" s="72"/>
      <c r="O726" s="72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127"/>
      <c r="K727" s="127"/>
      <c r="L727" s="72"/>
      <c r="M727" s="72"/>
      <c r="N727" s="72"/>
      <c r="O727" s="72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127"/>
      <c r="K728" s="127"/>
      <c r="L728" s="72"/>
      <c r="M728" s="72"/>
      <c r="N728" s="72"/>
      <c r="O728" s="72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127"/>
      <c r="K729" s="127"/>
      <c r="L729" s="72"/>
      <c r="M729" s="72"/>
      <c r="N729" s="72"/>
      <c r="O729" s="72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127"/>
      <c r="K730" s="127"/>
      <c r="L730" s="72"/>
      <c r="M730" s="72"/>
      <c r="N730" s="72"/>
      <c r="O730" s="72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127"/>
      <c r="K731" s="127"/>
      <c r="L731" s="72"/>
      <c r="M731" s="72"/>
      <c r="N731" s="72"/>
      <c r="O731" s="72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127"/>
      <c r="K732" s="127"/>
      <c r="L732" s="72"/>
      <c r="M732" s="72"/>
      <c r="N732" s="72"/>
      <c r="O732" s="72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127"/>
      <c r="K733" s="127"/>
      <c r="L733" s="72"/>
      <c r="M733" s="72"/>
      <c r="N733" s="72"/>
      <c r="O733" s="72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127"/>
      <c r="K734" s="127"/>
      <c r="L734" s="72"/>
      <c r="M734" s="72"/>
      <c r="N734" s="72"/>
      <c r="O734" s="72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127"/>
      <c r="K735" s="127"/>
      <c r="L735" s="72"/>
      <c r="M735" s="72"/>
      <c r="N735" s="72"/>
      <c r="O735" s="72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127"/>
      <c r="K736" s="127"/>
      <c r="L736" s="72"/>
      <c r="M736" s="72"/>
      <c r="N736" s="72"/>
      <c r="O736" s="72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127"/>
      <c r="K737" s="127"/>
      <c r="L737" s="72"/>
      <c r="M737" s="72"/>
      <c r="N737" s="72"/>
      <c r="O737" s="72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127"/>
      <c r="K738" s="127"/>
      <c r="L738" s="72"/>
      <c r="M738" s="72"/>
      <c r="N738" s="72"/>
      <c r="O738" s="72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127"/>
      <c r="K739" s="127"/>
      <c r="L739" s="72"/>
      <c r="M739" s="72"/>
      <c r="N739" s="72"/>
      <c r="O739" s="72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127"/>
      <c r="K740" s="127"/>
      <c r="L740" s="72"/>
      <c r="M740" s="72"/>
      <c r="N740" s="72"/>
      <c r="O740" s="72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127"/>
      <c r="K741" s="127"/>
      <c r="L741" s="72"/>
      <c r="M741" s="72"/>
      <c r="N741" s="72"/>
      <c r="O741" s="72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127"/>
      <c r="K742" s="127"/>
      <c r="L742" s="72"/>
      <c r="M742" s="72"/>
      <c r="N742" s="72"/>
      <c r="O742" s="72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127"/>
      <c r="K743" s="127"/>
      <c r="L743" s="72"/>
      <c r="M743" s="72"/>
      <c r="N743" s="72"/>
      <c r="O743" s="72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127"/>
      <c r="K744" s="127"/>
      <c r="L744" s="72"/>
      <c r="M744" s="72"/>
      <c r="N744" s="72"/>
      <c r="O744" s="72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127"/>
      <c r="K745" s="127"/>
      <c r="L745" s="72"/>
      <c r="M745" s="72"/>
      <c r="N745" s="72"/>
      <c r="O745" s="72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127"/>
      <c r="K746" s="127"/>
      <c r="L746" s="72"/>
      <c r="M746" s="72"/>
      <c r="N746" s="72"/>
      <c r="O746" s="72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127"/>
      <c r="K747" s="127"/>
      <c r="L747" s="72"/>
      <c r="M747" s="72"/>
      <c r="N747" s="72"/>
      <c r="O747" s="72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127"/>
      <c r="K748" s="127"/>
      <c r="L748" s="72"/>
      <c r="M748" s="72"/>
      <c r="N748" s="72"/>
      <c r="O748" s="72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127"/>
      <c r="K749" s="127"/>
      <c r="L749" s="72"/>
      <c r="M749" s="72"/>
      <c r="N749" s="72"/>
      <c r="O749" s="72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127"/>
      <c r="K750" s="127"/>
      <c r="L750" s="72"/>
      <c r="M750" s="72"/>
      <c r="N750" s="72"/>
      <c r="O750" s="72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127"/>
      <c r="K751" s="127"/>
      <c r="L751" s="72"/>
      <c r="M751" s="72"/>
      <c r="N751" s="72"/>
      <c r="O751" s="72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127"/>
      <c r="K752" s="127"/>
      <c r="L752" s="72"/>
      <c r="M752" s="72"/>
      <c r="N752" s="72"/>
      <c r="O752" s="72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127"/>
      <c r="K753" s="127"/>
      <c r="L753" s="72"/>
      <c r="M753" s="72"/>
      <c r="N753" s="72"/>
      <c r="O753" s="72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127"/>
      <c r="K754" s="127"/>
      <c r="L754" s="72"/>
      <c r="M754" s="72"/>
      <c r="N754" s="72"/>
      <c r="O754" s="72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127"/>
      <c r="K755" s="127"/>
      <c r="L755" s="72"/>
      <c r="M755" s="72"/>
      <c r="N755" s="72"/>
      <c r="O755" s="72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127"/>
      <c r="K756" s="127"/>
      <c r="L756" s="72"/>
      <c r="M756" s="72"/>
      <c r="N756" s="72"/>
      <c r="O756" s="72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127"/>
      <c r="K757" s="127"/>
      <c r="L757" s="72"/>
      <c r="M757" s="72"/>
      <c r="N757" s="72"/>
      <c r="O757" s="72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127"/>
      <c r="K758" s="127"/>
      <c r="L758" s="72"/>
      <c r="M758" s="72"/>
      <c r="N758" s="72"/>
      <c r="O758" s="72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127"/>
      <c r="K759" s="127"/>
      <c r="L759" s="72"/>
      <c r="M759" s="72"/>
      <c r="N759" s="72"/>
      <c r="O759" s="72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127"/>
      <c r="K760" s="127"/>
      <c r="L760" s="72"/>
      <c r="M760" s="72"/>
      <c r="N760" s="72"/>
      <c r="O760" s="72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127"/>
      <c r="K761" s="127"/>
      <c r="L761" s="72"/>
      <c r="M761" s="72"/>
      <c r="N761" s="72"/>
      <c r="O761" s="72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127"/>
      <c r="K762" s="127"/>
      <c r="L762" s="72"/>
      <c r="M762" s="72"/>
      <c r="N762" s="72"/>
      <c r="O762" s="72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127"/>
      <c r="K763" s="127"/>
      <c r="L763" s="72"/>
      <c r="M763" s="72"/>
      <c r="N763" s="72"/>
      <c r="O763" s="72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127"/>
      <c r="K764" s="127"/>
      <c r="L764" s="72"/>
      <c r="M764" s="72"/>
      <c r="N764" s="72"/>
      <c r="O764" s="72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127"/>
      <c r="K765" s="127"/>
      <c r="L765" s="72"/>
      <c r="M765" s="72"/>
      <c r="N765" s="72"/>
      <c r="O765" s="72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127"/>
      <c r="K766" s="127"/>
      <c r="L766" s="72"/>
      <c r="M766" s="72"/>
      <c r="N766" s="72"/>
      <c r="O766" s="72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127"/>
      <c r="K767" s="127"/>
      <c r="L767" s="72"/>
      <c r="M767" s="72"/>
      <c r="N767" s="72"/>
      <c r="O767" s="72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127"/>
      <c r="K768" s="127"/>
      <c r="L768" s="72"/>
      <c r="M768" s="72"/>
      <c r="N768" s="72"/>
      <c r="O768" s="72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127"/>
      <c r="K769" s="127"/>
      <c r="L769" s="72"/>
      <c r="M769" s="72"/>
      <c r="N769" s="72"/>
      <c r="O769" s="72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127"/>
      <c r="K770" s="127"/>
      <c r="L770" s="72"/>
      <c r="M770" s="72"/>
      <c r="N770" s="72"/>
      <c r="O770" s="72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127"/>
      <c r="K771" s="127"/>
      <c r="L771" s="72"/>
      <c r="M771" s="72"/>
      <c r="N771" s="72"/>
      <c r="O771" s="72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127"/>
      <c r="K772" s="127"/>
      <c r="L772" s="72"/>
      <c r="M772" s="72"/>
      <c r="N772" s="72"/>
      <c r="O772" s="72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127"/>
      <c r="K773" s="127"/>
      <c r="L773" s="72"/>
      <c r="M773" s="72"/>
      <c r="N773" s="72"/>
      <c r="O773" s="72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127"/>
      <c r="K774" s="127"/>
      <c r="L774" s="72"/>
      <c r="M774" s="72"/>
      <c r="N774" s="72"/>
      <c r="O774" s="72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127"/>
      <c r="K775" s="127"/>
      <c r="L775" s="72"/>
      <c r="M775" s="72"/>
      <c r="N775" s="72"/>
      <c r="O775" s="72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127"/>
      <c r="K776" s="127"/>
      <c r="L776" s="72"/>
      <c r="M776" s="72"/>
      <c r="N776" s="72"/>
      <c r="O776" s="72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127"/>
      <c r="K777" s="127"/>
      <c r="L777" s="72"/>
      <c r="M777" s="72"/>
      <c r="N777" s="72"/>
      <c r="O777" s="72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127"/>
      <c r="K778" s="127"/>
      <c r="L778" s="72"/>
      <c r="M778" s="72"/>
      <c r="N778" s="72"/>
      <c r="O778" s="72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127"/>
      <c r="K779" s="127"/>
      <c r="L779" s="72"/>
      <c r="M779" s="72"/>
      <c r="N779" s="72"/>
      <c r="O779" s="72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127"/>
      <c r="K780" s="127"/>
      <c r="L780" s="72"/>
      <c r="M780" s="72"/>
      <c r="N780" s="72"/>
      <c r="O780" s="72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127"/>
      <c r="K781" s="127"/>
      <c r="L781" s="72"/>
      <c r="M781" s="72"/>
      <c r="N781" s="72"/>
      <c r="O781" s="72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127"/>
      <c r="K782" s="127"/>
      <c r="L782" s="72"/>
      <c r="M782" s="72"/>
      <c r="N782" s="72"/>
      <c r="O782" s="72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127"/>
      <c r="K783" s="127"/>
      <c r="L783" s="72"/>
      <c r="M783" s="72"/>
      <c r="N783" s="72"/>
      <c r="O783" s="72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127"/>
      <c r="K784" s="127"/>
      <c r="L784" s="72"/>
      <c r="M784" s="72"/>
      <c r="N784" s="72"/>
      <c r="O784" s="72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127"/>
      <c r="K785" s="127"/>
      <c r="L785" s="72"/>
      <c r="M785" s="72"/>
      <c r="N785" s="72"/>
      <c r="O785" s="72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127"/>
      <c r="K786" s="127"/>
      <c r="L786" s="72"/>
      <c r="M786" s="72"/>
      <c r="N786" s="72"/>
      <c r="O786" s="72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127"/>
      <c r="K787" s="127"/>
      <c r="L787" s="72"/>
      <c r="M787" s="72"/>
      <c r="N787" s="72"/>
      <c r="O787" s="72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127"/>
      <c r="K788" s="127"/>
      <c r="L788" s="72"/>
      <c r="M788" s="72"/>
      <c r="N788" s="72"/>
      <c r="O788" s="72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127"/>
      <c r="K789" s="127"/>
      <c r="L789" s="72"/>
      <c r="M789" s="72"/>
      <c r="N789" s="72"/>
      <c r="O789" s="72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127"/>
      <c r="K790" s="127"/>
      <c r="L790" s="72"/>
      <c r="M790" s="72"/>
      <c r="N790" s="72"/>
      <c r="O790" s="72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127"/>
      <c r="K791" s="127"/>
      <c r="L791" s="72"/>
      <c r="M791" s="72"/>
      <c r="N791" s="72"/>
      <c r="O791" s="72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127"/>
      <c r="K792" s="127"/>
      <c r="L792" s="72"/>
      <c r="M792" s="72"/>
      <c r="N792" s="72"/>
      <c r="O792" s="72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127"/>
      <c r="K793" s="127"/>
      <c r="L793" s="72"/>
      <c r="M793" s="72"/>
      <c r="N793" s="72"/>
      <c r="O793" s="72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127"/>
      <c r="K794" s="127"/>
      <c r="L794" s="72"/>
      <c r="M794" s="72"/>
      <c r="N794" s="72"/>
      <c r="O794" s="72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127"/>
      <c r="K795" s="127"/>
      <c r="L795" s="72"/>
      <c r="M795" s="72"/>
      <c r="N795" s="72"/>
      <c r="O795" s="72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127"/>
      <c r="K796" s="127"/>
      <c r="L796" s="72"/>
      <c r="M796" s="72"/>
      <c r="N796" s="72"/>
      <c r="O796" s="72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127"/>
      <c r="K797" s="127"/>
      <c r="L797" s="72"/>
      <c r="M797" s="72"/>
      <c r="N797" s="72"/>
      <c r="O797" s="72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127"/>
      <c r="K798" s="127"/>
      <c r="L798" s="72"/>
      <c r="M798" s="72"/>
      <c r="N798" s="72"/>
      <c r="O798" s="72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127"/>
      <c r="K799" s="127"/>
      <c r="L799" s="72"/>
      <c r="M799" s="72"/>
      <c r="N799" s="72"/>
      <c r="O799" s="72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127"/>
      <c r="K800" s="127"/>
      <c r="L800" s="72"/>
      <c r="M800" s="72"/>
      <c r="N800" s="72"/>
      <c r="O800" s="72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127"/>
      <c r="K801" s="127"/>
      <c r="L801" s="72"/>
      <c r="M801" s="72"/>
      <c r="N801" s="72"/>
      <c r="O801" s="72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127"/>
      <c r="K802" s="127"/>
      <c r="L802" s="72"/>
      <c r="M802" s="72"/>
      <c r="N802" s="72"/>
      <c r="O802" s="72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127"/>
      <c r="K803" s="127"/>
      <c r="L803" s="72"/>
      <c r="M803" s="72"/>
      <c r="N803" s="72"/>
      <c r="O803" s="72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127"/>
      <c r="K804" s="127"/>
      <c r="L804" s="72"/>
      <c r="M804" s="72"/>
      <c r="N804" s="72"/>
      <c r="O804" s="72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127"/>
      <c r="K805" s="127"/>
      <c r="L805" s="72"/>
      <c r="M805" s="72"/>
      <c r="N805" s="72"/>
      <c r="O805" s="72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127"/>
      <c r="K806" s="127"/>
      <c r="L806" s="72"/>
      <c r="M806" s="72"/>
      <c r="N806" s="72"/>
      <c r="O806" s="72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127"/>
      <c r="K807" s="127"/>
      <c r="L807" s="72"/>
      <c r="M807" s="72"/>
      <c r="N807" s="72"/>
      <c r="O807" s="72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127"/>
      <c r="K808" s="127"/>
      <c r="L808" s="72"/>
      <c r="M808" s="72"/>
      <c r="N808" s="72"/>
      <c r="O808" s="72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127"/>
      <c r="K809" s="127"/>
      <c r="L809" s="72"/>
      <c r="M809" s="72"/>
      <c r="N809" s="72"/>
      <c r="O809" s="72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127"/>
      <c r="K810" s="127"/>
      <c r="L810" s="72"/>
      <c r="M810" s="72"/>
      <c r="N810" s="72"/>
      <c r="O810" s="72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127"/>
      <c r="K811" s="127"/>
      <c r="L811" s="72"/>
      <c r="M811" s="72"/>
      <c r="N811" s="72"/>
      <c r="O811" s="72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127"/>
      <c r="K812" s="127"/>
      <c r="L812" s="72"/>
      <c r="M812" s="72"/>
      <c r="N812" s="72"/>
      <c r="O812" s="72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127"/>
      <c r="K813" s="127"/>
      <c r="L813" s="72"/>
      <c r="M813" s="72"/>
      <c r="N813" s="72"/>
      <c r="O813" s="72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127"/>
      <c r="K814" s="127"/>
      <c r="L814" s="72"/>
      <c r="M814" s="72"/>
      <c r="N814" s="72"/>
      <c r="O814" s="72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127"/>
      <c r="K815" s="127"/>
      <c r="L815" s="72"/>
      <c r="M815" s="72"/>
      <c r="N815" s="72"/>
      <c r="O815" s="72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127"/>
      <c r="K816" s="127"/>
      <c r="L816" s="72"/>
      <c r="M816" s="72"/>
      <c r="N816" s="72"/>
      <c r="O816" s="72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127"/>
      <c r="K817" s="127"/>
      <c r="L817" s="72"/>
      <c r="M817" s="72"/>
      <c r="N817" s="72"/>
      <c r="O817" s="72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127"/>
      <c r="K818" s="127"/>
      <c r="L818" s="72"/>
      <c r="M818" s="72"/>
      <c r="N818" s="72"/>
      <c r="O818" s="72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127"/>
      <c r="K819" s="127"/>
      <c r="L819" s="72"/>
      <c r="M819" s="72"/>
      <c r="N819" s="72"/>
      <c r="O819" s="72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127"/>
      <c r="K820" s="127"/>
      <c r="L820" s="72"/>
      <c r="M820" s="72"/>
      <c r="N820" s="72"/>
      <c r="O820" s="72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127"/>
      <c r="K821" s="127"/>
      <c r="L821" s="72"/>
      <c r="M821" s="72"/>
      <c r="N821" s="72"/>
      <c r="O821" s="72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127"/>
      <c r="K822" s="127"/>
      <c r="L822" s="72"/>
      <c r="M822" s="72"/>
      <c r="N822" s="72"/>
      <c r="O822" s="72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127"/>
      <c r="K823" s="127"/>
      <c r="L823" s="72"/>
      <c r="M823" s="72"/>
      <c r="N823" s="72"/>
      <c r="O823" s="72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127"/>
      <c r="K824" s="127"/>
      <c r="L824" s="72"/>
      <c r="M824" s="72"/>
      <c r="N824" s="72"/>
      <c r="O824" s="72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127"/>
      <c r="K825" s="127"/>
      <c r="L825" s="72"/>
      <c r="M825" s="72"/>
      <c r="N825" s="72"/>
      <c r="O825" s="72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127"/>
      <c r="K826" s="127"/>
      <c r="L826" s="72"/>
      <c r="M826" s="72"/>
      <c r="N826" s="72"/>
      <c r="O826" s="72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127"/>
      <c r="K827" s="127"/>
      <c r="L827" s="72"/>
      <c r="M827" s="72"/>
      <c r="N827" s="72"/>
      <c r="O827" s="72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127"/>
      <c r="K828" s="127"/>
      <c r="L828" s="72"/>
      <c r="M828" s="72"/>
      <c r="N828" s="72"/>
      <c r="O828" s="72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127"/>
      <c r="K829" s="127"/>
      <c r="L829" s="72"/>
      <c r="M829" s="72"/>
      <c r="N829" s="72"/>
      <c r="O829" s="72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127"/>
      <c r="K830" s="127"/>
      <c r="L830" s="72"/>
      <c r="M830" s="72"/>
      <c r="N830" s="72"/>
      <c r="O830" s="72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127"/>
      <c r="K831" s="127"/>
      <c r="L831" s="72"/>
      <c r="M831" s="72"/>
      <c r="N831" s="72"/>
      <c r="O831" s="72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127"/>
      <c r="K832" s="127"/>
      <c r="L832" s="72"/>
      <c r="M832" s="72"/>
      <c r="N832" s="72"/>
      <c r="O832" s="72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127"/>
      <c r="K833" s="127"/>
      <c r="L833" s="72"/>
      <c r="M833" s="72"/>
      <c r="N833" s="72"/>
      <c r="O833" s="72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127"/>
      <c r="K834" s="127"/>
      <c r="L834" s="72"/>
      <c r="M834" s="72"/>
      <c r="N834" s="72"/>
      <c r="O834" s="72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127"/>
      <c r="K835" s="127"/>
      <c r="L835" s="72"/>
      <c r="M835" s="72"/>
      <c r="N835" s="72"/>
      <c r="O835" s="72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127"/>
      <c r="K836" s="127"/>
      <c r="L836" s="72"/>
      <c r="M836" s="72"/>
      <c r="N836" s="72"/>
      <c r="O836" s="72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127"/>
      <c r="K837" s="127"/>
      <c r="L837" s="72"/>
      <c r="M837" s="72"/>
      <c r="N837" s="72"/>
      <c r="O837" s="72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127"/>
      <c r="K838" s="127"/>
      <c r="L838" s="72"/>
      <c r="M838" s="72"/>
      <c r="N838" s="72"/>
      <c r="O838" s="72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127"/>
      <c r="K839" s="127"/>
      <c r="L839" s="72"/>
      <c r="M839" s="72"/>
      <c r="N839" s="72"/>
      <c r="O839" s="72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127"/>
      <c r="K840" s="127"/>
      <c r="L840" s="72"/>
      <c r="M840" s="72"/>
      <c r="N840" s="72"/>
      <c r="O840" s="72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127"/>
      <c r="K841" s="127"/>
      <c r="L841" s="72"/>
      <c r="M841" s="72"/>
      <c r="N841" s="72"/>
      <c r="O841" s="72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127"/>
      <c r="K842" s="127"/>
      <c r="L842" s="72"/>
      <c r="M842" s="72"/>
      <c r="N842" s="72"/>
      <c r="O842" s="72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127"/>
      <c r="K843" s="127"/>
      <c r="L843" s="72"/>
      <c r="M843" s="72"/>
      <c r="N843" s="72"/>
      <c r="O843" s="72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127"/>
      <c r="K844" s="127"/>
      <c r="L844" s="72"/>
      <c r="M844" s="72"/>
      <c r="N844" s="72"/>
      <c r="O844" s="72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127"/>
      <c r="K845" s="127"/>
      <c r="L845" s="72"/>
      <c r="M845" s="72"/>
      <c r="N845" s="72"/>
      <c r="O845" s="72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127"/>
      <c r="K846" s="127"/>
      <c r="L846" s="72"/>
      <c r="M846" s="72"/>
      <c r="N846" s="72"/>
      <c r="O846" s="72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127"/>
      <c r="K847" s="127"/>
      <c r="L847" s="72"/>
      <c r="M847" s="72"/>
      <c r="N847" s="72"/>
      <c r="O847" s="72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127"/>
      <c r="K848" s="127"/>
      <c r="L848" s="72"/>
      <c r="M848" s="72"/>
      <c r="N848" s="72"/>
      <c r="O848" s="72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127"/>
      <c r="K849" s="127"/>
      <c r="L849" s="72"/>
      <c r="M849" s="72"/>
      <c r="N849" s="72"/>
      <c r="O849" s="72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127"/>
      <c r="K850" s="127"/>
      <c r="L850" s="72"/>
      <c r="M850" s="72"/>
      <c r="N850" s="72"/>
      <c r="O850" s="72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127"/>
      <c r="K851" s="127"/>
      <c r="L851" s="72"/>
      <c r="M851" s="72"/>
      <c r="N851" s="72"/>
      <c r="O851" s="72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127"/>
      <c r="K852" s="127"/>
      <c r="L852" s="72"/>
      <c r="M852" s="72"/>
      <c r="N852" s="72"/>
      <c r="O852" s="72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127"/>
      <c r="K853" s="127"/>
      <c r="L853" s="72"/>
      <c r="M853" s="72"/>
      <c r="N853" s="72"/>
      <c r="O853" s="72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127"/>
      <c r="K854" s="127"/>
      <c r="L854" s="72"/>
      <c r="M854" s="72"/>
      <c r="N854" s="72"/>
      <c r="O854" s="72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127"/>
      <c r="K855" s="127"/>
      <c r="L855" s="72"/>
      <c r="M855" s="72"/>
      <c r="N855" s="72"/>
      <c r="O855" s="72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127"/>
      <c r="K856" s="127"/>
      <c r="L856" s="72"/>
      <c r="M856" s="72"/>
      <c r="N856" s="72"/>
      <c r="O856" s="72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127"/>
      <c r="K857" s="127"/>
      <c r="L857" s="72"/>
      <c r="M857" s="72"/>
      <c r="N857" s="72"/>
      <c r="O857" s="72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127"/>
      <c r="K858" s="127"/>
      <c r="L858" s="72"/>
      <c r="M858" s="72"/>
      <c r="N858" s="72"/>
      <c r="O858" s="72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127"/>
      <c r="K859" s="127"/>
      <c r="L859" s="72"/>
      <c r="M859" s="72"/>
      <c r="N859" s="72"/>
      <c r="O859" s="72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127"/>
      <c r="K860" s="127"/>
      <c r="L860" s="72"/>
      <c r="M860" s="72"/>
      <c r="N860" s="72"/>
      <c r="O860" s="72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127"/>
      <c r="K861" s="127"/>
      <c r="L861" s="72"/>
      <c r="M861" s="72"/>
      <c r="N861" s="72"/>
      <c r="O861" s="72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127"/>
      <c r="K862" s="127"/>
      <c r="L862" s="72"/>
      <c r="M862" s="72"/>
      <c r="N862" s="72"/>
      <c r="O862" s="72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127"/>
      <c r="K863" s="127"/>
      <c r="L863" s="72"/>
      <c r="M863" s="72"/>
      <c r="N863" s="72"/>
      <c r="O863" s="72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127"/>
      <c r="K864" s="127"/>
      <c r="L864" s="72"/>
      <c r="M864" s="72"/>
      <c r="N864" s="72"/>
      <c r="O864" s="72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127"/>
      <c r="K865" s="127"/>
      <c r="L865" s="72"/>
      <c r="M865" s="72"/>
      <c r="N865" s="72"/>
      <c r="O865" s="72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127"/>
      <c r="K866" s="127"/>
      <c r="L866" s="72"/>
      <c r="M866" s="72"/>
      <c r="N866" s="72"/>
      <c r="O866" s="72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127"/>
      <c r="K867" s="127"/>
      <c r="L867" s="72"/>
      <c r="M867" s="72"/>
      <c r="N867" s="72"/>
      <c r="O867" s="72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127"/>
      <c r="K868" s="127"/>
      <c r="L868" s="72"/>
      <c r="M868" s="72"/>
      <c r="N868" s="72"/>
      <c r="O868" s="72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127"/>
      <c r="K869" s="127"/>
      <c r="L869" s="72"/>
      <c r="M869" s="72"/>
      <c r="N869" s="72"/>
      <c r="O869" s="72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127"/>
      <c r="K870" s="127"/>
      <c r="L870" s="72"/>
      <c r="M870" s="72"/>
      <c r="N870" s="72"/>
      <c r="O870" s="72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127"/>
      <c r="K871" s="127"/>
      <c r="L871" s="72"/>
      <c r="M871" s="72"/>
      <c r="N871" s="72"/>
      <c r="O871" s="72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127"/>
      <c r="K872" s="127"/>
      <c r="L872" s="72"/>
      <c r="M872" s="72"/>
      <c r="N872" s="72"/>
      <c r="O872" s="72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127"/>
      <c r="K873" s="127"/>
      <c r="L873" s="72"/>
      <c r="M873" s="72"/>
      <c r="N873" s="72"/>
      <c r="O873" s="72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127"/>
      <c r="K874" s="127"/>
      <c r="L874" s="72"/>
      <c r="M874" s="72"/>
      <c r="N874" s="72"/>
      <c r="O874" s="72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127"/>
      <c r="K875" s="127"/>
      <c r="L875" s="72"/>
      <c r="M875" s="72"/>
      <c r="N875" s="72"/>
      <c r="O875" s="72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127"/>
      <c r="K876" s="127"/>
      <c r="L876" s="72"/>
      <c r="M876" s="72"/>
      <c r="N876" s="72"/>
      <c r="O876" s="72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127"/>
      <c r="K877" s="127"/>
      <c r="L877" s="72"/>
      <c r="M877" s="72"/>
      <c r="N877" s="72"/>
      <c r="O877" s="72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127"/>
      <c r="K878" s="127"/>
      <c r="L878" s="72"/>
      <c r="M878" s="72"/>
      <c r="N878" s="72"/>
      <c r="O878" s="72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127"/>
      <c r="K879" s="127"/>
      <c r="L879" s="72"/>
      <c r="M879" s="72"/>
      <c r="N879" s="72"/>
      <c r="O879" s="72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127"/>
      <c r="K880" s="127"/>
      <c r="L880" s="72"/>
      <c r="M880" s="72"/>
      <c r="N880" s="72"/>
      <c r="O880" s="72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127"/>
      <c r="K881" s="127"/>
      <c r="L881" s="72"/>
      <c r="M881" s="72"/>
      <c r="N881" s="72"/>
      <c r="O881" s="72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127"/>
      <c r="K882" s="127"/>
      <c r="L882" s="72"/>
      <c r="M882" s="72"/>
      <c r="N882" s="72"/>
      <c r="O882" s="72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127"/>
      <c r="K883" s="127"/>
      <c r="L883" s="72"/>
      <c r="M883" s="72"/>
      <c r="N883" s="72"/>
      <c r="O883" s="72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127"/>
      <c r="K884" s="127"/>
      <c r="L884" s="72"/>
      <c r="M884" s="72"/>
      <c r="N884" s="72"/>
      <c r="O884" s="72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127"/>
      <c r="K885" s="127"/>
      <c r="L885" s="72"/>
      <c r="M885" s="72"/>
      <c r="N885" s="72"/>
      <c r="O885" s="72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127"/>
      <c r="K886" s="127"/>
      <c r="L886" s="72"/>
      <c r="M886" s="72"/>
      <c r="N886" s="72"/>
      <c r="O886" s="72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127"/>
      <c r="K887" s="127"/>
      <c r="L887" s="72"/>
      <c r="M887" s="72"/>
      <c r="N887" s="72"/>
      <c r="O887" s="72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127"/>
      <c r="K888" s="127"/>
      <c r="L888" s="72"/>
      <c r="M888" s="72"/>
      <c r="N888" s="72"/>
      <c r="O888" s="72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127"/>
      <c r="K889" s="127"/>
      <c r="L889" s="72"/>
      <c r="M889" s="72"/>
      <c r="N889" s="72"/>
      <c r="O889" s="72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127"/>
      <c r="K890" s="127"/>
      <c r="L890" s="72"/>
      <c r="M890" s="72"/>
      <c r="N890" s="72"/>
      <c r="O890" s="72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127"/>
      <c r="K891" s="127"/>
      <c r="L891" s="72"/>
      <c r="M891" s="72"/>
      <c r="N891" s="72"/>
      <c r="O891" s="72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127"/>
      <c r="K892" s="127"/>
      <c r="L892" s="72"/>
      <c r="M892" s="72"/>
      <c r="N892" s="72"/>
      <c r="O892" s="72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127"/>
      <c r="K893" s="127"/>
      <c r="L893" s="72"/>
      <c r="M893" s="72"/>
      <c r="N893" s="72"/>
      <c r="O893" s="72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127"/>
      <c r="K894" s="127"/>
      <c r="L894" s="72"/>
      <c r="M894" s="72"/>
      <c r="N894" s="72"/>
      <c r="O894" s="72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127"/>
      <c r="K895" s="127"/>
      <c r="L895" s="72"/>
      <c r="M895" s="72"/>
      <c r="N895" s="72"/>
      <c r="O895" s="72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127"/>
      <c r="K896" s="127"/>
      <c r="L896" s="72"/>
      <c r="M896" s="72"/>
      <c r="N896" s="72"/>
      <c r="O896" s="72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127"/>
      <c r="K897" s="127"/>
      <c r="L897" s="72"/>
      <c r="M897" s="72"/>
      <c r="N897" s="72"/>
      <c r="O897" s="72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127"/>
      <c r="K898" s="127"/>
      <c r="L898" s="72"/>
      <c r="M898" s="72"/>
      <c r="N898" s="72"/>
      <c r="O898" s="72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127"/>
      <c r="K899" s="127"/>
      <c r="L899" s="72"/>
      <c r="M899" s="72"/>
      <c r="N899" s="72"/>
      <c r="O899" s="72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127"/>
      <c r="K900" s="127"/>
      <c r="L900" s="72"/>
      <c r="M900" s="72"/>
      <c r="N900" s="72"/>
      <c r="O900" s="72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127"/>
      <c r="K901" s="127"/>
      <c r="L901" s="72"/>
      <c r="M901" s="72"/>
      <c r="N901" s="72"/>
      <c r="O901" s="72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127"/>
      <c r="K902" s="127"/>
      <c r="L902" s="72"/>
      <c r="M902" s="72"/>
      <c r="N902" s="72"/>
      <c r="O902" s="72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127"/>
      <c r="K903" s="127"/>
      <c r="L903" s="72"/>
      <c r="M903" s="72"/>
      <c r="N903" s="72"/>
      <c r="O903" s="72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127"/>
      <c r="K904" s="127"/>
      <c r="L904" s="72"/>
      <c r="M904" s="72"/>
      <c r="N904" s="72"/>
      <c r="O904" s="72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127"/>
      <c r="K905" s="127"/>
      <c r="L905" s="72"/>
      <c r="M905" s="72"/>
      <c r="N905" s="72"/>
      <c r="O905" s="72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127"/>
      <c r="K906" s="127"/>
      <c r="L906" s="72"/>
      <c r="M906" s="72"/>
      <c r="N906" s="72"/>
      <c r="O906" s="72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127"/>
      <c r="K907" s="127"/>
      <c r="L907" s="72"/>
      <c r="M907" s="72"/>
      <c r="N907" s="72"/>
      <c r="O907" s="72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127"/>
      <c r="K908" s="127"/>
      <c r="L908" s="72"/>
      <c r="M908" s="72"/>
      <c r="N908" s="72"/>
      <c r="O908" s="72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127"/>
      <c r="K909" s="127"/>
      <c r="L909" s="72"/>
      <c r="M909" s="72"/>
      <c r="N909" s="72"/>
      <c r="O909" s="72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127"/>
      <c r="K910" s="127"/>
      <c r="L910" s="72"/>
      <c r="M910" s="72"/>
      <c r="N910" s="72"/>
      <c r="O910" s="72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127"/>
      <c r="K911" s="127"/>
      <c r="L911" s="72"/>
      <c r="M911" s="72"/>
      <c r="N911" s="72"/>
      <c r="O911" s="72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127"/>
      <c r="K912" s="127"/>
      <c r="L912" s="72"/>
      <c r="M912" s="72"/>
      <c r="N912" s="72"/>
      <c r="O912" s="72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127"/>
      <c r="K913" s="127"/>
      <c r="L913" s="72"/>
      <c r="M913" s="72"/>
      <c r="N913" s="72"/>
      <c r="O913" s="72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127"/>
      <c r="K914" s="127"/>
      <c r="L914" s="72"/>
      <c r="M914" s="72"/>
      <c r="N914" s="72"/>
      <c r="O914" s="72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127"/>
      <c r="K915" s="127"/>
      <c r="L915" s="72"/>
      <c r="M915" s="72"/>
      <c r="N915" s="72"/>
      <c r="O915" s="72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127"/>
      <c r="K916" s="127"/>
      <c r="L916" s="72"/>
      <c r="M916" s="72"/>
      <c r="N916" s="72"/>
      <c r="O916" s="72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127"/>
      <c r="K917" s="127"/>
      <c r="L917" s="72"/>
      <c r="M917" s="72"/>
      <c r="N917" s="72"/>
      <c r="O917" s="72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127"/>
      <c r="K918" s="127"/>
      <c r="L918" s="72"/>
      <c r="M918" s="72"/>
      <c r="N918" s="72"/>
      <c r="O918" s="72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127"/>
      <c r="K919" s="127"/>
      <c r="L919" s="72"/>
      <c r="M919" s="72"/>
      <c r="N919" s="72"/>
      <c r="O919" s="72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127"/>
      <c r="K920" s="127"/>
      <c r="L920" s="72"/>
      <c r="M920" s="72"/>
      <c r="N920" s="72"/>
      <c r="O920" s="72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127"/>
      <c r="K921" s="127"/>
      <c r="L921" s="72"/>
      <c r="M921" s="72"/>
      <c r="N921" s="72"/>
      <c r="O921" s="72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127"/>
      <c r="K922" s="127"/>
      <c r="L922" s="72"/>
      <c r="M922" s="72"/>
      <c r="N922" s="72"/>
      <c r="O922" s="72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127"/>
      <c r="K923" s="127"/>
      <c r="L923" s="72"/>
      <c r="M923" s="72"/>
      <c r="N923" s="72"/>
      <c r="O923" s="72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127"/>
      <c r="K924" s="127"/>
      <c r="L924" s="72"/>
      <c r="M924" s="72"/>
      <c r="N924" s="72"/>
      <c r="O924" s="72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127"/>
      <c r="K925" s="127"/>
      <c r="L925" s="72"/>
      <c r="M925" s="72"/>
      <c r="N925" s="72"/>
      <c r="O925" s="72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127"/>
      <c r="K926" s="127"/>
      <c r="L926" s="72"/>
      <c r="M926" s="72"/>
      <c r="N926" s="72"/>
      <c r="O926" s="72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127"/>
      <c r="K927" s="127"/>
      <c r="L927" s="72"/>
      <c r="M927" s="72"/>
      <c r="N927" s="72"/>
      <c r="O927" s="72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127"/>
      <c r="K928" s="127"/>
      <c r="L928" s="72"/>
      <c r="M928" s="72"/>
      <c r="N928" s="72"/>
      <c r="O928" s="72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127"/>
      <c r="K929" s="127"/>
      <c r="L929" s="72"/>
      <c r="M929" s="72"/>
      <c r="N929" s="72"/>
      <c r="O929" s="72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127"/>
      <c r="K930" s="127"/>
      <c r="L930" s="72"/>
      <c r="M930" s="72"/>
      <c r="N930" s="72"/>
      <c r="O930" s="72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127"/>
      <c r="K931" s="127"/>
      <c r="L931" s="72"/>
      <c r="M931" s="72"/>
      <c r="N931" s="72"/>
      <c r="O931" s="72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127"/>
      <c r="K932" s="127"/>
      <c r="L932" s="72"/>
      <c r="M932" s="72"/>
      <c r="N932" s="72"/>
      <c r="O932" s="72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127"/>
      <c r="K933" s="127"/>
      <c r="L933" s="72"/>
      <c r="M933" s="72"/>
      <c r="N933" s="72"/>
      <c r="O933" s="72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127"/>
      <c r="K934" s="127"/>
      <c r="L934" s="72"/>
      <c r="M934" s="72"/>
      <c r="N934" s="72"/>
      <c r="O934" s="72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127"/>
      <c r="K935" s="127"/>
      <c r="L935" s="72"/>
      <c r="M935" s="72"/>
      <c r="N935" s="72"/>
      <c r="O935" s="72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127"/>
      <c r="K936" s="127"/>
      <c r="L936" s="72"/>
      <c r="M936" s="72"/>
      <c r="N936" s="72"/>
      <c r="O936" s="72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127"/>
      <c r="K937" s="127"/>
      <c r="L937" s="72"/>
      <c r="M937" s="72"/>
      <c r="N937" s="72"/>
      <c r="O937" s="72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127"/>
      <c r="K938" s="127"/>
      <c r="L938" s="72"/>
      <c r="M938" s="72"/>
      <c r="N938" s="72"/>
      <c r="O938" s="72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127"/>
      <c r="K939" s="127"/>
      <c r="L939" s="72"/>
      <c r="M939" s="72"/>
      <c r="N939" s="72"/>
      <c r="O939" s="72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127"/>
      <c r="K940" s="127"/>
      <c r="L940" s="72"/>
      <c r="M940" s="72"/>
      <c r="N940" s="72"/>
      <c r="O940" s="72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127"/>
      <c r="K941" s="127"/>
      <c r="L941" s="72"/>
      <c r="M941" s="72"/>
      <c r="N941" s="72"/>
      <c r="O941" s="72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127"/>
      <c r="K942" s="127"/>
      <c r="L942" s="72"/>
      <c r="M942" s="72"/>
      <c r="N942" s="72"/>
      <c r="O942" s="72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127"/>
      <c r="K943" s="127"/>
      <c r="L943" s="72"/>
      <c r="M943" s="72"/>
      <c r="N943" s="72"/>
      <c r="O943" s="72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127"/>
      <c r="K944" s="127"/>
      <c r="L944" s="72"/>
      <c r="M944" s="72"/>
      <c r="N944" s="72"/>
      <c r="O944" s="72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127"/>
      <c r="K945" s="127"/>
      <c r="L945" s="72"/>
      <c r="M945" s="72"/>
      <c r="N945" s="72"/>
      <c r="O945" s="72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127"/>
      <c r="K946" s="127"/>
      <c r="L946" s="72"/>
      <c r="M946" s="72"/>
      <c r="N946" s="72"/>
      <c r="O946" s="72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127"/>
      <c r="K947" s="127"/>
      <c r="L947" s="72"/>
      <c r="M947" s="72"/>
      <c r="N947" s="72"/>
      <c r="O947" s="72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127"/>
      <c r="K948" s="127"/>
      <c r="L948" s="72"/>
      <c r="M948" s="72"/>
      <c r="N948" s="72"/>
      <c r="O948" s="72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127"/>
      <c r="K949" s="127"/>
      <c r="L949" s="72"/>
      <c r="M949" s="72"/>
      <c r="N949" s="72"/>
      <c r="O949" s="72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127"/>
      <c r="K950" s="127"/>
      <c r="L950" s="72"/>
      <c r="M950" s="72"/>
      <c r="N950" s="72"/>
      <c r="O950" s="72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127"/>
      <c r="K951" s="127"/>
      <c r="L951" s="72"/>
      <c r="M951" s="72"/>
      <c r="N951" s="72"/>
      <c r="O951" s="72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127"/>
      <c r="K952" s="127"/>
      <c r="L952" s="72"/>
      <c r="M952" s="72"/>
      <c r="N952" s="72"/>
      <c r="O952" s="72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127"/>
      <c r="K953" s="127"/>
      <c r="L953" s="72"/>
      <c r="M953" s="72"/>
      <c r="N953" s="72"/>
      <c r="O953" s="72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127"/>
      <c r="K954" s="127"/>
      <c r="L954" s="72"/>
      <c r="M954" s="72"/>
      <c r="N954" s="72"/>
      <c r="O954" s="72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127"/>
      <c r="K955" s="127"/>
      <c r="L955" s="72"/>
      <c r="M955" s="72"/>
      <c r="N955" s="72"/>
      <c r="O955" s="72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127"/>
      <c r="K956" s="127"/>
      <c r="L956" s="72"/>
      <c r="M956" s="72"/>
      <c r="N956" s="72"/>
      <c r="O956" s="72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127"/>
      <c r="K957" s="127"/>
      <c r="L957" s="72"/>
      <c r="M957" s="72"/>
      <c r="N957" s="72"/>
      <c r="O957" s="72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127"/>
      <c r="K958" s="127"/>
      <c r="L958" s="72"/>
      <c r="M958" s="72"/>
      <c r="N958" s="72"/>
      <c r="O958" s="72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127"/>
      <c r="K959" s="127"/>
      <c r="L959" s="72"/>
      <c r="M959" s="72"/>
      <c r="N959" s="72"/>
      <c r="O959" s="72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127"/>
      <c r="K960" s="127"/>
      <c r="L960" s="72"/>
      <c r="M960" s="72"/>
      <c r="N960" s="72"/>
      <c r="O960" s="72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127"/>
      <c r="K961" s="127"/>
      <c r="L961" s="72"/>
      <c r="M961" s="72"/>
      <c r="N961" s="72"/>
      <c r="O961" s="72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127"/>
      <c r="K962" s="127"/>
      <c r="L962" s="72"/>
      <c r="M962" s="72"/>
      <c r="N962" s="72"/>
      <c r="O962" s="72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127"/>
      <c r="K963" s="127"/>
      <c r="L963" s="72"/>
      <c r="M963" s="72"/>
      <c r="N963" s="72"/>
      <c r="O963" s="72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127"/>
      <c r="K964" s="127"/>
      <c r="L964" s="72"/>
      <c r="M964" s="72"/>
      <c r="N964" s="72"/>
      <c r="O964" s="72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127"/>
      <c r="K965" s="127"/>
      <c r="L965" s="72"/>
      <c r="M965" s="72"/>
      <c r="N965" s="72"/>
      <c r="O965" s="72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127"/>
      <c r="K966" s="127"/>
      <c r="L966" s="72"/>
      <c r="M966" s="72"/>
      <c r="N966" s="72"/>
      <c r="O966" s="72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127"/>
      <c r="K967" s="127"/>
      <c r="L967" s="72"/>
      <c r="M967" s="72"/>
      <c r="N967" s="72"/>
      <c r="O967" s="72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127"/>
      <c r="K968" s="127"/>
      <c r="L968" s="72"/>
      <c r="M968" s="72"/>
      <c r="N968" s="72"/>
      <c r="O968" s="72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127"/>
      <c r="K969" s="127"/>
      <c r="L969" s="72"/>
      <c r="M969" s="72"/>
      <c r="N969" s="72"/>
      <c r="O969" s="72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127"/>
      <c r="K970" s="127"/>
      <c r="L970" s="72"/>
      <c r="M970" s="72"/>
      <c r="N970" s="72"/>
      <c r="O970" s="72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127"/>
      <c r="K971" s="127"/>
      <c r="L971" s="72"/>
      <c r="M971" s="72"/>
      <c r="N971" s="72"/>
      <c r="O971" s="72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127"/>
      <c r="K972" s="127"/>
      <c r="L972" s="72"/>
      <c r="M972" s="72"/>
      <c r="N972" s="72"/>
      <c r="O972" s="72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127"/>
      <c r="K973" s="127"/>
      <c r="L973" s="72"/>
      <c r="M973" s="72"/>
      <c r="N973" s="72"/>
      <c r="O973" s="72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127"/>
      <c r="K974" s="127"/>
      <c r="L974" s="72"/>
      <c r="M974" s="72"/>
      <c r="N974" s="72"/>
      <c r="O974" s="72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127"/>
      <c r="K975" s="127"/>
      <c r="L975" s="72"/>
      <c r="M975" s="72"/>
      <c r="N975" s="72"/>
      <c r="O975" s="72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127"/>
      <c r="K976" s="127"/>
      <c r="L976" s="72"/>
      <c r="M976" s="72"/>
      <c r="N976" s="72"/>
      <c r="O976" s="72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127"/>
      <c r="K977" s="127"/>
      <c r="L977" s="72"/>
      <c r="M977" s="72"/>
      <c r="N977" s="72"/>
      <c r="O977" s="72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127"/>
      <c r="K978" s="127"/>
      <c r="L978" s="72"/>
      <c r="M978" s="72"/>
      <c r="N978" s="72"/>
      <c r="O978" s="72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127"/>
      <c r="K979" s="127"/>
      <c r="L979" s="72"/>
      <c r="M979" s="72"/>
      <c r="N979" s="72"/>
      <c r="O979" s="72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127"/>
      <c r="K980" s="127"/>
      <c r="L980" s="72"/>
      <c r="M980" s="72"/>
      <c r="N980" s="72"/>
      <c r="O980" s="72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127"/>
      <c r="K981" s="127"/>
      <c r="L981" s="72"/>
      <c r="M981" s="72"/>
      <c r="N981" s="72"/>
      <c r="O981" s="72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127"/>
      <c r="K982" s="127"/>
      <c r="L982" s="72"/>
      <c r="M982" s="72"/>
      <c r="N982" s="72"/>
      <c r="O982" s="72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127"/>
      <c r="K983" s="127"/>
      <c r="L983" s="72"/>
      <c r="M983" s="72"/>
      <c r="N983" s="72"/>
      <c r="O983" s="72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127"/>
      <c r="K984" s="127"/>
      <c r="L984" s="72"/>
      <c r="M984" s="72"/>
      <c r="N984" s="72"/>
      <c r="O984" s="72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127"/>
      <c r="K985" s="127"/>
      <c r="L985" s="72"/>
      <c r="M985" s="72"/>
      <c r="N985" s="72"/>
      <c r="O985" s="72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127"/>
      <c r="K986" s="127"/>
      <c r="L986" s="72"/>
      <c r="M986" s="72"/>
      <c r="N986" s="72"/>
      <c r="O986" s="72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127"/>
      <c r="K987" s="127"/>
      <c r="L987" s="72"/>
      <c r="M987" s="72"/>
      <c r="N987" s="72"/>
      <c r="O987" s="72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127"/>
      <c r="K988" s="127"/>
      <c r="L988" s="72"/>
      <c r="M988" s="72"/>
      <c r="N988" s="72"/>
      <c r="O988" s="72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127"/>
      <c r="K989" s="127"/>
      <c r="L989" s="72"/>
      <c r="M989" s="72"/>
      <c r="N989" s="72"/>
      <c r="O989" s="72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127"/>
      <c r="K990" s="127"/>
      <c r="L990" s="72"/>
      <c r="M990" s="72"/>
      <c r="N990" s="72"/>
      <c r="O990" s="72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127"/>
      <c r="K991" s="127"/>
      <c r="L991" s="72"/>
      <c r="M991" s="72"/>
      <c r="N991" s="72"/>
      <c r="O991" s="72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127"/>
      <c r="K992" s="127"/>
      <c r="L992" s="72"/>
      <c r="M992" s="72"/>
      <c r="N992" s="72"/>
      <c r="O992" s="72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127"/>
      <c r="K993" s="127"/>
      <c r="L993" s="72"/>
      <c r="M993" s="72"/>
      <c r="N993" s="72"/>
      <c r="O993" s="72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127"/>
      <c r="K994" s="127"/>
      <c r="L994" s="72"/>
      <c r="M994" s="72"/>
      <c r="N994" s="72"/>
      <c r="O994" s="72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127"/>
      <c r="K995" s="127"/>
      <c r="L995" s="72"/>
      <c r="M995" s="72"/>
      <c r="N995" s="72"/>
      <c r="O995" s="72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127"/>
      <c r="K996" s="127"/>
      <c r="L996" s="72"/>
      <c r="M996" s="72"/>
      <c r="N996" s="72"/>
      <c r="O996" s="72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127"/>
      <c r="K997" s="127"/>
      <c r="L997" s="72"/>
      <c r="M997" s="72"/>
      <c r="N997" s="72"/>
      <c r="O997" s="72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127"/>
      <c r="K998" s="127"/>
      <c r="L998" s="72"/>
      <c r="M998" s="72"/>
      <c r="N998" s="72"/>
      <c r="O998" s="72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127"/>
      <c r="K999" s="127"/>
      <c r="L999" s="72"/>
      <c r="M999" s="72"/>
      <c r="N999" s="72"/>
      <c r="O999" s="72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127"/>
      <c r="K1000" s="127"/>
      <c r="L1000" s="72"/>
      <c r="M1000" s="72"/>
      <c r="N1000" s="72"/>
      <c r="O1000" s="72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2.57"/>
    <col customWidth="1" min="5" max="11" width="10.71"/>
    <col customWidth="1" min="12" max="12" width="9.0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7.29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70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238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239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240" t="s">
        <v>240</v>
      </c>
      <c r="E7" s="84">
        <v>7.1</v>
      </c>
      <c r="F7" s="84">
        <v>6.05</v>
      </c>
      <c r="G7" s="48" t="s">
        <v>26</v>
      </c>
      <c r="H7" s="48" t="s">
        <v>26</v>
      </c>
      <c r="I7" s="48" t="s">
        <v>26</v>
      </c>
      <c r="J7" s="83">
        <v>2.66</v>
      </c>
      <c r="K7" s="48" t="s">
        <v>26</v>
      </c>
      <c r="L7" s="48">
        <v>1.98</v>
      </c>
      <c r="M7" s="83">
        <v>1.18</v>
      </c>
      <c r="N7" s="84">
        <v>1.24</v>
      </c>
      <c r="O7" s="83">
        <v>0.54</v>
      </c>
      <c r="P7" s="84">
        <v>6.8</v>
      </c>
      <c r="Q7" s="190">
        <f t="shared" ref="Q7:Q30" si="1">AVERAGE(E7,F7,G7,H7,I7,J7,K7,L7,M7,N7,O7,P7)</f>
        <v>3.44375</v>
      </c>
      <c r="R7" s="162">
        <v>6.0</v>
      </c>
      <c r="S7" s="241">
        <f>AVERAGE(Q7:Q10)</f>
        <v>3.4675</v>
      </c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24" t="s">
        <v>241</v>
      </c>
      <c r="E8" s="24">
        <v>7.5</v>
      </c>
      <c r="F8" s="85">
        <v>7.21</v>
      </c>
      <c r="G8" s="51" t="s">
        <v>26</v>
      </c>
      <c r="H8" s="51" t="s">
        <v>26</v>
      </c>
      <c r="I8" s="51" t="s">
        <v>26</v>
      </c>
      <c r="J8" s="147">
        <v>2.69</v>
      </c>
      <c r="K8" s="51" t="s">
        <v>26</v>
      </c>
      <c r="L8" s="51">
        <v>1.52</v>
      </c>
      <c r="M8" s="85">
        <v>1.18</v>
      </c>
      <c r="N8" s="85">
        <v>1.95</v>
      </c>
      <c r="O8" s="24">
        <v>1.15</v>
      </c>
      <c r="P8" s="24">
        <v>6.7</v>
      </c>
      <c r="Q8" s="192">
        <f t="shared" si="1"/>
        <v>3.7375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1"/>
      <c r="C9" s="22">
        <v>3.0</v>
      </c>
      <c r="D9" s="124" t="s">
        <v>242</v>
      </c>
      <c r="E9" s="24">
        <v>6.5</v>
      </c>
      <c r="F9" s="24">
        <v>6.0</v>
      </c>
      <c r="G9" s="51" t="s">
        <v>26</v>
      </c>
      <c r="H9" s="51" t="s">
        <v>26</v>
      </c>
      <c r="I9" s="51" t="s">
        <v>26</v>
      </c>
      <c r="J9" s="147">
        <v>2.27</v>
      </c>
      <c r="K9" s="51" t="s">
        <v>26</v>
      </c>
      <c r="L9" s="51">
        <v>1.63</v>
      </c>
      <c r="M9" s="24">
        <v>1.4</v>
      </c>
      <c r="N9" s="85">
        <v>2.09</v>
      </c>
      <c r="O9" s="85">
        <v>1.22</v>
      </c>
      <c r="P9" s="24">
        <v>7.0</v>
      </c>
      <c r="Q9" s="192">
        <f t="shared" si="1"/>
        <v>3.51375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6.5" customHeight="1">
      <c r="A10" s="20"/>
      <c r="B10" s="26"/>
      <c r="C10" s="22">
        <v>4.0</v>
      </c>
      <c r="D10" s="175" t="s">
        <v>243</v>
      </c>
      <c r="E10" s="24">
        <v>7.1</v>
      </c>
      <c r="F10" s="85">
        <v>3.72</v>
      </c>
      <c r="G10" s="51" t="s">
        <v>26</v>
      </c>
      <c r="H10" s="51" t="s">
        <v>26</v>
      </c>
      <c r="I10" s="51" t="s">
        <v>26</v>
      </c>
      <c r="J10" s="147">
        <v>2.48</v>
      </c>
      <c r="K10" s="51" t="s">
        <v>26</v>
      </c>
      <c r="L10" s="51">
        <v>1.44</v>
      </c>
      <c r="M10" s="24">
        <v>1.16</v>
      </c>
      <c r="N10" s="85">
        <v>1.89</v>
      </c>
      <c r="O10" s="85">
        <v>1.31</v>
      </c>
      <c r="P10" s="24">
        <v>6.3</v>
      </c>
      <c r="Q10" s="192">
        <f t="shared" si="1"/>
        <v>3.175</v>
      </c>
      <c r="R10" s="23">
        <v>6.0</v>
      </c>
      <c r="S10" s="72"/>
      <c r="T10" s="72"/>
      <c r="U10" s="72"/>
      <c r="V10" s="72"/>
      <c r="W10" s="72"/>
      <c r="X10" s="72"/>
      <c r="Y10" s="72"/>
      <c r="Z10" s="72"/>
    </row>
    <row r="11" ht="15.75" hidden="1" customHeight="1">
      <c r="A11" s="20"/>
      <c r="B11" s="15" t="s">
        <v>244</v>
      </c>
      <c r="C11" s="16">
        <v>1.0</v>
      </c>
      <c r="D11" s="242" t="s">
        <v>240</v>
      </c>
      <c r="E11" s="120"/>
      <c r="F11" s="120"/>
      <c r="G11" s="48" t="s">
        <v>26</v>
      </c>
      <c r="H11" s="48" t="s">
        <v>26</v>
      </c>
      <c r="I11" s="48" t="s">
        <v>26</v>
      </c>
      <c r="J11" s="120"/>
      <c r="K11" s="48" t="s">
        <v>26</v>
      </c>
      <c r="L11" s="48" t="s">
        <v>26</v>
      </c>
      <c r="M11" s="120"/>
      <c r="N11" s="85"/>
      <c r="O11" s="120"/>
      <c r="P11" s="120"/>
      <c r="Q11" s="190" t="str">
        <f t="shared" si="1"/>
        <v>#DIV/0!</v>
      </c>
      <c r="R11" s="17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hidden="1" customHeight="1">
      <c r="A12" s="20"/>
      <c r="B12" s="21"/>
      <c r="C12" s="22">
        <v>2.0</v>
      </c>
      <c r="D12" s="124" t="s">
        <v>241</v>
      </c>
      <c r="E12" s="85"/>
      <c r="F12" s="85"/>
      <c r="G12" s="51" t="s">
        <v>26</v>
      </c>
      <c r="H12" s="51" t="s">
        <v>26</v>
      </c>
      <c r="I12" s="51" t="s">
        <v>26</v>
      </c>
      <c r="J12" s="85"/>
      <c r="K12" s="51" t="s">
        <v>26</v>
      </c>
      <c r="L12" s="51" t="s">
        <v>26</v>
      </c>
      <c r="M12" s="85"/>
      <c r="N12" s="85"/>
      <c r="O12" s="85"/>
      <c r="P12" s="85"/>
      <c r="Q12" s="192" t="str">
        <f t="shared" si="1"/>
        <v>#DIV/0!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hidden="1" customHeight="1">
      <c r="A13" s="20"/>
      <c r="B13" s="21"/>
      <c r="C13" s="22">
        <v>3.0</v>
      </c>
      <c r="D13" s="124" t="s">
        <v>245</v>
      </c>
      <c r="E13" s="85"/>
      <c r="F13" s="85"/>
      <c r="G13" s="51" t="s">
        <v>26</v>
      </c>
      <c r="H13" s="51" t="s">
        <v>26</v>
      </c>
      <c r="I13" s="51" t="s">
        <v>26</v>
      </c>
      <c r="J13" s="85"/>
      <c r="K13" s="51" t="s">
        <v>26</v>
      </c>
      <c r="L13" s="51" t="s">
        <v>26</v>
      </c>
      <c r="M13" s="85"/>
      <c r="N13" s="85"/>
      <c r="O13" s="85"/>
      <c r="P13" s="85"/>
      <c r="Q13" s="192" t="str">
        <f t="shared" si="1"/>
        <v>#DIV/0!</v>
      </c>
      <c r="R13" s="23">
        <v>50.0</v>
      </c>
      <c r="S13" s="72"/>
      <c r="T13" s="72"/>
      <c r="U13" s="72"/>
      <c r="V13" s="72"/>
      <c r="W13" s="72"/>
      <c r="X13" s="72"/>
      <c r="Y13" s="72"/>
      <c r="Z13" s="72"/>
    </row>
    <row r="14" ht="16.5" hidden="1" customHeight="1">
      <c r="A14" s="20"/>
      <c r="B14" s="26"/>
      <c r="C14" s="22">
        <v>4.0</v>
      </c>
      <c r="D14" s="175" t="s">
        <v>246</v>
      </c>
      <c r="E14" s="85"/>
      <c r="F14" s="85"/>
      <c r="G14" s="51" t="s">
        <v>26</v>
      </c>
      <c r="H14" s="51" t="s">
        <v>26</v>
      </c>
      <c r="I14" s="51" t="s">
        <v>26</v>
      </c>
      <c r="J14" s="85"/>
      <c r="K14" s="51" t="s">
        <v>26</v>
      </c>
      <c r="L14" s="51" t="s">
        <v>26</v>
      </c>
      <c r="M14" s="85"/>
      <c r="N14" s="85"/>
      <c r="O14" s="85"/>
      <c r="P14" s="85"/>
      <c r="Q14" s="192" t="str">
        <f t="shared" si="1"/>
        <v>#DIV/0!</v>
      </c>
      <c r="R14" s="23"/>
      <c r="S14" s="72"/>
      <c r="T14" s="72"/>
      <c r="U14" s="72"/>
      <c r="V14" s="72"/>
      <c r="W14" s="72"/>
      <c r="X14" s="72"/>
      <c r="Y14" s="72"/>
      <c r="Z14" s="72"/>
    </row>
    <row r="15">
      <c r="A15" s="20"/>
      <c r="B15" s="15" t="s">
        <v>32</v>
      </c>
      <c r="C15" s="16">
        <v>1.0</v>
      </c>
      <c r="D15" s="242" t="s">
        <v>240</v>
      </c>
      <c r="E15" s="120">
        <v>85.0</v>
      </c>
      <c r="F15" s="120">
        <v>52.0</v>
      </c>
      <c r="G15" s="48" t="s">
        <v>26</v>
      </c>
      <c r="H15" s="48" t="s">
        <v>26</v>
      </c>
      <c r="I15" s="48" t="s">
        <v>26</v>
      </c>
      <c r="J15" s="120">
        <v>14.0</v>
      </c>
      <c r="K15" s="48" t="s">
        <v>26</v>
      </c>
      <c r="L15" s="55">
        <v>44.0</v>
      </c>
      <c r="M15" s="120">
        <v>60.0</v>
      </c>
      <c r="N15" s="120">
        <v>171.0</v>
      </c>
      <c r="O15" s="120">
        <v>105.0</v>
      </c>
      <c r="P15" s="120">
        <v>23.0</v>
      </c>
      <c r="Q15" s="194">
        <f t="shared" si="1"/>
        <v>69.25</v>
      </c>
      <c r="R15" s="17">
        <v>50.0</v>
      </c>
      <c r="S15" s="72"/>
      <c r="T15" s="72"/>
      <c r="U15" s="72"/>
      <c r="V15" s="72"/>
      <c r="W15" s="72"/>
      <c r="X15" s="72"/>
      <c r="Y15" s="72"/>
      <c r="Z15" s="72"/>
    </row>
    <row r="16">
      <c r="A16" s="20"/>
      <c r="B16" s="21"/>
      <c r="C16" s="22">
        <v>2.0</v>
      </c>
      <c r="D16" s="124" t="s">
        <v>241</v>
      </c>
      <c r="E16" s="85">
        <v>152.0</v>
      </c>
      <c r="F16" s="85">
        <v>54.0</v>
      </c>
      <c r="G16" s="51" t="s">
        <v>26</v>
      </c>
      <c r="H16" s="51" t="s">
        <v>26</v>
      </c>
      <c r="I16" s="51" t="s">
        <v>26</v>
      </c>
      <c r="J16" s="85">
        <v>41.0</v>
      </c>
      <c r="K16" s="51" t="s">
        <v>26</v>
      </c>
      <c r="L16" s="57">
        <v>43.0</v>
      </c>
      <c r="M16" s="85">
        <v>95.0</v>
      </c>
      <c r="N16" s="85">
        <v>48.0</v>
      </c>
      <c r="O16" s="85">
        <v>47.0</v>
      </c>
      <c r="P16" s="85">
        <v>40.0</v>
      </c>
      <c r="Q16" s="195">
        <f t="shared" si="1"/>
        <v>65</v>
      </c>
      <c r="R16" s="23">
        <v>50.0</v>
      </c>
      <c r="S16" s="72"/>
      <c r="T16" s="72"/>
      <c r="U16" s="72"/>
      <c r="V16" s="72"/>
      <c r="W16" s="72"/>
      <c r="X16" s="72"/>
      <c r="Y16" s="72"/>
      <c r="Z16" s="72"/>
    </row>
    <row r="17">
      <c r="A17" s="20"/>
      <c r="B17" s="21"/>
      <c r="C17" s="22">
        <v>3.0</v>
      </c>
      <c r="D17" s="124" t="s">
        <v>242</v>
      </c>
      <c r="E17" s="85">
        <v>58.0</v>
      </c>
      <c r="F17" s="85">
        <v>51.0</v>
      </c>
      <c r="G17" s="51" t="s">
        <v>26</v>
      </c>
      <c r="H17" s="51" t="s">
        <v>26</v>
      </c>
      <c r="I17" s="51" t="s">
        <v>26</v>
      </c>
      <c r="J17" s="29">
        <v>10.0</v>
      </c>
      <c r="K17" s="51" t="s">
        <v>26</v>
      </c>
      <c r="L17" s="57">
        <v>90.0</v>
      </c>
      <c r="M17" s="85">
        <v>97.0</v>
      </c>
      <c r="N17" s="85">
        <v>126.0</v>
      </c>
      <c r="O17" s="85">
        <v>39.0</v>
      </c>
      <c r="P17" s="85">
        <v>30.0</v>
      </c>
      <c r="Q17" s="195">
        <f t="shared" si="1"/>
        <v>62.625</v>
      </c>
      <c r="R17" s="23">
        <v>50.0</v>
      </c>
      <c r="S17" s="72"/>
      <c r="T17" s="72"/>
      <c r="U17" s="72"/>
      <c r="V17" s="72"/>
      <c r="W17" s="72"/>
      <c r="X17" s="72"/>
      <c r="Y17" s="72"/>
      <c r="Z17" s="72"/>
    </row>
    <row r="18">
      <c r="A18" s="20"/>
      <c r="B18" s="26"/>
      <c r="C18" s="172">
        <v>4.0</v>
      </c>
      <c r="D18" s="175" t="s">
        <v>243</v>
      </c>
      <c r="E18" s="85">
        <v>124.0</v>
      </c>
      <c r="F18" s="85">
        <v>33.0</v>
      </c>
      <c r="G18" s="51" t="s">
        <v>26</v>
      </c>
      <c r="H18" s="51" t="s">
        <v>26</v>
      </c>
      <c r="I18" s="51" t="s">
        <v>26</v>
      </c>
      <c r="J18" s="85">
        <v>13.0</v>
      </c>
      <c r="K18" s="51" t="s">
        <v>26</v>
      </c>
      <c r="L18" s="57">
        <v>88.0</v>
      </c>
      <c r="M18" s="85">
        <v>45.0</v>
      </c>
      <c r="N18" s="85">
        <v>89.0</v>
      </c>
      <c r="O18" s="85">
        <v>38.0</v>
      </c>
      <c r="P18" s="85">
        <v>30.0</v>
      </c>
      <c r="Q18" s="195">
        <f t="shared" si="1"/>
        <v>57.5</v>
      </c>
      <c r="R18" s="60">
        <v>50.0</v>
      </c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"/>
      <c r="B19" s="15" t="s">
        <v>33</v>
      </c>
      <c r="C19" s="16">
        <v>1.0</v>
      </c>
      <c r="D19" s="242" t="s">
        <v>240</v>
      </c>
      <c r="E19" s="18">
        <v>8.26</v>
      </c>
      <c r="F19" s="120">
        <v>8.06</v>
      </c>
      <c r="G19" s="48" t="s">
        <v>26</v>
      </c>
      <c r="H19" s="48" t="s">
        <v>26</v>
      </c>
      <c r="I19" s="48" t="s">
        <v>26</v>
      </c>
      <c r="J19" s="120">
        <v>7.97</v>
      </c>
      <c r="K19" s="48" t="s">
        <v>26</v>
      </c>
      <c r="L19" s="48">
        <v>7.76</v>
      </c>
      <c r="M19" s="120">
        <v>7.92</v>
      </c>
      <c r="N19" s="120">
        <v>7.25</v>
      </c>
      <c r="O19" s="120">
        <v>7.27</v>
      </c>
      <c r="P19" s="120">
        <v>7.96</v>
      </c>
      <c r="Q19" s="190">
        <f t="shared" si="1"/>
        <v>7.80625</v>
      </c>
      <c r="R19" s="59" t="s">
        <v>161</v>
      </c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"/>
      <c r="B20" s="21"/>
      <c r="C20" s="22">
        <v>2.0</v>
      </c>
      <c r="D20" s="124" t="s">
        <v>241</v>
      </c>
      <c r="E20" s="24">
        <v>8.24</v>
      </c>
      <c r="F20" s="24">
        <v>8.09</v>
      </c>
      <c r="G20" s="51" t="s">
        <v>26</v>
      </c>
      <c r="H20" s="51" t="s">
        <v>26</v>
      </c>
      <c r="I20" s="51" t="s">
        <v>26</v>
      </c>
      <c r="J20" s="147">
        <v>7.88</v>
      </c>
      <c r="K20" s="51" t="s">
        <v>26</v>
      </c>
      <c r="L20" s="51">
        <v>7.75</v>
      </c>
      <c r="M20" s="85">
        <v>7.91</v>
      </c>
      <c r="N20" s="85">
        <v>7.59</v>
      </c>
      <c r="O20" s="24">
        <v>7.29</v>
      </c>
      <c r="P20" s="85">
        <v>8.05</v>
      </c>
      <c r="Q20" s="192">
        <f t="shared" si="1"/>
        <v>7.85</v>
      </c>
      <c r="R20" s="60" t="s">
        <v>161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1"/>
      <c r="C21" s="22">
        <v>3.0</v>
      </c>
      <c r="D21" s="124" t="s">
        <v>242</v>
      </c>
      <c r="E21" s="24">
        <v>8.1</v>
      </c>
      <c r="F21" s="24">
        <v>8.15</v>
      </c>
      <c r="G21" s="51" t="s">
        <v>26</v>
      </c>
      <c r="H21" s="51" t="s">
        <v>26</v>
      </c>
      <c r="I21" s="51" t="s">
        <v>26</v>
      </c>
      <c r="J21" s="24">
        <v>7.9</v>
      </c>
      <c r="K21" s="51" t="s">
        <v>26</v>
      </c>
      <c r="L21" s="51">
        <v>7.83</v>
      </c>
      <c r="M21" s="85">
        <v>7.94</v>
      </c>
      <c r="N21" s="85">
        <v>7.66</v>
      </c>
      <c r="O21" s="85">
        <v>7.81</v>
      </c>
      <c r="P21" s="85">
        <v>8.13</v>
      </c>
      <c r="Q21" s="192">
        <f t="shared" si="1"/>
        <v>7.94</v>
      </c>
      <c r="R21" s="60" t="s">
        <v>161</v>
      </c>
      <c r="S21" s="72"/>
      <c r="T21" s="72"/>
      <c r="U21" s="72"/>
      <c r="V21" s="72"/>
      <c r="W21" s="72"/>
      <c r="X21" s="72"/>
      <c r="Y21" s="72"/>
      <c r="Z21" s="72"/>
    </row>
    <row r="22" ht="16.5" customHeight="1">
      <c r="A22" s="20"/>
      <c r="B22" s="26"/>
      <c r="C22" s="22">
        <v>4.0</v>
      </c>
      <c r="D22" s="175" t="s">
        <v>243</v>
      </c>
      <c r="E22" s="85">
        <v>8.08</v>
      </c>
      <c r="F22" s="85">
        <v>8.01</v>
      </c>
      <c r="G22" s="51" t="s">
        <v>26</v>
      </c>
      <c r="H22" s="51" t="s">
        <v>26</v>
      </c>
      <c r="I22" s="51" t="s">
        <v>26</v>
      </c>
      <c r="J22" s="147">
        <v>7.93</v>
      </c>
      <c r="K22" s="51" t="s">
        <v>26</v>
      </c>
      <c r="L22" s="51">
        <v>7.9</v>
      </c>
      <c r="M22" s="85">
        <v>7.93</v>
      </c>
      <c r="N22" s="85">
        <v>7.09</v>
      </c>
      <c r="O22" s="85">
        <v>7.94</v>
      </c>
      <c r="P22" s="24">
        <v>8.2</v>
      </c>
      <c r="Q22" s="192">
        <f t="shared" si="1"/>
        <v>7.885</v>
      </c>
      <c r="R22" s="60" t="s">
        <v>161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15" t="s">
        <v>247</v>
      </c>
      <c r="C23" s="16">
        <v>1.0</v>
      </c>
      <c r="D23" s="242" t="s">
        <v>240</v>
      </c>
      <c r="E23" s="48" t="s">
        <v>26</v>
      </c>
      <c r="F23" s="18">
        <v>27.0</v>
      </c>
      <c r="G23" s="48" t="s">
        <v>26</v>
      </c>
      <c r="H23" s="48" t="s">
        <v>26</v>
      </c>
      <c r="I23" s="48" t="s">
        <v>26</v>
      </c>
      <c r="J23" s="18">
        <v>33.4</v>
      </c>
      <c r="K23" s="48" t="s">
        <v>26</v>
      </c>
      <c r="L23" s="48">
        <v>32.48</v>
      </c>
      <c r="M23" s="18">
        <v>30.8</v>
      </c>
      <c r="N23" s="18">
        <v>31.2</v>
      </c>
      <c r="O23" s="18">
        <v>28.5</v>
      </c>
      <c r="P23" s="18">
        <v>28.9</v>
      </c>
      <c r="Q23" s="190">
        <f t="shared" si="1"/>
        <v>30.32571429</v>
      </c>
      <c r="R23" s="18" t="s">
        <v>163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1"/>
      <c r="C24" s="22">
        <v>2.0</v>
      </c>
      <c r="D24" s="124" t="s">
        <v>241</v>
      </c>
      <c r="E24" s="51" t="s">
        <v>26</v>
      </c>
      <c r="F24" s="24">
        <v>27.06</v>
      </c>
      <c r="G24" s="51" t="s">
        <v>26</v>
      </c>
      <c r="H24" s="51" t="s">
        <v>26</v>
      </c>
      <c r="I24" s="51" t="s">
        <v>26</v>
      </c>
      <c r="J24" s="146">
        <v>33.53</v>
      </c>
      <c r="K24" s="51" t="s">
        <v>26</v>
      </c>
      <c r="L24" s="51">
        <v>32.6</v>
      </c>
      <c r="M24" s="24">
        <v>31.1</v>
      </c>
      <c r="N24" s="24">
        <v>31.5</v>
      </c>
      <c r="O24" s="85">
        <v>28.53</v>
      </c>
      <c r="P24" s="24">
        <v>30.0</v>
      </c>
      <c r="Q24" s="192">
        <f t="shared" si="1"/>
        <v>30.61714286</v>
      </c>
      <c r="R24" s="24" t="s">
        <v>163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21"/>
      <c r="C25" s="22">
        <v>3.0</v>
      </c>
      <c r="D25" s="124" t="s">
        <v>242</v>
      </c>
      <c r="E25" s="51" t="s">
        <v>26</v>
      </c>
      <c r="F25" s="24">
        <v>29.03</v>
      </c>
      <c r="G25" s="51" t="s">
        <v>26</v>
      </c>
      <c r="H25" s="51" t="s">
        <v>26</v>
      </c>
      <c r="I25" s="51" t="s">
        <v>26</v>
      </c>
      <c r="J25" s="146">
        <v>32.6</v>
      </c>
      <c r="K25" s="51" t="s">
        <v>26</v>
      </c>
      <c r="L25" s="51">
        <v>32.48</v>
      </c>
      <c r="M25" s="24">
        <v>31.03</v>
      </c>
      <c r="N25" s="24">
        <v>30.26</v>
      </c>
      <c r="O25" s="24">
        <v>29.4</v>
      </c>
      <c r="P25" s="24">
        <v>29.5</v>
      </c>
      <c r="Q25" s="192">
        <f t="shared" si="1"/>
        <v>30.61428571</v>
      </c>
      <c r="R25" s="24" t="s">
        <v>163</v>
      </c>
      <c r="S25" s="72"/>
      <c r="T25" s="72"/>
      <c r="U25" s="72"/>
      <c r="V25" s="72"/>
      <c r="W25" s="72"/>
      <c r="X25" s="72"/>
      <c r="Y25" s="72"/>
      <c r="Z25" s="72"/>
    </row>
    <row r="26" ht="16.5" customHeight="1">
      <c r="A26" s="20"/>
      <c r="B26" s="26"/>
      <c r="C26" s="22">
        <v>4.0</v>
      </c>
      <c r="D26" s="175" t="s">
        <v>243</v>
      </c>
      <c r="E26" s="51" t="s">
        <v>26</v>
      </c>
      <c r="F26" s="24">
        <v>27.8</v>
      </c>
      <c r="G26" s="51" t="s">
        <v>26</v>
      </c>
      <c r="H26" s="51" t="s">
        <v>26</v>
      </c>
      <c r="I26" s="51" t="s">
        <v>26</v>
      </c>
      <c r="J26" s="146">
        <v>33.4</v>
      </c>
      <c r="K26" s="51" t="s">
        <v>26</v>
      </c>
      <c r="L26" s="51">
        <v>32.3</v>
      </c>
      <c r="M26" s="24">
        <v>31.8</v>
      </c>
      <c r="N26" s="24">
        <v>29.0</v>
      </c>
      <c r="O26" s="24">
        <v>29.0</v>
      </c>
      <c r="P26" s="24">
        <v>30.7</v>
      </c>
      <c r="Q26" s="192">
        <f t="shared" si="1"/>
        <v>30.57142857</v>
      </c>
      <c r="R26" s="24" t="s">
        <v>163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15" t="s">
        <v>37</v>
      </c>
      <c r="C27" s="16">
        <v>1.0</v>
      </c>
      <c r="D27" s="242" t="s">
        <v>240</v>
      </c>
      <c r="E27" s="120">
        <v>5.0</v>
      </c>
      <c r="F27" s="27">
        <v>5.0</v>
      </c>
      <c r="G27" s="48" t="s">
        <v>26</v>
      </c>
      <c r="H27" s="48" t="s">
        <v>26</v>
      </c>
      <c r="I27" s="48" t="s">
        <v>26</v>
      </c>
      <c r="J27" s="120">
        <v>5.0</v>
      </c>
      <c r="K27" s="48" t="s">
        <v>26</v>
      </c>
      <c r="L27" s="55">
        <v>5.0</v>
      </c>
      <c r="M27" s="120">
        <v>5.0</v>
      </c>
      <c r="N27" s="120">
        <v>5.0</v>
      </c>
      <c r="O27" s="120">
        <v>10.0</v>
      </c>
      <c r="P27" s="120">
        <v>5.0</v>
      </c>
      <c r="Q27" s="194">
        <f t="shared" si="1"/>
        <v>5.625</v>
      </c>
      <c r="R27" s="27">
        <v>50.0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21"/>
      <c r="C28" s="22">
        <v>2.0</v>
      </c>
      <c r="D28" s="124" t="s">
        <v>241</v>
      </c>
      <c r="E28" s="85">
        <v>5.0</v>
      </c>
      <c r="F28" s="29">
        <v>5.0</v>
      </c>
      <c r="G28" s="51" t="s">
        <v>26</v>
      </c>
      <c r="H28" s="51" t="s">
        <v>26</v>
      </c>
      <c r="I28" s="51" t="s">
        <v>26</v>
      </c>
      <c r="J28" s="85">
        <v>10.0</v>
      </c>
      <c r="K28" s="51" t="s">
        <v>26</v>
      </c>
      <c r="L28" s="57">
        <v>5.0</v>
      </c>
      <c r="M28" s="85">
        <v>5.0</v>
      </c>
      <c r="N28" s="85">
        <v>5.0</v>
      </c>
      <c r="O28" s="85">
        <v>10.0</v>
      </c>
      <c r="P28" s="85">
        <v>5.0</v>
      </c>
      <c r="Q28" s="195">
        <f t="shared" si="1"/>
        <v>6.25</v>
      </c>
      <c r="R28" s="29">
        <v>50.0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3.0</v>
      </c>
      <c r="D29" s="124" t="s">
        <v>242</v>
      </c>
      <c r="E29" s="85">
        <v>5.0</v>
      </c>
      <c r="F29" s="29">
        <v>5.0</v>
      </c>
      <c r="G29" s="51" t="s">
        <v>26</v>
      </c>
      <c r="H29" s="51" t="s">
        <v>26</v>
      </c>
      <c r="I29" s="51" t="s">
        <v>26</v>
      </c>
      <c r="J29" s="29">
        <v>5.0</v>
      </c>
      <c r="K29" s="51" t="s">
        <v>26</v>
      </c>
      <c r="L29" s="57">
        <v>5.0</v>
      </c>
      <c r="M29" s="85">
        <v>5.0</v>
      </c>
      <c r="N29" s="85">
        <v>5.0</v>
      </c>
      <c r="O29" s="85">
        <v>5.0</v>
      </c>
      <c r="P29" s="85">
        <v>5.0</v>
      </c>
      <c r="Q29" s="195">
        <f t="shared" si="1"/>
        <v>5</v>
      </c>
      <c r="R29" s="29">
        <v>50.0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4.0</v>
      </c>
      <c r="D30" s="175" t="s">
        <v>243</v>
      </c>
      <c r="E30" s="85">
        <v>5.0</v>
      </c>
      <c r="F30" s="243">
        <v>3.0</v>
      </c>
      <c r="G30" s="51" t="s">
        <v>26</v>
      </c>
      <c r="H30" s="51" t="s">
        <v>26</v>
      </c>
      <c r="I30" s="51" t="s">
        <v>26</v>
      </c>
      <c r="J30" s="85">
        <v>5.0</v>
      </c>
      <c r="K30" s="51" t="s">
        <v>26</v>
      </c>
      <c r="L30" s="57">
        <v>3.0</v>
      </c>
      <c r="M30" s="85">
        <v>5.0</v>
      </c>
      <c r="N30" s="85">
        <v>5.0</v>
      </c>
      <c r="O30" s="85">
        <v>5.0</v>
      </c>
      <c r="P30" s="85">
        <v>5.0</v>
      </c>
      <c r="Q30" s="195">
        <f t="shared" si="1"/>
        <v>4.5</v>
      </c>
      <c r="R30" s="29">
        <v>50.0</v>
      </c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"/>
      <c r="B31" s="15" t="s">
        <v>38</v>
      </c>
      <c r="C31" s="16">
        <v>1.0</v>
      </c>
      <c r="D31" s="242" t="s">
        <v>240</v>
      </c>
      <c r="E31" s="110" t="s">
        <v>217</v>
      </c>
      <c r="F31" s="110">
        <v>92000.0</v>
      </c>
      <c r="G31" s="48" t="s">
        <v>26</v>
      </c>
      <c r="H31" s="48" t="s">
        <v>26</v>
      </c>
      <c r="I31" s="48" t="s">
        <v>26</v>
      </c>
      <c r="J31" s="32">
        <v>16000.0</v>
      </c>
      <c r="K31" s="48" t="s">
        <v>26</v>
      </c>
      <c r="L31" s="110" t="s">
        <v>217</v>
      </c>
      <c r="M31" s="31">
        <v>9200.0</v>
      </c>
      <c r="N31" s="31">
        <v>9300.0</v>
      </c>
      <c r="O31" s="31">
        <v>9200.0</v>
      </c>
      <c r="P31" s="31">
        <v>7000.0</v>
      </c>
      <c r="Q31" s="207">
        <f>GEOMEAN(1600,F31,G31,H31,I31,J31,K31,1600,M31,N31,O31,P31)</f>
        <v>8216.049598</v>
      </c>
      <c r="R31" s="17">
        <v>100.0</v>
      </c>
      <c r="S31" s="121">
        <f>AVERAGE(Q31:Q34)</f>
        <v>6738.43751</v>
      </c>
      <c r="T31" s="72"/>
      <c r="U31" s="72"/>
      <c r="V31" s="72"/>
      <c r="W31" s="72"/>
      <c r="X31" s="72"/>
      <c r="Y31" s="72"/>
      <c r="Z31" s="72"/>
    </row>
    <row r="32" ht="15.75" customHeight="1">
      <c r="A32" s="20"/>
      <c r="B32" s="21"/>
      <c r="C32" s="22">
        <v>2.0</v>
      </c>
      <c r="D32" s="124" t="s">
        <v>241</v>
      </c>
      <c r="E32" s="111">
        <v>2400.0</v>
      </c>
      <c r="F32" s="111">
        <v>11000.0</v>
      </c>
      <c r="G32" s="51" t="s">
        <v>26</v>
      </c>
      <c r="H32" s="51" t="s">
        <v>26</v>
      </c>
      <c r="I32" s="51" t="s">
        <v>26</v>
      </c>
      <c r="J32" s="36">
        <v>2800.0</v>
      </c>
      <c r="K32" s="51" t="s">
        <v>26</v>
      </c>
      <c r="L32" s="66">
        <v>35000.0</v>
      </c>
      <c r="M32" s="35">
        <v>490000.0</v>
      </c>
      <c r="N32" s="35">
        <v>17000.0</v>
      </c>
      <c r="O32" s="35">
        <v>16000.0</v>
      </c>
      <c r="P32" s="35">
        <v>5400.0</v>
      </c>
      <c r="Q32" s="209">
        <f t="shared" ref="Q32:Q34" si="2">GEOMEAN(E32,F32,G32,H32,I32,J32,K32,L32,M32,N32,O32,P32)</f>
        <v>14412.80774</v>
      </c>
      <c r="R32" s="23">
        <v>100.0</v>
      </c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"/>
      <c r="B33" s="21"/>
      <c r="C33" s="22">
        <v>3.0</v>
      </c>
      <c r="D33" s="124" t="s">
        <v>242</v>
      </c>
      <c r="E33" s="111">
        <v>5400.0</v>
      </c>
      <c r="F33" s="111">
        <v>790.0</v>
      </c>
      <c r="G33" s="51" t="s">
        <v>26</v>
      </c>
      <c r="H33" s="51" t="s">
        <v>26</v>
      </c>
      <c r="I33" s="51" t="s">
        <v>26</v>
      </c>
      <c r="J33" s="36">
        <v>16000.0</v>
      </c>
      <c r="K33" s="51" t="s">
        <v>26</v>
      </c>
      <c r="L33" s="57">
        <v>540.0</v>
      </c>
      <c r="M33" s="35">
        <v>22000.0</v>
      </c>
      <c r="N33" s="35">
        <v>4600.0</v>
      </c>
      <c r="O33" s="35">
        <v>230.0</v>
      </c>
      <c r="P33" s="35">
        <v>5400.0</v>
      </c>
      <c r="Q33" s="209">
        <f t="shared" si="2"/>
        <v>2872.298608</v>
      </c>
      <c r="R33" s="23">
        <v>100.0</v>
      </c>
      <c r="S33" s="72"/>
      <c r="T33" s="72"/>
      <c r="U33" s="72"/>
      <c r="V33" s="72"/>
      <c r="W33" s="72"/>
      <c r="X33" s="72"/>
      <c r="Y33" s="72"/>
      <c r="Z33" s="72"/>
    </row>
    <row r="34" ht="16.5" customHeight="1">
      <c r="A34" s="20"/>
      <c r="B34" s="26"/>
      <c r="C34" s="22">
        <v>4.0</v>
      </c>
      <c r="D34" s="175" t="s">
        <v>243</v>
      </c>
      <c r="E34" s="244">
        <v>16000.0</v>
      </c>
      <c r="F34" s="244">
        <v>490.0</v>
      </c>
      <c r="G34" s="51" t="s">
        <v>26</v>
      </c>
      <c r="H34" s="51" t="s">
        <v>26</v>
      </c>
      <c r="I34" s="51" t="s">
        <v>26</v>
      </c>
      <c r="J34" s="36">
        <v>1100.0</v>
      </c>
      <c r="K34" s="51" t="s">
        <v>26</v>
      </c>
      <c r="L34" s="57">
        <v>79.0</v>
      </c>
      <c r="M34" s="35">
        <v>25000.0</v>
      </c>
      <c r="N34" s="35">
        <v>22000.0</v>
      </c>
      <c r="O34" s="85">
        <v>230.0</v>
      </c>
      <c r="P34" s="85">
        <v>230.0</v>
      </c>
      <c r="Q34" s="209">
        <f t="shared" si="2"/>
        <v>1452.594097</v>
      </c>
      <c r="R34" s="23">
        <v>100.0</v>
      </c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"/>
      <c r="B35" s="15" t="s">
        <v>248</v>
      </c>
      <c r="C35" s="16">
        <v>1.0</v>
      </c>
      <c r="D35" s="242" t="s">
        <v>240</v>
      </c>
      <c r="E35" s="39">
        <v>0.172</v>
      </c>
      <c r="F35" s="120">
        <v>0.224</v>
      </c>
      <c r="G35" s="48" t="s">
        <v>26</v>
      </c>
      <c r="H35" s="48" t="s">
        <v>26</v>
      </c>
      <c r="I35" s="48" t="s">
        <v>26</v>
      </c>
      <c r="J35" s="120" t="s">
        <v>40</v>
      </c>
      <c r="K35" s="48" t="s">
        <v>26</v>
      </c>
      <c r="L35" s="120" t="s">
        <v>40</v>
      </c>
      <c r="M35" s="120">
        <v>0.097</v>
      </c>
      <c r="N35" s="120">
        <v>1.508</v>
      </c>
      <c r="O35" s="39">
        <v>0.443</v>
      </c>
      <c r="P35" s="120" t="s">
        <v>40</v>
      </c>
      <c r="Q35" s="198">
        <f>AVERAGE(E35,F35,G35,H35,I35,0.045,K35,L35,0.045,N35,O35,P35)</f>
        <v>0.4061666667</v>
      </c>
      <c r="R35" s="17">
        <v>10.0</v>
      </c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"/>
      <c r="B36" s="21"/>
      <c r="C36" s="22">
        <v>2.0</v>
      </c>
      <c r="D36" s="124" t="s">
        <v>241</v>
      </c>
      <c r="E36" s="85">
        <v>0.241</v>
      </c>
      <c r="F36" s="85">
        <v>0.265</v>
      </c>
      <c r="G36" s="51" t="s">
        <v>26</v>
      </c>
      <c r="H36" s="51" t="s">
        <v>26</v>
      </c>
      <c r="I36" s="51" t="s">
        <v>26</v>
      </c>
      <c r="J36" s="85">
        <v>0.214</v>
      </c>
      <c r="K36" s="51" t="s">
        <v>26</v>
      </c>
      <c r="L36" s="73">
        <v>0.161</v>
      </c>
      <c r="M36" s="85">
        <v>0.179</v>
      </c>
      <c r="N36" s="85">
        <v>0.932</v>
      </c>
      <c r="O36" s="85">
        <v>0.343</v>
      </c>
      <c r="P36" s="85">
        <v>0.196</v>
      </c>
      <c r="Q36" s="200">
        <f>AVERAGE(E36,F36,G36,H36,I36,0.045,K36,L36,M36,N36,O36,P36)</f>
        <v>0.29525</v>
      </c>
      <c r="R36" s="23">
        <v>10.0</v>
      </c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0"/>
      <c r="B37" s="21"/>
      <c r="C37" s="22">
        <v>3.0</v>
      </c>
      <c r="D37" s="124" t="s">
        <v>242</v>
      </c>
      <c r="E37" s="85">
        <v>1.019</v>
      </c>
      <c r="F37" s="85">
        <v>0.055</v>
      </c>
      <c r="G37" s="51" t="s">
        <v>26</v>
      </c>
      <c r="H37" s="51" t="s">
        <v>26</v>
      </c>
      <c r="I37" s="51" t="s">
        <v>26</v>
      </c>
      <c r="J37" s="85" t="s">
        <v>40</v>
      </c>
      <c r="K37" s="51" t="s">
        <v>26</v>
      </c>
      <c r="L37" s="85" t="s">
        <v>40</v>
      </c>
      <c r="M37" s="41">
        <v>0.09</v>
      </c>
      <c r="N37" s="85">
        <v>1.767</v>
      </c>
      <c r="O37" s="85" t="s">
        <v>40</v>
      </c>
      <c r="P37" s="85" t="s">
        <v>40</v>
      </c>
      <c r="Q37" s="200">
        <f>AVERAGE(E37,F37,G37,H37,I37,0.045,K37,L37,0.045,N37,O37,P37)</f>
        <v>0.5862</v>
      </c>
      <c r="R37" s="23">
        <v>10.0</v>
      </c>
      <c r="S37" s="72"/>
      <c r="T37" s="72"/>
      <c r="U37" s="72"/>
      <c r="V37" s="72"/>
      <c r="W37" s="72"/>
      <c r="X37" s="72"/>
      <c r="Y37" s="72"/>
      <c r="Z37" s="72"/>
    </row>
    <row r="38" ht="16.5" customHeight="1">
      <c r="A38" s="20"/>
      <c r="B38" s="26"/>
      <c r="C38" s="22">
        <v>4.0</v>
      </c>
      <c r="D38" s="175" t="s">
        <v>243</v>
      </c>
      <c r="E38" s="85">
        <v>0.945</v>
      </c>
      <c r="F38" s="85">
        <v>0.077</v>
      </c>
      <c r="G38" s="51" t="s">
        <v>26</v>
      </c>
      <c r="H38" s="51" t="s">
        <v>26</v>
      </c>
      <c r="I38" s="51" t="s">
        <v>26</v>
      </c>
      <c r="J38" s="85" t="s">
        <v>40</v>
      </c>
      <c r="K38" s="51" t="s">
        <v>26</v>
      </c>
      <c r="L38" s="73">
        <v>0.057</v>
      </c>
      <c r="M38" s="85">
        <v>0.124</v>
      </c>
      <c r="N38" s="85">
        <v>0.606</v>
      </c>
      <c r="O38" s="41" t="s">
        <v>40</v>
      </c>
      <c r="P38" s="85" t="s">
        <v>40</v>
      </c>
      <c r="Q38" s="200">
        <f>AVERAGE(E38,F38,G38,H38,I38,0.045,K38,L38,M38,N38,O38,P38)</f>
        <v>0.309</v>
      </c>
      <c r="R38" s="23">
        <v>10.0</v>
      </c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"/>
      <c r="B39" s="15" t="s">
        <v>249</v>
      </c>
      <c r="C39" s="16">
        <v>1.0</v>
      </c>
      <c r="D39" s="242" t="s">
        <v>240</v>
      </c>
      <c r="E39" s="120">
        <v>0.088</v>
      </c>
      <c r="F39" s="39">
        <v>0.113</v>
      </c>
      <c r="G39" s="48" t="s">
        <v>26</v>
      </c>
      <c r="H39" s="48" t="s">
        <v>26</v>
      </c>
      <c r="I39" s="48" t="s">
        <v>26</v>
      </c>
      <c r="J39" s="120" t="s">
        <v>230</v>
      </c>
      <c r="K39" s="48" t="s">
        <v>26</v>
      </c>
      <c r="L39" s="48">
        <v>0.086</v>
      </c>
      <c r="M39" s="120">
        <v>0.126</v>
      </c>
      <c r="N39" s="120">
        <v>0.492</v>
      </c>
      <c r="O39" s="39">
        <v>0.324</v>
      </c>
      <c r="P39" s="120">
        <v>0.083</v>
      </c>
      <c r="Q39" s="198">
        <f t="shared" ref="Q39:Q42" si="3">AVERAGE(E39,F39,G39,H39,I39,0.017,K39,L39,M39,N39,O39,P39)</f>
        <v>0.166125</v>
      </c>
      <c r="R39" s="17">
        <v>0.5</v>
      </c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0"/>
      <c r="B40" s="21"/>
      <c r="C40" s="22">
        <v>2.0</v>
      </c>
      <c r="D40" s="124" t="s">
        <v>241</v>
      </c>
      <c r="E40" s="85">
        <v>0.098</v>
      </c>
      <c r="F40" s="85">
        <v>0.128</v>
      </c>
      <c r="G40" s="51" t="s">
        <v>26</v>
      </c>
      <c r="H40" s="51" t="s">
        <v>26</v>
      </c>
      <c r="I40" s="51" t="s">
        <v>26</v>
      </c>
      <c r="J40" s="85" t="s">
        <v>230</v>
      </c>
      <c r="K40" s="51" t="s">
        <v>26</v>
      </c>
      <c r="L40" s="51">
        <v>0.088</v>
      </c>
      <c r="M40" s="41">
        <v>0.165</v>
      </c>
      <c r="N40" s="85">
        <v>0.285</v>
      </c>
      <c r="O40" s="85">
        <v>0.174</v>
      </c>
      <c r="P40" s="85">
        <v>0.107</v>
      </c>
      <c r="Q40" s="200">
        <f t="shared" si="3"/>
        <v>0.13275</v>
      </c>
      <c r="R40" s="23">
        <v>0.5</v>
      </c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0"/>
      <c r="B41" s="21"/>
      <c r="C41" s="22">
        <v>3.0</v>
      </c>
      <c r="D41" s="124" t="s">
        <v>242</v>
      </c>
      <c r="E41" s="41">
        <v>0.08</v>
      </c>
      <c r="F41" s="41">
        <v>0.046</v>
      </c>
      <c r="G41" s="51" t="s">
        <v>26</v>
      </c>
      <c r="H41" s="51" t="s">
        <v>26</v>
      </c>
      <c r="I41" s="51" t="s">
        <v>26</v>
      </c>
      <c r="J41" s="41" t="s">
        <v>230</v>
      </c>
      <c r="K41" s="51" t="s">
        <v>26</v>
      </c>
      <c r="L41" s="51">
        <v>0.081</v>
      </c>
      <c r="M41" s="85">
        <v>0.166</v>
      </c>
      <c r="N41" s="85">
        <v>0.408</v>
      </c>
      <c r="O41" s="85">
        <v>0.078</v>
      </c>
      <c r="P41" s="85">
        <v>0.033</v>
      </c>
      <c r="Q41" s="200">
        <f t="shared" si="3"/>
        <v>0.113625</v>
      </c>
      <c r="R41" s="23">
        <v>0.5</v>
      </c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0"/>
      <c r="B42" s="26"/>
      <c r="C42" s="22">
        <v>4.0</v>
      </c>
      <c r="D42" s="175" t="s">
        <v>243</v>
      </c>
      <c r="E42" s="85">
        <v>0.121</v>
      </c>
      <c r="F42" s="85">
        <v>0.039</v>
      </c>
      <c r="G42" s="51" t="s">
        <v>26</v>
      </c>
      <c r="H42" s="51" t="s">
        <v>26</v>
      </c>
      <c r="I42" s="51" t="s">
        <v>26</v>
      </c>
      <c r="J42" s="85" t="s">
        <v>230</v>
      </c>
      <c r="K42" s="51" t="s">
        <v>26</v>
      </c>
      <c r="L42" s="51">
        <v>0.044</v>
      </c>
      <c r="M42" s="85">
        <v>0.078</v>
      </c>
      <c r="N42" s="85">
        <v>0.385</v>
      </c>
      <c r="O42" s="41">
        <v>0.061</v>
      </c>
      <c r="P42" s="85">
        <v>0.044</v>
      </c>
      <c r="Q42" s="200">
        <f t="shared" si="3"/>
        <v>0.098625</v>
      </c>
      <c r="R42" s="23">
        <v>0.5</v>
      </c>
      <c r="S42" s="72"/>
      <c r="T42" s="72"/>
      <c r="U42" s="72"/>
      <c r="V42" s="72"/>
      <c r="W42" s="72"/>
      <c r="X42" s="72"/>
      <c r="Y42" s="72"/>
      <c r="Z42" s="72"/>
    </row>
    <row r="43" ht="15.75" hidden="1" customHeight="1">
      <c r="A43" s="20"/>
      <c r="B43" s="15" t="s">
        <v>42</v>
      </c>
      <c r="C43" s="16">
        <v>1.0</v>
      </c>
      <c r="D43" s="242" t="s">
        <v>240</v>
      </c>
      <c r="E43" s="201"/>
      <c r="F43" s="201"/>
      <c r="G43" s="201"/>
      <c r="H43" s="120">
        <v>0.066</v>
      </c>
      <c r="I43" s="201"/>
      <c r="J43" s="201"/>
      <c r="K43" s="201"/>
      <c r="L43" s="201"/>
      <c r="M43" s="201"/>
      <c r="N43" s="201"/>
      <c r="O43" s="201"/>
      <c r="P43" s="201"/>
      <c r="Q43" s="190">
        <f t="shared" ref="Q43:Q46" si="4">AVERAGE(E43,F43,G43,H43,I43,J43,K43,L43,M43,N43,O43,P43)</f>
        <v>0.066</v>
      </c>
      <c r="R43" s="72"/>
      <c r="S43" s="72"/>
      <c r="T43" s="72"/>
      <c r="U43" s="72"/>
      <c r="V43" s="72"/>
      <c r="W43" s="72"/>
      <c r="X43" s="72"/>
      <c r="Y43" s="72"/>
      <c r="Z43" s="72"/>
    </row>
    <row r="44" ht="15.75" hidden="1" customHeight="1">
      <c r="A44" s="20"/>
      <c r="B44" s="21"/>
      <c r="C44" s="22">
        <v>2.0</v>
      </c>
      <c r="D44" s="124" t="s">
        <v>241</v>
      </c>
      <c r="E44" s="20"/>
      <c r="F44" s="20"/>
      <c r="G44" s="20"/>
      <c r="H44" s="85">
        <v>0.099</v>
      </c>
      <c r="I44" s="20"/>
      <c r="J44" s="20"/>
      <c r="K44" s="20"/>
      <c r="L44" s="20"/>
      <c r="M44" s="20"/>
      <c r="N44" s="20"/>
      <c r="O44" s="20"/>
      <c r="P44" s="20"/>
      <c r="Q44" s="192">
        <f t="shared" si="4"/>
        <v>0.099</v>
      </c>
      <c r="R44" s="72"/>
      <c r="S44" s="72"/>
      <c r="T44" s="72"/>
      <c r="U44" s="72"/>
      <c r="V44" s="72"/>
      <c r="W44" s="72"/>
      <c r="X44" s="72"/>
      <c r="Y44" s="72"/>
      <c r="Z44" s="72"/>
    </row>
    <row r="45" ht="15.75" hidden="1" customHeight="1">
      <c r="A45" s="20"/>
      <c r="B45" s="21"/>
      <c r="C45" s="22">
        <v>3.0</v>
      </c>
      <c r="D45" s="124" t="s">
        <v>245</v>
      </c>
      <c r="E45" s="20"/>
      <c r="F45" s="20"/>
      <c r="G45" s="20"/>
      <c r="H45" s="85">
        <v>0.031</v>
      </c>
      <c r="I45" s="20"/>
      <c r="J45" s="20"/>
      <c r="K45" s="20"/>
      <c r="L45" s="20"/>
      <c r="M45" s="20"/>
      <c r="N45" s="20"/>
      <c r="O45" s="20"/>
      <c r="P45" s="20"/>
      <c r="Q45" s="192">
        <f t="shared" si="4"/>
        <v>0.031</v>
      </c>
      <c r="R45" s="72"/>
      <c r="S45" s="72"/>
      <c r="T45" s="72"/>
      <c r="U45" s="72"/>
      <c r="V45" s="72"/>
      <c r="W45" s="72"/>
      <c r="X45" s="72"/>
      <c r="Y45" s="72"/>
      <c r="Z45" s="72"/>
    </row>
    <row r="46" ht="15.75" hidden="1" customHeight="1">
      <c r="A46" s="20"/>
      <c r="B46" s="26"/>
      <c r="C46" s="22">
        <v>4.0</v>
      </c>
      <c r="D46" s="175" t="s">
        <v>246</v>
      </c>
      <c r="E46" s="20"/>
      <c r="F46" s="20"/>
      <c r="G46" s="20"/>
      <c r="H46" s="85">
        <v>0.064</v>
      </c>
      <c r="I46" s="20"/>
      <c r="J46" s="20"/>
      <c r="K46" s="20"/>
      <c r="L46" s="20"/>
      <c r="M46" s="20"/>
      <c r="N46" s="20"/>
      <c r="O46" s="20"/>
      <c r="P46" s="20"/>
      <c r="Q46" s="192">
        <f t="shared" si="4"/>
        <v>0.064</v>
      </c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127"/>
      <c r="O47" s="127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91" t="s">
        <v>43</v>
      </c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127"/>
      <c r="O48" s="127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127"/>
      <c r="O49" s="127"/>
      <c r="P49" s="127"/>
      <c r="S49" s="72"/>
      <c r="T49" s="72"/>
      <c r="U49" s="72"/>
      <c r="V49" s="72"/>
      <c r="W49" s="72"/>
      <c r="X49" s="72"/>
      <c r="Y49" s="72"/>
      <c r="Z49" s="72"/>
    </row>
    <row r="50" ht="15.0" customHeight="1">
      <c r="A50" s="126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127"/>
      <c r="O50" s="127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127"/>
      <c r="O51" s="127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127"/>
      <c r="O52" s="127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127"/>
      <c r="O53" s="127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127"/>
      <c r="O54" s="127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127"/>
      <c r="O55" s="127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127"/>
      <c r="O56" s="127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127"/>
      <c r="O57" s="127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127"/>
      <c r="O58" s="127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127"/>
      <c r="O59" s="127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127"/>
      <c r="O60" s="127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127"/>
      <c r="O61" s="127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127"/>
      <c r="O62" s="127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127"/>
      <c r="O63" s="127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127"/>
      <c r="O64" s="127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127"/>
      <c r="O65" s="127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127"/>
      <c r="O66" s="127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127"/>
      <c r="O67" s="127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127"/>
      <c r="O68" s="127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127"/>
      <c r="O69" s="127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127"/>
      <c r="O70" s="127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127"/>
      <c r="O71" s="127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127"/>
      <c r="O72" s="127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127"/>
      <c r="O73" s="127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127"/>
      <c r="O74" s="127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127"/>
      <c r="O75" s="127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127"/>
      <c r="O76" s="127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127"/>
      <c r="O77" s="127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127"/>
      <c r="O78" s="127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127"/>
      <c r="O79" s="127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127"/>
      <c r="O80" s="127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127"/>
      <c r="O81" s="127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127"/>
      <c r="O82" s="127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127"/>
      <c r="O83" s="127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127"/>
      <c r="O84" s="127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127"/>
      <c r="O85" s="127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127"/>
      <c r="O86" s="127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127"/>
      <c r="O87" s="127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127"/>
      <c r="O88" s="127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127"/>
      <c r="O89" s="127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127"/>
      <c r="O90" s="127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127"/>
      <c r="O91" s="127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127"/>
      <c r="O92" s="127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127"/>
      <c r="O93" s="127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127"/>
      <c r="O94" s="127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127"/>
      <c r="O95" s="127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127"/>
      <c r="O96" s="127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127"/>
      <c r="O97" s="127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127"/>
      <c r="O98" s="127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127"/>
      <c r="O99" s="127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127"/>
      <c r="O100" s="127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127"/>
      <c r="O101" s="127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127"/>
      <c r="O102" s="127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127"/>
      <c r="O103" s="127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127"/>
      <c r="O104" s="127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127"/>
      <c r="O105" s="127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127"/>
      <c r="O106" s="127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127"/>
      <c r="O107" s="127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127"/>
      <c r="O108" s="127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127"/>
      <c r="O109" s="127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127"/>
      <c r="O110" s="127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127"/>
      <c r="O111" s="127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127"/>
      <c r="O112" s="127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127"/>
      <c r="O113" s="127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127"/>
      <c r="O114" s="127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127"/>
      <c r="O115" s="127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127"/>
      <c r="O116" s="127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127"/>
      <c r="O117" s="127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127"/>
      <c r="O118" s="127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127"/>
      <c r="O119" s="127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127"/>
      <c r="O120" s="127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127"/>
      <c r="O121" s="127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127"/>
      <c r="O122" s="127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127"/>
      <c r="O123" s="127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127"/>
      <c r="O124" s="127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127"/>
      <c r="O125" s="127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127"/>
      <c r="O126" s="127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127"/>
      <c r="O127" s="127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127"/>
      <c r="O128" s="127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127"/>
      <c r="O129" s="127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127"/>
      <c r="O130" s="127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127"/>
      <c r="O131" s="127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127"/>
      <c r="O132" s="127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127"/>
      <c r="O133" s="127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127"/>
      <c r="O134" s="127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127"/>
      <c r="O135" s="127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127"/>
      <c r="O136" s="127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127"/>
      <c r="O137" s="127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127"/>
      <c r="O138" s="127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127"/>
      <c r="O139" s="127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127"/>
      <c r="O140" s="127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127"/>
      <c r="O141" s="127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127"/>
      <c r="O142" s="127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127"/>
      <c r="O143" s="127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127"/>
      <c r="O144" s="127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127"/>
      <c r="O145" s="127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127"/>
      <c r="O146" s="127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127"/>
      <c r="O147" s="127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127"/>
      <c r="O148" s="127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127"/>
      <c r="O149" s="127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127"/>
      <c r="O150" s="127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127"/>
      <c r="O151" s="127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127"/>
      <c r="O152" s="127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127"/>
      <c r="O153" s="127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127"/>
      <c r="O154" s="127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127"/>
      <c r="O155" s="127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127"/>
      <c r="O156" s="127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127"/>
      <c r="O157" s="127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127"/>
      <c r="O158" s="127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127"/>
      <c r="O159" s="127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127"/>
      <c r="O160" s="127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127"/>
      <c r="O161" s="127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127"/>
      <c r="O162" s="127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127"/>
      <c r="O163" s="127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127"/>
      <c r="O164" s="127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127"/>
      <c r="O165" s="127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127"/>
      <c r="O166" s="127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127"/>
      <c r="O167" s="127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127"/>
      <c r="O168" s="127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127"/>
      <c r="O169" s="127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127"/>
      <c r="O170" s="127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127"/>
      <c r="O171" s="127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127"/>
      <c r="O172" s="127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127"/>
      <c r="O173" s="127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127"/>
      <c r="O174" s="127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127"/>
      <c r="O175" s="127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127"/>
      <c r="O176" s="127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127"/>
      <c r="O177" s="127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127"/>
      <c r="O178" s="127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127"/>
      <c r="O179" s="127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127"/>
      <c r="O180" s="127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127"/>
      <c r="O181" s="127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127"/>
      <c r="O182" s="127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127"/>
      <c r="O183" s="127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127"/>
      <c r="O184" s="127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127"/>
      <c r="O185" s="127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127"/>
      <c r="O186" s="127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127"/>
      <c r="O187" s="127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127"/>
      <c r="O188" s="127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127"/>
      <c r="O189" s="127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127"/>
      <c r="O190" s="127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127"/>
      <c r="O191" s="127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127"/>
      <c r="O192" s="127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127"/>
      <c r="O193" s="127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127"/>
      <c r="O194" s="127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127"/>
      <c r="O195" s="127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127"/>
      <c r="O196" s="127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127"/>
      <c r="O197" s="127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127"/>
      <c r="O198" s="127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127"/>
      <c r="O199" s="127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127"/>
      <c r="O200" s="127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127"/>
      <c r="O201" s="127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127"/>
      <c r="O202" s="127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127"/>
      <c r="O203" s="127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127"/>
      <c r="O204" s="127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127"/>
      <c r="O205" s="127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127"/>
      <c r="O206" s="127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127"/>
      <c r="O207" s="127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127"/>
      <c r="O208" s="127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127"/>
      <c r="O209" s="127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127"/>
      <c r="O210" s="127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127"/>
      <c r="O211" s="127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127"/>
      <c r="O212" s="127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127"/>
      <c r="O213" s="127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127"/>
      <c r="O214" s="127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127"/>
      <c r="O215" s="127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127"/>
      <c r="O216" s="127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127"/>
      <c r="O217" s="127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127"/>
      <c r="O218" s="127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127"/>
      <c r="O219" s="127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127"/>
      <c r="O220" s="127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127"/>
      <c r="O221" s="127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127"/>
      <c r="O222" s="127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127"/>
      <c r="O223" s="127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127"/>
      <c r="O224" s="127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127"/>
      <c r="O225" s="127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127"/>
      <c r="O226" s="127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127"/>
      <c r="O227" s="127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127"/>
      <c r="O228" s="127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127"/>
      <c r="O229" s="127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127"/>
      <c r="O230" s="127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127"/>
      <c r="O231" s="127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127"/>
      <c r="O232" s="127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127"/>
      <c r="O233" s="127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127"/>
      <c r="O234" s="127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127"/>
      <c r="O235" s="127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127"/>
      <c r="O236" s="127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127"/>
      <c r="O237" s="127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127"/>
      <c r="O238" s="127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127"/>
      <c r="O239" s="127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127"/>
      <c r="O240" s="127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127"/>
      <c r="O241" s="127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127"/>
      <c r="O242" s="127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127"/>
      <c r="O243" s="127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127"/>
      <c r="O244" s="127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127"/>
      <c r="O245" s="127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127"/>
      <c r="O246" s="127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127"/>
      <c r="O247" s="127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127"/>
      <c r="O248" s="127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127"/>
      <c r="O249" s="127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127"/>
      <c r="O250" s="127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127"/>
      <c r="O251" s="127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127"/>
      <c r="O252" s="127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127"/>
      <c r="O253" s="127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127"/>
      <c r="O254" s="127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127"/>
      <c r="O255" s="127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127"/>
      <c r="O256" s="127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127"/>
      <c r="O257" s="127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127"/>
      <c r="O258" s="127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127"/>
      <c r="O259" s="127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127"/>
      <c r="O260" s="127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127"/>
      <c r="O261" s="127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127"/>
      <c r="O262" s="127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127"/>
      <c r="O263" s="127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127"/>
      <c r="O264" s="127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127"/>
      <c r="O265" s="127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127"/>
      <c r="O266" s="127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127"/>
      <c r="O267" s="127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127"/>
      <c r="O268" s="127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127"/>
      <c r="O269" s="127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127"/>
      <c r="O270" s="127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127"/>
      <c r="O271" s="127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127"/>
      <c r="O272" s="127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127"/>
      <c r="O273" s="127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127"/>
      <c r="O274" s="127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127"/>
      <c r="O275" s="127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127"/>
      <c r="O276" s="127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127"/>
      <c r="O277" s="127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127"/>
      <c r="O278" s="127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127"/>
      <c r="O279" s="127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127"/>
      <c r="O280" s="127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127"/>
      <c r="O281" s="127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127"/>
      <c r="O282" s="127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127"/>
      <c r="O283" s="127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127"/>
      <c r="O284" s="127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127"/>
      <c r="O285" s="127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127"/>
      <c r="O286" s="127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127"/>
      <c r="O287" s="127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127"/>
      <c r="O288" s="127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127"/>
      <c r="O289" s="127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127"/>
      <c r="O290" s="127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127"/>
      <c r="O291" s="127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127"/>
      <c r="O292" s="127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127"/>
      <c r="O293" s="127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127"/>
      <c r="O294" s="127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127"/>
      <c r="O295" s="127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127"/>
      <c r="O296" s="127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127"/>
      <c r="O297" s="127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127"/>
      <c r="O298" s="127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127"/>
      <c r="O299" s="127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127"/>
      <c r="O300" s="127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127"/>
      <c r="O301" s="127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127"/>
      <c r="O302" s="127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127"/>
      <c r="O303" s="127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127"/>
      <c r="O304" s="127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127"/>
      <c r="O305" s="127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127"/>
      <c r="O306" s="127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127"/>
      <c r="O307" s="127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127"/>
      <c r="O308" s="127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127"/>
      <c r="O309" s="127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127"/>
      <c r="O310" s="127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127"/>
      <c r="O311" s="127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127"/>
      <c r="O312" s="127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127"/>
      <c r="O313" s="127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127"/>
      <c r="O314" s="127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127"/>
      <c r="O315" s="127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127"/>
      <c r="O316" s="127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127"/>
      <c r="O317" s="127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127"/>
      <c r="O318" s="127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127"/>
      <c r="O319" s="127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127"/>
      <c r="O320" s="127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127"/>
      <c r="O321" s="127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127"/>
      <c r="O322" s="127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127"/>
      <c r="O323" s="127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127"/>
      <c r="O324" s="127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127"/>
      <c r="O325" s="127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127"/>
      <c r="O326" s="127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127"/>
      <c r="O327" s="127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127"/>
      <c r="O328" s="127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127"/>
      <c r="O329" s="127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127"/>
      <c r="O330" s="127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127"/>
      <c r="O331" s="127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127"/>
      <c r="O332" s="127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127"/>
      <c r="O333" s="127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127"/>
      <c r="O334" s="127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127"/>
      <c r="O335" s="127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127"/>
      <c r="O336" s="127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127"/>
      <c r="O337" s="127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127"/>
      <c r="O338" s="127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127"/>
      <c r="O339" s="127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127"/>
      <c r="O340" s="127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127"/>
      <c r="O341" s="127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127"/>
      <c r="O342" s="127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127"/>
      <c r="O343" s="127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127"/>
      <c r="O344" s="127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127"/>
      <c r="O345" s="127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127"/>
      <c r="O346" s="127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127"/>
      <c r="O347" s="127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127"/>
      <c r="O348" s="127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127"/>
      <c r="O349" s="127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127"/>
      <c r="O350" s="127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127"/>
      <c r="O351" s="127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127"/>
      <c r="O352" s="127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127"/>
      <c r="O353" s="127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127"/>
      <c r="O354" s="127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127"/>
      <c r="O355" s="127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127"/>
      <c r="O356" s="127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127"/>
      <c r="O357" s="127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127"/>
      <c r="O358" s="127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127"/>
      <c r="O359" s="127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127"/>
      <c r="O360" s="127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127"/>
      <c r="O361" s="127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127"/>
      <c r="O362" s="127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127"/>
      <c r="O363" s="127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127"/>
      <c r="O364" s="127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127"/>
      <c r="O365" s="127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127"/>
      <c r="O366" s="127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127"/>
      <c r="O367" s="127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127"/>
      <c r="O368" s="127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127"/>
      <c r="O369" s="127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127"/>
      <c r="O370" s="127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127"/>
      <c r="O371" s="127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127"/>
      <c r="O372" s="127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127"/>
      <c r="O373" s="127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127"/>
      <c r="O374" s="127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127"/>
      <c r="O375" s="127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127"/>
      <c r="O376" s="127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127"/>
      <c r="O377" s="127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127"/>
      <c r="O378" s="127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127"/>
      <c r="O379" s="127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127"/>
      <c r="O380" s="127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127"/>
      <c r="O381" s="127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127"/>
      <c r="O382" s="127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127"/>
      <c r="O383" s="127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127"/>
      <c r="O384" s="127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127"/>
      <c r="O385" s="127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127"/>
      <c r="O386" s="127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127"/>
      <c r="O387" s="127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127"/>
      <c r="O388" s="127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127"/>
      <c r="O389" s="127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127"/>
      <c r="O390" s="127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127"/>
      <c r="O391" s="127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127"/>
      <c r="O392" s="127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127"/>
      <c r="O393" s="127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127"/>
      <c r="O394" s="127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127"/>
      <c r="O395" s="127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127"/>
      <c r="O396" s="127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127"/>
      <c r="O397" s="127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127"/>
      <c r="O398" s="127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127"/>
      <c r="O399" s="127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127"/>
      <c r="O400" s="127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127"/>
      <c r="O401" s="127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127"/>
      <c r="O402" s="127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127"/>
      <c r="O403" s="127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127"/>
      <c r="O404" s="127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127"/>
      <c r="O405" s="127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127"/>
      <c r="O406" s="127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127"/>
      <c r="O407" s="127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127"/>
      <c r="O408" s="127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127"/>
      <c r="O409" s="127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127"/>
      <c r="O410" s="127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127"/>
      <c r="O411" s="127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127"/>
      <c r="O412" s="127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127"/>
      <c r="O413" s="127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127"/>
      <c r="O414" s="127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127"/>
      <c r="O415" s="127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127"/>
      <c r="O416" s="127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127"/>
      <c r="O417" s="127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127"/>
      <c r="O418" s="127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127"/>
      <c r="O419" s="127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127"/>
      <c r="O420" s="127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127"/>
      <c r="O421" s="127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127"/>
      <c r="O422" s="127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127"/>
      <c r="O423" s="127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127"/>
      <c r="O424" s="127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127"/>
      <c r="O425" s="127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127"/>
      <c r="O426" s="127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127"/>
      <c r="O427" s="127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127"/>
      <c r="O428" s="127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127"/>
      <c r="O429" s="127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127"/>
      <c r="O430" s="127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127"/>
      <c r="O431" s="127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127"/>
      <c r="O432" s="127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127"/>
      <c r="O433" s="127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127"/>
      <c r="O434" s="127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127"/>
      <c r="O435" s="127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127"/>
      <c r="O436" s="127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127"/>
      <c r="O437" s="127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127"/>
      <c r="O438" s="127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127"/>
      <c r="O439" s="127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127"/>
      <c r="O440" s="127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127"/>
      <c r="O441" s="127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127"/>
      <c r="O442" s="127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127"/>
      <c r="O443" s="127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127"/>
      <c r="O444" s="127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127"/>
      <c r="O445" s="127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127"/>
      <c r="O446" s="127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127"/>
      <c r="O447" s="127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127"/>
      <c r="O448" s="127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127"/>
      <c r="O449" s="127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127"/>
      <c r="O450" s="127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127"/>
      <c r="O451" s="127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127"/>
      <c r="O452" s="127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127"/>
      <c r="O453" s="127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127"/>
      <c r="O454" s="127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127"/>
      <c r="O455" s="127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127"/>
      <c r="O456" s="127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127"/>
      <c r="O457" s="127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127"/>
      <c r="O458" s="127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127"/>
      <c r="O459" s="127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127"/>
      <c r="O460" s="127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127"/>
      <c r="O461" s="127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127"/>
      <c r="O462" s="127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127"/>
      <c r="O463" s="127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127"/>
      <c r="O464" s="127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127"/>
      <c r="O465" s="127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127"/>
      <c r="O466" s="127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127"/>
      <c r="O467" s="127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127"/>
      <c r="O468" s="127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127"/>
      <c r="O469" s="127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127"/>
      <c r="O470" s="127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127"/>
      <c r="O471" s="127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127"/>
      <c r="O472" s="127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127"/>
      <c r="O473" s="127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127"/>
      <c r="O474" s="127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127"/>
      <c r="O475" s="127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127"/>
      <c r="O476" s="127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127"/>
      <c r="O477" s="127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127"/>
      <c r="O478" s="127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127"/>
      <c r="O479" s="127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127"/>
      <c r="O480" s="127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127"/>
      <c r="O481" s="127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127"/>
      <c r="O482" s="127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127"/>
      <c r="O483" s="127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127"/>
      <c r="O484" s="127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127"/>
      <c r="O485" s="127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127"/>
      <c r="O486" s="127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127"/>
      <c r="O487" s="127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127"/>
      <c r="O488" s="127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127"/>
      <c r="O489" s="127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127"/>
      <c r="O490" s="127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127"/>
      <c r="O491" s="127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127"/>
      <c r="O492" s="127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127"/>
      <c r="O493" s="127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127"/>
      <c r="O494" s="127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127"/>
      <c r="O495" s="127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127"/>
      <c r="O496" s="127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127"/>
      <c r="O497" s="127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127"/>
      <c r="O498" s="127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127"/>
      <c r="O499" s="127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127"/>
      <c r="O500" s="127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127"/>
      <c r="O501" s="127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127"/>
      <c r="O502" s="127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127"/>
      <c r="O503" s="127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127"/>
      <c r="O504" s="127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127"/>
      <c r="O505" s="127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127"/>
      <c r="O506" s="127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127"/>
      <c r="O507" s="127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127"/>
      <c r="O508" s="127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127"/>
      <c r="O509" s="127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127"/>
      <c r="O510" s="127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127"/>
      <c r="O511" s="127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127"/>
      <c r="O512" s="127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127"/>
      <c r="O513" s="127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127"/>
      <c r="O514" s="127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127"/>
      <c r="O515" s="127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127"/>
      <c r="O516" s="127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127"/>
      <c r="O517" s="127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127"/>
      <c r="O518" s="127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127"/>
      <c r="O519" s="127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127"/>
      <c r="O520" s="127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127"/>
      <c r="O521" s="127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127"/>
      <c r="O522" s="127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127"/>
      <c r="O523" s="127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127"/>
      <c r="O524" s="127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127"/>
      <c r="O525" s="127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127"/>
      <c r="O526" s="127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127"/>
      <c r="O527" s="127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127"/>
      <c r="O528" s="127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127"/>
      <c r="O529" s="127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127"/>
      <c r="O530" s="127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127"/>
      <c r="O531" s="127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127"/>
      <c r="O532" s="127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127"/>
      <c r="O533" s="127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127"/>
      <c r="O534" s="127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127"/>
      <c r="O535" s="127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127"/>
      <c r="O536" s="127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127"/>
      <c r="O537" s="127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127"/>
      <c r="O538" s="127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127"/>
      <c r="O539" s="127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127"/>
      <c r="O540" s="127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127"/>
      <c r="O541" s="127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127"/>
      <c r="O542" s="127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127"/>
      <c r="O543" s="127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127"/>
      <c r="O544" s="127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127"/>
      <c r="O545" s="127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127"/>
      <c r="O546" s="127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127"/>
      <c r="O547" s="127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127"/>
      <c r="O548" s="127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127"/>
      <c r="O549" s="127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127"/>
      <c r="O550" s="127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127"/>
      <c r="O551" s="127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127"/>
      <c r="O552" s="127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127"/>
      <c r="O553" s="127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127"/>
      <c r="O554" s="127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127"/>
      <c r="O555" s="127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127"/>
      <c r="O556" s="127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127"/>
      <c r="O557" s="127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127"/>
      <c r="O558" s="127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127"/>
      <c r="O559" s="127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127"/>
      <c r="O560" s="127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127"/>
      <c r="O561" s="127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127"/>
      <c r="O562" s="127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127"/>
      <c r="O563" s="127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127"/>
      <c r="O564" s="127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127"/>
      <c r="O565" s="127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127"/>
      <c r="O566" s="127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127"/>
      <c r="O567" s="127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127"/>
      <c r="O568" s="127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127"/>
      <c r="O569" s="127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127"/>
      <c r="O570" s="127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127"/>
      <c r="O571" s="127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127"/>
      <c r="O572" s="127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127"/>
      <c r="O573" s="127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127"/>
      <c r="O574" s="127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127"/>
      <c r="O575" s="127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127"/>
      <c r="O576" s="127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127"/>
      <c r="O577" s="127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127"/>
      <c r="O578" s="127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127"/>
      <c r="O579" s="127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127"/>
      <c r="O580" s="127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127"/>
      <c r="O581" s="127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127"/>
      <c r="O582" s="127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127"/>
      <c r="O583" s="127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127"/>
      <c r="O584" s="127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127"/>
      <c r="O585" s="127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127"/>
      <c r="O586" s="127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127"/>
      <c r="O587" s="127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127"/>
      <c r="O588" s="127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127"/>
      <c r="O589" s="127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127"/>
      <c r="O590" s="127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127"/>
      <c r="O591" s="127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127"/>
      <c r="O592" s="127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127"/>
      <c r="O593" s="127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127"/>
      <c r="O594" s="127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127"/>
      <c r="O595" s="127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127"/>
      <c r="O596" s="127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127"/>
      <c r="O597" s="127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127"/>
      <c r="O598" s="127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127"/>
      <c r="O599" s="127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127"/>
      <c r="O600" s="127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127"/>
      <c r="O601" s="127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127"/>
      <c r="O602" s="127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127"/>
      <c r="O603" s="127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127"/>
      <c r="O604" s="127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127"/>
      <c r="O605" s="127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127"/>
      <c r="O606" s="127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127"/>
      <c r="O607" s="127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127"/>
      <c r="O608" s="127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127"/>
      <c r="O609" s="127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127"/>
      <c r="O610" s="127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127"/>
      <c r="O611" s="127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127"/>
      <c r="O612" s="127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127"/>
      <c r="O613" s="127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127"/>
      <c r="O614" s="127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127"/>
      <c r="O615" s="127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127"/>
      <c r="O616" s="127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127"/>
      <c r="O617" s="127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127"/>
      <c r="O618" s="127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127"/>
      <c r="O619" s="127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127"/>
      <c r="O620" s="127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127"/>
      <c r="O621" s="127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127"/>
      <c r="O622" s="127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127"/>
      <c r="O623" s="127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127"/>
      <c r="O624" s="127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127"/>
      <c r="O625" s="127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127"/>
      <c r="O626" s="127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127"/>
      <c r="O627" s="127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127"/>
      <c r="O628" s="127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127"/>
      <c r="O629" s="127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127"/>
      <c r="O630" s="127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127"/>
      <c r="O631" s="127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127"/>
      <c r="O632" s="127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127"/>
      <c r="O633" s="127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127"/>
      <c r="O634" s="127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127"/>
      <c r="O635" s="127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127"/>
      <c r="O636" s="127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127"/>
      <c r="O637" s="127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127"/>
      <c r="O638" s="127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127"/>
      <c r="O639" s="127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127"/>
      <c r="O640" s="127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127"/>
      <c r="O641" s="127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127"/>
      <c r="O642" s="127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127"/>
      <c r="O643" s="127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127"/>
      <c r="O644" s="127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127"/>
      <c r="O645" s="127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127"/>
      <c r="O646" s="127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127"/>
      <c r="O647" s="127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127"/>
      <c r="O648" s="127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127"/>
      <c r="O649" s="127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127"/>
      <c r="O650" s="127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127"/>
      <c r="O651" s="127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127"/>
      <c r="O652" s="127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127"/>
      <c r="O653" s="127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127"/>
      <c r="O654" s="127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127"/>
      <c r="O655" s="127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127"/>
      <c r="O656" s="127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127"/>
      <c r="O657" s="127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127"/>
      <c r="O658" s="127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127"/>
      <c r="O659" s="127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127"/>
      <c r="O660" s="127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127"/>
      <c r="O661" s="127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127"/>
      <c r="O662" s="127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127"/>
      <c r="O663" s="127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127"/>
      <c r="O664" s="127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127"/>
      <c r="O665" s="127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127"/>
      <c r="O666" s="127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127"/>
      <c r="O667" s="127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127"/>
      <c r="O668" s="127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127"/>
      <c r="O669" s="127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127"/>
      <c r="O670" s="127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127"/>
      <c r="O671" s="127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127"/>
      <c r="O672" s="127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127"/>
      <c r="O673" s="127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127"/>
      <c r="O674" s="127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127"/>
      <c r="O675" s="127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127"/>
      <c r="O676" s="127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127"/>
      <c r="O677" s="127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127"/>
      <c r="O678" s="127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127"/>
      <c r="O679" s="127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127"/>
      <c r="O680" s="127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127"/>
      <c r="O681" s="127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127"/>
      <c r="O682" s="127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127"/>
      <c r="O683" s="127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127"/>
      <c r="O684" s="127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127"/>
      <c r="O685" s="127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127"/>
      <c r="O686" s="127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127"/>
      <c r="O687" s="127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127"/>
      <c r="O688" s="127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127"/>
      <c r="O689" s="127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127"/>
      <c r="O690" s="127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127"/>
      <c r="O691" s="127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127"/>
      <c r="O692" s="127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127"/>
      <c r="O693" s="127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127"/>
      <c r="O694" s="127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127"/>
      <c r="O695" s="127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127"/>
      <c r="O696" s="127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127"/>
      <c r="O697" s="127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127"/>
      <c r="O698" s="127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127"/>
      <c r="O699" s="127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127"/>
      <c r="O700" s="127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127"/>
      <c r="O701" s="127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127"/>
      <c r="O702" s="127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127"/>
      <c r="O703" s="127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127"/>
      <c r="O704" s="127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127"/>
      <c r="O705" s="127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127"/>
      <c r="O706" s="127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127"/>
      <c r="O707" s="127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127"/>
      <c r="O708" s="127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127"/>
      <c r="O709" s="127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127"/>
      <c r="O710" s="127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127"/>
      <c r="O711" s="127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127"/>
      <c r="O712" s="127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127"/>
      <c r="O713" s="127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127"/>
      <c r="O714" s="127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127"/>
      <c r="O715" s="127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127"/>
      <c r="O716" s="127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127"/>
      <c r="O717" s="127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127"/>
      <c r="O718" s="127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127"/>
      <c r="O719" s="127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127"/>
      <c r="O720" s="127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127"/>
      <c r="O721" s="127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127"/>
      <c r="O722" s="127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127"/>
      <c r="O723" s="127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127"/>
      <c r="O724" s="127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127"/>
      <c r="O725" s="127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127"/>
      <c r="O726" s="127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127"/>
      <c r="O727" s="127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127"/>
      <c r="O728" s="127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127"/>
      <c r="O729" s="127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127"/>
      <c r="O730" s="127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127"/>
      <c r="O731" s="127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127"/>
      <c r="O732" s="127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127"/>
      <c r="O733" s="127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127"/>
      <c r="O734" s="127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127"/>
      <c r="O735" s="127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127"/>
      <c r="O736" s="127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127"/>
      <c r="O737" s="127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127"/>
      <c r="O738" s="127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127"/>
      <c r="O739" s="127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127"/>
      <c r="O740" s="127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127"/>
      <c r="O741" s="127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127"/>
      <c r="O742" s="127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127"/>
      <c r="O743" s="127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127"/>
      <c r="O744" s="127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127"/>
      <c r="O745" s="127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127"/>
      <c r="O746" s="127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127"/>
      <c r="O747" s="127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127"/>
      <c r="O748" s="127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127"/>
      <c r="O749" s="127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127"/>
      <c r="O750" s="127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127"/>
      <c r="O751" s="127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127"/>
      <c r="O752" s="127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127"/>
      <c r="O753" s="127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127"/>
      <c r="O754" s="127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127"/>
      <c r="O755" s="127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127"/>
      <c r="O756" s="127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127"/>
      <c r="O757" s="127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127"/>
      <c r="O758" s="127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127"/>
      <c r="O759" s="127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127"/>
      <c r="O760" s="127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127"/>
      <c r="O761" s="127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127"/>
      <c r="O762" s="127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127"/>
      <c r="O763" s="127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127"/>
      <c r="O764" s="127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127"/>
      <c r="O765" s="127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127"/>
      <c r="O766" s="127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127"/>
      <c r="O767" s="127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127"/>
      <c r="O768" s="127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127"/>
      <c r="O769" s="127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127"/>
      <c r="O770" s="127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127"/>
      <c r="O771" s="127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127"/>
      <c r="O772" s="127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127"/>
      <c r="O773" s="127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127"/>
      <c r="O774" s="127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127"/>
      <c r="O775" s="127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127"/>
      <c r="O776" s="127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127"/>
      <c r="O777" s="127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127"/>
      <c r="O778" s="127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127"/>
      <c r="O779" s="127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127"/>
      <c r="O780" s="127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127"/>
      <c r="O781" s="127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127"/>
      <c r="O782" s="127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127"/>
      <c r="O783" s="127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127"/>
      <c r="O784" s="127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127"/>
      <c r="O785" s="127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127"/>
      <c r="O786" s="127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127"/>
      <c r="O787" s="127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127"/>
      <c r="O788" s="127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127"/>
      <c r="O789" s="127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127"/>
      <c r="O790" s="127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127"/>
      <c r="O791" s="127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127"/>
      <c r="O792" s="127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127"/>
      <c r="O793" s="127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127"/>
      <c r="O794" s="127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127"/>
      <c r="O795" s="127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127"/>
      <c r="O796" s="127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127"/>
      <c r="O797" s="127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127"/>
      <c r="O798" s="127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127"/>
      <c r="O799" s="127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127"/>
      <c r="O800" s="127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127"/>
      <c r="O801" s="127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127"/>
      <c r="O802" s="127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127"/>
      <c r="O803" s="127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127"/>
      <c r="O804" s="127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127"/>
      <c r="O805" s="127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127"/>
      <c r="O806" s="127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127"/>
      <c r="O807" s="127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127"/>
      <c r="O808" s="127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127"/>
      <c r="O809" s="127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127"/>
      <c r="O810" s="127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127"/>
      <c r="O811" s="127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127"/>
      <c r="O812" s="127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127"/>
      <c r="O813" s="127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127"/>
      <c r="O814" s="127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127"/>
      <c r="O815" s="127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127"/>
      <c r="O816" s="127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127"/>
      <c r="O817" s="127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127"/>
      <c r="O818" s="127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127"/>
      <c r="O819" s="127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127"/>
      <c r="O820" s="127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127"/>
      <c r="O821" s="127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127"/>
      <c r="O822" s="127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127"/>
      <c r="O823" s="127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127"/>
      <c r="O824" s="127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127"/>
      <c r="O825" s="127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127"/>
      <c r="O826" s="127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127"/>
      <c r="O827" s="127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127"/>
      <c r="O828" s="127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127"/>
      <c r="O829" s="127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127"/>
      <c r="O830" s="127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127"/>
      <c r="O831" s="127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127"/>
      <c r="O832" s="127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127"/>
      <c r="O833" s="127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127"/>
      <c r="O834" s="127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127"/>
      <c r="O835" s="127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127"/>
      <c r="O836" s="127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127"/>
      <c r="O837" s="127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127"/>
      <c r="O838" s="127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127"/>
      <c r="O839" s="127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127"/>
      <c r="O840" s="127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127"/>
      <c r="O841" s="127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127"/>
      <c r="O842" s="127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127"/>
      <c r="O843" s="127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127"/>
      <c r="O844" s="127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127"/>
      <c r="O845" s="127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127"/>
      <c r="O846" s="127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127"/>
      <c r="O847" s="127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127"/>
      <c r="O848" s="127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127"/>
      <c r="O849" s="127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127"/>
      <c r="O850" s="127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127"/>
      <c r="O851" s="127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127"/>
      <c r="O852" s="127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127"/>
      <c r="O853" s="127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127"/>
      <c r="O854" s="127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127"/>
      <c r="O855" s="127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127"/>
      <c r="O856" s="127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127"/>
      <c r="O857" s="127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127"/>
      <c r="O858" s="127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127"/>
      <c r="O859" s="127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127"/>
      <c r="O860" s="127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127"/>
      <c r="O861" s="127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127"/>
      <c r="O862" s="127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127"/>
      <c r="O863" s="127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127"/>
      <c r="O864" s="127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127"/>
      <c r="O865" s="127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127"/>
      <c r="O866" s="127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127"/>
      <c r="O867" s="127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127"/>
      <c r="O868" s="127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127"/>
      <c r="O869" s="127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127"/>
      <c r="O870" s="127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127"/>
      <c r="O871" s="127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127"/>
      <c r="O872" s="127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127"/>
      <c r="O873" s="127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127"/>
      <c r="O874" s="127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127"/>
      <c r="O875" s="127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127"/>
      <c r="O876" s="127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127"/>
      <c r="O877" s="127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127"/>
      <c r="O878" s="127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127"/>
      <c r="O879" s="127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127"/>
      <c r="O880" s="127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127"/>
      <c r="O881" s="127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127"/>
      <c r="O882" s="127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127"/>
      <c r="O883" s="127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127"/>
      <c r="O884" s="127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127"/>
      <c r="O885" s="127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127"/>
      <c r="O886" s="127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127"/>
      <c r="O887" s="127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127"/>
      <c r="O888" s="127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127"/>
      <c r="O889" s="127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127"/>
      <c r="O890" s="127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127"/>
      <c r="O891" s="127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127"/>
      <c r="O892" s="127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127"/>
      <c r="O893" s="127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127"/>
      <c r="O894" s="127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127"/>
      <c r="O895" s="127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127"/>
      <c r="O896" s="127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127"/>
      <c r="O897" s="127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127"/>
      <c r="O898" s="127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127"/>
      <c r="O899" s="127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127"/>
      <c r="O900" s="127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127"/>
      <c r="O901" s="127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127"/>
      <c r="O902" s="127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127"/>
      <c r="O903" s="127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127"/>
      <c r="O904" s="127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127"/>
      <c r="O905" s="127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127"/>
      <c r="O906" s="127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127"/>
      <c r="O907" s="127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127"/>
      <c r="O908" s="127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127"/>
      <c r="O909" s="127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127"/>
      <c r="O910" s="127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127"/>
      <c r="O911" s="127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127"/>
      <c r="O912" s="127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127"/>
      <c r="O913" s="127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127"/>
      <c r="O914" s="127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127"/>
      <c r="O915" s="127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127"/>
      <c r="O916" s="127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127"/>
      <c r="O917" s="127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127"/>
      <c r="O918" s="127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127"/>
      <c r="O919" s="127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127"/>
      <c r="O920" s="127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127"/>
      <c r="O921" s="127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127"/>
      <c r="O922" s="127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127"/>
      <c r="O923" s="127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127"/>
      <c r="O924" s="127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127"/>
      <c r="O925" s="127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127"/>
      <c r="O926" s="127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127"/>
      <c r="O927" s="127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127"/>
      <c r="O928" s="127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127"/>
      <c r="O929" s="127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127"/>
      <c r="O930" s="127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127"/>
      <c r="O931" s="127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127"/>
      <c r="O932" s="127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127"/>
      <c r="O933" s="127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127"/>
      <c r="O934" s="127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127"/>
      <c r="O935" s="127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127"/>
      <c r="O936" s="127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127"/>
      <c r="O937" s="127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127"/>
      <c r="O938" s="127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127"/>
      <c r="O939" s="127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127"/>
      <c r="O940" s="127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127"/>
      <c r="O941" s="127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127"/>
      <c r="O942" s="127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127"/>
      <c r="O943" s="127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127"/>
      <c r="O944" s="127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127"/>
      <c r="O945" s="127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127"/>
      <c r="O946" s="127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127"/>
      <c r="O947" s="127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127"/>
      <c r="O948" s="127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127"/>
      <c r="O949" s="127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127"/>
      <c r="O950" s="127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127"/>
      <c r="O951" s="127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127"/>
      <c r="O952" s="127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127"/>
      <c r="O953" s="127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127"/>
      <c r="O954" s="127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127"/>
      <c r="O955" s="127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127"/>
      <c r="O956" s="127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127"/>
      <c r="O957" s="127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127"/>
      <c r="O958" s="127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127"/>
      <c r="O959" s="127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127"/>
      <c r="O960" s="127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127"/>
      <c r="O961" s="127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127"/>
      <c r="O962" s="127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127"/>
      <c r="O963" s="127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127"/>
      <c r="O964" s="127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127"/>
      <c r="O965" s="127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127"/>
      <c r="O966" s="127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127"/>
      <c r="O967" s="127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127"/>
      <c r="O968" s="127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127"/>
      <c r="O969" s="127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127"/>
      <c r="O970" s="127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127"/>
      <c r="O971" s="127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127"/>
      <c r="O972" s="127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127"/>
      <c r="O973" s="127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127"/>
      <c r="O974" s="127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127"/>
      <c r="O975" s="127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127"/>
      <c r="O976" s="127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127"/>
      <c r="O977" s="127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127"/>
      <c r="O978" s="127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127"/>
      <c r="O979" s="127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127"/>
      <c r="O980" s="127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127"/>
      <c r="O981" s="127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127"/>
      <c r="O982" s="127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127"/>
      <c r="O983" s="127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127"/>
      <c r="O984" s="127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127"/>
      <c r="O985" s="127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127"/>
      <c r="O986" s="127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127"/>
      <c r="O987" s="127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127"/>
      <c r="O988" s="127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127"/>
      <c r="O989" s="127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127"/>
      <c r="O990" s="127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127"/>
      <c r="O991" s="127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127"/>
      <c r="O992" s="127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127"/>
      <c r="O993" s="127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127"/>
      <c r="O994" s="127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127"/>
      <c r="O995" s="127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127"/>
      <c r="O996" s="127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127"/>
      <c r="O997" s="127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127"/>
      <c r="O998" s="127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127"/>
      <c r="O999" s="127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127"/>
      <c r="O1000" s="127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A50:C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scale="88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1" width="10.71"/>
    <col customWidth="1" min="12" max="12" width="7.71"/>
    <col customWidth="1" min="13" max="13" width="11.14"/>
    <col customWidth="1" min="14" max="14" width="8.71"/>
    <col customWidth="1" min="15" max="15" width="10.86"/>
    <col customWidth="1" min="16" max="16" width="10.0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250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223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234" t="s">
        <v>232</v>
      </c>
      <c r="E7" s="83">
        <v>7.94</v>
      </c>
      <c r="F7" s="18" t="s">
        <v>59</v>
      </c>
      <c r="G7" s="84">
        <v>4.58</v>
      </c>
      <c r="H7" s="18" t="s">
        <v>26</v>
      </c>
      <c r="I7" s="18" t="s">
        <v>26</v>
      </c>
      <c r="J7" s="84">
        <v>3.31</v>
      </c>
      <c r="K7" s="18" t="s">
        <v>26</v>
      </c>
      <c r="L7" s="84">
        <v>3.45</v>
      </c>
      <c r="M7" s="84">
        <v>2.5</v>
      </c>
      <c r="N7" s="84">
        <v>3.85</v>
      </c>
      <c r="O7" s="84">
        <v>4.36</v>
      </c>
      <c r="P7" s="18" t="s">
        <v>26</v>
      </c>
      <c r="Q7" s="190">
        <f t="shared" ref="Q7:Q21" si="1">AVERAGE(E7,F7,G7,H7,I7,J7,K7,L7,M7,N7,O7,P7)</f>
        <v>4.284285714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61" t="s">
        <v>233</v>
      </c>
      <c r="E8" s="24">
        <v>8.06</v>
      </c>
      <c r="F8" s="24" t="s">
        <v>59</v>
      </c>
      <c r="G8" s="24">
        <v>4.61</v>
      </c>
      <c r="H8" s="24" t="s">
        <v>26</v>
      </c>
      <c r="I8" s="24" t="s">
        <v>26</v>
      </c>
      <c r="J8" s="24">
        <v>3.18</v>
      </c>
      <c r="K8" s="24" t="s">
        <v>26</v>
      </c>
      <c r="L8" s="24">
        <v>4.6</v>
      </c>
      <c r="M8" s="24">
        <v>2.64</v>
      </c>
      <c r="N8" s="24">
        <v>3.66</v>
      </c>
      <c r="O8" s="24">
        <v>4.29</v>
      </c>
      <c r="P8" s="24" t="s">
        <v>26</v>
      </c>
      <c r="Q8" s="192">
        <f t="shared" si="1"/>
        <v>4.434285714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>
      <c r="A9" s="20"/>
      <c r="B9" s="26"/>
      <c r="C9" s="22">
        <v>3.0</v>
      </c>
      <c r="D9" s="161" t="s">
        <v>234</v>
      </c>
      <c r="E9" s="85">
        <v>7.97</v>
      </c>
      <c r="F9" s="24" t="s">
        <v>59</v>
      </c>
      <c r="G9" s="24">
        <v>4.85</v>
      </c>
      <c r="H9" s="24" t="s">
        <v>26</v>
      </c>
      <c r="I9" s="24" t="s">
        <v>26</v>
      </c>
      <c r="J9" s="24">
        <v>3.43</v>
      </c>
      <c r="K9" s="24" t="s">
        <v>26</v>
      </c>
      <c r="L9" s="24">
        <v>3.8</v>
      </c>
      <c r="M9" s="24">
        <v>2.66</v>
      </c>
      <c r="N9" s="24">
        <v>3.76</v>
      </c>
      <c r="O9" s="24">
        <v>4.33</v>
      </c>
      <c r="P9" s="24" t="s">
        <v>26</v>
      </c>
      <c r="Q9" s="192">
        <f t="shared" si="1"/>
        <v>4.4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235" t="s">
        <v>232</v>
      </c>
      <c r="E10" s="120">
        <v>21.0</v>
      </c>
      <c r="F10" s="27">
        <v>41.0</v>
      </c>
      <c r="G10" s="86">
        <v>60.0</v>
      </c>
      <c r="H10" s="18" t="s">
        <v>26</v>
      </c>
      <c r="I10" s="18" t="s">
        <v>26</v>
      </c>
      <c r="J10" s="27">
        <v>29.0</v>
      </c>
      <c r="K10" s="18" t="s">
        <v>26</v>
      </c>
      <c r="L10" s="27">
        <v>24.0</v>
      </c>
      <c r="M10" s="27">
        <v>40.0</v>
      </c>
      <c r="N10" s="27">
        <v>27.0</v>
      </c>
      <c r="O10" s="27">
        <v>31.0</v>
      </c>
      <c r="P10" s="18" t="s">
        <v>26</v>
      </c>
      <c r="Q10" s="194">
        <f t="shared" si="1"/>
        <v>34.125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61" t="s">
        <v>233</v>
      </c>
      <c r="E11" s="85">
        <v>12.0</v>
      </c>
      <c r="F11" s="29">
        <v>40.0</v>
      </c>
      <c r="G11" s="29">
        <v>25.0</v>
      </c>
      <c r="H11" s="24" t="s">
        <v>26</v>
      </c>
      <c r="I11" s="24" t="s">
        <v>26</v>
      </c>
      <c r="J11" s="29">
        <v>58.0</v>
      </c>
      <c r="K11" s="24" t="s">
        <v>26</v>
      </c>
      <c r="L11" s="29">
        <v>33.0</v>
      </c>
      <c r="M11" s="29">
        <v>51.0</v>
      </c>
      <c r="N11" s="29">
        <v>30.0</v>
      </c>
      <c r="O11" s="29">
        <v>42.0</v>
      </c>
      <c r="P11" s="24" t="s">
        <v>26</v>
      </c>
      <c r="Q11" s="195">
        <f t="shared" si="1"/>
        <v>36.375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61" t="s">
        <v>234</v>
      </c>
      <c r="E12" s="85">
        <v>14.0</v>
      </c>
      <c r="F12" s="29">
        <v>37.0</v>
      </c>
      <c r="G12" s="29">
        <v>30.0</v>
      </c>
      <c r="H12" s="24" t="s">
        <v>26</v>
      </c>
      <c r="I12" s="24" t="s">
        <v>26</v>
      </c>
      <c r="J12" s="29">
        <v>39.0</v>
      </c>
      <c r="K12" s="24" t="s">
        <v>26</v>
      </c>
      <c r="L12" s="29">
        <v>25.0</v>
      </c>
      <c r="M12" s="29">
        <v>37.0</v>
      </c>
      <c r="N12" s="29">
        <v>20.0</v>
      </c>
      <c r="O12" s="29">
        <v>36.0</v>
      </c>
      <c r="P12" s="24" t="s">
        <v>26</v>
      </c>
      <c r="Q12" s="195">
        <f t="shared" si="1"/>
        <v>29.75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235" t="s">
        <v>232</v>
      </c>
      <c r="E13" s="120">
        <v>7.99</v>
      </c>
      <c r="F13" s="18" t="s">
        <v>59</v>
      </c>
      <c r="G13" s="84">
        <v>7.97</v>
      </c>
      <c r="H13" s="18" t="s">
        <v>26</v>
      </c>
      <c r="I13" s="18" t="s">
        <v>26</v>
      </c>
      <c r="J13" s="18">
        <v>8.03</v>
      </c>
      <c r="K13" s="18" t="s">
        <v>26</v>
      </c>
      <c r="L13" s="18">
        <v>7.42</v>
      </c>
      <c r="M13" s="18">
        <v>7.75</v>
      </c>
      <c r="N13" s="18">
        <v>8.3</v>
      </c>
      <c r="O13" s="18">
        <v>7.12</v>
      </c>
      <c r="P13" s="18" t="s">
        <v>26</v>
      </c>
      <c r="Q13" s="190">
        <f t="shared" si="1"/>
        <v>7.797142857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61" t="s">
        <v>233</v>
      </c>
      <c r="E14" s="24">
        <v>8.14</v>
      </c>
      <c r="F14" s="24" t="s">
        <v>59</v>
      </c>
      <c r="G14" s="24">
        <v>7.9</v>
      </c>
      <c r="H14" s="24" t="s">
        <v>26</v>
      </c>
      <c r="I14" s="24" t="s">
        <v>26</v>
      </c>
      <c r="J14" s="24">
        <v>8.02</v>
      </c>
      <c r="K14" s="24" t="s">
        <v>26</v>
      </c>
      <c r="L14" s="24">
        <v>7.86</v>
      </c>
      <c r="M14" s="24">
        <v>7.74</v>
      </c>
      <c r="N14" s="24">
        <v>8.33</v>
      </c>
      <c r="O14" s="24">
        <v>7.08</v>
      </c>
      <c r="P14" s="24" t="s">
        <v>26</v>
      </c>
      <c r="Q14" s="192">
        <f t="shared" si="1"/>
        <v>7.867142857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61" t="s">
        <v>234</v>
      </c>
      <c r="E15" s="85">
        <v>8.06</v>
      </c>
      <c r="F15" s="24" t="s">
        <v>59</v>
      </c>
      <c r="G15" s="24">
        <v>7.97</v>
      </c>
      <c r="H15" s="24" t="s">
        <v>26</v>
      </c>
      <c r="I15" s="24" t="s">
        <v>26</v>
      </c>
      <c r="J15" s="24">
        <v>8.01</v>
      </c>
      <c r="K15" s="24" t="s">
        <v>26</v>
      </c>
      <c r="L15" s="24">
        <v>7.8</v>
      </c>
      <c r="M15" s="24">
        <v>7.74</v>
      </c>
      <c r="N15" s="24">
        <v>8.28</v>
      </c>
      <c r="O15" s="24">
        <v>7.13</v>
      </c>
      <c r="P15" s="24" t="s">
        <v>26</v>
      </c>
      <c r="Q15" s="192">
        <f t="shared" si="1"/>
        <v>7.855714286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251</v>
      </c>
      <c r="C16" s="16">
        <v>1.0</v>
      </c>
      <c r="D16" s="235" t="s">
        <v>232</v>
      </c>
      <c r="E16" s="18">
        <v>29.45</v>
      </c>
      <c r="F16" s="18" t="s">
        <v>59</v>
      </c>
      <c r="G16" s="84">
        <v>27.4</v>
      </c>
      <c r="H16" s="18" t="s">
        <v>26</v>
      </c>
      <c r="I16" s="18" t="s">
        <v>26</v>
      </c>
      <c r="J16" s="18">
        <v>30.6</v>
      </c>
      <c r="K16" s="18" t="s">
        <v>26</v>
      </c>
      <c r="L16" s="18">
        <v>30.9</v>
      </c>
      <c r="M16" s="18">
        <v>32.71</v>
      </c>
      <c r="N16" s="18">
        <v>28.6</v>
      </c>
      <c r="O16" s="18">
        <v>29.7</v>
      </c>
      <c r="P16" s="18" t="s">
        <v>26</v>
      </c>
      <c r="Q16" s="190">
        <f t="shared" si="1"/>
        <v>29.90857143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61" t="s">
        <v>233</v>
      </c>
      <c r="E17" s="24">
        <v>29.2</v>
      </c>
      <c r="F17" s="24" t="s">
        <v>59</v>
      </c>
      <c r="G17" s="24">
        <v>27.5</v>
      </c>
      <c r="H17" s="24" t="s">
        <v>26</v>
      </c>
      <c r="I17" s="24" t="s">
        <v>26</v>
      </c>
      <c r="J17" s="24">
        <v>30.55</v>
      </c>
      <c r="K17" s="24" t="s">
        <v>26</v>
      </c>
      <c r="L17" s="24">
        <v>31.0</v>
      </c>
      <c r="M17" s="24">
        <v>32.7</v>
      </c>
      <c r="N17" s="24">
        <v>28.7</v>
      </c>
      <c r="O17" s="24">
        <v>29.9</v>
      </c>
      <c r="P17" s="24" t="s">
        <v>26</v>
      </c>
      <c r="Q17" s="192">
        <f t="shared" si="1"/>
        <v>29.93571429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"/>
      <c r="B18" s="26"/>
      <c r="C18" s="22">
        <v>3.0</v>
      </c>
      <c r="D18" s="161" t="s">
        <v>234</v>
      </c>
      <c r="E18" s="24">
        <v>29.3</v>
      </c>
      <c r="F18" s="24" t="s">
        <v>59</v>
      </c>
      <c r="G18" s="24">
        <v>27.5</v>
      </c>
      <c r="H18" s="24" t="s">
        <v>26</v>
      </c>
      <c r="I18" s="24" t="s">
        <v>26</v>
      </c>
      <c r="J18" s="24">
        <v>30.6</v>
      </c>
      <c r="K18" s="24" t="s">
        <v>26</v>
      </c>
      <c r="L18" s="24">
        <v>31.0</v>
      </c>
      <c r="M18" s="24">
        <v>32.2</v>
      </c>
      <c r="N18" s="24">
        <v>28.7</v>
      </c>
      <c r="O18" s="24">
        <v>29.9</v>
      </c>
      <c r="P18" s="24" t="s">
        <v>26</v>
      </c>
      <c r="Q18" s="192">
        <f t="shared" si="1"/>
        <v>29.88571429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235" t="s">
        <v>232</v>
      </c>
      <c r="E19" s="27">
        <v>3.0</v>
      </c>
      <c r="F19" s="27">
        <v>3.0</v>
      </c>
      <c r="G19" s="27">
        <v>3.0</v>
      </c>
      <c r="H19" s="18" t="s">
        <v>26</v>
      </c>
      <c r="I19" s="18" t="s">
        <v>26</v>
      </c>
      <c r="J19" s="27">
        <v>3.0</v>
      </c>
      <c r="K19" s="18" t="s">
        <v>26</v>
      </c>
      <c r="L19" s="27">
        <v>5.0</v>
      </c>
      <c r="M19" s="27">
        <v>3.0</v>
      </c>
      <c r="N19" s="27">
        <v>5.0</v>
      </c>
      <c r="O19" s="27">
        <v>5.0</v>
      </c>
      <c r="P19" s="18" t="s">
        <v>26</v>
      </c>
      <c r="Q19" s="194">
        <f t="shared" si="1"/>
        <v>3.75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61" t="s">
        <v>233</v>
      </c>
      <c r="E20" s="85">
        <v>3.0</v>
      </c>
      <c r="F20" s="29">
        <v>3.0</v>
      </c>
      <c r="G20" s="29">
        <v>3.0</v>
      </c>
      <c r="H20" s="24" t="s">
        <v>26</v>
      </c>
      <c r="I20" s="24" t="s">
        <v>26</v>
      </c>
      <c r="J20" s="29">
        <v>5.0</v>
      </c>
      <c r="K20" s="24" t="s">
        <v>26</v>
      </c>
      <c r="L20" s="29">
        <v>5.0</v>
      </c>
      <c r="M20" s="29">
        <v>3.0</v>
      </c>
      <c r="N20" s="29">
        <v>5.0</v>
      </c>
      <c r="O20" s="29">
        <v>5.0</v>
      </c>
      <c r="P20" s="24" t="s">
        <v>26</v>
      </c>
      <c r="Q20" s="195">
        <f t="shared" si="1"/>
        <v>4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61" t="s">
        <v>234</v>
      </c>
      <c r="E21" s="29">
        <v>3.0</v>
      </c>
      <c r="F21" s="29">
        <v>3.0</v>
      </c>
      <c r="G21" s="29">
        <v>3.0</v>
      </c>
      <c r="H21" s="24" t="s">
        <v>26</v>
      </c>
      <c r="I21" s="24" t="s">
        <v>26</v>
      </c>
      <c r="J21" s="29">
        <v>3.0</v>
      </c>
      <c r="K21" s="24" t="s">
        <v>26</v>
      </c>
      <c r="L21" s="29">
        <v>5.0</v>
      </c>
      <c r="M21" s="29">
        <v>5.0</v>
      </c>
      <c r="N21" s="29">
        <v>5.0</v>
      </c>
      <c r="O21" s="29">
        <v>5.0</v>
      </c>
      <c r="P21" s="24" t="s">
        <v>26</v>
      </c>
      <c r="Q21" s="195">
        <f t="shared" si="1"/>
        <v>4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235" t="s">
        <v>232</v>
      </c>
      <c r="E22" s="31">
        <v>23.0</v>
      </c>
      <c r="F22" s="27">
        <v>33.0</v>
      </c>
      <c r="G22" s="84">
        <v>4.5</v>
      </c>
      <c r="H22" s="18" t="s">
        <v>26</v>
      </c>
      <c r="I22" s="18" t="s">
        <v>26</v>
      </c>
      <c r="J22" s="31">
        <v>3500.0</v>
      </c>
      <c r="K22" s="18" t="s">
        <v>26</v>
      </c>
      <c r="L22" s="32">
        <v>2400.0</v>
      </c>
      <c r="M22" s="27">
        <v>79.0</v>
      </c>
      <c r="N22" s="32">
        <v>2400.0</v>
      </c>
      <c r="O22" s="27">
        <v>130.0</v>
      </c>
      <c r="P22" s="18" t="s">
        <v>26</v>
      </c>
      <c r="Q22" s="194">
        <f>GEOMEAN(E22,F22,G22,H22,I22,J22,K22,L22,M22,N22,O22,P22)</f>
        <v>170.2901028</v>
      </c>
      <c r="R22" s="17">
        <v>100.0</v>
      </c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61" t="s">
        <v>233</v>
      </c>
      <c r="E23" s="35">
        <v>23.0</v>
      </c>
      <c r="F23" s="29">
        <v>17.0</v>
      </c>
      <c r="G23" s="24" t="s">
        <v>252</v>
      </c>
      <c r="H23" s="24" t="s">
        <v>26</v>
      </c>
      <c r="I23" s="24" t="s">
        <v>26</v>
      </c>
      <c r="J23" s="35">
        <v>2200.0</v>
      </c>
      <c r="K23" s="24" t="s">
        <v>26</v>
      </c>
      <c r="L23" s="36">
        <v>49.0</v>
      </c>
      <c r="M23" s="29">
        <v>78.0</v>
      </c>
      <c r="N23" s="36">
        <v>1300.0</v>
      </c>
      <c r="O23" s="29">
        <v>23.0</v>
      </c>
      <c r="P23" s="24" t="s">
        <v>26</v>
      </c>
      <c r="Q23" s="195">
        <f t="shared" ref="Q23:Q24" si="2">GEOMEAN(E23,F23,1.8,H23,I23,J23,K23,L23,M23,N23,O23,P23)</f>
        <v>60.3919742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61" t="s">
        <v>234</v>
      </c>
      <c r="E24" s="35">
        <v>33.0</v>
      </c>
      <c r="F24" s="29">
        <v>23.0</v>
      </c>
      <c r="G24" s="24" t="s">
        <v>252</v>
      </c>
      <c r="H24" s="24" t="s">
        <v>26</v>
      </c>
      <c r="I24" s="24" t="s">
        <v>26</v>
      </c>
      <c r="J24" s="35">
        <v>3500.0</v>
      </c>
      <c r="K24" s="24" t="s">
        <v>26</v>
      </c>
      <c r="L24" s="36">
        <v>3500.0</v>
      </c>
      <c r="M24" s="29">
        <v>49.0</v>
      </c>
      <c r="N24" s="36">
        <v>3500.0</v>
      </c>
      <c r="O24" s="36">
        <v>1700.0</v>
      </c>
      <c r="P24" s="24" t="s">
        <v>26</v>
      </c>
      <c r="Q24" s="195">
        <f t="shared" si="2"/>
        <v>216.7930857</v>
      </c>
      <c r="R24" s="23">
        <v>100.0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253</v>
      </c>
      <c r="C25" s="16">
        <v>1.0</v>
      </c>
      <c r="D25" s="235" t="s">
        <v>232</v>
      </c>
      <c r="E25" s="120" t="s">
        <v>40</v>
      </c>
      <c r="F25" s="39">
        <v>0.114</v>
      </c>
      <c r="G25" s="39" t="s">
        <v>40</v>
      </c>
      <c r="H25" s="18" t="s">
        <v>26</v>
      </c>
      <c r="I25" s="18" t="s">
        <v>26</v>
      </c>
      <c r="J25" s="39">
        <v>0.056</v>
      </c>
      <c r="K25" s="18" t="s">
        <v>26</v>
      </c>
      <c r="L25" s="18" t="s">
        <v>40</v>
      </c>
      <c r="M25" s="18" t="s">
        <v>40</v>
      </c>
      <c r="N25" s="18" t="s">
        <v>40</v>
      </c>
      <c r="O25" s="39" t="s">
        <v>40</v>
      </c>
      <c r="P25" s="18" t="s">
        <v>26</v>
      </c>
      <c r="Q25" s="198">
        <f t="shared" ref="Q25:Q27" si="3">AVERAGE(0.045,F25,0.045,H25,I25,J25,K25,0.045,0.045,N25,O25,P25)</f>
        <v>0.05833333333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61" t="s">
        <v>233</v>
      </c>
      <c r="E26" s="85" t="s">
        <v>40</v>
      </c>
      <c r="F26" s="41" t="s">
        <v>40</v>
      </c>
      <c r="G26" s="41" t="s">
        <v>40</v>
      </c>
      <c r="H26" s="24" t="s">
        <v>26</v>
      </c>
      <c r="I26" s="24" t="s">
        <v>26</v>
      </c>
      <c r="J26" s="24" t="s">
        <v>40</v>
      </c>
      <c r="K26" s="24" t="s">
        <v>26</v>
      </c>
      <c r="L26" s="24" t="s">
        <v>40</v>
      </c>
      <c r="M26" s="24" t="s">
        <v>40</v>
      </c>
      <c r="N26" s="24" t="s">
        <v>40</v>
      </c>
      <c r="O26" s="41" t="s">
        <v>40</v>
      </c>
      <c r="P26" s="24" t="s">
        <v>26</v>
      </c>
      <c r="Q26" s="200">
        <f t="shared" si="3"/>
        <v>0.045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61" t="s">
        <v>234</v>
      </c>
      <c r="E27" s="85" t="s">
        <v>40</v>
      </c>
      <c r="F27" s="41">
        <v>0.101</v>
      </c>
      <c r="G27" s="41" t="s">
        <v>40</v>
      </c>
      <c r="H27" s="24" t="s">
        <v>26</v>
      </c>
      <c r="I27" s="24" t="s">
        <v>26</v>
      </c>
      <c r="J27" s="41">
        <v>0.06</v>
      </c>
      <c r="K27" s="24" t="s">
        <v>26</v>
      </c>
      <c r="L27" s="24" t="s">
        <v>40</v>
      </c>
      <c r="M27" s="24" t="s">
        <v>40</v>
      </c>
      <c r="N27" s="24" t="s">
        <v>40</v>
      </c>
      <c r="O27" s="41" t="s">
        <v>40</v>
      </c>
      <c r="P27" s="24" t="s">
        <v>26</v>
      </c>
      <c r="Q27" s="200">
        <f t="shared" si="3"/>
        <v>0.05683333333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254</v>
      </c>
      <c r="C28" s="16">
        <v>1.0</v>
      </c>
      <c r="D28" s="235" t="s">
        <v>232</v>
      </c>
      <c r="E28" s="120">
        <v>0.029</v>
      </c>
      <c r="F28" s="18" t="s">
        <v>231</v>
      </c>
      <c r="G28" s="18" t="s">
        <v>231</v>
      </c>
      <c r="H28" s="18" t="s">
        <v>26</v>
      </c>
      <c r="I28" s="18" t="s">
        <v>26</v>
      </c>
      <c r="J28" s="39">
        <v>0.032</v>
      </c>
      <c r="K28" s="18" t="s">
        <v>26</v>
      </c>
      <c r="L28" s="18" t="s">
        <v>231</v>
      </c>
      <c r="M28" s="39">
        <v>0.044</v>
      </c>
      <c r="N28" s="39">
        <v>0.038</v>
      </c>
      <c r="O28" s="39">
        <v>0.032</v>
      </c>
      <c r="P28" s="18" t="s">
        <v>26</v>
      </c>
      <c r="Q28" s="198">
        <f t="shared" ref="Q28:Q30" si="4">AVERAGE(E28,0.025,0.025,H28,I28,J28,K28,0.025,M28,N28,O28,P28)</f>
        <v>0.03125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61" t="s">
        <v>233</v>
      </c>
      <c r="E29" s="85">
        <v>0.028</v>
      </c>
      <c r="F29" s="24" t="s">
        <v>231</v>
      </c>
      <c r="G29" s="24" t="s">
        <v>231</v>
      </c>
      <c r="H29" s="24" t="s">
        <v>26</v>
      </c>
      <c r="I29" s="24" t="s">
        <v>26</v>
      </c>
      <c r="J29" s="41">
        <v>0.037</v>
      </c>
      <c r="K29" s="24" t="s">
        <v>26</v>
      </c>
      <c r="L29" s="24" t="s">
        <v>231</v>
      </c>
      <c r="M29" s="41">
        <v>0.033</v>
      </c>
      <c r="N29" s="41">
        <v>0.045</v>
      </c>
      <c r="O29" s="41">
        <v>0.031</v>
      </c>
      <c r="P29" s="24" t="s">
        <v>26</v>
      </c>
      <c r="Q29" s="200">
        <f t="shared" si="4"/>
        <v>0.031125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61" t="s">
        <v>234</v>
      </c>
      <c r="E30" s="85">
        <v>0.029</v>
      </c>
      <c r="F30" s="24" t="s">
        <v>231</v>
      </c>
      <c r="G30" s="24" t="s">
        <v>231</v>
      </c>
      <c r="H30" s="24" t="s">
        <v>26</v>
      </c>
      <c r="I30" s="24" t="s">
        <v>26</v>
      </c>
      <c r="J30" s="41">
        <v>0.039</v>
      </c>
      <c r="K30" s="24" t="s">
        <v>26</v>
      </c>
      <c r="L30" s="24" t="s">
        <v>231</v>
      </c>
      <c r="M30" s="41">
        <v>0.035</v>
      </c>
      <c r="N30" s="41">
        <v>0.037</v>
      </c>
      <c r="O30" s="41">
        <v>0.031</v>
      </c>
      <c r="P30" s="24" t="s">
        <v>26</v>
      </c>
      <c r="Q30" s="200">
        <f t="shared" si="4"/>
        <v>0.03075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235" t="s">
        <v>232</v>
      </c>
      <c r="E31" s="201"/>
      <c r="F31" s="201"/>
      <c r="G31" s="201"/>
      <c r="H31" s="120" t="s">
        <v>255</v>
      </c>
      <c r="I31" s="201"/>
      <c r="J31" s="201"/>
      <c r="K31" s="201"/>
      <c r="L31" s="201"/>
      <c r="M31" s="201"/>
      <c r="N31" s="237"/>
      <c r="O31" s="237"/>
      <c r="P31" s="237"/>
      <c r="Q31" s="190" t="str">
        <f t="shared" ref="Q31:Q33" si="5">AVERAGE(E31,F31,G31,H31,I31,J31,K31,L31,M31,N31,O31,P31)</f>
        <v>#DIV/0!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161" t="s">
        <v>233</v>
      </c>
      <c r="E32" s="20"/>
      <c r="F32" s="20"/>
      <c r="G32" s="20"/>
      <c r="H32" s="85" t="s">
        <v>255</v>
      </c>
      <c r="I32" s="20"/>
      <c r="J32" s="20"/>
      <c r="K32" s="20"/>
      <c r="L32" s="20"/>
      <c r="M32" s="20"/>
      <c r="N32" s="20"/>
      <c r="O32" s="20"/>
      <c r="P32" s="20"/>
      <c r="Q32" s="192" t="str">
        <f t="shared" si="5"/>
        <v>#DIV/0!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161" t="s">
        <v>234</v>
      </c>
      <c r="E33" s="20"/>
      <c r="F33" s="20"/>
      <c r="G33" s="20"/>
      <c r="H33" s="72"/>
      <c r="I33" s="20"/>
      <c r="J33" s="20"/>
      <c r="K33" s="20"/>
      <c r="L33" s="20"/>
      <c r="M33" s="20"/>
      <c r="N33" s="20"/>
      <c r="O33" s="20"/>
      <c r="P33" s="20"/>
      <c r="Q33" s="192" t="str">
        <f t="shared" si="5"/>
        <v>#DIV/0!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127"/>
      <c r="M34" s="127"/>
      <c r="N34" s="72"/>
      <c r="O34" s="72"/>
      <c r="P34" s="127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0" customHeight="1">
      <c r="A35" s="72" t="s">
        <v>43</v>
      </c>
      <c r="B35" s="72"/>
      <c r="C35" s="245"/>
      <c r="D35" s="72"/>
      <c r="E35" s="72"/>
      <c r="F35" s="72"/>
      <c r="G35" s="72"/>
      <c r="H35" s="72"/>
      <c r="I35" s="72"/>
      <c r="J35" s="72"/>
      <c r="K35" s="72"/>
      <c r="L35" s="127"/>
      <c r="M35" s="127"/>
      <c r="N35" s="72"/>
      <c r="O35" s="72"/>
      <c r="P35" s="127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44" t="s">
        <v>256</v>
      </c>
      <c r="B36" s="245"/>
      <c r="C36" s="245"/>
      <c r="D36" s="72"/>
      <c r="E36" s="72"/>
      <c r="F36" s="72"/>
      <c r="G36" s="72"/>
      <c r="H36" s="229"/>
      <c r="I36" s="72"/>
      <c r="J36" s="72"/>
      <c r="K36" s="72"/>
      <c r="L36" s="127"/>
      <c r="M36" s="127"/>
      <c r="N36" s="72"/>
      <c r="O36" s="72"/>
      <c r="P36" s="127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46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72"/>
      <c r="O37" s="72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72"/>
      <c r="O38" s="72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72"/>
      <c r="O39" s="72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127"/>
      <c r="N40" s="72"/>
      <c r="O40" s="72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127"/>
      <c r="N41" s="72"/>
      <c r="O41" s="72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127"/>
      <c r="N42" s="72"/>
      <c r="O42" s="72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127"/>
      <c r="N43" s="72"/>
      <c r="O43" s="72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72"/>
      <c r="O44" s="72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72"/>
      <c r="O45" s="72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72"/>
      <c r="O46" s="72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72"/>
      <c r="O47" s="72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72"/>
      <c r="O48" s="72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72"/>
      <c r="O49" s="72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72"/>
      <c r="O50" s="72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72"/>
      <c r="O51" s="72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72"/>
      <c r="O52" s="72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72"/>
      <c r="O53" s="72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72"/>
      <c r="O54" s="72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72"/>
      <c r="O55" s="72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72"/>
      <c r="O56" s="72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72"/>
      <c r="O57" s="72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72"/>
      <c r="O58" s="72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72"/>
      <c r="O59" s="72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72"/>
      <c r="O60" s="72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72"/>
      <c r="O61" s="72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72"/>
      <c r="O62" s="72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72"/>
      <c r="O63" s="72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72"/>
      <c r="O64" s="72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72"/>
      <c r="O65" s="72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72"/>
      <c r="O66" s="72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72"/>
      <c r="O67" s="72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72"/>
      <c r="O68" s="72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72"/>
      <c r="O69" s="72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72"/>
      <c r="O70" s="72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72"/>
      <c r="O71" s="72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72"/>
      <c r="O72" s="72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72"/>
      <c r="O73" s="72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72"/>
      <c r="O74" s="72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72"/>
      <c r="O75" s="72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72"/>
      <c r="O76" s="72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72"/>
      <c r="O77" s="72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72"/>
      <c r="O78" s="72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72"/>
      <c r="O79" s="72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72"/>
      <c r="O80" s="72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72"/>
      <c r="O81" s="72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72"/>
      <c r="O82" s="72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72"/>
      <c r="O83" s="72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72"/>
      <c r="O84" s="72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72"/>
      <c r="O85" s="72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72"/>
      <c r="O86" s="72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72"/>
      <c r="O87" s="72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72"/>
      <c r="O88" s="72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72"/>
      <c r="O89" s="72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72"/>
      <c r="O90" s="72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72"/>
      <c r="O91" s="72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72"/>
      <c r="O92" s="72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72"/>
      <c r="O93" s="72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72"/>
      <c r="O94" s="72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72"/>
      <c r="O95" s="72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72"/>
      <c r="O96" s="72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72"/>
      <c r="O97" s="72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72"/>
      <c r="O98" s="72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72"/>
      <c r="O99" s="72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72"/>
      <c r="O100" s="72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72"/>
      <c r="O101" s="72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72"/>
      <c r="O102" s="72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72"/>
      <c r="O103" s="72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72"/>
      <c r="O104" s="72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72"/>
      <c r="O105" s="72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72"/>
      <c r="O106" s="72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72"/>
      <c r="O107" s="72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72"/>
      <c r="O108" s="72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72"/>
      <c r="O109" s="72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72"/>
      <c r="O110" s="72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72"/>
      <c r="O111" s="72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72"/>
      <c r="O112" s="72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72"/>
      <c r="O113" s="72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72"/>
      <c r="O114" s="72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72"/>
      <c r="O115" s="72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72"/>
      <c r="O116" s="72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72"/>
      <c r="O117" s="72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72"/>
      <c r="O118" s="72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72"/>
      <c r="O119" s="72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72"/>
      <c r="O120" s="72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72"/>
      <c r="O121" s="72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72"/>
      <c r="O122" s="72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72"/>
      <c r="O123" s="72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72"/>
      <c r="O124" s="72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72"/>
      <c r="O125" s="72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72"/>
      <c r="O126" s="72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72"/>
      <c r="O127" s="72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72"/>
      <c r="O128" s="72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72"/>
      <c r="O129" s="72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72"/>
      <c r="O130" s="72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72"/>
      <c r="O131" s="72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72"/>
      <c r="O132" s="72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72"/>
      <c r="O133" s="72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72"/>
      <c r="O134" s="72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72"/>
      <c r="O135" s="72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72"/>
      <c r="O136" s="72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72"/>
      <c r="O137" s="72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72"/>
      <c r="O138" s="72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72"/>
      <c r="O139" s="72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72"/>
      <c r="O140" s="72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72"/>
      <c r="O141" s="72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72"/>
      <c r="O142" s="72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72"/>
      <c r="O143" s="72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72"/>
      <c r="O144" s="72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72"/>
      <c r="O145" s="72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72"/>
      <c r="O146" s="72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72"/>
      <c r="O147" s="72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72"/>
      <c r="O148" s="72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72"/>
      <c r="O149" s="72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72"/>
      <c r="O150" s="72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72"/>
      <c r="O151" s="72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72"/>
      <c r="O152" s="72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72"/>
      <c r="O153" s="72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72"/>
      <c r="O154" s="72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72"/>
      <c r="O155" s="72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72"/>
      <c r="O156" s="72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72"/>
      <c r="O157" s="72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72"/>
      <c r="O158" s="72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72"/>
      <c r="O159" s="72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72"/>
      <c r="O160" s="72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72"/>
      <c r="O161" s="72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72"/>
      <c r="O162" s="72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72"/>
      <c r="O163" s="72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72"/>
      <c r="O164" s="72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72"/>
      <c r="O165" s="72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72"/>
      <c r="O166" s="72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72"/>
      <c r="O167" s="72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72"/>
      <c r="O168" s="72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72"/>
      <c r="O169" s="72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72"/>
      <c r="O170" s="72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72"/>
      <c r="O171" s="72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72"/>
      <c r="O172" s="72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72"/>
      <c r="O173" s="72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72"/>
      <c r="O174" s="72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72"/>
      <c r="O175" s="72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72"/>
      <c r="O176" s="72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72"/>
      <c r="O177" s="72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72"/>
      <c r="O178" s="72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72"/>
      <c r="O179" s="72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72"/>
      <c r="O180" s="72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72"/>
      <c r="O181" s="72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72"/>
      <c r="O182" s="72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72"/>
      <c r="O183" s="72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72"/>
      <c r="O184" s="72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72"/>
      <c r="O185" s="72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72"/>
      <c r="O186" s="72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72"/>
      <c r="O187" s="72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72"/>
      <c r="O188" s="72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72"/>
      <c r="O189" s="72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72"/>
      <c r="O190" s="72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72"/>
      <c r="O191" s="72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72"/>
      <c r="O192" s="72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72"/>
      <c r="O193" s="72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72"/>
      <c r="O194" s="72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72"/>
      <c r="O195" s="72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72"/>
      <c r="O196" s="72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72"/>
      <c r="O197" s="72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72"/>
      <c r="O198" s="72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72"/>
      <c r="O199" s="72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72"/>
      <c r="O200" s="72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72"/>
      <c r="O201" s="72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72"/>
      <c r="O202" s="72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72"/>
      <c r="O203" s="72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72"/>
      <c r="O204" s="72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72"/>
      <c r="O205" s="72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72"/>
      <c r="O206" s="72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72"/>
      <c r="O207" s="72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72"/>
      <c r="O208" s="72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72"/>
      <c r="O209" s="72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72"/>
      <c r="O210" s="72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72"/>
      <c r="O211" s="72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72"/>
      <c r="O212" s="72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72"/>
      <c r="O213" s="72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72"/>
      <c r="O214" s="72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72"/>
      <c r="O215" s="72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72"/>
      <c r="O216" s="72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72"/>
      <c r="O217" s="72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72"/>
      <c r="O218" s="72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72"/>
      <c r="O219" s="72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72"/>
      <c r="O220" s="72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72"/>
      <c r="O221" s="72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72"/>
      <c r="O222" s="72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72"/>
      <c r="O223" s="72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72"/>
      <c r="O224" s="72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72"/>
      <c r="O225" s="72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72"/>
      <c r="O226" s="72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72"/>
      <c r="O227" s="72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72"/>
      <c r="O228" s="72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72"/>
      <c r="O229" s="72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72"/>
      <c r="O230" s="72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72"/>
      <c r="O231" s="72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72"/>
      <c r="O232" s="72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72"/>
      <c r="O233" s="72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72"/>
      <c r="O234" s="72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72"/>
      <c r="O235" s="72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72"/>
      <c r="O236" s="72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72"/>
      <c r="O237" s="72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72"/>
      <c r="O238" s="72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72"/>
      <c r="O239" s="72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72"/>
      <c r="O240" s="72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72"/>
      <c r="O241" s="72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72"/>
      <c r="O242" s="72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72"/>
      <c r="O243" s="72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72"/>
      <c r="O244" s="72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72"/>
      <c r="O245" s="72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72"/>
      <c r="O246" s="72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72"/>
      <c r="O247" s="72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72"/>
      <c r="O248" s="72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72"/>
      <c r="O249" s="72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72"/>
      <c r="O250" s="72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72"/>
      <c r="O251" s="72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72"/>
      <c r="O252" s="72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72"/>
      <c r="O253" s="72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72"/>
      <c r="O254" s="72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72"/>
      <c r="O255" s="72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72"/>
      <c r="O256" s="72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72"/>
      <c r="O257" s="72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72"/>
      <c r="O258" s="72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72"/>
      <c r="O259" s="72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72"/>
      <c r="O260" s="72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72"/>
      <c r="O261" s="72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72"/>
      <c r="O262" s="72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72"/>
      <c r="O263" s="72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72"/>
      <c r="O264" s="72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72"/>
      <c r="O265" s="72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72"/>
      <c r="O266" s="72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72"/>
      <c r="O267" s="72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72"/>
      <c r="O268" s="72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72"/>
      <c r="O269" s="72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72"/>
      <c r="O270" s="72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72"/>
      <c r="O271" s="72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72"/>
      <c r="O272" s="72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72"/>
      <c r="O273" s="72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72"/>
      <c r="O274" s="72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72"/>
      <c r="O275" s="72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72"/>
      <c r="O276" s="72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72"/>
      <c r="O277" s="72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72"/>
      <c r="O278" s="72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72"/>
      <c r="O279" s="72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72"/>
      <c r="O280" s="72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72"/>
      <c r="O281" s="72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72"/>
      <c r="O282" s="72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72"/>
      <c r="O283" s="72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72"/>
      <c r="O284" s="72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72"/>
      <c r="O285" s="72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72"/>
      <c r="O286" s="72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72"/>
      <c r="O287" s="72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72"/>
      <c r="O288" s="72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72"/>
      <c r="O289" s="72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72"/>
      <c r="O290" s="72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72"/>
      <c r="O291" s="72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72"/>
      <c r="O292" s="72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72"/>
      <c r="O293" s="72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72"/>
      <c r="O294" s="72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72"/>
      <c r="O295" s="72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72"/>
      <c r="O296" s="72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72"/>
      <c r="O297" s="72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72"/>
      <c r="O298" s="72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72"/>
      <c r="O299" s="72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72"/>
      <c r="O300" s="72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72"/>
      <c r="O301" s="72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72"/>
      <c r="O302" s="72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72"/>
      <c r="O303" s="72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72"/>
      <c r="O304" s="72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72"/>
      <c r="O305" s="72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72"/>
      <c r="O306" s="72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72"/>
      <c r="O307" s="72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72"/>
      <c r="O308" s="72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72"/>
      <c r="O309" s="72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72"/>
      <c r="O310" s="72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72"/>
      <c r="O311" s="72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72"/>
      <c r="O312" s="72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72"/>
      <c r="O313" s="72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72"/>
      <c r="O314" s="72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72"/>
      <c r="O315" s="72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72"/>
      <c r="O316" s="72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72"/>
      <c r="O317" s="72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72"/>
      <c r="O318" s="72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72"/>
      <c r="O319" s="72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72"/>
      <c r="O320" s="72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72"/>
      <c r="O321" s="72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72"/>
      <c r="O322" s="72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72"/>
      <c r="O323" s="72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72"/>
      <c r="O324" s="72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72"/>
      <c r="O325" s="72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72"/>
      <c r="O326" s="72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72"/>
      <c r="O327" s="72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72"/>
      <c r="O328" s="72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72"/>
      <c r="O329" s="72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72"/>
      <c r="O330" s="72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72"/>
      <c r="O331" s="72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72"/>
      <c r="O332" s="72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72"/>
      <c r="O333" s="72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72"/>
      <c r="O334" s="72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72"/>
      <c r="O335" s="72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72"/>
      <c r="O336" s="72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72"/>
      <c r="O337" s="72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72"/>
      <c r="O338" s="72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72"/>
      <c r="O339" s="72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72"/>
      <c r="O340" s="72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72"/>
      <c r="O341" s="72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72"/>
      <c r="O342" s="72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72"/>
      <c r="O343" s="72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72"/>
      <c r="O344" s="72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72"/>
      <c r="O345" s="72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72"/>
      <c r="O346" s="72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72"/>
      <c r="O347" s="72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72"/>
      <c r="O348" s="72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72"/>
      <c r="O349" s="72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72"/>
      <c r="O350" s="72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72"/>
      <c r="O351" s="72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72"/>
      <c r="O352" s="72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72"/>
      <c r="O353" s="72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72"/>
      <c r="O354" s="72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72"/>
      <c r="O355" s="72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72"/>
      <c r="O356" s="72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72"/>
      <c r="O357" s="72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72"/>
      <c r="O358" s="72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72"/>
      <c r="O359" s="72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72"/>
      <c r="O360" s="72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72"/>
      <c r="O361" s="72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72"/>
      <c r="O362" s="72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72"/>
      <c r="O363" s="72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72"/>
      <c r="O364" s="72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72"/>
      <c r="O365" s="72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72"/>
      <c r="O366" s="72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72"/>
      <c r="O367" s="72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72"/>
      <c r="O368" s="72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72"/>
      <c r="O369" s="72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72"/>
      <c r="O370" s="72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72"/>
      <c r="O371" s="72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72"/>
      <c r="O372" s="72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72"/>
      <c r="O373" s="72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72"/>
      <c r="O374" s="72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72"/>
      <c r="O375" s="72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72"/>
      <c r="O376" s="72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72"/>
      <c r="O377" s="72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72"/>
      <c r="O378" s="72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72"/>
      <c r="O379" s="72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72"/>
      <c r="O380" s="72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72"/>
      <c r="O381" s="72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72"/>
      <c r="O382" s="72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72"/>
      <c r="O383" s="72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72"/>
      <c r="O384" s="72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72"/>
      <c r="O385" s="72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72"/>
      <c r="O386" s="72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72"/>
      <c r="O387" s="72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72"/>
      <c r="O388" s="72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72"/>
      <c r="O389" s="72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72"/>
      <c r="O390" s="72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72"/>
      <c r="O391" s="72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72"/>
      <c r="O392" s="72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72"/>
      <c r="O393" s="72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72"/>
      <c r="O394" s="72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72"/>
      <c r="O395" s="72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72"/>
      <c r="O396" s="72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72"/>
      <c r="O397" s="72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72"/>
      <c r="O398" s="72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72"/>
      <c r="O399" s="72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72"/>
      <c r="O400" s="72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72"/>
      <c r="O401" s="72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72"/>
      <c r="O402" s="72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72"/>
      <c r="O403" s="72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72"/>
      <c r="O404" s="72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72"/>
      <c r="O405" s="72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72"/>
      <c r="O406" s="72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72"/>
      <c r="O407" s="72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72"/>
      <c r="O408" s="72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72"/>
      <c r="O409" s="72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72"/>
      <c r="O410" s="72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72"/>
      <c r="O411" s="72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72"/>
      <c r="O412" s="72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72"/>
      <c r="O413" s="72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72"/>
      <c r="O414" s="72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72"/>
      <c r="O415" s="72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72"/>
      <c r="O416" s="72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72"/>
      <c r="O417" s="72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72"/>
      <c r="O418" s="72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72"/>
      <c r="O419" s="72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72"/>
      <c r="O420" s="72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72"/>
      <c r="O421" s="72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72"/>
      <c r="O422" s="72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72"/>
      <c r="O423" s="72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72"/>
      <c r="O424" s="72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72"/>
      <c r="O425" s="72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72"/>
      <c r="O426" s="72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72"/>
      <c r="O427" s="72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72"/>
      <c r="O428" s="72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72"/>
      <c r="O429" s="72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72"/>
      <c r="O430" s="72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72"/>
      <c r="O431" s="72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72"/>
      <c r="O432" s="72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72"/>
      <c r="O433" s="72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72"/>
      <c r="O434" s="72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72"/>
      <c r="O435" s="72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72"/>
      <c r="O436" s="72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72"/>
      <c r="O437" s="72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72"/>
      <c r="O438" s="72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72"/>
      <c r="O439" s="72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72"/>
      <c r="O440" s="72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72"/>
      <c r="O441" s="72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72"/>
      <c r="O442" s="72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72"/>
      <c r="O443" s="72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72"/>
      <c r="O444" s="72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72"/>
      <c r="O445" s="72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72"/>
      <c r="O446" s="72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72"/>
      <c r="O447" s="72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72"/>
      <c r="O448" s="72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72"/>
      <c r="O449" s="72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72"/>
      <c r="O450" s="72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72"/>
      <c r="O451" s="72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72"/>
      <c r="O452" s="72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72"/>
      <c r="O453" s="72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72"/>
      <c r="O454" s="72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72"/>
      <c r="O455" s="72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72"/>
      <c r="O456" s="72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72"/>
      <c r="O457" s="72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72"/>
      <c r="O458" s="72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72"/>
      <c r="O459" s="72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72"/>
      <c r="O460" s="72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72"/>
      <c r="O461" s="72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72"/>
      <c r="O462" s="72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72"/>
      <c r="O463" s="72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72"/>
      <c r="O464" s="72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72"/>
      <c r="O465" s="72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72"/>
      <c r="O466" s="72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72"/>
      <c r="O467" s="72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72"/>
      <c r="O468" s="72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72"/>
      <c r="O469" s="72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72"/>
      <c r="O470" s="72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72"/>
      <c r="O471" s="72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72"/>
      <c r="O472" s="72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72"/>
      <c r="O473" s="72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72"/>
      <c r="O474" s="72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72"/>
      <c r="O475" s="72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72"/>
      <c r="O476" s="72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72"/>
      <c r="O477" s="72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72"/>
      <c r="O478" s="72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72"/>
      <c r="O479" s="72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72"/>
      <c r="O480" s="72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72"/>
      <c r="O481" s="72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72"/>
      <c r="O482" s="72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72"/>
      <c r="O483" s="72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72"/>
      <c r="O484" s="72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72"/>
      <c r="O485" s="72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72"/>
      <c r="O486" s="72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72"/>
      <c r="O487" s="72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72"/>
      <c r="O488" s="72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72"/>
      <c r="O489" s="72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72"/>
      <c r="O490" s="72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72"/>
      <c r="O491" s="72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72"/>
      <c r="O492" s="72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72"/>
      <c r="O493" s="72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72"/>
      <c r="O494" s="72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72"/>
      <c r="O495" s="72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72"/>
      <c r="O496" s="72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72"/>
      <c r="O497" s="72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72"/>
      <c r="O498" s="72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72"/>
      <c r="O499" s="72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72"/>
      <c r="O500" s="72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72"/>
      <c r="O501" s="72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72"/>
      <c r="O502" s="72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72"/>
      <c r="O503" s="72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72"/>
      <c r="O504" s="72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72"/>
      <c r="O505" s="72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72"/>
      <c r="O506" s="72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72"/>
      <c r="O507" s="72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72"/>
      <c r="O508" s="72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72"/>
      <c r="O509" s="72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72"/>
      <c r="O510" s="72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72"/>
      <c r="O511" s="72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72"/>
      <c r="O512" s="72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72"/>
      <c r="O513" s="72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72"/>
      <c r="O514" s="72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72"/>
      <c r="O515" s="72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72"/>
      <c r="O516" s="72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72"/>
      <c r="O517" s="72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72"/>
      <c r="O518" s="72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72"/>
      <c r="O519" s="72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72"/>
      <c r="O520" s="72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72"/>
      <c r="O521" s="72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72"/>
      <c r="O522" s="72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72"/>
      <c r="O523" s="72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72"/>
      <c r="O524" s="72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72"/>
      <c r="O525" s="72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72"/>
      <c r="O526" s="72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72"/>
      <c r="O527" s="72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72"/>
      <c r="O528" s="72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72"/>
      <c r="O529" s="72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72"/>
      <c r="O530" s="72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72"/>
      <c r="O531" s="72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72"/>
      <c r="O532" s="72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72"/>
      <c r="O533" s="72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72"/>
      <c r="O534" s="72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72"/>
      <c r="O535" s="72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72"/>
      <c r="O536" s="72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72"/>
      <c r="O537" s="72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72"/>
      <c r="O538" s="72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72"/>
      <c r="O539" s="72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72"/>
      <c r="O540" s="72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72"/>
      <c r="O541" s="72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72"/>
      <c r="O542" s="72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72"/>
      <c r="O543" s="72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72"/>
      <c r="O544" s="72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72"/>
      <c r="O545" s="72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72"/>
      <c r="O546" s="72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72"/>
      <c r="O547" s="72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72"/>
      <c r="O548" s="72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72"/>
      <c r="O549" s="72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72"/>
      <c r="O550" s="72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72"/>
      <c r="O551" s="72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72"/>
      <c r="O552" s="72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72"/>
      <c r="O553" s="72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72"/>
      <c r="O554" s="72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72"/>
      <c r="O555" s="72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72"/>
      <c r="O556" s="72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72"/>
      <c r="O557" s="72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72"/>
      <c r="O558" s="72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72"/>
      <c r="O559" s="72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72"/>
      <c r="O560" s="72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72"/>
      <c r="O561" s="72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72"/>
      <c r="O562" s="72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72"/>
      <c r="O563" s="72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72"/>
      <c r="O564" s="72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72"/>
      <c r="O565" s="72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72"/>
      <c r="O566" s="72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72"/>
      <c r="O567" s="72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72"/>
      <c r="O568" s="72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72"/>
      <c r="O569" s="72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72"/>
      <c r="O570" s="72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72"/>
      <c r="O571" s="72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72"/>
      <c r="O572" s="72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72"/>
      <c r="O573" s="72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72"/>
      <c r="O574" s="72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72"/>
      <c r="O575" s="72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72"/>
      <c r="O576" s="72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72"/>
      <c r="O577" s="72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72"/>
      <c r="O578" s="72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72"/>
      <c r="O579" s="72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72"/>
      <c r="O580" s="72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72"/>
      <c r="O581" s="72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72"/>
      <c r="O582" s="72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72"/>
      <c r="O583" s="72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72"/>
      <c r="O584" s="72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72"/>
      <c r="O585" s="72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72"/>
      <c r="O586" s="72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72"/>
      <c r="O587" s="72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72"/>
      <c r="O588" s="72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72"/>
      <c r="O589" s="72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72"/>
      <c r="O590" s="72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72"/>
      <c r="O591" s="72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72"/>
      <c r="O592" s="72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72"/>
      <c r="O593" s="72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72"/>
      <c r="O594" s="72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72"/>
      <c r="O595" s="72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72"/>
      <c r="O596" s="72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72"/>
      <c r="O597" s="72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72"/>
      <c r="O598" s="72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72"/>
      <c r="O599" s="72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72"/>
      <c r="O600" s="72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72"/>
      <c r="O601" s="72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72"/>
      <c r="O602" s="72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72"/>
      <c r="O603" s="72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72"/>
      <c r="O604" s="72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72"/>
      <c r="O605" s="72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72"/>
      <c r="O606" s="72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72"/>
      <c r="O607" s="72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72"/>
      <c r="O608" s="72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72"/>
      <c r="O609" s="72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72"/>
      <c r="O610" s="72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72"/>
      <c r="O611" s="72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72"/>
      <c r="O612" s="72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72"/>
      <c r="O613" s="72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72"/>
      <c r="O614" s="72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72"/>
      <c r="O615" s="72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72"/>
      <c r="O616" s="72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72"/>
      <c r="O617" s="72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72"/>
      <c r="O618" s="72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72"/>
      <c r="O619" s="72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72"/>
      <c r="O620" s="72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72"/>
      <c r="O621" s="72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72"/>
      <c r="O622" s="72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72"/>
      <c r="O623" s="72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72"/>
      <c r="O624" s="72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72"/>
      <c r="O625" s="72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72"/>
      <c r="O626" s="72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72"/>
      <c r="O627" s="72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72"/>
      <c r="O628" s="72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72"/>
      <c r="O629" s="72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72"/>
      <c r="O630" s="72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72"/>
      <c r="O631" s="72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72"/>
      <c r="O632" s="72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72"/>
      <c r="O633" s="72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72"/>
      <c r="O634" s="72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72"/>
      <c r="O635" s="72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72"/>
      <c r="O636" s="72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72"/>
      <c r="O637" s="72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72"/>
      <c r="O638" s="72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72"/>
      <c r="O639" s="72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72"/>
      <c r="O640" s="72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72"/>
      <c r="O641" s="72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72"/>
      <c r="O642" s="72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72"/>
      <c r="O643" s="72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72"/>
      <c r="O644" s="72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72"/>
      <c r="O645" s="72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72"/>
      <c r="O646" s="72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72"/>
      <c r="O647" s="72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72"/>
      <c r="O648" s="72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72"/>
      <c r="O649" s="72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72"/>
      <c r="O650" s="72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72"/>
      <c r="O651" s="72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72"/>
      <c r="O652" s="72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72"/>
      <c r="O653" s="72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72"/>
      <c r="O654" s="72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72"/>
      <c r="O655" s="72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72"/>
      <c r="O656" s="72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72"/>
      <c r="O657" s="72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72"/>
      <c r="O658" s="72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72"/>
      <c r="O659" s="72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72"/>
      <c r="O660" s="72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72"/>
      <c r="O661" s="72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72"/>
      <c r="O662" s="72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72"/>
      <c r="O663" s="72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72"/>
      <c r="O664" s="72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72"/>
      <c r="O665" s="72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72"/>
      <c r="O666" s="72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72"/>
      <c r="O667" s="72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72"/>
      <c r="O668" s="72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72"/>
      <c r="O669" s="72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72"/>
      <c r="O670" s="72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72"/>
      <c r="O671" s="72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72"/>
      <c r="O672" s="72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72"/>
      <c r="O673" s="72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72"/>
      <c r="O674" s="72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72"/>
      <c r="O675" s="72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72"/>
      <c r="O676" s="72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72"/>
      <c r="O677" s="72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72"/>
      <c r="O678" s="72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72"/>
      <c r="O679" s="72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72"/>
      <c r="O680" s="72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72"/>
      <c r="O681" s="72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72"/>
      <c r="O682" s="72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72"/>
      <c r="O683" s="72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72"/>
      <c r="O684" s="72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72"/>
      <c r="O685" s="72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72"/>
      <c r="O686" s="72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72"/>
      <c r="O687" s="72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72"/>
      <c r="O688" s="72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72"/>
      <c r="O689" s="72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72"/>
      <c r="O690" s="72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72"/>
      <c r="O691" s="72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72"/>
      <c r="O692" s="72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72"/>
      <c r="O693" s="72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72"/>
      <c r="O694" s="72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72"/>
      <c r="O695" s="72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72"/>
      <c r="O696" s="72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72"/>
      <c r="O697" s="72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72"/>
      <c r="O698" s="72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72"/>
      <c r="O699" s="72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72"/>
      <c r="O700" s="72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72"/>
      <c r="O701" s="72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72"/>
      <c r="O702" s="72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72"/>
      <c r="O703" s="72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72"/>
      <c r="O704" s="72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72"/>
      <c r="O705" s="72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72"/>
      <c r="O706" s="72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72"/>
      <c r="O707" s="72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72"/>
      <c r="O708" s="72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72"/>
      <c r="O709" s="72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72"/>
      <c r="O710" s="72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72"/>
      <c r="O711" s="72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72"/>
      <c r="O712" s="72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72"/>
      <c r="O713" s="72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72"/>
      <c r="O714" s="72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72"/>
      <c r="O715" s="72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72"/>
      <c r="O716" s="72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72"/>
      <c r="O717" s="72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72"/>
      <c r="O718" s="72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72"/>
      <c r="O719" s="72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72"/>
      <c r="O720" s="72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72"/>
      <c r="O721" s="72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72"/>
      <c r="O722" s="72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72"/>
      <c r="O723" s="72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72"/>
      <c r="O724" s="72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72"/>
      <c r="O725" s="72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72"/>
      <c r="O726" s="72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72"/>
      <c r="O727" s="72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72"/>
      <c r="O728" s="72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72"/>
      <c r="O729" s="72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72"/>
      <c r="O730" s="72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72"/>
      <c r="O731" s="72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72"/>
      <c r="O732" s="72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72"/>
      <c r="O733" s="72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72"/>
      <c r="O734" s="72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72"/>
      <c r="O735" s="72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72"/>
      <c r="O736" s="72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72"/>
      <c r="O737" s="72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72"/>
      <c r="O738" s="72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72"/>
      <c r="O739" s="72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72"/>
      <c r="O740" s="72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72"/>
      <c r="O741" s="72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72"/>
      <c r="O742" s="72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72"/>
      <c r="O743" s="72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72"/>
      <c r="O744" s="72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72"/>
      <c r="O745" s="72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72"/>
      <c r="O746" s="72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72"/>
      <c r="O747" s="72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72"/>
      <c r="O748" s="72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72"/>
      <c r="O749" s="72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72"/>
      <c r="O750" s="72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72"/>
      <c r="O751" s="72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72"/>
      <c r="O752" s="72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72"/>
      <c r="O753" s="72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72"/>
      <c r="O754" s="72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72"/>
      <c r="O755" s="72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72"/>
      <c r="O756" s="72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72"/>
      <c r="O757" s="72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72"/>
      <c r="O758" s="72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72"/>
      <c r="O759" s="72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72"/>
      <c r="O760" s="72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72"/>
      <c r="O761" s="72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72"/>
      <c r="O762" s="72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72"/>
      <c r="O763" s="72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72"/>
      <c r="O764" s="72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72"/>
      <c r="O765" s="72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72"/>
      <c r="O766" s="72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72"/>
      <c r="O767" s="72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72"/>
      <c r="O768" s="72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72"/>
      <c r="O769" s="72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72"/>
      <c r="O770" s="72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72"/>
      <c r="O771" s="72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72"/>
      <c r="O772" s="72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72"/>
      <c r="O773" s="72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72"/>
      <c r="O774" s="72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72"/>
      <c r="O775" s="72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72"/>
      <c r="O776" s="72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72"/>
      <c r="O777" s="72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72"/>
      <c r="O778" s="72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72"/>
      <c r="O779" s="72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72"/>
      <c r="O780" s="72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72"/>
      <c r="O781" s="72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72"/>
      <c r="O782" s="72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72"/>
      <c r="O783" s="72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72"/>
      <c r="O784" s="72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72"/>
      <c r="O785" s="72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72"/>
      <c r="O786" s="72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72"/>
      <c r="O787" s="72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72"/>
      <c r="O788" s="72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72"/>
      <c r="O789" s="72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72"/>
      <c r="O790" s="72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72"/>
      <c r="O791" s="72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72"/>
      <c r="O792" s="72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72"/>
      <c r="O793" s="72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72"/>
      <c r="O794" s="72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72"/>
      <c r="O795" s="72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72"/>
      <c r="O796" s="72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72"/>
      <c r="O797" s="72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72"/>
      <c r="O798" s="72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72"/>
      <c r="O799" s="72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72"/>
      <c r="O800" s="72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72"/>
      <c r="O801" s="72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72"/>
      <c r="O802" s="72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72"/>
      <c r="O803" s="72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72"/>
      <c r="O804" s="72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72"/>
      <c r="O805" s="72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72"/>
      <c r="O806" s="72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72"/>
      <c r="O807" s="72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72"/>
      <c r="O808" s="72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72"/>
      <c r="O809" s="72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72"/>
      <c r="O810" s="72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72"/>
      <c r="O811" s="72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72"/>
      <c r="O812" s="72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72"/>
      <c r="O813" s="72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72"/>
      <c r="O814" s="72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72"/>
      <c r="O815" s="72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72"/>
      <c r="O816" s="72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72"/>
      <c r="O817" s="72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72"/>
      <c r="O818" s="72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72"/>
      <c r="O819" s="72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72"/>
      <c r="O820" s="72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72"/>
      <c r="O821" s="72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72"/>
      <c r="O822" s="72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72"/>
      <c r="O823" s="72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72"/>
      <c r="O824" s="72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72"/>
      <c r="O825" s="72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72"/>
      <c r="O826" s="72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72"/>
      <c r="O827" s="72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72"/>
      <c r="O828" s="72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72"/>
      <c r="O829" s="72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72"/>
      <c r="O830" s="72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72"/>
      <c r="O831" s="72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72"/>
      <c r="O832" s="72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72"/>
      <c r="O833" s="72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72"/>
      <c r="O834" s="72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72"/>
      <c r="O835" s="72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72"/>
      <c r="O836" s="72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72"/>
      <c r="O837" s="72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72"/>
      <c r="O838" s="72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72"/>
      <c r="O839" s="72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72"/>
      <c r="O840" s="72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72"/>
      <c r="O841" s="72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72"/>
      <c r="O842" s="72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72"/>
      <c r="O843" s="72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72"/>
      <c r="O844" s="72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72"/>
      <c r="O845" s="72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72"/>
      <c r="O846" s="72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72"/>
      <c r="O847" s="72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72"/>
      <c r="O848" s="72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72"/>
      <c r="O849" s="72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72"/>
      <c r="O850" s="72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72"/>
      <c r="O851" s="72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72"/>
      <c r="O852" s="72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72"/>
      <c r="O853" s="72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72"/>
      <c r="O854" s="72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72"/>
      <c r="O855" s="72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72"/>
      <c r="O856" s="72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72"/>
      <c r="O857" s="72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72"/>
      <c r="O858" s="72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72"/>
      <c r="O859" s="72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72"/>
      <c r="O860" s="72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72"/>
      <c r="O861" s="72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72"/>
      <c r="O862" s="72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72"/>
      <c r="O863" s="72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72"/>
      <c r="O864" s="72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72"/>
      <c r="O865" s="72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72"/>
      <c r="O866" s="72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72"/>
      <c r="O867" s="72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72"/>
      <c r="O868" s="72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72"/>
      <c r="O869" s="72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72"/>
      <c r="O870" s="72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72"/>
      <c r="O871" s="72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72"/>
      <c r="O872" s="72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72"/>
      <c r="O873" s="72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72"/>
      <c r="O874" s="72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72"/>
      <c r="O875" s="72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72"/>
      <c r="O876" s="72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72"/>
      <c r="O877" s="72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72"/>
      <c r="O878" s="72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72"/>
      <c r="O879" s="72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72"/>
      <c r="O880" s="72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72"/>
      <c r="O881" s="72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72"/>
      <c r="O882" s="72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72"/>
      <c r="O883" s="72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72"/>
      <c r="O884" s="72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72"/>
      <c r="O885" s="72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72"/>
      <c r="O886" s="72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72"/>
      <c r="O887" s="72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72"/>
      <c r="O888" s="72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72"/>
      <c r="O889" s="72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72"/>
      <c r="O890" s="72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72"/>
      <c r="O891" s="72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72"/>
      <c r="O892" s="72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72"/>
      <c r="O893" s="72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72"/>
      <c r="O894" s="72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72"/>
      <c r="O895" s="72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72"/>
      <c r="O896" s="72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72"/>
      <c r="O897" s="72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72"/>
      <c r="O898" s="72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72"/>
      <c r="O899" s="72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72"/>
      <c r="O900" s="72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72"/>
      <c r="O901" s="72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72"/>
      <c r="O902" s="72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72"/>
      <c r="O903" s="72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72"/>
      <c r="O904" s="72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72"/>
      <c r="O905" s="72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72"/>
      <c r="O906" s="72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72"/>
      <c r="O907" s="72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72"/>
      <c r="O908" s="72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72"/>
      <c r="O909" s="72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72"/>
      <c r="O910" s="72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72"/>
      <c r="O911" s="72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72"/>
      <c r="O912" s="72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72"/>
      <c r="O913" s="72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72"/>
      <c r="O914" s="72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72"/>
      <c r="O915" s="72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72"/>
      <c r="O916" s="72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72"/>
      <c r="O917" s="72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72"/>
      <c r="O918" s="72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72"/>
      <c r="O919" s="72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72"/>
      <c r="O920" s="72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72"/>
      <c r="O921" s="72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72"/>
      <c r="O922" s="72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72"/>
      <c r="O923" s="72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72"/>
      <c r="O924" s="72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72"/>
      <c r="O925" s="72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72"/>
      <c r="O926" s="72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72"/>
      <c r="O927" s="72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72"/>
      <c r="O928" s="72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72"/>
      <c r="O929" s="72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72"/>
      <c r="O930" s="72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72"/>
      <c r="O931" s="72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72"/>
      <c r="O932" s="72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72"/>
      <c r="O933" s="72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72"/>
      <c r="O934" s="72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72"/>
      <c r="O935" s="72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72"/>
      <c r="O936" s="72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72"/>
      <c r="O937" s="72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72"/>
      <c r="O938" s="72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72"/>
      <c r="O939" s="72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72"/>
      <c r="O940" s="72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72"/>
      <c r="O941" s="72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72"/>
      <c r="O942" s="72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72"/>
      <c r="O943" s="72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72"/>
      <c r="O944" s="72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72"/>
      <c r="O945" s="72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72"/>
      <c r="O946" s="72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72"/>
      <c r="O947" s="72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72"/>
      <c r="O948" s="72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72"/>
      <c r="O949" s="72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72"/>
      <c r="O950" s="72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72"/>
      <c r="O951" s="72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72"/>
      <c r="O952" s="72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72"/>
      <c r="O953" s="72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72"/>
      <c r="O954" s="72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72"/>
      <c r="O955" s="72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72"/>
      <c r="O956" s="72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72"/>
      <c r="O957" s="72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72"/>
      <c r="O958" s="72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72"/>
      <c r="O959" s="72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72"/>
      <c r="O960" s="72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72"/>
      <c r="O961" s="72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72"/>
      <c r="O962" s="72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72"/>
      <c r="O963" s="72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72"/>
      <c r="O964" s="72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72"/>
      <c r="O965" s="72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72"/>
      <c r="O966" s="72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72"/>
      <c r="O967" s="72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72"/>
      <c r="O968" s="72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72"/>
      <c r="O969" s="72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72"/>
      <c r="O970" s="72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72"/>
      <c r="O971" s="72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72"/>
      <c r="O972" s="72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72"/>
      <c r="O973" s="72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72"/>
      <c r="O974" s="72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72"/>
      <c r="O975" s="72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72"/>
      <c r="O976" s="72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72"/>
      <c r="O977" s="72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72"/>
      <c r="O978" s="72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72"/>
      <c r="O979" s="72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72"/>
      <c r="O980" s="72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72"/>
      <c r="O981" s="72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72"/>
      <c r="O982" s="72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72"/>
      <c r="O983" s="72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72"/>
      <c r="O984" s="72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72"/>
      <c r="O985" s="72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72"/>
      <c r="O986" s="72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72"/>
      <c r="O987" s="72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72"/>
      <c r="O988" s="72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72"/>
      <c r="O989" s="72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72"/>
      <c r="O990" s="72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72"/>
      <c r="O991" s="72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72"/>
      <c r="O992" s="72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72"/>
      <c r="O993" s="72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72"/>
      <c r="O994" s="72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72"/>
      <c r="O995" s="72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72"/>
      <c r="O996" s="72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72"/>
      <c r="O997" s="72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72"/>
      <c r="O998" s="72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72"/>
      <c r="O999" s="72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72"/>
      <c r="O1000" s="72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7:C37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11" width="10.71"/>
    <col customWidth="1" min="12" max="12" width="10.29"/>
    <col customWidth="1" min="13" max="13" width="11.14"/>
    <col customWidth="1" min="14" max="14" width="8.71"/>
    <col customWidth="1" min="15" max="15" width="10.86"/>
    <col customWidth="1" min="16" max="16" width="10.71"/>
    <col customWidth="1" min="17" max="17" width="18.71"/>
    <col customWidth="1" min="18" max="18" width="6.86"/>
    <col customWidth="1" min="19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72"/>
      <c r="T1" s="72"/>
      <c r="U1" s="72"/>
      <c r="V1" s="72"/>
      <c r="W1" s="72"/>
      <c r="X1" s="72"/>
      <c r="Y1" s="72"/>
      <c r="Z1" s="7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72"/>
      <c r="T2" s="72"/>
      <c r="U2" s="72"/>
      <c r="V2" s="72"/>
      <c r="W2" s="72"/>
      <c r="X2" s="72"/>
      <c r="Y2" s="72"/>
      <c r="Z2" s="72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72"/>
      <c r="T3" s="72"/>
      <c r="U3" s="72"/>
      <c r="V3" s="72"/>
      <c r="W3" s="72"/>
      <c r="X3" s="72"/>
      <c r="Y3" s="72"/>
      <c r="Z3" s="72"/>
    </row>
    <row r="4">
      <c r="A4" s="24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  <c r="S4" s="72"/>
      <c r="T4" s="72"/>
      <c r="U4" s="72"/>
      <c r="V4" s="72"/>
      <c r="W4" s="72"/>
      <c r="X4" s="72"/>
      <c r="Y4" s="72"/>
      <c r="Z4" s="72"/>
    </row>
    <row r="5">
      <c r="A5" s="10" t="s">
        <v>257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72"/>
      <c r="T5" s="72"/>
      <c r="U5" s="72"/>
      <c r="V5" s="72"/>
      <c r="W5" s="72"/>
      <c r="X5" s="72"/>
      <c r="Y5" s="72"/>
      <c r="Z5" s="72"/>
    </row>
    <row r="6">
      <c r="A6" s="13" t="s">
        <v>157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72"/>
      <c r="T6" s="72"/>
      <c r="U6" s="72"/>
      <c r="V6" s="72"/>
      <c r="W6" s="72"/>
      <c r="X6" s="72"/>
      <c r="Y6" s="72"/>
      <c r="Z6" s="72"/>
    </row>
    <row r="7" ht="15.75" customHeight="1">
      <c r="A7" s="80" t="s">
        <v>23</v>
      </c>
      <c r="B7" s="46" t="s">
        <v>24</v>
      </c>
      <c r="C7" s="81">
        <v>1.0</v>
      </c>
      <c r="D7" s="248" t="s">
        <v>258</v>
      </c>
      <c r="E7" s="83">
        <v>7.21</v>
      </c>
      <c r="F7" s="249" t="s">
        <v>26</v>
      </c>
      <c r="G7" s="83">
        <v>5.08</v>
      </c>
      <c r="H7" s="249" t="s">
        <v>26</v>
      </c>
      <c r="I7" s="249" t="s">
        <v>26</v>
      </c>
      <c r="J7" s="84">
        <v>3.3</v>
      </c>
      <c r="K7" s="249" t="s">
        <v>26</v>
      </c>
      <c r="L7" s="83">
        <v>3.87</v>
      </c>
      <c r="M7" s="83">
        <v>2.48</v>
      </c>
      <c r="N7" s="83">
        <v>4.23</v>
      </c>
      <c r="O7" s="83">
        <v>4.67</v>
      </c>
      <c r="P7" s="249" t="s">
        <v>26</v>
      </c>
      <c r="Q7" s="190">
        <f t="shared" ref="Q7:Q21" si="1">AVERAGE(E7,F7,G7,H7,I7,J7,K7,L7,M7,N7,O7,P7)</f>
        <v>4.405714286</v>
      </c>
      <c r="R7" s="162">
        <v>6.0</v>
      </c>
      <c r="S7" s="72"/>
      <c r="T7" s="72"/>
      <c r="U7" s="72"/>
      <c r="V7" s="72"/>
      <c r="W7" s="72"/>
      <c r="X7" s="72"/>
      <c r="Y7" s="72"/>
      <c r="Z7" s="72"/>
    </row>
    <row r="8" ht="15.75" customHeight="1">
      <c r="A8" s="20"/>
      <c r="B8" s="21"/>
      <c r="C8" s="22">
        <v>2.0</v>
      </c>
      <c r="D8" s="175" t="s">
        <v>259</v>
      </c>
      <c r="E8" s="85">
        <v>7.91</v>
      </c>
      <c r="F8" s="199" t="s">
        <v>26</v>
      </c>
      <c r="G8" s="85">
        <v>4.96</v>
      </c>
      <c r="H8" s="199" t="s">
        <v>26</v>
      </c>
      <c r="I8" s="199" t="s">
        <v>26</v>
      </c>
      <c r="J8" s="24">
        <v>3.53</v>
      </c>
      <c r="K8" s="199" t="s">
        <v>26</v>
      </c>
      <c r="L8" s="85">
        <v>3.58</v>
      </c>
      <c r="M8" s="85">
        <v>2.84</v>
      </c>
      <c r="N8" s="85">
        <v>4.34</v>
      </c>
      <c r="O8" s="85">
        <v>4.72</v>
      </c>
      <c r="P8" s="199" t="s">
        <v>26</v>
      </c>
      <c r="Q8" s="192">
        <f t="shared" si="1"/>
        <v>4.554285714</v>
      </c>
      <c r="R8" s="23">
        <v>6.0</v>
      </c>
      <c r="S8" s="72"/>
      <c r="T8" s="72"/>
      <c r="U8" s="72"/>
      <c r="V8" s="72"/>
      <c r="W8" s="72"/>
      <c r="X8" s="72"/>
      <c r="Y8" s="72"/>
      <c r="Z8" s="72"/>
    </row>
    <row r="9" ht="15.75" customHeight="1">
      <c r="A9" s="20"/>
      <c r="B9" s="26"/>
      <c r="C9" s="22">
        <v>3.0</v>
      </c>
      <c r="D9" s="175" t="s">
        <v>260</v>
      </c>
      <c r="E9" s="24">
        <v>8.1</v>
      </c>
      <c r="F9" s="199" t="s">
        <v>26</v>
      </c>
      <c r="G9" s="85">
        <v>4.51</v>
      </c>
      <c r="H9" s="199" t="s">
        <v>26</v>
      </c>
      <c r="I9" s="199" t="s">
        <v>26</v>
      </c>
      <c r="J9" s="24">
        <v>3.61</v>
      </c>
      <c r="K9" s="199" t="s">
        <v>26</v>
      </c>
      <c r="L9" s="85">
        <v>3.41</v>
      </c>
      <c r="M9" s="85">
        <v>2.61</v>
      </c>
      <c r="N9" s="85">
        <v>3.38</v>
      </c>
      <c r="O9" s="85">
        <v>4.69</v>
      </c>
      <c r="P9" s="199" t="s">
        <v>26</v>
      </c>
      <c r="Q9" s="192">
        <f t="shared" si="1"/>
        <v>4.33</v>
      </c>
      <c r="R9" s="23">
        <v>6.0</v>
      </c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"/>
      <c r="B10" s="15" t="s">
        <v>32</v>
      </c>
      <c r="C10" s="16">
        <v>1.0</v>
      </c>
      <c r="D10" s="160" t="s">
        <v>258</v>
      </c>
      <c r="E10" s="120">
        <v>12.0</v>
      </c>
      <c r="F10" s="120">
        <v>51.0</v>
      </c>
      <c r="G10" s="120">
        <v>43.0</v>
      </c>
      <c r="H10" s="249" t="s">
        <v>26</v>
      </c>
      <c r="I10" s="249" t="s">
        <v>26</v>
      </c>
      <c r="J10" s="120">
        <v>47.0</v>
      </c>
      <c r="K10" s="249" t="s">
        <v>26</v>
      </c>
      <c r="L10" s="83">
        <v>51.0</v>
      </c>
      <c r="M10" s="120">
        <v>37.0</v>
      </c>
      <c r="N10" s="120">
        <v>37.0</v>
      </c>
      <c r="O10" s="120">
        <v>29.0</v>
      </c>
      <c r="P10" s="249" t="s">
        <v>26</v>
      </c>
      <c r="Q10" s="194">
        <f t="shared" si="1"/>
        <v>38.375</v>
      </c>
      <c r="R10" s="17">
        <v>50.0</v>
      </c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"/>
      <c r="B11" s="21"/>
      <c r="C11" s="22">
        <v>2.0</v>
      </c>
      <c r="D11" s="175" t="s">
        <v>259</v>
      </c>
      <c r="E11" s="85">
        <v>21.0</v>
      </c>
      <c r="F11" s="85">
        <v>46.0</v>
      </c>
      <c r="G11" s="85">
        <v>57.0</v>
      </c>
      <c r="H11" s="199" t="s">
        <v>26</v>
      </c>
      <c r="I11" s="199" t="s">
        <v>26</v>
      </c>
      <c r="J11" s="85">
        <v>32.0</v>
      </c>
      <c r="K11" s="199" t="s">
        <v>26</v>
      </c>
      <c r="L11" s="85">
        <v>49.0</v>
      </c>
      <c r="M11" s="85">
        <v>42.0</v>
      </c>
      <c r="N11" s="85">
        <v>26.0</v>
      </c>
      <c r="O11" s="85">
        <v>82.0</v>
      </c>
      <c r="P11" s="199" t="s">
        <v>26</v>
      </c>
      <c r="Q11" s="195">
        <f t="shared" si="1"/>
        <v>44.375</v>
      </c>
      <c r="R11" s="23">
        <v>50.0</v>
      </c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"/>
      <c r="B12" s="26"/>
      <c r="C12" s="22">
        <v>3.0</v>
      </c>
      <c r="D12" s="175" t="s">
        <v>260</v>
      </c>
      <c r="E12" s="85">
        <v>23.0</v>
      </c>
      <c r="F12" s="85">
        <v>43.0</v>
      </c>
      <c r="G12" s="85">
        <v>58.0</v>
      </c>
      <c r="H12" s="199" t="s">
        <v>26</v>
      </c>
      <c r="I12" s="199" t="s">
        <v>26</v>
      </c>
      <c r="J12" s="85">
        <v>22.0</v>
      </c>
      <c r="K12" s="199" t="s">
        <v>26</v>
      </c>
      <c r="L12" s="85">
        <v>21.0</v>
      </c>
      <c r="M12" s="85">
        <v>30.0</v>
      </c>
      <c r="N12" s="85">
        <v>30.0</v>
      </c>
      <c r="O12" s="85">
        <v>33.0</v>
      </c>
      <c r="P12" s="199" t="s">
        <v>26</v>
      </c>
      <c r="Q12" s="195">
        <f t="shared" si="1"/>
        <v>32.5</v>
      </c>
      <c r="R12" s="23">
        <v>50.0</v>
      </c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"/>
      <c r="B13" s="15" t="s">
        <v>33</v>
      </c>
      <c r="C13" s="16">
        <v>1.0</v>
      </c>
      <c r="D13" s="160" t="s">
        <v>258</v>
      </c>
      <c r="E13" s="120">
        <v>8.16</v>
      </c>
      <c r="F13" s="183" t="s">
        <v>26</v>
      </c>
      <c r="G13" s="18">
        <v>7.93</v>
      </c>
      <c r="H13" s="249" t="s">
        <v>26</v>
      </c>
      <c r="I13" s="249" t="s">
        <v>26</v>
      </c>
      <c r="J13" s="120">
        <v>7.84</v>
      </c>
      <c r="K13" s="249" t="s">
        <v>26</v>
      </c>
      <c r="L13" s="18">
        <v>7.83</v>
      </c>
      <c r="M13" s="120">
        <v>7.24</v>
      </c>
      <c r="N13" s="120">
        <v>8.5</v>
      </c>
      <c r="O13" s="120">
        <v>7.37</v>
      </c>
      <c r="P13" s="249" t="s">
        <v>26</v>
      </c>
      <c r="Q13" s="190">
        <f t="shared" si="1"/>
        <v>7.838571429</v>
      </c>
      <c r="R13" s="59" t="s">
        <v>161</v>
      </c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"/>
      <c r="B14" s="21"/>
      <c r="C14" s="22">
        <v>2.0</v>
      </c>
      <c r="D14" s="175" t="s">
        <v>259</v>
      </c>
      <c r="E14" s="85">
        <v>8.48</v>
      </c>
      <c r="F14" s="199" t="s">
        <v>26</v>
      </c>
      <c r="G14" s="24">
        <v>7.98</v>
      </c>
      <c r="H14" s="199" t="s">
        <v>26</v>
      </c>
      <c r="I14" s="199" t="s">
        <v>26</v>
      </c>
      <c r="J14" s="24">
        <v>7.9</v>
      </c>
      <c r="K14" s="199" t="s">
        <v>26</v>
      </c>
      <c r="L14" s="24">
        <v>8.08</v>
      </c>
      <c r="M14" s="85">
        <v>7.15</v>
      </c>
      <c r="N14" s="85">
        <v>8.56</v>
      </c>
      <c r="O14" s="85">
        <v>7.37</v>
      </c>
      <c r="P14" s="199" t="s">
        <v>26</v>
      </c>
      <c r="Q14" s="192">
        <f t="shared" si="1"/>
        <v>7.931428571</v>
      </c>
      <c r="R14" s="60" t="s">
        <v>161</v>
      </c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"/>
      <c r="B15" s="26"/>
      <c r="C15" s="22">
        <v>3.0</v>
      </c>
      <c r="D15" s="175" t="s">
        <v>260</v>
      </c>
      <c r="E15" s="85">
        <v>7.98</v>
      </c>
      <c r="F15" s="199" t="s">
        <v>26</v>
      </c>
      <c r="G15" s="24">
        <v>8.0</v>
      </c>
      <c r="H15" s="199" t="s">
        <v>26</v>
      </c>
      <c r="I15" s="199" t="s">
        <v>26</v>
      </c>
      <c r="J15" s="85">
        <v>7.95</v>
      </c>
      <c r="K15" s="199" t="s">
        <v>26</v>
      </c>
      <c r="L15" s="24">
        <v>8.1</v>
      </c>
      <c r="M15" s="85">
        <v>7.12</v>
      </c>
      <c r="N15" s="85">
        <v>8.33</v>
      </c>
      <c r="O15" s="85">
        <v>7.28</v>
      </c>
      <c r="P15" s="199" t="s">
        <v>26</v>
      </c>
      <c r="Q15" s="192">
        <f t="shared" si="1"/>
        <v>7.822857143</v>
      </c>
      <c r="R15" s="60" t="s">
        <v>161</v>
      </c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"/>
      <c r="B16" s="15" t="s">
        <v>261</v>
      </c>
      <c r="C16" s="16">
        <v>1.0</v>
      </c>
      <c r="D16" s="160" t="s">
        <v>258</v>
      </c>
      <c r="E16" s="18">
        <v>29.8</v>
      </c>
      <c r="F16" s="183" t="s">
        <v>26</v>
      </c>
      <c r="G16" s="18">
        <v>27.6</v>
      </c>
      <c r="H16" s="249" t="s">
        <v>26</v>
      </c>
      <c r="I16" s="249" t="s">
        <v>26</v>
      </c>
      <c r="J16" s="18">
        <v>30.18</v>
      </c>
      <c r="K16" s="249" t="s">
        <v>26</v>
      </c>
      <c r="L16" s="18">
        <v>29.6</v>
      </c>
      <c r="M16" s="18">
        <v>31.77</v>
      </c>
      <c r="N16" s="18">
        <v>27.88</v>
      </c>
      <c r="O16" s="18">
        <v>29.7</v>
      </c>
      <c r="P16" s="249" t="s">
        <v>26</v>
      </c>
      <c r="Q16" s="190">
        <f t="shared" si="1"/>
        <v>29.50428571</v>
      </c>
      <c r="R16" s="18" t="s">
        <v>163</v>
      </c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"/>
      <c r="B17" s="21"/>
      <c r="C17" s="22">
        <v>2.0</v>
      </c>
      <c r="D17" s="175" t="s">
        <v>259</v>
      </c>
      <c r="E17" s="24">
        <v>28.9</v>
      </c>
      <c r="F17" s="199" t="s">
        <v>26</v>
      </c>
      <c r="G17" s="24">
        <v>27.8</v>
      </c>
      <c r="H17" s="199" t="s">
        <v>26</v>
      </c>
      <c r="I17" s="199" t="s">
        <v>26</v>
      </c>
      <c r="J17" s="24">
        <v>30.3</v>
      </c>
      <c r="K17" s="199" t="s">
        <v>26</v>
      </c>
      <c r="L17" s="24">
        <v>30.1</v>
      </c>
      <c r="M17" s="24">
        <v>31.6</v>
      </c>
      <c r="N17" s="24">
        <v>28.8</v>
      </c>
      <c r="O17" s="24">
        <v>29.8</v>
      </c>
      <c r="P17" s="199" t="s">
        <v>26</v>
      </c>
      <c r="Q17" s="192">
        <f t="shared" si="1"/>
        <v>29.61428571</v>
      </c>
      <c r="R17" s="24" t="s">
        <v>163</v>
      </c>
      <c r="S17" s="72"/>
      <c r="T17" s="72"/>
      <c r="U17" s="72"/>
      <c r="V17" s="72"/>
      <c r="W17" s="72"/>
      <c r="X17" s="72"/>
      <c r="Y17" s="72"/>
      <c r="Z17" s="72"/>
    </row>
    <row r="18">
      <c r="A18" s="20"/>
      <c r="B18" s="26"/>
      <c r="C18" s="22">
        <v>3.0</v>
      </c>
      <c r="D18" s="175" t="s">
        <v>260</v>
      </c>
      <c r="E18" s="24">
        <v>28.18</v>
      </c>
      <c r="F18" s="199" t="s">
        <v>26</v>
      </c>
      <c r="G18" s="24">
        <v>27.7</v>
      </c>
      <c r="H18" s="199" t="s">
        <v>26</v>
      </c>
      <c r="I18" s="199" t="s">
        <v>26</v>
      </c>
      <c r="J18" s="24">
        <v>30.4</v>
      </c>
      <c r="K18" s="199" t="s">
        <v>26</v>
      </c>
      <c r="L18" s="24">
        <v>30.5</v>
      </c>
      <c r="M18" s="24">
        <v>31.6</v>
      </c>
      <c r="N18" s="24">
        <v>28.18</v>
      </c>
      <c r="O18" s="24">
        <v>29.7</v>
      </c>
      <c r="P18" s="199" t="s">
        <v>26</v>
      </c>
      <c r="Q18" s="192">
        <f t="shared" si="1"/>
        <v>29.46571429</v>
      </c>
      <c r="R18" s="24" t="s">
        <v>163</v>
      </c>
      <c r="S18" s="72"/>
      <c r="T18" s="72"/>
      <c r="U18" s="72"/>
      <c r="V18" s="72"/>
      <c r="W18" s="72"/>
      <c r="X18" s="72"/>
      <c r="Y18" s="72"/>
      <c r="Z18" s="72"/>
    </row>
    <row r="19">
      <c r="A19" s="20"/>
      <c r="B19" s="15" t="s">
        <v>37</v>
      </c>
      <c r="C19" s="16">
        <v>1.0</v>
      </c>
      <c r="D19" s="160" t="s">
        <v>258</v>
      </c>
      <c r="E19" s="120">
        <v>5.0</v>
      </c>
      <c r="F19" s="120">
        <v>3.0</v>
      </c>
      <c r="G19" s="120">
        <v>3.0</v>
      </c>
      <c r="H19" s="249" t="s">
        <v>26</v>
      </c>
      <c r="I19" s="249" t="s">
        <v>26</v>
      </c>
      <c r="J19" s="120">
        <v>5.0</v>
      </c>
      <c r="K19" s="249" t="s">
        <v>26</v>
      </c>
      <c r="L19" s="83">
        <v>5.0</v>
      </c>
      <c r="M19" s="120">
        <v>5.0</v>
      </c>
      <c r="N19" s="120">
        <v>5.0</v>
      </c>
      <c r="O19" s="120">
        <v>5.0</v>
      </c>
      <c r="P19" s="249" t="s">
        <v>26</v>
      </c>
      <c r="Q19" s="194">
        <f t="shared" si="1"/>
        <v>4.5</v>
      </c>
      <c r="R19" s="27">
        <v>50.0</v>
      </c>
      <c r="S19" s="72"/>
      <c r="T19" s="72"/>
      <c r="U19" s="72"/>
      <c r="V19" s="72"/>
      <c r="W19" s="72"/>
      <c r="X19" s="72"/>
      <c r="Y19" s="72"/>
      <c r="Z19" s="72"/>
    </row>
    <row r="20">
      <c r="A20" s="20"/>
      <c r="B20" s="21"/>
      <c r="C20" s="22">
        <v>2.0</v>
      </c>
      <c r="D20" s="175" t="s">
        <v>259</v>
      </c>
      <c r="E20" s="85">
        <v>3.0</v>
      </c>
      <c r="F20" s="85">
        <v>3.0</v>
      </c>
      <c r="G20" s="85">
        <v>3.0</v>
      </c>
      <c r="H20" s="199" t="s">
        <v>26</v>
      </c>
      <c r="I20" s="199" t="s">
        <v>26</v>
      </c>
      <c r="J20" s="85">
        <v>3.0</v>
      </c>
      <c r="K20" s="199" t="s">
        <v>26</v>
      </c>
      <c r="L20" s="85">
        <v>5.0</v>
      </c>
      <c r="M20" s="85">
        <v>3.0</v>
      </c>
      <c r="N20" s="85">
        <v>5.0</v>
      </c>
      <c r="O20" s="85">
        <v>5.0</v>
      </c>
      <c r="P20" s="199" t="s">
        <v>26</v>
      </c>
      <c r="Q20" s="195">
        <f t="shared" si="1"/>
        <v>3.75</v>
      </c>
      <c r="R20" s="29">
        <v>50.0</v>
      </c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"/>
      <c r="B21" s="26"/>
      <c r="C21" s="22">
        <v>3.0</v>
      </c>
      <c r="D21" s="175" t="s">
        <v>260</v>
      </c>
      <c r="E21" s="85">
        <v>3.0</v>
      </c>
      <c r="F21" s="85">
        <v>3.0</v>
      </c>
      <c r="G21" s="85">
        <v>3.0</v>
      </c>
      <c r="H21" s="199" t="s">
        <v>26</v>
      </c>
      <c r="I21" s="199" t="s">
        <v>26</v>
      </c>
      <c r="J21" s="85">
        <v>3.0</v>
      </c>
      <c r="K21" s="199" t="s">
        <v>26</v>
      </c>
      <c r="L21" s="85">
        <v>5.0</v>
      </c>
      <c r="M21" s="85">
        <v>3.0</v>
      </c>
      <c r="N21" s="85">
        <v>3.0</v>
      </c>
      <c r="O21" s="85">
        <v>5.0</v>
      </c>
      <c r="P21" s="199" t="s">
        <v>26</v>
      </c>
      <c r="Q21" s="195">
        <f t="shared" si="1"/>
        <v>3.5</v>
      </c>
      <c r="R21" s="29">
        <v>50.0</v>
      </c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"/>
      <c r="B22" s="15" t="s">
        <v>38</v>
      </c>
      <c r="C22" s="16">
        <v>1.0</v>
      </c>
      <c r="D22" s="160" t="s">
        <v>258</v>
      </c>
      <c r="E22" s="32">
        <v>3500000.0</v>
      </c>
      <c r="F22" s="120">
        <v>280.0</v>
      </c>
      <c r="G22" s="110">
        <v>68.0</v>
      </c>
      <c r="H22" s="249" t="s">
        <v>26</v>
      </c>
      <c r="I22" s="249" t="s">
        <v>26</v>
      </c>
      <c r="J22" s="31">
        <v>24000.0</v>
      </c>
      <c r="K22" s="249" t="s">
        <v>26</v>
      </c>
      <c r="L22" s="31">
        <v>24000.0</v>
      </c>
      <c r="M22" s="31">
        <v>700.0</v>
      </c>
      <c r="N22" s="183" t="s">
        <v>262</v>
      </c>
      <c r="O22" s="31">
        <v>3500.0</v>
      </c>
      <c r="P22" s="249" t="s">
        <v>26</v>
      </c>
      <c r="Q22" s="207">
        <f t="shared" ref="Q22:Q24" si="2">GEOMEAN(E22,F22,G22,H22,I22,J22,K22,L22,M22,N22,O22,P22)</f>
        <v>5134.223778</v>
      </c>
      <c r="R22" s="17">
        <v>100.0</v>
      </c>
      <c r="S22" s="121">
        <f>GEOMEAN(Q22:Q24)</f>
        <v>1664.247099</v>
      </c>
      <c r="T22" s="72"/>
      <c r="U22" s="72"/>
      <c r="V22" s="72"/>
      <c r="W22" s="72"/>
      <c r="X22" s="72"/>
      <c r="Y22" s="72"/>
      <c r="Z22" s="72"/>
    </row>
    <row r="23" ht="15.75" customHeight="1">
      <c r="A23" s="20"/>
      <c r="B23" s="21"/>
      <c r="C23" s="22">
        <v>2.0</v>
      </c>
      <c r="D23" s="175" t="s">
        <v>259</v>
      </c>
      <c r="E23" s="36">
        <v>24000.0</v>
      </c>
      <c r="F23" s="85">
        <v>220.0</v>
      </c>
      <c r="G23" s="111">
        <v>20.0</v>
      </c>
      <c r="H23" s="199" t="s">
        <v>26</v>
      </c>
      <c r="I23" s="199" t="s">
        <v>26</v>
      </c>
      <c r="J23" s="35">
        <v>4300.0</v>
      </c>
      <c r="K23" s="199" t="s">
        <v>26</v>
      </c>
      <c r="L23" s="35">
        <v>13000.0</v>
      </c>
      <c r="M23" s="35">
        <v>20.0</v>
      </c>
      <c r="N23" s="35">
        <v>1700.0</v>
      </c>
      <c r="O23" s="35">
        <v>2400.0</v>
      </c>
      <c r="P23" s="199" t="s">
        <v>26</v>
      </c>
      <c r="Q23" s="209">
        <f t="shared" si="2"/>
        <v>912.7371672</v>
      </c>
      <c r="R23" s="23">
        <v>100.0</v>
      </c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"/>
      <c r="B24" s="26"/>
      <c r="C24" s="22">
        <v>3.0</v>
      </c>
      <c r="D24" s="175" t="s">
        <v>260</v>
      </c>
      <c r="E24" s="36">
        <v>9200.0</v>
      </c>
      <c r="F24" s="85">
        <v>920.0</v>
      </c>
      <c r="G24" s="111">
        <v>18.0</v>
      </c>
      <c r="H24" s="199" t="s">
        <v>26</v>
      </c>
      <c r="I24" s="199" t="s">
        <v>26</v>
      </c>
      <c r="J24" s="85">
        <v>490.0</v>
      </c>
      <c r="K24" s="199" t="s">
        <v>26</v>
      </c>
      <c r="L24" s="35">
        <v>17000.0</v>
      </c>
      <c r="M24" s="35">
        <v>130.0</v>
      </c>
      <c r="N24" s="35">
        <v>5400.0</v>
      </c>
      <c r="O24" s="199" t="s">
        <v>262</v>
      </c>
      <c r="P24" s="199" t="s">
        <v>26</v>
      </c>
      <c r="Q24" s="209">
        <f t="shared" si="2"/>
        <v>983.6325599</v>
      </c>
      <c r="R24" s="23">
        <v>10.0</v>
      </c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"/>
      <c r="B25" s="15" t="s">
        <v>263</v>
      </c>
      <c r="C25" s="16">
        <v>1.0</v>
      </c>
      <c r="D25" s="160" t="s">
        <v>258</v>
      </c>
      <c r="E25" s="183" t="s">
        <v>40</v>
      </c>
      <c r="F25" s="183" t="s">
        <v>40</v>
      </c>
      <c r="G25" s="183" t="s">
        <v>40</v>
      </c>
      <c r="H25" s="249" t="s">
        <v>26</v>
      </c>
      <c r="I25" s="249" t="s">
        <v>26</v>
      </c>
      <c r="J25" s="183" t="s">
        <v>40</v>
      </c>
      <c r="K25" s="249" t="s">
        <v>26</v>
      </c>
      <c r="L25" s="249" t="s">
        <v>40</v>
      </c>
      <c r="M25" s="249" t="s">
        <v>40</v>
      </c>
      <c r="N25" s="249" t="s">
        <v>40</v>
      </c>
      <c r="O25" s="120" t="s">
        <v>40</v>
      </c>
      <c r="P25" s="249" t="s">
        <v>26</v>
      </c>
      <c r="Q25" s="198">
        <f>AVERAGE(0.045,0.045,G25,H25,I25,0.045,K25,0.045,M25,N25,O25,P25)</f>
        <v>0.045</v>
      </c>
      <c r="R25" s="17">
        <v>10.0</v>
      </c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"/>
      <c r="B26" s="21"/>
      <c r="C26" s="22">
        <v>2.0</v>
      </c>
      <c r="D26" s="175" t="s">
        <v>259</v>
      </c>
      <c r="E26" s="85">
        <v>0.049</v>
      </c>
      <c r="F26" s="199" t="s">
        <v>40</v>
      </c>
      <c r="G26" s="85">
        <v>0.054</v>
      </c>
      <c r="H26" s="199" t="s">
        <v>26</v>
      </c>
      <c r="I26" s="199" t="s">
        <v>26</v>
      </c>
      <c r="J26" s="85">
        <v>0.092</v>
      </c>
      <c r="K26" s="199" t="s">
        <v>26</v>
      </c>
      <c r="L26" s="199" t="s">
        <v>40</v>
      </c>
      <c r="M26" s="199" t="s">
        <v>40</v>
      </c>
      <c r="N26" s="199" t="s">
        <v>40</v>
      </c>
      <c r="O26" s="85" t="s">
        <v>40</v>
      </c>
      <c r="P26" s="199" t="s">
        <v>26</v>
      </c>
      <c r="Q26" s="200">
        <f>AVERAGE(E26,0.045,G26,H26,I26,J26,K26,0.045,M26,N26,O26,P26)</f>
        <v>0.057</v>
      </c>
      <c r="R26" s="23">
        <v>10.0</v>
      </c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"/>
      <c r="B27" s="26"/>
      <c r="C27" s="22">
        <v>3.0</v>
      </c>
      <c r="D27" s="175" t="s">
        <v>260</v>
      </c>
      <c r="E27" s="199" t="s">
        <v>40</v>
      </c>
      <c r="F27" s="85">
        <v>0.054</v>
      </c>
      <c r="G27" s="85">
        <v>0.067</v>
      </c>
      <c r="H27" s="199" t="s">
        <v>26</v>
      </c>
      <c r="I27" s="199" t="s">
        <v>26</v>
      </c>
      <c r="J27" s="199" t="s">
        <v>40</v>
      </c>
      <c r="K27" s="199" t="s">
        <v>26</v>
      </c>
      <c r="L27" s="199" t="s">
        <v>40</v>
      </c>
      <c r="M27" s="199" t="s">
        <v>40</v>
      </c>
      <c r="N27" s="199" t="s">
        <v>40</v>
      </c>
      <c r="O27" s="85" t="s">
        <v>40</v>
      </c>
      <c r="P27" s="199" t="s">
        <v>26</v>
      </c>
      <c r="Q27" s="200">
        <f>AVERAGE(0.045,F27,G27,H27,I27,0.045,K27,0.045,M27,N27,O27,P27)</f>
        <v>0.0512</v>
      </c>
      <c r="R27" s="23">
        <v>10.0</v>
      </c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"/>
      <c r="B28" s="15" t="s">
        <v>264</v>
      </c>
      <c r="C28" s="16">
        <v>1.0</v>
      </c>
      <c r="D28" s="160" t="s">
        <v>258</v>
      </c>
      <c r="E28" s="39">
        <v>0.034</v>
      </c>
      <c r="F28" s="183" t="s">
        <v>265</v>
      </c>
      <c r="G28" s="39">
        <v>0.0</v>
      </c>
      <c r="H28" s="249" t="s">
        <v>26</v>
      </c>
      <c r="I28" s="249" t="s">
        <v>26</v>
      </c>
      <c r="J28" s="120">
        <v>0.028</v>
      </c>
      <c r="K28" s="249" t="s">
        <v>26</v>
      </c>
      <c r="L28" s="183" t="s">
        <v>265</v>
      </c>
      <c r="M28" s="120">
        <v>0.033</v>
      </c>
      <c r="N28" s="120">
        <v>0.034</v>
      </c>
      <c r="O28" s="120">
        <v>0.027</v>
      </c>
      <c r="P28" s="249" t="s">
        <v>26</v>
      </c>
      <c r="Q28" s="198">
        <f t="shared" ref="Q28:Q30" si="3">AVERAGE(E28,0.025,G28,H28,I28,J28,K28,0.025,M28,N28,O28,P28)</f>
        <v>0.02575</v>
      </c>
      <c r="R28" s="17">
        <v>0.5</v>
      </c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"/>
      <c r="B29" s="21"/>
      <c r="C29" s="22">
        <v>2.0</v>
      </c>
      <c r="D29" s="175" t="s">
        <v>259</v>
      </c>
      <c r="E29" s="41">
        <v>0.031</v>
      </c>
      <c r="F29" s="85">
        <v>0.031</v>
      </c>
      <c r="G29" s="41">
        <v>0.028</v>
      </c>
      <c r="H29" s="199" t="s">
        <v>26</v>
      </c>
      <c r="I29" s="199" t="s">
        <v>26</v>
      </c>
      <c r="J29" s="85">
        <v>0.034</v>
      </c>
      <c r="K29" s="199" t="s">
        <v>26</v>
      </c>
      <c r="L29" s="199" t="s">
        <v>231</v>
      </c>
      <c r="M29" s="85">
        <v>0.035</v>
      </c>
      <c r="N29" s="85">
        <v>0.034</v>
      </c>
      <c r="O29" s="85">
        <v>0.026</v>
      </c>
      <c r="P29" s="199" t="s">
        <v>26</v>
      </c>
      <c r="Q29" s="200">
        <f t="shared" si="3"/>
        <v>0.02975</v>
      </c>
      <c r="R29" s="23">
        <v>0.5</v>
      </c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"/>
      <c r="B30" s="26"/>
      <c r="C30" s="22">
        <v>3.0</v>
      </c>
      <c r="D30" s="175" t="s">
        <v>260</v>
      </c>
      <c r="E30" s="41">
        <v>0.034</v>
      </c>
      <c r="F30" s="199" t="s">
        <v>231</v>
      </c>
      <c r="G30" s="41">
        <v>0.035</v>
      </c>
      <c r="H30" s="199" t="s">
        <v>26</v>
      </c>
      <c r="I30" s="199" t="s">
        <v>26</v>
      </c>
      <c r="J30" s="41">
        <v>0.03</v>
      </c>
      <c r="K30" s="199" t="s">
        <v>26</v>
      </c>
      <c r="L30" s="199" t="s">
        <v>231</v>
      </c>
      <c r="M30" s="85">
        <v>0.044</v>
      </c>
      <c r="N30" s="85">
        <v>0.05</v>
      </c>
      <c r="O30" s="85">
        <v>0.163</v>
      </c>
      <c r="P30" s="199" t="s">
        <v>26</v>
      </c>
      <c r="Q30" s="200">
        <f t="shared" si="3"/>
        <v>0.05075</v>
      </c>
      <c r="R30" s="23">
        <v>0.5</v>
      </c>
      <c r="S30" s="72"/>
      <c r="T30" s="72"/>
      <c r="U30" s="72"/>
      <c r="V30" s="72"/>
      <c r="W30" s="72"/>
      <c r="X30" s="72"/>
      <c r="Y30" s="72"/>
      <c r="Z30" s="72"/>
    </row>
    <row r="31" ht="15.75" hidden="1" customHeight="1">
      <c r="A31" s="20"/>
      <c r="B31" s="15" t="s">
        <v>42</v>
      </c>
      <c r="C31" s="16">
        <v>1.0</v>
      </c>
      <c r="D31" s="160" t="s">
        <v>258</v>
      </c>
      <c r="E31" s="201"/>
      <c r="F31" s="201"/>
      <c r="G31" s="201"/>
      <c r="H31" s="250" t="s">
        <v>255</v>
      </c>
      <c r="I31" s="201"/>
      <c r="J31" s="201"/>
      <c r="K31" s="201"/>
      <c r="L31" s="201"/>
      <c r="M31" s="201"/>
      <c r="N31" s="201"/>
      <c r="O31" s="201"/>
      <c r="P31" s="201"/>
      <c r="Q31" s="190" t="str">
        <f t="shared" ref="Q31:Q33" si="4">AVERAGE(E31,F31,G31,H31,I31,J31,K31,L31,M31,N31,O31,P31)</f>
        <v>#DIV/0!</v>
      </c>
      <c r="S31" s="72"/>
      <c r="T31" s="72"/>
      <c r="U31" s="72"/>
      <c r="V31" s="72"/>
      <c r="W31" s="72"/>
      <c r="X31" s="72"/>
      <c r="Y31" s="72"/>
      <c r="Z31" s="72"/>
    </row>
    <row r="32" ht="15.75" hidden="1" customHeight="1">
      <c r="A32" s="20"/>
      <c r="B32" s="21"/>
      <c r="C32" s="22">
        <v>2.0</v>
      </c>
      <c r="D32" s="175" t="s">
        <v>259</v>
      </c>
      <c r="E32" s="20"/>
      <c r="F32" s="20"/>
      <c r="G32" s="20"/>
      <c r="H32" s="251" t="s">
        <v>255</v>
      </c>
      <c r="I32" s="20"/>
      <c r="J32" s="20"/>
      <c r="K32" s="20"/>
      <c r="L32" s="20"/>
      <c r="M32" s="20"/>
      <c r="N32" s="20"/>
      <c r="O32" s="20"/>
      <c r="P32" s="20"/>
      <c r="Q32" s="192" t="str">
        <f t="shared" si="4"/>
        <v>#DIV/0!</v>
      </c>
      <c r="S32" s="72"/>
      <c r="T32" s="72"/>
      <c r="U32" s="72"/>
      <c r="V32" s="72"/>
      <c r="W32" s="72"/>
      <c r="X32" s="72"/>
      <c r="Y32" s="72"/>
      <c r="Z32" s="72"/>
    </row>
    <row r="33" ht="15.75" hidden="1" customHeight="1">
      <c r="A33" s="20"/>
      <c r="B33" s="26"/>
      <c r="C33" s="22">
        <v>3.0</v>
      </c>
      <c r="D33" s="175" t="s">
        <v>260</v>
      </c>
      <c r="E33" s="20"/>
      <c r="F33" s="20"/>
      <c r="G33" s="20"/>
      <c r="H33" s="251" t="s">
        <v>255</v>
      </c>
      <c r="I33" s="20"/>
      <c r="J33" s="20"/>
      <c r="K33" s="20"/>
      <c r="L33" s="20"/>
      <c r="M33" s="20"/>
      <c r="N33" s="20"/>
      <c r="O33" s="20"/>
      <c r="P33" s="20"/>
      <c r="Q33" s="192" t="str">
        <f t="shared" si="4"/>
        <v>#DIV/0!</v>
      </c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127"/>
      <c r="M34" s="127"/>
      <c r="N34" s="72"/>
      <c r="O34" s="72"/>
      <c r="P34" s="127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0" customHeight="1">
      <c r="A35" s="91" t="s">
        <v>43</v>
      </c>
      <c r="D35" s="72"/>
      <c r="E35" s="72"/>
      <c r="F35" s="72"/>
      <c r="G35" s="72"/>
      <c r="H35" s="72"/>
      <c r="I35" s="72"/>
      <c r="J35" s="72"/>
      <c r="K35" s="72"/>
      <c r="L35" s="127"/>
      <c r="M35" s="127"/>
      <c r="N35" s="72"/>
      <c r="O35" s="72"/>
      <c r="P35" s="127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D36" s="72"/>
      <c r="E36" s="72"/>
      <c r="F36" s="72"/>
      <c r="G36" s="72"/>
      <c r="H36" s="72"/>
      <c r="I36" s="72"/>
      <c r="J36" s="72"/>
      <c r="K36" s="72"/>
      <c r="L36" s="127"/>
      <c r="M36" s="127"/>
      <c r="N36" s="72"/>
      <c r="O36" s="72"/>
      <c r="P36" s="127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126"/>
      <c r="D37" s="72"/>
      <c r="E37" s="72"/>
      <c r="F37" s="72"/>
      <c r="G37" s="72"/>
      <c r="H37" s="72"/>
      <c r="I37" s="72"/>
      <c r="J37" s="72"/>
      <c r="K37" s="72"/>
      <c r="L37" s="127"/>
      <c r="M37" s="127"/>
      <c r="N37" s="72"/>
      <c r="O37" s="72"/>
      <c r="P37" s="127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D38" s="72"/>
      <c r="E38" s="72"/>
      <c r="F38" s="72"/>
      <c r="G38" s="72"/>
      <c r="H38" s="72"/>
      <c r="I38" s="72"/>
      <c r="J38" s="72"/>
      <c r="K38" s="72"/>
      <c r="L38" s="127"/>
      <c r="M38" s="127"/>
      <c r="N38" s="72"/>
      <c r="O38" s="72"/>
      <c r="P38" s="127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127"/>
      <c r="M39" s="127"/>
      <c r="N39" s="72"/>
      <c r="O39" s="72"/>
      <c r="P39" s="127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127"/>
      <c r="M40" s="127"/>
      <c r="N40" s="72"/>
      <c r="O40" s="72"/>
      <c r="P40" s="127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127"/>
      <c r="M41" s="127"/>
      <c r="N41" s="72"/>
      <c r="O41" s="72"/>
      <c r="P41" s="127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127"/>
      <c r="M42" s="127"/>
      <c r="N42" s="72"/>
      <c r="O42" s="72"/>
      <c r="P42" s="127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127"/>
      <c r="M43" s="127"/>
      <c r="N43" s="72"/>
      <c r="O43" s="72"/>
      <c r="P43" s="127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127"/>
      <c r="M44" s="127"/>
      <c r="N44" s="72"/>
      <c r="O44" s="72"/>
      <c r="P44" s="127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127"/>
      <c r="M45" s="127"/>
      <c r="N45" s="72"/>
      <c r="O45" s="72"/>
      <c r="P45" s="127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127"/>
      <c r="M46" s="127"/>
      <c r="N46" s="72"/>
      <c r="O46" s="72"/>
      <c r="P46" s="127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127"/>
      <c r="M47" s="127"/>
      <c r="N47" s="72"/>
      <c r="O47" s="72"/>
      <c r="P47" s="127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127"/>
      <c r="M48" s="127"/>
      <c r="N48" s="72"/>
      <c r="O48" s="72"/>
      <c r="P48" s="127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127"/>
      <c r="M49" s="127"/>
      <c r="N49" s="72"/>
      <c r="O49" s="72"/>
      <c r="P49" s="127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127"/>
      <c r="M50" s="127"/>
      <c r="N50" s="72"/>
      <c r="O50" s="72"/>
      <c r="P50" s="127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127"/>
      <c r="M51" s="127"/>
      <c r="N51" s="72"/>
      <c r="O51" s="72"/>
      <c r="P51" s="127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127"/>
      <c r="M52" s="127"/>
      <c r="N52" s="72"/>
      <c r="O52" s="72"/>
      <c r="P52" s="127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127"/>
      <c r="M53" s="127"/>
      <c r="N53" s="72"/>
      <c r="O53" s="72"/>
      <c r="P53" s="127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127"/>
      <c r="M54" s="127"/>
      <c r="N54" s="72"/>
      <c r="O54" s="72"/>
      <c r="P54" s="127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127"/>
      <c r="M55" s="127"/>
      <c r="N55" s="72"/>
      <c r="O55" s="72"/>
      <c r="P55" s="127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127"/>
      <c r="M56" s="127"/>
      <c r="N56" s="72"/>
      <c r="O56" s="72"/>
      <c r="P56" s="127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127"/>
      <c r="M57" s="127"/>
      <c r="N57" s="72"/>
      <c r="O57" s="72"/>
      <c r="P57" s="127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127"/>
      <c r="M58" s="127"/>
      <c r="N58" s="72"/>
      <c r="O58" s="72"/>
      <c r="P58" s="127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127"/>
      <c r="M59" s="127"/>
      <c r="N59" s="72"/>
      <c r="O59" s="72"/>
      <c r="P59" s="127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127"/>
      <c r="M60" s="127"/>
      <c r="N60" s="72"/>
      <c r="O60" s="72"/>
      <c r="P60" s="127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127"/>
      <c r="M61" s="127"/>
      <c r="N61" s="72"/>
      <c r="O61" s="72"/>
      <c r="P61" s="127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127"/>
      <c r="M62" s="127"/>
      <c r="N62" s="72"/>
      <c r="O62" s="72"/>
      <c r="P62" s="127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127"/>
      <c r="M63" s="127"/>
      <c r="N63" s="72"/>
      <c r="O63" s="72"/>
      <c r="P63" s="127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127"/>
      <c r="M64" s="127"/>
      <c r="N64" s="72"/>
      <c r="O64" s="72"/>
      <c r="P64" s="127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127"/>
      <c r="M65" s="127"/>
      <c r="N65" s="72"/>
      <c r="O65" s="72"/>
      <c r="P65" s="127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127"/>
      <c r="M66" s="127"/>
      <c r="N66" s="72"/>
      <c r="O66" s="72"/>
      <c r="P66" s="127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127"/>
      <c r="M67" s="127"/>
      <c r="N67" s="72"/>
      <c r="O67" s="72"/>
      <c r="P67" s="127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127"/>
      <c r="M68" s="127"/>
      <c r="N68" s="72"/>
      <c r="O68" s="72"/>
      <c r="P68" s="127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127"/>
      <c r="M69" s="127"/>
      <c r="N69" s="72"/>
      <c r="O69" s="72"/>
      <c r="P69" s="127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127"/>
      <c r="M70" s="127"/>
      <c r="N70" s="72"/>
      <c r="O70" s="72"/>
      <c r="P70" s="127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72"/>
      <c r="O71" s="72"/>
      <c r="P71" s="127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72"/>
      <c r="O72" s="72"/>
      <c r="P72" s="127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72"/>
      <c r="O73" s="72"/>
      <c r="P73" s="127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127"/>
      <c r="M74" s="127"/>
      <c r="N74" s="72"/>
      <c r="O74" s="72"/>
      <c r="P74" s="127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127"/>
      <c r="M75" s="127"/>
      <c r="N75" s="72"/>
      <c r="O75" s="72"/>
      <c r="P75" s="127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127"/>
      <c r="M76" s="127"/>
      <c r="N76" s="72"/>
      <c r="O76" s="72"/>
      <c r="P76" s="127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127"/>
      <c r="M77" s="127"/>
      <c r="N77" s="72"/>
      <c r="O77" s="72"/>
      <c r="P77" s="127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127"/>
      <c r="M78" s="127"/>
      <c r="N78" s="72"/>
      <c r="O78" s="72"/>
      <c r="P78" s="127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127"/>
      <c r="M79" s="127"/>
      <c r="N79" s="72"/>
      <c r="O79" s="72"/>
      <c r="P79" s="127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127"/>
      <c r="M80" s="127"/>
      <c r="N80" s="72"/>
      <c r="O80" s="72"/>
      <c r="P80" s="127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127"/>
      <c r="M81" s="127"/>
      <c r="N81" s="72"/>
      <c r="O81" s="72"/>
      <c r="P81" s="127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127"/>
      <c r="M82" s="127"/>
      <c r="N82" s="72"/>
      <c r="O82" s="72"/>
      <c r="P82" s="127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127"/>
      <c r="M83" s="127"/>
      <c r="N83" s="72"/>
      <c r="O83" s="72"/>
      <c r="P83" s="127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127"/>
      <c r="M84" s="127"/>
      <c r="N84" s="72"/>
      <c r="O84" s="72"/>
      <c r="P84" s="127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127"/>
      <c r="M85" s="127"/>
      <c r="N85" s="72"/>
      <c r="O85" s="72"/>
      <c r="P85" s="127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127"/>
      <c r="M86" s="127"/>
      <c r="N86" s="72"/>
      <c r="O86" s="72"/>
      <c r="P86" s="127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27"/>
      <c r="M87" s="127"/>
      <c r="N87" s="72"/>
      <c r="O87" s="72"/>
      <c r="P87" s="127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127"/>
      <c r="M88" s="127"/>
      <c r="N88" s="72"/>
      <c r="O88" s="72"/>
      <c r="P88" s="127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127"/>
      <c r="M89" s="127"/>
      <c r="N89" s="72"/>
      <c r="O89" s="72"/>
      <c r="P89" s="127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127"/>
      <c r="M90" s="127"/>
      <c r="N90" s="72"/>
      <c r="O90" s="72"/>
      <c r="P90" s="127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127"/>
      <c r="M91" s="127"/>
      <c r="N91" s="72"/>
      <c r="O91" s="72"/>
      <c r="P91" s="127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127"/>
      <c r="M92" s="127"/>
      <c r="N92" s="72"/>
      <c r="O92" s="72"/>
      <c r="P92" s="127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127"/>
      <c r="M93" s="127"/>
      <c r="N93" s="72"/>
      <c r="O93" s="72"/>
      <c r="P93" s="127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127"/>
      <c r="M94" s="127"/>
      <c r="N94" s="72"/>
      <c r="O94" s="72"/>
      <c r="P94" s="127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127"/>
      <c r="M95" s="127"/>
      <c r="N95" s="72"/>
      <c r="O95" s="72"/>
      <c r="P95" s="127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127"/>
      <c r="M96" s="127"/>
      <c r="N96" s="72"/>
      <c r="O96" s="72"/>
      <c r="P96" s="127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127"/>
      <c r="M97" s="127"/>
      <c r="N97" s="72"/>
      <c r="O97" s="72"/>
      <c r="P97" s="127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127"/>
      <c r="M98" s="127"/>
      <c r="N98" s="72"/>
      <c r="O98" s="72"/>
      <c r="P98" s="127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127"/>
      <c r="M99" s="127"/>
      <c r="N99" s="72"/>
      <c r="O99" s="72"/>
      <c r="P99" s="127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127"/>
      <c r="M100" s="127"/>
      <c r="N100" s="72"/>
      <c r="O100" s="72"/>
      <c r="P100" s="127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127"/>
      <c r="M101" s="127"/>
      <c r="N101" s="72"/>
      <c r="O101" s="72"/>
      <c r="P101" s="127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127"/>
      <c r="M102" s="127"/>
      <c r="N102" s="72"/>
      <c r="O102" s="72"/>
      <c r="P102" s="127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127"/>
      <c r="M103" s="127"/>
      <c r="N103" s="72"/>
      <c r="O103" s="72"/>
      <c r="P103" s="127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127"/>
      <c r="M104" s="127"/>
      <c r="N104" s="72"/>
      <c r="O104" s="72"/>
      <c r="P104" s="127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127"/>
      <c r="M105" s="127"/>
      <c r="N105" s="72"/>
      <c r="O105" s="72"/>
      <c r="P105" s="127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127"/>
      <c r="M106" s="127"/>
      <c r="N106" s="72"/>
      <c r="O106" s="72"/>
      <c r="P106" s="127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127"/>
      <c r="M107" s="127"/>
      <c r="N107" s="72"/>
      <c r="O107" s="72"/>
      <c r="P107" s="127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127"/>
      <c r="M108" s="127"/>
      <c r="N108" s="72"/>
      <c r="O108" s="72"/>
      <c r="P108" s="127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127"/>
      <c r="M109" s="127"/>
      <c r="N109" s="72"/>
      <c r="O109" s="72"/>
      <c r="P109" s="127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127"/>
      <c r="M110" s="127"/>
      <c r="N110" s="72"/>
      <c r="O110" s="72"/>
      <c r="P110" s="127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127"/>
      <c r="M111" s="127"/>
      <c r="N111" s="72"/>
      <c r="O111" s="72"/>
      <c r="P111" s="127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127"/>
      <c r="M112" s="127"/>
      <c r="N112" s="72"/>
      <c r="O112" s="72"/>
      <c r="P112" s="127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127"/>
      <c r="M113" s="127"/>
      <c r="N113" s="72"/>
      <c r="O113" s="72"/>
      <c r="P113" s="127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127"/>
      <c r="M114" s="127"/>
      <c r="N114" s="72"/>
      <c r="O114" s="72"/>
      <c r="P114" s="127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127"/>
      <c r="M115" s="127"/>
      <c r="N115" s="72"/>
      <c r="O115" s="72"/>
      <c r="P115" s="127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127"/>
      <c r="M116" s="127"/>
      <c r="N116" s="72"/>
      <c r="O116" s="72"/>
      <c r="P116" s="127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127"/>
      <c r="M117" s="127"/>
      <c r="N117" s="72"/>
      <c r="O117" s="72"/>
      <c r="P117" s="127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127"/>
      <c r="M118" s="127"/>
      <c r="N118" s="72"/>
      <c r="O118" s="72"/>
      <c r="P118" s="127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127"/>
      <c r="M119" s="127"/>
      <c r="N119" s="72"/>
      <c r="O119" s="72"/>
      <c r="P119" s="127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127"/>
      <c r="M120" s="127"/>
      <c r="N120" s="72"/>
      <c r="O120" s="72"/>
      <c r="P120" s="127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127"/>
      <c r="M121" s="127"/>
      <c r="N121" s="72"/>
      <c r="O121" s="72"/>
      <c r="P121" s="127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127"/>
      <c r="M122" s="127"/>
      <c r="N122" s="72"/>
      <c r="O122" s="72"/>
      <c r="P122" s="127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127"/>
      <c r="M123" s="127"/>
      <c r="N123" s="72"/>
      <c r="O123" s="72"/>
      <c r="P123" s="127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127"/>
      <c r="M124" s="127"/>
      <c r="N124" s="72"/>
      <c r="O124" s="72"/>
      <c r="P124" s="127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127"/>
      <c r="M125" s="127"/>
      <c r="N125" s="72"/>
      <c r="O125" s="72"/>
      <c r="P125" s="127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127"/>
      <c r="M126" s="127"/>
      <c r="N126" s="72"/>
      <c r="O126" s="72"/>
      <c r="P126" s="127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127"/>
      <c r="M127" s="127"/>
      <c r="N127" s="72"/>
      <c r="O127" s="72"/>
      <c r="P127" s="127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127"/>
      <c r="M128" s="127"/>
      <c r="N128" s="72"/>
      <c r="O128" s="72"/>
      <c r="P128" s="127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127"/>
      <c r="M129" s="127"/>
      <c r="N129" s="72"/>
      <c r="O129" s="72"/>
      <c r="P129" s="127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127"/>
      <c r="M130" s="127"/>
      <c r="N130" s="72"/>
      <c r="O130" s="72"/>
      <c r="P130" s="127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127"/>
      <c r="M131" s="127"/>
      <c r="N131" s="72"/>
      <c r="O131" s="72"/>
      <c r="P131" s="127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127"/>
      <c r="M132" s="127"/>
      <c r="N132" s="72"/>
      <c r="O132" s="72"/>
      <c r="P132" s="127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127"/>
      <c r="M133" s="127"/>
      <c r="N133" s="72"/>
      <c r="O133" s="72"/>
      <c r="P133" s="127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127"/>
      <c r="M134" s="127"/>
      <c r="N134" s="72"/>
      <c r="O134" s="72"/>
      <c r="P134" s="127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127"/>
      <c r="M135" s="127"/>
      <c r="N135" s="72"/>
      <c r="O135" s="72"/>
      <c r="P135" s="127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127"/>
      <c r="M136" s="127"/>
      <c r="N136" s="72"/>
      <c r="O136" s="72"/>
      <c r="P136" s="127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127"/>
      <c r="M137" s="127"/>
      <c r="N137" s="72"/>
      <c r="O137" s="72"/>
      <c r="P137" s="127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127"/>
      <c r="M138" s="127"/>
      <c r="N138" s="72"/>
      <c r="O138" s="72"/>
      <c r="P138" s="127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127"/>
      <c r="M139" s="127"/>
      <c r="N139" s="72"/>
      <c r="O139" s="72"/>
      <c r="P139" s="127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127"/>
      <c r="M140" s="127"/>
      <c r="N140" s="72"/>
      <c r="O140" s="72"/>
      <c r="P140" s="127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127"/>
      <c r="M141" s="127"/>
      <c r="N141" s="72"/>
      <c r="O141" s="72"/>
      <c r="P141" s="127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127"/>
      <c r="M142" s="127"/>
      <c r="N142" s="72"/>
      <c r="O142" s="72"/>
      <c r="P142" s="127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127"/>
      <c r="M143" s="127"/>
      <c r="N143" s="72"/>
      <c r="O143" s="72"/>
      <c r="P143" s="127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127"/>
      <c r="M144" s="127"/>
      <c r="N144" s="72"/>
      <c r="O144" s="72"/>
      <c r="P144" s="127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127"/>
      <c r="M145" s="127"/>
      <c r="N145" s="72"/>
      <c r="O145" s="72"/>
      <c r="P145" s="127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127"/>
      <c r="M146" s="127"/>
      <c r="N146" s="72"/>
      <c r="O146" s="72"/>
      <c r="P146" s="127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127"/>
      <c r="M147" s="127"/>
      <c r="N147" s="72"/>
      <c r="O147" s="72"/>
      <c r="P147" s="127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127"/>
      <c r="M148" s="127"/>
      <c r="N148" s="72"/>
      <c r="O148" s="72"/>
      <c r="P148" s="127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127"/>
      <c r="M149" s="127"/>
      <c r="N149" s="72"/>
      <c r="O149" s="72"/>
      <c r="P149" s="127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127"/>
      <c r="M150" s="127"/>
      <c r="N150" s="72"/>
      <c r="O150" s="72"/>
      <c r="P150" s="127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127"/>
      <c r="M151" s="127"/>
      <c r="N151" s="72"/>
      <c r="O151" s="72"/>
      <c r="P151" s="127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127"/>
      <c r="M152" s="127"/>
      <c r="N152" s="72"/>
      <c r="O152" s="72"/>
      <c r="P152" s="127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127"/>
      <c r="M153" s="127"/>
      <c r="N153" s="72"/>
      <c r="O153" s="72"/>
      <c r="P153" s="127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127"/>
      <c r="M154" s="127"/>
      <c r="N154" s="72"/>
      <c r="O154" s="72"/>
      <c r="P154" s="127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127"/>
      <c r="M155" s="127"/>
      <c r="N155" s="72"/>
      <c r="O155" s="72"/>
      <c r="P155" s="127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127"/>
      <c r="M156" s="127"/>
      <c r="N156" s="72"/>
      <c r="O156" s="72"/>
      <c r="P156" s="127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127"/>
      <c r="M157" s="127"/>
      <c r="N157" s="72"/>
      <c r="O157" s="72"/>
      <c r="P157" s="127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127"/>
      <c r="M158" s="127"/>
      <c r="N158" s="72"/>
      <c r="O158" s="72"/>
      <c r="P158" s="127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127"/>
      <c r="M159" s="127"/>
      <c r="N159" s="72"/>
      <c r="O159" s="72"/>
      <c r="P159" s="127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127"/>
      <c r="M160" s="127"/>
      <c r="N160" s="72"/>
      <c r="O160" s="72"/>
      <c r="P160" s="127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127"/>
      <c r="M161" s="127"/>
      <c r="N161" s="72"/>
      <c r="O161" s="72"/>
      <c r="P161" s="127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127"/>
      <c r="M162" s="127"/>
      <c r="N162" s="72"/>
      <c r="O162" s="72"/>
      <c r="P162" s="127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127"/>
      <c r="M163" s="127"/>
      <c r="N163" s="72"/>
      <c r="O163" s="72"/>
      <c r="P163" s="127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127"/>
      <c r="M164" s="127"/>
      <c r="N164" s="72"/>
      <c r="O164" s="72"/>
      <c r="P164" s="127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127"/>
      <c r="M165" s="127"/>
      <c r="N165" s="72"/>
      <c r="O165" s="72"/>
      <c r="P165" s="127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127"/>
      <c r="M166" s="127"/>
      <c r="N166" s="72"/>
      <c r="O166" s="72"/>
      <c r="P166" s="127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127"/>
      <c r="M167" s="127"/>
      <c r="N167" s="72"/>
      <c r="O167" s="72"/>
      <c r="P167" s="127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127"/>
      <c r="M168" s="127"/>
      <c r="N168" s="72"/>
      <c r="O168" s="72"/>
      <c r="P168" s="127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127"/>
      <c r="M169" s="127"/>
      <c r="N169" s="72"/>
      <c r="O169" s="72"/>
      <c r="P169" s="127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127"/>
      <c r="M170" s="127"/>
      <c r="N170" s="72"/>
      <c r="O170" s="72"/>
      <c r="P170" s="127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127"/>
      <c r="M171" s="127"/>
      <c r="N171" s="72"/>
      <c r="O171" s="72"/>
      <c r="P171" s="127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127"/>
      <c r="M172" s="127"/>
      <c r="N172" s="72"/>
      <c r="O172" s="72"/>
      <c r="P172" s="127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127"/>
      <c r="M173" s="127"/>
      <c r="N173" s="72"/>
      <c r="O173" s="72"/>
      <c r="P173" s="127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127"/>
      <c r="M174" s="127"/>
      <c r="N174" s="72"/>
      <c r="O174" s="72"/>
      <c r="P174" s="127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127"/>
      <c r="M175" s="127"/>
      <c r="N175" s="72"/>
      <c r="O175" s="72"/>
      <c r="P175" s="127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127"/>
      <c r="M176" s="127"/>
      <c r="N176" s="72"/>
      <c r="O176" s="72"/>
      <c r="P176" s="127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127"/>
      <c r="M177" s="127"/>
      <c r="N177" s="72"/>
      <c r="O177" s="72"/>
      <c r="P177" s="127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127"/>
      <c r="M178" s="127"/>
      <c r="N178" s="72"/>
      <c r="O178" s="72"/>
      <c r="P178" s="127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127"/>
      <c r="M179" s="127"/>
      <c r="N179" s="72"/>
      <c r="O179" s="72"/>
      <c r="P179" s="127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127"/>
      <c r="M180" s="127"/>
      <c r="N180" s="72"/>
      <c r="O180" s="72"/>
      <c r="P180" s="127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127"/>
      <c r="M181" s="127"/>
      <c r="N181" s="72"/>
      <c r="O181" s="72"/>
      <c r="P181" s="127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127"/>
      <c r="M182" s="127"/>
      <c r="N182" s="72"/>
      <c r="O182" s="72"/>
      <c r="P182" s="127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127"/>
      <c r="M183" s="127"/>
      <c r="N183" s="72"/>
      <c r="O183" s="72"/>
      <c r="P183" s="127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127"/>
      <c r="M184" s="127"/>
      <c r="N184" s="72"/>
      <c r="O184" s="72"/>
      <c r="P184" s="127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127"/>
      <c r="M185" s="127"/>
      <c r="N185" s="72"/>
      <c r="O185" s="72"/>
      <c r="P185" s="127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127"/>
      <c r="M186" s="127"/>
      <c r="N186" s="72"/>
      <c r="O186" s="72"/>
      <c r="P186" s="127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127"/>
      <c r="M187" s="127"/>
      <c r="N187" s="72"/>
      <c r="O187" s="72"/>
      <c r="P187" s="127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127"/>
      <c r="M188" s="127"/>
      <c r="N188" s="72"/>
      <c r="O188" s="72"/>
      <c r="P188" s="127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127"/>
      <c r="M189" s="127"/>
      <c r="N189" s="72"/>
      <c r="O189" s="72"/>
      <c r="P189" s="127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127"/>
      <c r="M190" s="127"/>
      <c r="N190" s="72"/>
      <c r="O190" s="72"/>
      <c r="P190" s="127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127"/>
      <c r="M191" s="127"/>
      <c r="N191" s="72"/>
      <c r="O191" s="72"/>
      <c r="P191" s="127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127"/>
      <c r="M192" s="127"/>
      <c r="N192" s="72"/>
      <c r="O192" s="72"/>
      <c r="P192" s="127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127"/>
      <c r="M193" s="127"/>
      <c r="N193" s="72"/>
      <c r="O193" s="72"/>
      <c r="P193" s="127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127"/>
      <c r="M194" s="127"/>
      <c r="N194" s="72"/>
      <c r="O194" s="72"/>
      <c r="P194" s="127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127"/>
      <c r="M195" s="127"/>
      <c r="N195" s="72"/>
      <c r="O195" s="72"/>
      <c r="P195" s="127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127"/>
      <c r="M196" s="127"/>
      <c r="N196" s="72"/>
      <c r="O196" s="72"/>
      <c r="P196" s="127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127"/>
      <c r="M197" s="127"/>
      <c r="N197" s="72"/>
      <c r="O197" s="72"/>
      <c r="P197" s="127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127"/>
      <c r="M198" s="127"/>
      <c r="N198" s="72"/>
      <c r="O198" s="72"/>
      <c r="P198" s="127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127"/>
      <c r="M199" s="127"/>
      <c r="N199" s="72"/>
      <c r="O199" s="72"/>
      <c r="P199" s="127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127"/>
      <c r="M200" s="127"/>
      <c r="N200" s="72"/>
      <c r="O200" s="72"/>
      <c r="P200" s="127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127"/>
      <c r="M201" s="127"/>
      <c r="N201" s="72"/>
      <c r="O201" s="72"/>
      <c r="P201" s="127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127"/>
      <c r="M202" s="127"/>
      <c r="N202" s="72"/>
      <c r="O202" s="72"/>
      <c r="P202" s="127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127"/>
      <c r="M203" s="127"/>
      <c r="N203" s="72"/>
      <c r="O203" s="72"/>
      <c r="P203" s="127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127"/>
      <c r="M204" s="127"/>
      <c r="N204" s="72"/>
      <c r="O204" s="72"/>
      <c r="P204" s="127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127"/>
      <c r="M205" s="127"/>
      <c r="N205" s="72"/>
      <c r="O205" s="72"/>
      <c r="P205" s="127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127"/>
      <c r="M206" s="127"/>
      <c r="N206" s="72"/>
      <c r="O206" s="72"/>
      <c r="P206" s="127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127"/>
      <c r="M207" s="127"/>
      <c r="N207" s="72"/>
      <c r="O207" s="72"/>
      <c r="P207" s="127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127"/>
      <c r="M208" s="127"/>
      <c r="N208" s="72"/>
      <c r="O208" s="72"/>
      <c r="P208" s="127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127"/>
      <c r="M209" s="127"/>
      <c r="N209" s="72"/>
      <c r="O209" s="72"/>
      <c r="P209" s="127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127"/>
      <c r="M210" s="127"/>
      <c r="N210" s="72"/>
      <c r="O210" s="72"/>
      <c r="P210" s="127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127"/>
      <c r="M211" s="127"/>
      <c r="N211" s="72"/>
      <c r="O211" s="72"/>
      <c r="P211" s="127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127"/>
      <c r="M212" s="127"/>
      <c r="N212" s="72"/>
      <c r="O212" s="72"/>
      <c r="P212" s="127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127"/>
      <c r="M213" s="127"/>
      <c r="N213" s="72"/>
      <c r="O213" s="72"/>
      <c r="P213" s="127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127"/>
      <c r="M214" s="127"/>
      <c r="N214" s="72"/>
      <c r="O214" s="72"/>
      <c r="P214" s="127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127"/>
      <c r="M215" s="127"/>
      <c r="N215" s="72"/>
      <c r="O215" s="72"/>
      <c r="P215" s="127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127"/>
      <c r="M216" s="127"/>
      <c r="N216" s="72"/>
      <c r="O216" s="72"/>
      <c r="P216" s="127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127"/>
      <c r="M217" s="127"/>
      <c r="N217" s="72"/>
      <c r="O217" s="72"/>
      <c r="P217" s="127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127"/>
      <c r="M218" s="127"/>
      <c r="N218" s="72"/>
      <c r="O218" s="72"/>
      <c r="P218" s="127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127"/>
      <c r="M219" s="127"/>
      <c r="N219" s="72"/>
      <c r="O219" s="72"/>
      <c r="P219" s="127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127"/>
      <c r="M220" s="127"/>
      <c r="N220" s="72"/>
      <c r="O220" s="72"/>
      <c r="P220" s="127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127"/>
      <c r="M221" s="127"/>
      <c r="N221" s="72"/>
      <c r="O221" s="72"/>
      <c r="P221" s="127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127"/>
      <c r="M222" s="127"/>
      <c r="N222" s="72"/>
      <c r="O222" s="72"/>
      <c r="P222" s="127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127"/>
      <c r="M223" s="127"/>
      <c r="N223" s="72"/>
      <c r="O223" s="72"/>
      <c r="P223" s="127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127"/>
      <c r="M224" s="127"/>
      <c r="N224" s="72"/>
      <c r="O224" s="72"/>
      <c r="P224" s="127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127"/>
      <c r="M225" s="127"/>
      <c r="N225" s="72"/>
      <c r="O225" s="72"/>
      <c r="P225" s="127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127"/>
      <c r="M226" s="127"/>
      <c r="N226" s="72"/>
      <c r="O226" s="72"/>
      <c r="P226" s="127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127"/>
      <c r="M227" s="127"/>
      <c r="N227" s="72"/>
      <c r="O227" s="72"/>
      <c r="P227" s="127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127"/>
      <c r="M228" s="127"/>
      <c r="N228" s="72"/>
      <c r="O228" s="72"/>
      <c r="P228" s="127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127"/>
      <c r="M229" s="127"/>
      <c r="N229" s="72"/>
      <c r="O229" s="72"/>
      <c r="P229" s="127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127"/>
      <c r="M230" s="127"/>
      <c r="N230" s="72"/>
      <c r="O230" s="72"/>
      <c r="P230" s="127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127"/>
      <c r="M231" s="127"/>
      <c r="N231" s="72"/>
      <c r="O231" s="72"/>
      <c r="P231" s="127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127"/>
      <c r="M232" s="127"/>
      <c r="N232" s="72"/>
      <c r="O232" s="72"/>
      <c r="P232" s="127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127"/>
      <c r="M233" s="127"/>
      <c r="N233" s="72"/>
      <c r="O233" s="72"/>
      <c r="P233" s="127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127"/>
      <c r="M234" s="127"/>
      <c r="N234" s="72"/>
      <c r="O234" s="72"/>
      <c r="P234" s="127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127"/>
      <c r="M235" s="127"/>
      <c r="N235" s="72"/>
      <c r="O235" s="72"/>
      <c r="P235" s="127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127"/>
      <c r="M236" s="127"/>
      <c r="N236" s="72"/>
      <c r="O236" s="72"/>
      <c r="P236" s="127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127"/>
      <c r="M237" s="127"/>
      <c r="N237" s="72"/>
      <c r="O237" s="72"/>
      <c r="P237" s="127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127"/>
      <c r="M238" s="127"/>
      <c r="N238" s="72"/>
      <c r="O238" s="72"/>
      <c r="P238" s="127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127"/>
      <c r="M239" s="127"/>
      <c r="N239" s="72"/>
      <c r="O239" s="72"/>
      <c r="P239" s="127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127"/>
      <c r="M240" s="127"/>
      <c r="N240" s="72"/>
      <c r="O240" s="72"/>
      <c r="P240" s="127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127"/>
      <c r="M241" s="127"/>
      <c r="N241" s="72"/>
      <c r="O241" s="72"/>
      <c r="P241" s="127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127"/>
      <c r="M242" s="127"/>
      <c r="N242" s="72"/>
      <c r="O242" s="72"/>
      <c r="P242" s="127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127"/>
      <c r="M243" s="127"/>
      <c r="N243" s="72"/>
      <c r="O243" s="72"/>
      <c r="P243" s="127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127"/>
      <c r="M244" s="127"/>
      <c r="N244" s="72"/>
      <c r="O244" s="72"/>
      <c r="P244" s="127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127"/>
      <c r="M245" s="127"/>
      <c r="N245" s="72"/>
      <c r="O245" s="72"/>
      <c r="P245" s="127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127"/>
      <c r="M246" s="127"/>
      <c r="N246" s="72"/>
      <c r="O246" s="72"/>
      <c r="P246" s="127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127"/>
      <c r="M247" s="127"/>
      <c r="N247" s="72"/>
      <c r="O247" s="72"/>
      <c r="P247" s="127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127"/>
      <c r="M248" s="127"/>
      <c r="N248" s="72"/>
      <c r="O248" s="72"/>
      <c r="P248" s="127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127"/>
      <c r="M249" s="127"/>
      <c r="N249" s="72"/>
      <c r="O249" s="72"/>
      <c r="P249" s="127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127"/>
      <c r="M250" s="127"/>
      <c r="N250" s="72"/>
      <c r="O250" s="72"/>
      <c r="P250" s="127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127"/>
      <c r="M251" s="127"/>
      <c r="N251" s="72"/>
      <c r="O251" s="72"/>
      <c r="P251" s="127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127"/>
      <c r="M252" s="127"/>
      <c r="N252" s="72"/>
      <c r="O252" s="72"/>
      <c r="P252" s="127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127"/>
      <c r="M253" s="127"/>
      <c r="N253" s="72"/>
      <c r="O253" s="72"/>
      <c r="P253" s="127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127"/>
      <c r="M254" s="127"/>
      <c r="N254" s="72"/>
      <c r="O254" s="72"/>
      <c r="P254" s="127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127"/>
      <c r="M255" s="127"/>
      <c r="N255" s="72"/>
      <c r="O255" s="72"/>
      <c r="P255" s="127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127"/>
      <c r="M256" s="127"/>
      <c r="N256" s="72"/>
      <c r="O256" s="72"/>
      <c r="P256" s="127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127"/>
      <c r="M257" s="127"/>
      <c r="N257" s="72"/>
      <c r="O257" s="72"/>
      <c r="P257" s="127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127"/>
      <c r="M258" s="127"/>
      <c r="N258" s="72"/>
      <c r="O258" s="72"/>
      <c r="P258" s="127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127"/>
      <c r="M259" s="127"/>
      <c r="N259" s="72"/>
      <c r="O259" s="72"/>
      <c r="P259" s="127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127"/>
      <c r="M260" s="127"/>
      <c r="N260" s="72"/>
      <c r="O260" s="72"/>
      <c r="P260" s="127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127"/>
      <c r="M261" s="127"/>
      <c r="N261" s="72"/>
      <c r="O261" s="72"/>
      <c r="P261" s="127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127"/>
      <c r="M262" s="127"/>
      <c r="N262" s="72"/>
      <c r="O262" s="72"/>
      <c r="P262" s="127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127"/>
      <c r="M263" s="127"/>
      <c r="N263" s="72"/>
      <c r="O263" s="72"/>
      <c r="P263" s="127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127"/>
      <c r="M264" s="127"/>
      <c r="N264" s="72"/>
      <c r="O264" s="72"/>
      <c r="P264" s="127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127"/>
      <c r="M265" s="127"/>
      <c r="N265" s="72"/>
      <c r="O265" s="72"/>
      <c r="P265" s="127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127"/>
      <c r="M266" s="127"/>
      <c r="N266" s="72"/>
      <c r="O266" s="72"/>
      <c r="P266" s="127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127"/>
      <c r="M267" s="127"/>
      <c r="N267" s="72"/>
      <c r="O267" s="72"/>
      <c r="P267" s="127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127"/>
      <c r="M268" s="127"/>
      <c r="N268" s="72"/>
      <c r="O268" s="72"/>
      <c r="P268" s="127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127"/>
      <c r="M269" s="127"/>
      <c r="N269" s="72"/>
      <c r="O269" s="72"/>
      <c r="P269" s="127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127"/>
      <c r="M270" s="127"/>
      <c r="N270" s="72"/>
      <c r="O270" s="72"/>
      <c r="P270" s="127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127"/>
      <c r="M271" s="127"/>
      <c r="N271" s="72"/>
      <c r="O271" s="72"/>
      <c r="P271" s="127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127"/>
      <c r="M272" s="127"/>
      <c r="N272" s="72"/>
      <c r="O272" s="72"/>
      <c r="P272" s="127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127"/>
      <c r="M273" s="127"/>
      <c r="N273" s="72"/>
      <c r="O273" s="72"/>
      <c r="P273" s="127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127"/>
      <c r="M274" s="127"/>
      <c r="N274" s="72"/>
      <c r="O274" s="72"/>
      <c r="P274" s="127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127"/>
      <c r="M275" s="127"/>
      <c r="N275" s="72"/>
      <c r="O275" s="72"/>
      <c r="P275" s="127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127"/>
      <c r="M276" s="127"/>
      <c r="N276" s="72"/>
      <c r="O276" s="72"/>
      <c r="P276" s="127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127"/>
      <c r="M277" s="127"/>
      <c r="N277" s="72"/>
      <c r="O277" s="72"/>
      <c r="P277" s="127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127"/>
      <c r="M278" s="127"/>
      <c r="N278" s="72"/>
      <c r="O278" s="72"/>
      <c r="P278" s="127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127"/>
      <c r="M279" s="127"/>
      <c r="N279" s="72"/>
      <c r="O279" s="72"/>
      <c r="P279" s="127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127"/>
      <c r="M280" s="127"/>
      <c r="N280" s="72"/>
      <c r="O280" s="72"/>
      <c r="P280" s="127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127"/>
      <c r="M281" s="127"/>
      <c r="N281" s="72"/>
      <c r="O281" s="72"/>
      <c r="P281" s="127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127"/>
      <c r="M282" s="127"/>
      <c r="N282" s="72"/>
      <c r="O282" s="72"/>
      <c r="P282" s="127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127"/>
      <c r="M283" s="127"/>
      <c r="N283" s="72"/>
      <c r="O283" s="72"/>
      <c r="P283" s="127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127"/>
      <c r="M284" s="127"/>
      <c r="N284" s="72"/>
      <c r="O284" s="72"/>
      <c r="P284" s="127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127"/>
      <c r="M285" s="127"/>
      <c r="N285" s="72"/>
      <c r="O285" s="72"/>
      <c r="P285" s="127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127"/>
      <c r="M286" s="127"/>
      <c r="N286" s="72"/>
      <c r="O286" s="72"/>
      <c r="P286" s="127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127"/>
      <c r="M287" s="127"/>
      <c r="N287" s="72"/>
      <c r="O287" s="72"/>
      <c r="P287" s="127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127"/>
      <c r="M288" s="127"/>
      <c r="N288" s="72"/>
      <c r="O288" s="72"/>
      <c r="P288" s="127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127"/>
      <c r="M289" s="127"/>
      <c r="N289" s="72"/>
      <c r="O289" s="72"/>
      <c r="P289" s="127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127"/>
      <c r="M290" s="127"/>
      <c r="N290" s="72"/>
      <c r="O290" s="72"/>
      <c r="P290" s="127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127"/>
      <c r="M291" s="127"/>
      <c r="N291" s="72"/>
      <c r="O291" s="72"/>
      <c r="P291" s="127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127"/>
      <c r="M292" s="127"/>
      <c r="N292" s="72"/>
      <c r="O292" s="72"/>
      <c r="P292" s="127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127"/>
      <c r="M293" s="127"/>
      <c r="N293" s="72"/>
      <c r="O293" s="72"/>
      <c r="P293" s="127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127"/>
      <c r="M294" s="127"/>
      <c r="N294" s="72"/>
      <c r="O294" s="72"/>
      <c r="P294" s="127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127"/>
      <c r="M295" s="127"/>
      <c r="N295" s="72"/>
      <c r="O295" s="72"/>
      <c r="P295" s="127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127"/>
      <c r="M296" s="127"/>
      <c r="N296" s="72"/>
      <c r="O296" s="72"/>
      <c r="P296" s="127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127"/>
      <c r="M297" s="127"/>
      <c r="N297" s="72"/>
      <c r="O297" s="72"/>
      <c r="P297" s="127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127"/>
      <c r="M298" s="127"/>
      <c r="N298" s="72"/>
      <c r="O298" s="72"/>
      <c r="P298" s="127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127"/>
      <c r="M299" s="127"/>
      <c r="N299" s="72"/>
      <c r="O299" s="72"/>
      <c r="P299" s="127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127"/>
      <c r="M300" s="127"/>
      <c r="N300" s="72"/>
      <c r="O300" s="72"/>
      <c r="P300" s="127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127"/>
      <c r="M301" s="127"/>
      <c r="N301" s="72"/>
      <c r="O301" s="72"/>
      <c r="P301" s="127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127"/>
      <c r="M302" s="127"/>
      <c r="N302" s="72"/>
      <c r="O302" s="72"/>
      <c r="P302" s="127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127"/>
      <c r="M303" s="127"/>
      <c r="N303" s="72"/>
      <c r="O303" s="72"/>
      <c r="P303" s="127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127"/>
      <c r="M304" s="127"/>
      <c r="N304" s="72"/>
      <c r="O304" s="72"/>
      <c r="P304" s="127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127"/>
      <c r="M305" s="127"/>
      <c r="N305" s="72"/>
      <c r="O305" s="72"/>
      <c r="P305" s="127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127"/>
      <c r="M306" s="127"/>
      <c r="N306" s="72"/>
      <c r="O306" s="72"/>
      <c r="P306" s="127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127"/>
      <c r="M307" s="127"/>
      <c r="N307" s="72"/>
      <c r="O307" s="72"/>
      <c r="P307" s="127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127"/>
      <c r="M308" s="127"/>
      <c r="N308" s="72"/>
      <c r="O308" s="72"/>
      <c r="P308" s="127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127"/>
      <c r="M309" s="127"/>
      <c r="N309" s="72"/>
      <c r="O309" s="72"/>
      <c r="P309" s="127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127"/>
      <c r="M310" s="127"/>
      <c r="N310" s="72"/>
      <c r="O310" s="72"/>
      <c r="P310" s="127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127"/>
      <c r="M311" s="127"/>
      <c r="N311" s="72"/>
      <c r="O311" s="72"/>
      <c r="P311" s="127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127"/>
      <c r="M312" s="127"/>
      <c r="N312" s="72"/>
      <c r="O312" s="72"/>
      <c r="P312" s="127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127"/>
      <c r="M313" s="127"/>
      <c r="N313" s="72"/>
      <c r="O313" s="72"/>
      <c r="P313" s="127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127"/>
      <c r="M314" s="127"/>
      <c r="N314" s="72"/>
      <c r="O314" s="72"/>
      <c r="P314" s="127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127"/>
      <c r="M315" s="127"/>
      <c r="N315" s="72"/>
      <c r="O315" s="72"/>
      <c r="P315" s="127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127"/>
      <c r="M316" s="127"/>
      <c r="N316" s="72"/>
      <c r="O316" s="72"/>
      <c r="P316" s="127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127"/>
      <c r="M317" s="127"/>
      <c r="N317" s="72"/>
      <c r="O317" s="72"/>
      <c r="P317" s="127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127"/>
      <c r="M318" s="127"/>
      <c r="N318" s="72"/>
      <c r="O318" s="72"/>
      <c r="P318" s="127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127"/>
      <c r="M319" s="127"/>
      <c r="N319" s="72"/>
      <c r="O319" s="72"/>
      <c r="P319" s="127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127"/>
      <c r="M320" s="127"/>
      <c r="N320" s="72"/>
      <c r="O320" s="72"/>
      <c r="P320" s="127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127"/>
      <c r="M321" s="127"/>
      <c r="N321" s="72"/>
      <c r="O321" s="72"/>
      <c r="P321" s="127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127"/>
      <c r="M322" s="127"/>
      <c r="N322" s="72"/>
      <c r="O322" s="72"/>
      <c r="P322" s="127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127"/>
      <c r="M323" s="127"/>
      <c r="N323" s="72"/>
      <c r="O323" s="72"/>
      <c r="P323" s="127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127"/>
      <c r="M324" s="127"/>
      <c r="N324" s="72"/>
      <c r="O324" s="72"/>
      <c r="P324" s="127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127"/>
      <c r="M325" s="127"/>
      <c r="N325" s="72"/>
      <c r="O325" s="72"/>
      <c r="P325" s="127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127"/>
      <c r="M326" s="127"/>
      <c r="N326" s="72"/>
      <c r="O326" s="72"/>
      <c r="P326" s="127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127"/>
      <c r="M327" s="127"/>
      <c r="N327" s="72"/>
      <c r="O327" s="72"/>
      <c r="P327" s="127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127"/>
      <c r="M328" s="127"/>
      <c r="N328" s="72"/>
      <c r="O328" s="72"/>
      <c r="P328" s="127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127"/>
      <c r="M329" s="127"/>
      <c r="N329" s="72"/>
      <c r="O329" s="72"/>
      <c r="P329" s="127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127"/>
      <c r="M330" s="127"/>
      <c r="N330" s="72"/>
      <c r="O330" s="72"/>
      <c r="P330" s="127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127"/>
      <c r="M331" s="127"/>
      <c r="N331" s="72"/>
      <c r="O331" s="72"/>
      <c r="P331" s="127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127"/>
      <c r="M332" s="127"/>
      <c r="N332" s="72"/>
      <c r="O332" s="72"/>
      <c r="P332" s="127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127"/>
      <c r="M333" s="127"/>
      <c r="N333" s="72"/>
      <c r="O333" s="72"/>
      <c r="P333" s="127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127"/>
      <c r="M334" s="127"/>
      <c r="N334" s="72"/>
      <c r="O334" s="72"/>
      <c r="P334" s="127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127"/>
      <c r="M335" s="127"/>
      <c r="N335" s="72"/>
      <c r="O335" s="72"/>
      <c r="P335" s="127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127"/>
      <c r="M336" s="127"/>
      <c r="N336" s="72"/>
      <c r="O336" s="72"/>
      <c r="P336" s="127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127"/>
      <c r="M337" s="127"/>
      <c r="N337" s="72"/>
      <c r="O337" s="72"/>
      <c r="P337" s="127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127"/>
      <c r="M338" s="127"/>
      <c r="N338" s="72"/>
      <c r="O338" s="72"/>
      <c r="P338" s="127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127"/>
      <c r="M339" s="127"/>
      <c r="N339" s="72"/>
      <c r="O339" s="72"/>
      <c r="P339" s="127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127"/>
      <c r="M340" s="127"/>
      <c r="N340" s="72"/>
      <c r="O340" s="72"/>
      <c r="P340" s="127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127"/>
      <c r="M341" s="127"/>
      <c r="N341" s="72"/>
      <c r="O341" s="72"/>
      <c r="P341" s="127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127"/>
      <c r="M342" s="127"/>
      <c r="N342" s="72"/>
      <c r="O342" s="72"/>
      <c r="P342" s="127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127"/>
      <c r="M343" s="127"/>
      <c r="N343" s="72"/>
      <c r="O343" s="72"/>
      <c r="P343" s="127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127"/>
      <c r="M344" s="127"/>
      <c r="N344" s="72"/>
      <c r="O344" s="72"/>
      <c r="P344" s="127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127"/>
      <c r="M345" s="127"/>
      <c r="N345" s="72"/>
      <c r="O345" s="72"/>
      <c r="P345" s="127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127"/>
      <c r="M346" s="127"/>
      <c r="N346" s="72"/>
      <c r="O346" s="72"/>
      <c r="P346" s="127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127"/>
      <c r="M347" s="127"/>
      <c r="N347" s="72"/>
      <c r="O347" s="72"/>
      <c r="P347" s="127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127"/>
      <c r="M348" s="127"/>
      <c r="N348" s="72"/>
      <c r="O348" s="72"/>
      <c r="P348" s="127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127"/>
      <c r="M349" s="127"/>
      <c r="N349" s="72"/>
      <c r="O349" s="72"/>
      <c r="P349" s="127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127"/>
      <c r="M350" s="127"/>
      <c r="N350" s="72"/>
      <c r="O350" s="72"/>
      <c r="P350" s="127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127"/>
      <c r="M351" s="127"/>
      <c r="N351" s="72"/>
      <c r="O351" s="72"/>
      <c r="P351" s="127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127"/>
      <c r="M352" s="127"/>
      <c r="N352" s="72"/>
      <c r="O352" s="72"/>
      <c r="P352" s="127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127"/>
      <c r="M353" s="127"/>
      <c r="N353" s="72"/>
      <c r="O353" s="72"/>
      <c r="P353" s="127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127"/>
      <c r="M354" s="127"/>
      <c r="N354" s="72"/>
      <c r="O354" s="72"/>
      <c r="P354" s="127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127"/>
      <c r="M355" s="127"/>
      <c r="N355" s="72"/>
      <c r="O355" s="72"/>
      <c r="P355" s="127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127"/>
      <c r="M356" s="127"/>
      <c r="N356" s="72"/>
      <c r="O356" s="72"/>
      <c r="P356" s="127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127"/>
      <c r="M357" s="127"/>
      <c r="N357" s="72"/>
      <c r="O357" s="72"/>
      <c r="P357" s="127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127"/>
      <c r="M358" s="127"/>
      <c r="N358" s="72"/>
      <c r="O358" s="72"/>
      <c r="P358" s="127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127"/>
      <c r="M359" s="127"/>
      <c r="N359" s="72"/>
      <c r="O359" s="72"/>
      <c r="P359" s="127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127"/>
      <c r="M360" s="127"/>
      <c r="N360" s="72"/>
      <c r="O360" s="72"/>
      <c r="P360" s="127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127"/>
      <c r="M361" s="127"/>
      <c r="N361" s="72"/>
      <c r="O361" s="72"/>
      <c r="P361" s="127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127"/>
      <c r="M362" s="127"/>
      <c r="N362" s="72"/>
      <c r="O362" s="72"/>
      <c r="P362" s="127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127"/>
      <c r="M363" s="127"/>
      <c r="N363" s="72"/>
      <c r="O363" s="72"/>
      <c r="P363" s="127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127"/>
      <c r="M364" s="127"/>
      <c r="N364" s="72"/>
      <c r="O364" s="72"/>
      <c r="P364" s="127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127"/>
      <c r="M365" s="127"/>
      <c r="N365" s="72"/>
      <c r="O365" s="72"/>
      <c r="P365" s="127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127"/>
      <c r="M366" s="127"/>
      <c r="N366" s="72"/>
      <c r="O366" s="72"/>
      <c r="P366" s="127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127"/>
      <c r="M367" s="127"/>
      <c r="N367" s="72"/>
      <c r="O367" s="72"/>
      <c r="P367" s="127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127"/>
      <c r="M368" s="127"/>
      <c r="N368" s="72"/>
      <c r="O368" s="72"/>
      <c r="P368" s="127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127"/>
      <c r="M369" s="127"/>
      <c r="N369" s="72"/>
      <c r="O369" s="72"/>
      <c r="P369" s="127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127"/>
      <c r="M370" s="127"/>
      <c r="N370" s="72"/>
      <c r="O370" s="72"/>
      <c r="P370" s="127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127"/>
      <c r="M371" s="127"/>
      <c r="N371" s="72"/>
      <c r="O371" s="72"/>
      <c r="P371" s="127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127"/>
      <c r="M372" s="127"/>
      <c r="N372" s="72"/>
      <c r="O372" s="72"/>
      <c r="P372" s="127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127"/>
      <c r="M373" s="127"/>
      <c r="N373" s="72"/>
      <c r="O373" s="72"/>
      <c r="P373" s="127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127"/>
      <c r="M374" s="127"/>
      <c r="N374" s="72"/>
      <c r="O374" s="72"/>
      <c r="P374" s="127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127"/>
      <c r="M375" s="127"/>
      <c r="N375" s="72"/>
      <c r="O375" s="72"/>
      <c r="P375" s="127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127"/>
      <c r="M376" s="127"/>
      <c r="N376" s="72"/>
      <c r="O376" s="72"/>
      <c r="P376" s="127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127"/>
      <c r="M377" s="127"/>
      <c r="N377" s="72"/>
      <c r="O377" s="72"/>
      <c r="P377" s="127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127"/>
      <c r="M378" s="127"/>
      <c r="N378" s="72"/>
      <c r="O378" s="72"/>
      <c r="P378" s="127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127"/>
      <c r="M379" s="127"/>
      <c r="N379" s="72"/>
      <c r="O379" s="72"/>
      <c r="P379" s="127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127"/>
      <c r="M380" s="127"/>
      <c r="N380" s="72"/>
      <c r="O380" s="72"/>
      <c r="P380" s="127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127"/>
      <c r="M381" s="127"/>
      <c r="N381" s="72"/>
      <c r="O381" s="72"/>
      <c r="P381" s="127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127"/>
      <c r="M382" s="127"/>
      <c r="N382" s="72"/>
      <c r="O382" s="72"/>
      <c r="P382" s="127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127"/>
      <c r="M383" s="127"/>
      <c r="N383" s="72"/>
      <c r="O383" s="72"/>
      <c r="P383" s="127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127"/>
      <c r="M384" s="127"/>
      <c r="N384" s="72"/>
      <c r="O384" s="72"/>
      <c r="P384" s="127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127"/>
      <c r="M385" s="127"/>
      <c r="N385" s="72"/>
      <c r="O385" s="72"/>
      <c r="P385" s="127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127"/>
      <c r="M386" s="127"/>
      <c r="N386" s="72"/>
      <c r="O386" s="72"/>
      <c r="P386" s="127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127"/>
      <c r="M387" s="127"/>
      <c r="N387" s="72"/>
      <c r="O387" s="72"/>
      <c r="P387" s="127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127"/>
      <c r="M388" s="127"/>
      <c r="N388" s="72"/>
      <c r="O388" s="72"/>
      <c r="P388" s="127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127"/>
      <c r="M389" s="127"/>
      <c r="N389" s="72"/>
      <c r="O389" s="72"/>
      <c r="P389" s="127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127"/>
      <c r="M390" s="127"/>
      <c r="N390" s="72"/>
      <c r="O390" s="72"/>
      <c r="P390" s="127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127"/>
      <c r="M391" s="127"/>
      <c r="N391" s="72"/>
      <c r="O391" s="72"/>
      <c r="P391" s="127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127"/>
      <c r="M392" s="127"/>
      <c r="N392" s="72"/>
      <c r="O392" s="72"/>
      <c r="P392" s="127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127"/>
      <c r="M393" s="127"/>
      <c r="N393" s="72"/>
      <c r="O393" s="72"/>
      <c r="P393" s="127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127"/>
      <c r="M394" s="127"/>
      <c r="N394" s="72"/>
      <c r="O394" s="72"/>
      <c r="P394" s="127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127"/>
      <c r="M395" s="127"/>
      <c r="N395" s="72"/>
      <c r="O395" s="72"/>
      <c r="P395" s="127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127"/>
      <c r="M396" s="127"/>
      <c r="N396" s="72"/>
      <c r="O396" s="72"/>
      <c r="P396" s="127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127"/>
      <c r="M397" s="127"/>
      <c r="N397" s="72"/>
      <c r="O397" s="72"/>
      <c r="P397" s="127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127"/>
      <c r="M398" s="127"/>
      <c r="N398" s="72"/>
      <c r="O398" s="72"/>
      <c r="P398" s="127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127"/>
      <c r="M399" s="127"/>
      <c r="N399" s="72"/>
      <c r="O399" s="72"/>
      <c r="P399" s="127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127"/>
      <c r="M400" s="127"/>
      <c r="N400" s="72"/>
      <c r="O400" s="72"/>
      <c r="P400" s="127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127"/>
      <c r="M401" s="127"/>
      <c r="N401" s="72"/>
      <c r="O401" s="72"/>
      <c r="P401" s="127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127"/>
      <c r="M402" s="127"/>
      <c r="N402" s="72"/>
      <c r="O402" s="72"/>
      <c r="P402" s="127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127"/>
      <c r="M403" s="127"/>
      <c r="N403" s="72"/>
      <c r="O403" s="72"/>
      <c r="P403" s="127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127"/>
      <c r="M404" s="127"/>
      <c r="N404" s="72"/>
      <c r="O404" s="72"/>
      <c r="P404" s="127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127"/>
      <c r="M405" s="127"/>
      <c r="N405" s="72"/>
      <c r="O405" s="72"/>
      <c r="P405" s="127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127"/>
      <c r="M406" s="127"/>
      <c r="N406" s="72"/>
      <c r="O406" s="72"/>
      <c r="P406" s="127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127"/>
      <c r="M407" s="127"/>
      <c r="N407" s="72"/>
      <c r="O407" s="72"/>
      <c r="P407" s="127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127"/>
      <c r="M408" s="127"/>
      <c r="N408" s="72"/>
      <c r="O408" s="72"/>
      <c r="P408" s="127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127"/>
      <c r="M409" s="127"/>
      <c r="N409" s="72"/>
      <c r="O409" s="72"/>
      <c r="P409" s="127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127"/>
      <c r="M410" s="127"/>
      <c r="N410" s="72"/>
      <c r="O410" s="72"/>
      <c r="P410" s="127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127"/>
      <c r="M411" s="127"/>
      <c r="N411" s="72"/>
      <c r="O411" s="72"/>
      <c r="P411" s="127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127"/>
      <c r="M412" s="127"/>
      <c r="N412" s="72"/>
      <c r="O412" s="72"/>
      <c r="P412" s="127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127"/>
      <c r="M413" s="127"/>
      <c r="N413" s="72"/>
      <c r="O413" s="72"/>
      <c r="P413" s="127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127"/>
      <c r="M414" s="127"/>
      <c r="N414" s="72"/>
      <c r="O414" s="72"/>
      <c r="P414" s="127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127"/>
      <c r="M415" s="127"/>
      <c r="N415" s="72"/>
      <c r="O415" s="72"/>
      <c r="P415" s="127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127"/>
      <c r="M416" s="127"/>
      <c r="N416" s="72"/>
      <c r="O416" s="72"/>
      <c r="P416" s="127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127"/>
      <c r="M417" s="127"/>
      <c r="N417" s="72"/>
      <c r="O417" s="72"/>
      <c r="P417" s="127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127"/>
      <c r="M418" s="127"/>
      <c r="N418" s="72"/>
      <c r="O418" s="72"/>
      <c r="P418" s="127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127"/>
      <c r="M419" s="127"/>
      <c r="N419" s="72"/>
      <c r="O419" s="72"/>
      <c r="P419" s="127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127"/>
      <c r="M420" s="127"/>
      <c r="N420" s="72"/>
      <c r="O420" s="72"/>
      <c r="P420" s="127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127"/>
      <c r="M421" s="127"/>
      <c r="N421" s="72"/>
      <c r="O421" s="72"/>
      <c r="P421" s="127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127"/>
      <c r="M422" s="127"/>
      <c r="N422" s="72"/>
      <c r="O422" s="72"/>
      <c r="P422" s="127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127"/>
      <c r="M423" s="127"/>
      <c r="N423" s="72"/>
      <c r="O423" s="72"/>
      <c r="P423" s="127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127"/>
      <c r="M424" s="127"/>
      <c r="N424" s="72"/>
      <c r="O424" s="72"/>
      <c r="P424" s="127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127"/>
      <c r="M425" s="127"/>
      <c r="N425" s="72"/>
      <c r="O425" s="72"/>
      <c r="P425" s="127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127"/>
      <c r="M426" s="127"/>
      <c r="N426" s="72"/>
      <c r="O426" s="72"/>
      <c r="P426" s="127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127"/>
      <c r="M427" s="127"/>
      <c r="N427" s="72"/>
      <c r="O427" s="72"/>
      <c r="P427" s="127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127"/>
      <c r="M428" s="127"/>
      <c r="N428" s="72"/>
      <c r="O428" s="72"/>
      <c r="P428" s="127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127"/>
      <c r="M429" s="127"/>
      <c r="N429" s="72"/>
      <c r="O429" s="72"/>
      <c r="P429" s="127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127"/>
      <c r="M430" s="127"/>
      <c r="N430" s="72"/>
      <c r="O430" s="72"/>
      <c r="P430" s="127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127"/>
      <c r="M431" s="127"/>
      <c r="N431" s="72"/>
      <c r="O431" s="72"/>
      <c r="P431" s="127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127"/>
      <c r="M432" s="127"/>
      <c r="N432" s="72"/>
      <c r="O432" s="72"/>
      <c r="P432" s="127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127"/>
      <c r="M433" s="127"/>
      <c r="N433" s="72"/>
      <c r="O433" s="72"/>
      <c r="P433" s="127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127"/>
      <c r="M434" s="127"/>
      <c r="N434" s="72"/>
      <c r="O434" s="72"/>
      <c r="P434" s="127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127"/>
      <c r="M435" s="127"/>
      <c r="N435" s="72"/>
      <c r="O435" s="72"/>
      <c r="P435" s="127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127"/>
      <c r="M436" s="127"/>
      <c r="N436" s="72"/>
      <c r="O436" s="72"/>
      <c r="P436" s="127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127"/>
      <c r="M437" s="127"/>
      <c r="N437" s="72"/>
      <c r="O437" s="72"/>
      <c r="P437" s="127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127"/>
      <c r="M438" s="127"/>
      <c r="N438" s="72"/>
      <c r="O438" s="72"/>
      <c r="P438" s="127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127"/>
      <c r="M439" s="127"/>
      <c r="N439" s="72"/>
      <c r="O439" s="72"/>
      <c r="P439" s="127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127"/>
      <c r="M440" s="127"/>
      <c r="N440" s="72"/>
      <c r="O440" s="72"/>
      <c r="P440" s="127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127"/>
      <c r="M441" s="127"/>
      <c r="N441" s="72"/>
      <c r="O441" s="72"/>
      <c r="P441" s="127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127"/>
      <c r="M442" s="127"/>
      <c r="N442" s="72"/>
      <c r="O442" s="72"/>
      <c r="P442" s="127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127"/>
      <c r="M443" s="127"/>
      <c r="N443" s="72"/>
      <c r="O443" s="72"/>
      <c r="P443" s="127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127"/>
      <c r="M444" s="127"/>
      <c r="N444" s="72"/>
      <c r="O444" s="72"/>
      <c r="P444" s="127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127"/>
      <c r="M445" s="127"/>
      <c r="N445" s="72"/>
      <c r="O445" s="72"/>
      <c r="P445" s="127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127"/>
      <c r="M446" s="127"/>
      <c r="N446" s="72"/>
      <c r="O446" s="72"/>
      <c r="P446" s="127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127"/>
      <c r="M447" s="127"/>
      <c r="N447" s="72"/>
      <c r="O447" s="72"/>
      <c r="P447" s="127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127"/>
      <c r="M448" s="127"/>
      <c r="N448" s="72"/>
      <c r="O448" s="72"/>
      <c r="P448" s="127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127"/>
      <c r="M449" s="127"/>
      <c r="N449" s="72"/>
      <c r="O449" s="72"/>
      <c r="P449" s="127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127"/>
      <c r="M450" s="127"/>
      <c r="N450" s="72"/>
      <c r="O450" s="72"/>
      <c r="P450" s="127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127"/>
      <c r="M451" s="127"/>
      <c r="N451" s="72"/>
      <c r="O451" s="72"/>
      <c r="P451" s="127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127"/>
      <c r="M452" s="127"/>
      <c r="N452" s="72"/>
      <c r="O452" s="72"/>
      <c r="P452" s="127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127"/>
      <c r="M453" s="127"/>
      <c r="N453" s="72"/>
      <c r="O453" s="72"/>
      <c r="P453" s="127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127"/>
      <c r="M454" s="127"/>
      <c r="N454" s="72"/>
      <c r="O454" s="72"/>
      <c r="P454" s="127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127"/>
      <c r="M455" s="127"/>
      <c r="N455" s="72"/>
      <c r="O455" s="72"/>
      <c r="P455" s="127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127"/>
      <c r="M456" s="127"/>
      <c r="N456" s="72"/>
      <c r="O456" s="72"/>
      <c r="P456" s="127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127"/>
      <c r="M457" s="127"/>
      <c r="N457" s="72"/>
      <c r="O457" s="72"/>
      <c r="P457" s="127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127"/>
      <c r="M458" s="127"/>
      <c r="N458" s="72"/>
      <c r="O458" s="72"/>
      <c r="P458" s="127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127"/>
      <c r="M459" s="127"/>
      <c r="N459" s="72"/>
      <c r="O459" s="72"/>
      <c r="P459" s="127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127"/>
      <c r="M460" s="127"/>
      <c r="N460" s="72"/>
      <c r="O460" s="72"/>
      <c r="P460" s="127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127"/>
      <c r="M461" s="127"/>
      <c r="N461" s="72"/>
      <c r="O461" s="72"/>
      <c r="P461" s="127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127"/>
      <c r="M462" s="127"/>
      <c r="N462" s="72"/>
      <c r="O462" s="72"/>
      <c r="P462" s="127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127"/>
      <c r="M463" s="127"/>
      <c r="N463" s="72"/>
      <c r="O463" s="72"/>
      <c r="P463" s="127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127"/>
      <c r="M464" s="127"/>
      <c r="N464" s="72"/>
      <c r="O464" s="72"/>
      <c r="P464" s="127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127"/>
      <c r="M465" s="127"/>
      <c r="N465" s="72"/>
      <c r="O465" s="72"/>
      <c r="P465" s="127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127"/>
      <c r="M466" s="127"/>
      <c r="N466" s="72"/>
      <c r="O466" s="72"/>
      <c r="P466" s="127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127"/>
      <c r="M467" s="127"/>
      <c r="N467" s="72"/>
      <c r="O467" s="72"/>
      <c r="P467" s="127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127"/>
      <c r="M468" s="127"/>
      <c r="N468" s="72"/>
      <c r="O468" s="72"/>
      <c r="P468" s="127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127"/>
      <c r="M469" s="127"/>
      <c r="N469" s="72"/>
      <c r="O469" s="72"/>
      <c r="P469" s="127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127"/>
      <c r="M470" s="127"/>
      <c r="N470" s="72"/>
      <c r="O470" s="72"/>
      <c r="P470" s="127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127"/>
      <c r="M471" s="127"/>
      <c r="N471" s="72"/>
      <c r="O471" s="72"/>
      <c r="P471" s="127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127"/>
      <c r="M472" s="127"/>
      <c r="N472" s="72"/>
      <c r="O472" s="72"/>
      <c r="P472" s="127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127"/>
      <c r="M473" s="127"/>
      <c r="N473" s="72"/>
      <c r="O473" s="72"/>
      <c r="P473" s="127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127"/>
      <c r="M474" s="127"/>
      <c r="N474" s="72"/>
      <c r="O474" s="72"/>
      <c r="P474" s="127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127"/>
      <c r="M475" s="127"/>
      <c r="N475" s="72"/>
      <c r="O475" s="72"/>
      <c r="P475" s="127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127"/>
      <c r="M476" s="127"/>
      <c r="N476" s="72"/>
      <c r="O476" s="72"/>
      <c r="P476" s="127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127"/>
      <c r="M477" s="127"/>
      <c r="N477" s="72"/>
      <c r="O477" s="72"/>
      <c r="P477" s="127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127"/>
      <c r="M478" s="127"/>
      <c r="N478" s="72"/>
      <c r="O478" s="72"/>
      <c r="P478" s="127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127"/>
      <c r="M479" s="127"/>
      <c r="N479" s="72"/>
      <c r="O479" s="72"/>
      <c r="P479" s="127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127"/>
      <c r="M480" s="127"/>
      <c r="N480" s="72"/>
      <c r="O480" s="72"/>
      <c r="P480" s="127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127"/>
      <c r="M481" s="127"/>
      <c r="N481" s="72"/>
      <c r="O481" s="72"/>
      <c r="P481" s="127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127"/>
      <c r="M482" s="127"/>
      <c r="N482" s="72"/>
      <c r="O482" s="72"/>
      <c r="P482" s="127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127"/>
      <c r="M483" s="127"/>
      <c r="N483" s="72"/>
      <c r="O483" s="72"/>
      <c r="P483" s="127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127"/>
      <c r="M484" s="127"/>
      <c r="N484" s="72"/>
      <c r="O484" s="72"/>
      <c r="P484" s="127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127"/>
      <c r="M485" s="127"/>
      <c r="N485" s="72"/>
      <c r="O485" s="72"/>
      <c r="P485" s="127"/>
      <c r="S485" s="72"/>
      <c r="T485" s="72"/>
      <c r="U485" s="72"/>
      <c r="V485" s="72"/>
      <c r="W485" s="72"/>
      <c r="X485" s="72"/>
      <c r="Y485" s="72"/>
      <c r="Z485" s="72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127"/>
      <c r="M486" s="127"/>
      <c r="N486" s="72"/>
      <c r="O486" s="72"/>
      <c r="P486" s="127"/>
      <c r="S486" s="72"/>
      <c r="T486" s="72"/>
      <c r="U486" s="72"/>
      <c r="V486" s="72"/>
      <c r="W486" s="72"/>
      <c r="X486" s="72"/>
      <c r="Y486" s="72"/>
      <c r="Z486" s="72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127"/>
      <c r="M487" s="127"/>
      <c r="N487" s="72"/>
      <c r="O487" s="72"/>
      <c r="P487" s="127"/>
      <c r="S487" s="72"/>
      <c r="T487" s="72"/>
      <c r="U487" s="72"/>
      <c r="V487" s="72"/>
      <c r="W487" s="72"/>
      <c r="X487" s="72"/>
      <c r="Y487" s="72"/>
      <c r="Z487" s="72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127"/>
      <c r="M488" s="127"/>
      <c r="N488" s="72"/>
      <c r="O488" s="72"/>
      <c r="P488" s="127"/>
      <c r="S488" s="72"/>
      <c r="T488" s="72"/>
      <c r="U488" s="72"/>
      <c r="V488" s="72"/>
      <c r="W488" s="72"/>
      <c r="X488" s="72"/>
      <c r="Y488" s="72"/>
      <c r="Z488" s="72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127"/>
      <c r="M489" s="127"/>
      <c r="N489" s="72"/>
      <c r="O489" s="72"/>
      <c r="P489" s="127"/>
      <c r="S489" s="72"/>
      <c r="T489" s="72"/>
      <c r="U489" s="72"/>
      <c r="V489" s="72"/>
      <c r="W489" s="72"/>
      <c r="X489" s="72"/>
      <c r="Y489" s="72"/>
      <c r="Z489" s="72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127"/>
      <c r="M490" s="127"/>
      <c r="N490" s="72"/>
      <c r="O490" s="72"/>
      <c r="P490" s="127"/>
      <c r="S490" s="72"/>
      <c r="T490" s="72"/>
      <c r="U490" s="72"/>
      <c r="V490" s="72"/>
      <c r="W490" s="72"/>
      <c r="X490" s="72"/>
      <c r="Y490" s="72"/>
      <c r="Z490" s="72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127"/>
      <c r="M491" s="127"/>
      <c r="N491" s="72"/>
      <c r="O491" s="72"/>
      <c r="P491" s="127"/>
      <c r="S491" s="72"/>
      <c r="T491" s="72"/>
      <c r="U491" s="72"/>
      <c r="V491" s="72"/>
      <c r="W491" s="72"/>
      <c r="X491" s="72"/>
      <c r="Y491" s="72"/>
      <c r="Z491" s="72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127"/>
      <c r="M492" s="127"/>
      <c r="N492" s="72"/>
      <c r="O492" s="72"/>
      <c r="P492" s="127"/>
      <c r="S492" s="72"/>
      <c r="T492" s="72"/>
      <c r="U492" s="72"/>
      <c r="V492" s="72"/>
      <c r="W492" s="72"/>
      <c r="X492" s="72"/>
      <c r="Y492" s="72"/>
      <c r="Z492" s="72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127"/>
      <c r="M493" s="127"/>
      <c r="N493" s="72"/>
      <c r="O493" s="72"/>
      <c r="P493" s="127"/>
      <c r="S493" s="72"/>
      <c r="T493" s="72"/>
      <c r="U493" s="72"/>
      <c r="V493" s="72"/>
      <c r="W493" s="72"/>
      <c r="X493" s="72"/>
      <c r="Y493" s="72"/>
      <c r="Z493" s="72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127"/>
      <c r="M494" s="127"/>
      <c r="N494" s="72"/>
      <c r="O494" s="72"/>
      <c r="P494" s="127"/>
      <c r="S494" s="72"/>
      <c r="T494" s="72"/>
      <c r="U494" s="72"/>
      <c r="V494" s="72"/>
      <c r="W494" s="72"/>
      <c r="X494" s="72"/>
      <c r="Y494" s="72"/>
      <c r="Z494" s="72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127"/>
      <c r="M495" s="127"/>
      <c r="N495" s="72"/>
      <c r="O495" s="72"/>
      <c r="P495" s="127"/>
      <c r="S495" s="72"/>
      <c r="T495" s="72"/>
      <c r="U495" s="72"/>
      <c r="V495" s="72"/>
      <c r="W495" s="72"/>
      <c r="X495" s="72"/>
      <c r="Y495" s="72"/>
      <c r="Z495" s="72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127"/>
      <c r="M496" s="127"/>
      <c r="N496" s="72"/>
      <c r="O496" s="72"/>
      <c r="P496" s="127"/>
      <c r="S496" s="72"/>
      <c r="T496" s="72"/>
      <c r="U496" s="72"/>
      <c r="V496" s="72"/>
      <c r="W496" s="72"/>
      <c r="X496" s="72"/>
      <c r="Y496" s="72"/>
      <c r="Z496" s="72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127"/>
      <c r="M497" s="127"/>
      <c r="N497" s="72"/>
      <c r="O497" s="72"/>
      <c r="P497" s="127"/>
      <c r="S497" s="72"/>
      <c r="T497" s="72"/>
      <c r="U497" s="72"/>
      <c r="V497" s="72"/>
      <c r="W497" s="72"/>
      <c r="X497" s="72"/>
      <c r="Y497" s="72"/>
      <c r="Z497" s="72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127"/>
      <c r="M498" s="127"/>
      <c r="N498" s="72"/>
      <c r="O498" s="72"/>
      <c r="P498" s="127"/>
      <c r="S498" s="72"/>
      <c r="T498" s="72"/>
      <c r="U498" s="72"/>
      <c r="V498" s="72"/>
      <c r="W498" s="72"/>
      <c r="X498" s="72"/>
      <c r="Y498" s="72"/>
      <c r="Z498" s="72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127"/>
      <c r="M499" s="127"/>
      <c r="N499" s="72"/>
      <c r="O499" s="72"/>
      <c r="P499" s="127"/>
      <c r="S499" s="72"/>
      <c r="T499" s="72"/>
      <c r="U499" s="72"/>
      <c r="V499" s="72"/>
      <c r="W499" s="72"/>
      <c r="X499" s="72"/>
      <c r="Y499" s="72"/>
      <c r="Z499" s="72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127"/>
      <c r="M500" s="127"/>
      <c r="N500" s="72"/>
      <c r="O500" s="72"/>
      <c r="P500" s="127"/>
      <c r="S500" s="72"/>
      <c r="T500" s="72"/>
      <c r="U500" s="72"/>
      <c r="V500" s="72"/>
      <c r="W500" s="72"/>
      <c r="X500" s="72"/>
      <c r="Y500" s="72"/>
      <c r="Z500" s="72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127"/>
      <c r="M501" s="127"/>
      <c r="N501" s="72"/>
      <c r="O501" s="72"/>
      <c r="P501" s="127"/>
      <c r="S501" s="72"/>
      <c r="T501" s="72"/>
      <c r="U501" s="72"/>
      <c r="V501" s="72"/>
      <c r="W501" s="72"/>
      <c r="X501" s="72"/>
      <c r="Y501" s="72"/>
      <c r="Z501" s="72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127"/>
      <c r="M502" s="127"/>
      <c r="N502" s="72"/>
      <c r="O502" s="72"/>
      <c r="P502" s="127"/>
      <c r="S502" s="72"/>
      <c r="T502" s="72"/>
      <c r="U502" s="72"/>
      <c r="V502" s="72"/>
      <c r="W502" s="72"/>
      <c r="X502" s="72"/>
      <c r="Y502" s="72"/>
      <c r="Z502" s="72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127"/>
      <c r="M503" s="127"/>
      <c r="N503" s="72"/>
      <c r="O503" s="72"/>
      <c r="P503" s="127"/>
      <c r="S503" s="72"/>
      <c r="T503" s="72"/>
      <c r="U503" s="72"/>
      <c r="V503" s="72"/>
      <c r="W503" s="72"/>
      <c r="X503" s="72"/>
      <c r="Y503" s="72"/>
      <c r="Z503" s="72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127"/>
      <c r="M504" s="127"/>
      <c r="N504" s="72"/>
      <c r="O504" s="72"/>
      <c r="P504" s="127"/>
      <c r="S504" s="72"/>
      <c r="T504" s="72"/>
      <c r="U504" s="72"/>
      <c r="V504" s="72"/>
      <c r="W504" s="72"/>
      <c r="X504" s="72"/>
      <c r="Y504" s="72"/>
      <c r="Z504" s="72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127"/>
      <c r="M505" s="127"/>
      <c r="N505" s="72"/>
      <c r="O505" s="72"/>
      <c r="P505" s="127"/>
      <c r="S505" s="72"/>
      <c r="T505" s="72"/>
      <c r="U505" s="72"/>
      <c r="V505" s="72"/>
      <c r="W505" s="72"/>
      <c r="X505" s="72"/>
      <c r="Y505" s="72"/>
      <c r="Z505" s="72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127"/>
      <c r="M506" s="127"/>
      <c r="N506" s="72"/>
      <c r="O506" s="72"/>
      <c r="P506" s="127"/>
      <c r="S506" s="72"/>
      <c r="T506" s="72"/>
      <c r="U506" s="72"/>
      <c r="V506" s="72"/>
      <c r="W506" s="72"/>
      <c r="X506" s="72"/>
      <c r="Y506" s="72"/>
      <c r="Z506" s="72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127"/>
      <c r="M507" s="127"/>
      <c r="N507" s="72"/>
      <c r="O507" s="72"/>
      <c r="P507" s="127"/>
      <c r="S507" s="72"/>
      <c r="T507" s="72"/>
      <c r="U507" s="72"/>
      <c r="V507" s="72"/>
      <c r="W507" s="72"/>
      <c r="X507" s="72"/>
      <c r="Y507" s="72"/>
      <c r="Z507" s="72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127"/>
      <c r="M508" s="127"/>
      <c r="N508" s="72"/>
      <c r="O508" s="72"/>
      <c r="P508" s="127"/>
      <c r="S508" s="72"/>
      <c r="T508" s="72"/>
      <c r="U508" s="72"/>
      <c r="V508" s="72"/>
      <c r="W508" s="72"/>
      <c r="X508" s="72"/>
      <c r="Y508" s="72"/>
      <c r="Z508" s="72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127"/>
      <c r="M509" s="127"/>
      <c r="N509" s="72"/>
      <c r="O509" s="72"/>
      <c r="P509" s="127"/>
      <c r="S509" s="72"/>
      <c r="T509" s="72"/>
      <c r="U509" s="72"/>
      <c r="V509" s="72"/>
      <c r="W509" s="72"/>
      <c r="X509" s="72"/>
      <c r="Y509" s="72"/>
      <c r="Z509" s="72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127"/>
      <c r="M510" s="127"/>
      <c r="N510" s="72"/>
      <c r="O510" s="72"/>
      <c r="P510" s="127"/>
      <c r="S510" s="72"/>
      <c r="T510" s="72"/>
      <c r="U510" s="72"/>
      <c r="V510" s="72"/>
      <c r="W510" s="72"/>
      <c r="X510" s="72"/>
      <c r="Y510" s="72"/>
      <c r="Z510" s="72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127"/>
      <c r="M511" s="127"/>
      <c r="N511" s="72"/>
      <c r="O511" s="72"/>
      <c r="P511" s="127"/>
      <c r="S511" s="72"/>
      <c r="T511" s="72"/>
      <c r="U511" s="72"/>
      <c r="V511" s="72"/>
      <c r="W511" s="72"/>
      <c r="X511" s="72"/>
      <c r="Y511" s="72"/>
      <c r="Z511" s="72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127"/>
      <c r="M512" s="127"/>
      <c r="N512" s="72"/>
      <c r="O512" s="72"/>
      <c r="P512" s="127"/>
      <c r="S512" s="72"/>
      <c r="T512" s="72"/>
      <c r="U512" s="72"/>
      <c r="V512" s="72"/>
      <c r="W512" s="72"/>
      <c r="X512" s="72"/>
      <c r="Y512" s="72"/>
      <c r="Z512" s="72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127"/>
      <c r="M513" s="127"/>
      <c r="N513" s="72"/>
      <c r="O513" s="72"/>
      <c r="P513" s="127"/>
      <c r="S513" s="72"/>
      <c r="T513" s="72"/>
      <c r="U513" s="72"/>
      <c r="V513" s="72"/>
      <c r="W513" s="72"/>
      <c r="X513" s="72"/>
      <c r="Y513" s="72"/>
      <c r="Z513" s="72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127"/>
      <c r="M514" s="127"/>
      <c r="N514" s="72"/>
      <c r="O514" s="72"/>
      <c r="P514" s="127"/>
      <c r="S514" s="72"/>
      <c r="T514" s="72"/>
      <c r="U514" s="72"/>
      <c r="V514" s="72"/>
      <c r="W514" s="72"/>
      <c r="X514" s="72"/>
      <c r="Y514" s="72"/>
      <c r="Z514" s="72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127"/>
      <c r="M515" s="127"/>
      <c r="N515" s="72"/>
      <c r="O515" s="72"/>
      <c r="P515" s="127"/>
      <c r="S515" s="72"/>
      <c r="T515" s="72"/>
      <c r="U515" s="72"/>
      <c r="V515" s="72"/>
      <c r="W515" s="72"/>
      <c r="X515" s="72"/>
      <c r="Y515" s="72"/>
      <c r="Z515" s="72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127"/>
      <c r="M516" s="127"/>
      <c r="N516" s="72"/>
      <c r="O516" s="72"/>
      <c r="P516" s="127"/>
      <c r="S516" s="72"/>
      <c r="T516" s="72"/>
      <c r="U516" s="72"/>
      <c r="V516" s="72"/>
      <c r="W516" s="72"/>
      <c r="X516" s="72"/>
      <c r="Y516" s="72"/>
      <c r="Z516" s="72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127"/>
      <c r="M517" s="127"/>
      <c r="N517" s="72"/>
      <c r="O517" s="72"/>
      <c r="P517" s="127"/>
      <c r="S517" s="72"/>
      <c r="T517" s="72"/>
      <c r="U517" s="72"/>
      <c r="V517" s="72"/>
      <c r="W517" s="72"/>
      <c r="X517" s="72"/>
      <c r="Y517" s="72"/>
      <c r="Z517" s="72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127"/>
      <c r="M518" s="127"/>
      <c r="N518" s="72"/>
      <c r="O518" s="72"/>
      <c r="P518" s="127"/>
      <c r="S518" s="72"/>
      <c r="T518" s="72"/>
      <c r="U518" s="72"/>
      <c r="V518" s="72"/>
      <c r="W518" s="72"/>
      <c r="X518" s="72"/>
      <c r="Y518" s="72"/>
      <c r="Z518" s="72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127"/>
      <c r="M519" s="127"/>
      <c r="N519" s="72"/>
      <c r="O519" s="72"/>
      <c r="P519" s="127"/>
      <c r="S519" s="72"/>
      <c r="T519" s="72"/>
      <c r="U519" s="72"/>
      <c r="V519" s="72"/>
      <c r="W519" s="72"/>
      <c r="X519" s="72"/>
      <c r="Y519" s="72"/>
      <c r="Z519" s="72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127"/>
      <c r="M520" s="127"/>
      <c r="N520" s="72"/>
      <c r="O520" s="72"/>
      <c r="P520" s="127"/>
      <c r="S520" s="72"/>
      <c r="T520" s="72"/>
      <c r="U520" s="72"/>
      <c r="V520" s="72"/>
      <c r="W520" s="72"/>
      <c r="X520" s="72"/>
      <c r="Y520" s="72"/>
      <c r="Z520" s="72"/>
    </row>
    <row r="521" ht="15.7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127"/>
      <c r="M521" s="127"/>
      <c r="N521" s="72"/>
      <c r="O521" s="72"/>
      <c r="P521" s="127"/>
      <c r="S521" s="72"/>
      <c r="T521" s="72"/>
      <c r="U521" s="72"/>
      <c r="V521" s="72"/>
      <c r="W521" s="72"/>
      <c r="X521" s="72"/>
      <c r="Y521" s="72"/>
      <c r="Z521" s="72"/>
    </row>
    <row r="522" ht="15.7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127"/>
      <c r="M522" s="127"/>
      <c r="N522" s="72"/>
      <c r="O522" s="72"/>
      <c r="P522" s="127"/>
      <c r="S522" s="72"/>
      <c r="T522" s="72"/>
      <c r="U522" s="72"/>
      <c r="V522" s="72"/>
      <c r="W522" s="72"/>
      <c r="X522" s="72"/>
      <c r="Y522" s="72"/>
      <c r="Z522" s="72"/>
    </row>
    <row r="523" ht="15.7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127"/>
      <c r="M523" s="127"/>
      <c r="N523" s="72"/>
      <c r="O523" s="72"/>
      <c r="P523" s="127"/>
      <c r="S523" s="72"/>
      <c r="T523" s="72"/>
      <c r="U523" s="72"/>
      <c r="V523" s="72"/>
      <c r="W523" s="72"/>
      <c r="X523" s="72"/>
      <c r="Y523" s="72"/>
      <c r="Z523" s="72"/>
    </row>
    <row r="524" ht="15.7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127"/>
      <c r="M524" s="127"/>
      <c r="N524" s="72"/>
      <c r="O524" s="72"/>
      <c r="P524" s="127"/>
      <c r="S524" s="72"/>
      <c r="T524" s="72"/>
      <c r="U524" s="72"/>
      <c r="V524" s="72"/>
      <c r="W524" s="72"/>
      <c r="X524" s="72"/>
      <c r="Y524" s="72"/>
      <c r="Z524" s="72"/>
    </row>
    <row r="525" ht="15.7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127"/>
      <c r="M525" s="127"/>
      <c r="N525" s="72"/>
      <c r="O525" s="72"/>
      <c r="P525" s="127"/>
      <c r="S525" s="72"/>
      <c r="T525" s="72"/>
      <c r="U525" s="72"/>
      <c r="V525" s="72"/>
      <c r="W525" s="72"/>
      <c r="X525" s="72"/>
      <c r="Y525" s="72"/>
      <c r="Z525" s="72"/>
    </row>
    <row r="526" ht="15.7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127"/>
      <c r="M526" s="127"/>
      <c r="N526" s="72"/>
      <c r="O526" s="72"/>
      <c r="P526" s="127"/>
      <c r="S526" s="72"/>
      <c r="T526" s="72"/>
      <c r="U526" s="72"/>
      <c r="V526" s="72"/>
      <c r="W526" s="72"/>
      <c r="X526" s="72"/>
      <c r="Y526" s="72"/>
      <c r="Z526" s="72"/>
    </row>
    <row r="527" ht="15.7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127"/>
      <c r="M527" s="127"/>
      <c r="N527" s="72"/>
      <c r="O527" s="72"/>
      <c r="P527" s="127"/>
      <c r="S527" s="72"/>
      <c r="T527" s="72"/>
      <c r="U527" s="72"/>
      <c r="V527" s="72"/>
      <c r="W527" s="72"/>
      <c r="X527" s="72"/>
      <c r="Y527" s="72"/>
      <c r="Z527" s="72"/>
    </row>
    <row r="528" ht="15.7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127"/>
      <c r="M528" s="127"/>
      <c r="N528" s="72"/>
      <c r="O528" s="72"/>
      <c r="P528" s="127"/>
      <c r="S528" s="72"/>
      <c r="T528" s="72"/>
      <c r="U528" s="72"/>
      <c r="V528" s="72"/>
      <c r="W528" s="72"/>
      <c r="X528" s="72"/>
      <c r="Y528" s="72"/>
      <c r="Z528" s="72"/>
    </row>
    <row r="529" ht="15.7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127"/>
      <c r="M529" s="127"/>
      <c r="N529" s="72"/>
      <c r="O529" s="72"/>
      <c r="P529" s="127"/>
      <c r="S529" s="72"/>
      <c r="T529" s="72"/>
      <c r="U529" s="72"/>
      <c r="V529" s="72"/>
      <c r="W529" s="72"/>
      <c r="X529" s="72"/>
      <c r="Y529" s="72"/>
      <c r="Z529" s="72"/>
    </row>
    <row r="530" ht="15.7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127"/>
      <c r="M530" s="127"/>
      <c r="N530" s="72"/>
      <c r="O530" s="72"/>
      <c r="P530" s="127"/>
      <c r="S530" s="72"/>
      <c r="T530" s="72"/>
      <c r="U530" s="72"/>
      <c r="V530" s="72"/>
      <c r="W530" s="72"/>
      <c r="X530" s="72"/>
      <c r="Y530" s="72"/>
      <c r="Z530" s="72"/>
    </row>
    <row r="531" ht="15.7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127"/>
      <c r="M531" s="127"/>
      <c r="N531" s="72"/>
      <c r="O531" s="72"/>
      <c r="P531" s="127"/>
      <c r="S531" s="72"/>
      <c r="T531" s="72"/>
      <c r="U531" s="72"/>
      <c r="V531" s="72"/>
      <c r="W531" s="72"/>
      <c r="X531" s="72"/>
      <c r="Y531" s="72"/>
      <c r="Z531" s="72"/>
    </row>
    <row r="532" ht="15.7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127"/>
      <c r="M532" s="127"/>
      <c r="N532" s="72"/>
      <c r="O532" s="72"/>
      <c r="P532" s="127"/>
      <c r="S532" s="72"/>
      <c r="T532" s="72"/>
      <c r="U532" s="72"/>
      <c r="V532" s="72"/>
      <c r="W532" s="72"/>
      <c r="X532" s="72"/>
      <c r="Y532" s="72"/>
      <c r="Z532" s="72"/>
    </row>
    <row r="533" ht="15.7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127"/>
      <c r="M533" s="127"/>
      <c r="N533" s="72"/>
      <c r="O533" s="72"/>
      <c r="P533" s="127"/>
      <c r="S533" s="72"/>
      <c r="T533" s="72"/>
      <c r="U533" s="72"/>
      <c r="V533" s="72"/>
      <c r="W533" s="72"/>
      <c r="X533" s="72"/>
      <c r="Y533" s="72"/>
      <c r="Z533" s="72"/>
    </row>
    <row r="534" ht="15.7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127"/>
      <c r="M534" s="127"/>
      <c r="N534" s="72"/>
      <c r="O534" s="72"/>
      <c r="P534" s="127"/>
      <c r="S534" s="72"/>
      <c r="T534" s="72"/>
      <c r="U534" s="72"/>
      <c r="V534" s="72"/>
      <c r="W534" s="72"/>
      <c r="X534" s="72"/>
      <c r="Y534" s="72"/>
      <c r="Z534" s="72"/>
    </row>
    <row r="535" ht="15.7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127"/>
      <c r="M535" s="127"/>
      <c r="N535" s="72"/>
      <c r="O535" s="72"/>
      <c r="P535" s="127"/>
      <c r="S535" s="72"/>
      <c r="T535" s="72"/>
      <c r="U535" s="72"/>
      <c r="V535" s="72"/>
      <c r="W535" s="72"/>
      <c r="X535" s="72"/>
      <c r="Y535" s="72"/>
      <c r="Z535" s="72"/>
    </row>
    <row r="536" ht="15.7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127"/>
      <c r="M536" s="127"/>
      <c r="N536" s="72"/>
      <c r="O536" s="72"/>
      <c r="P536" s="127"/>
      <c r="S536" s="72"/>
      <c r="T536" s="72"/>
      <c r="U536" s="72"/>
      <c r="V536" s="72"/>
      <c r="W536" s="72"/>
      <c r="X536" s="72"/>
      <c r="Y536" s="72"/>
      <c r="Z536" s="72"/>
    </row>
    <row r="537" ht="15.7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127"/>
      <c r="M537" s="127"/>
      <c r="N537" s="72"/>
      <c r="O537" s="72"/>
      <c r="P537" s="127"/>
      <c r="S537" s="72"/>
      <c r="T537" s="72"/>
      <c r="U537" s="72"/>
      <c r="V537" s="72"/>
      <c r="W537" s="72"/>
      <c r="X537" s="72"/>
      <c r="Y537" s="72"/>
      <c r="Z537" s="72"/>
    </row>
    <row r="538" ht="15.7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127"/>
      <c r="M538" s="127"/>
      <c r="N538" s="72"/>
      <c r="O538" s="72"/>
      <c r="P538" s="127"/>
      <c r="S538" s="72"/>
      <c r="T538" s="72"/>
      <c r="U538" s="72"/>
      <c r="V538" s="72"/>
      <c r="W538" s="72"/>
      <c r="X538" s="72"/>
      <c r="Y538" s="72"/>
      <c r="Z538" s="72"/>
    </row>
    <row r="539" ht="15.7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127"/>
      <c r="M539" s="127"/>
      <c r="N539" s="72"/>
      <c r="O539" s="72"/>
      <c r="P539" s="127"/>
      <c r="S539" s="72"/>
      <c r="T539" s="72"/>
      <c r="U539" s="72"/>
      <c r="V539" s="72"/>
      <c r="W539" s="72"/>
      <c r="X539" s="72"/>
      <c r="Y539" s="72"/>
      <c r="Z539" s="72"/>
    </row>
    <row r="540" ht="15.7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127"/>
      <c r="M540" s="127"/>
      <c r="N540" s="72"/>
      <c r="O540" s="72"/>
      <c r="P540" s="127"/>
      <c r="S540" s="72"/>
      <c r="T540" s="72"/>
      <c r="U540" s="72"/>
      <c r="V540" s="72"/>
      <c r="W540" s="72"/>
      <c r="X540" s="72"/>
      <c r="Y540" s="72"/>
      <c r="Z540" s="72"/>
    </row>
    <row r="541" ht="15.7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127"/>
      <c r="M541" s="127"/>
      <c r="N541" s="72"/>
      <c r="O541" s="72"/>
      <c r="P541" s="127"/>
      <c r="S541" s="72"/>
      <c r="T541" s="72"/>
      <c r="U541" s="72"/>
      <c r="V541" s="72"/>
      <c r="W541" s="72"/>
      <c r="X541" s="72"/>
      <c r="Y541" s="72"/>
      <c r="Z541" s="72"/>
    </row>
    <row r="542" ht="15.7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127"/>
      <c r="M542" s="127"/>
      <c r="N542" s="72"/>
      <c r="O542" s="72"/>
      <c r="P542" s="127"/>
      <c r="S542" s="72"/>
      <c r="T542" s="72"/>
      <c r="U542" s="72"/>
      <c r="V542" s="72"/>
      <c r="W542" s="72"/>
      <c r="X542" s="72"/>
      <c r="Y542" s="72"/>
      <c r="Z542" s="72"/>
    </row>
    <row r="543" ht="15.7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127"/>
      <c r="M543" s="127"/>
      <c r="N543" s="72"/>
      <c r="O543" s="72"/>
      <c r="P543" s="127"/>
      <c r="S543" s="72"/>
      <c r="T543" s="72"/>
      <c r="U543" s="72"/>
      <c r="V543" s="72"/>
      <c r="W543" s="72"/>
      <c r="X543" s="72"/>
      <c r="Y543" s="72"/>
      <c r="Z543" s="72"/>
    </row>
    <row r="544" ht="15.7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127"/>
      <c r="M544" s="127"/>
      <c r="N544" s="72"/>
      <c r="O544" s="72"/>
      <c r="P544" s="127"/>
      <c r="S544" s="72"/>
      <c r="T544" s="72"/>
      <c r="U544" s="72"/>
      <c r="V544" s="72"/>
      <c r="W544" s="72"/>
      <c r="X544" s="72"/>
      <c r="Y544" s="72"/>
      <c r="Z544" s="72"/>
    </row>
    <row r="545" ht="15.7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127"/>
      <c r="M545" s="127"/>
      <c r="N545" s="72"/>
      <c r="O545" s="72"/>
      <c r="P545" s="127"/>
      <c r="S545" s="72"/>
      <c r="T545" s="72"/>
      <c r="U545" s="72"/>
      <c r="V545" s="72"/>
      <c r="W545" s="72"/>
      <c r="X545" s="72"/>
      <c r="Y545" s="72"/>
      <c r="Z545" s="72"/>
    </row>
    <row r="546" ht="15.7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127"/>
      <c r="M546" s="127"/>
      <c r="N546" s="72"/>
      <c r="O546" s="72"/>
      <c r="P546" s="127"/>
      <c r="S546" s="72"/>
      <c r="T546" s="72"/>
      <c r="U546" s="72"/>
      <c r="V546" s="72"/>
      <c r="W546" s="72"/>
      <c r="X546" s="72"/>
      <c r="Y546" s="72"/>
      <c r="Z546" s="72"/>
    </row>
    <row r="547" ht="15.7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127"/>
      <c r="M547" s="127"/>
      <c r="N547" s="72"/>
      <c r="O547" s="72"/>
      <c r="P547" s="127"/>
      <c r="S547" s="72"/>
      <c r="T547" s="72"/>
      <c r="U547" s="72"/>
      <c r="V547" s="72"/>
      <c r="W547" s="72"/>
      <c r="X547" s="72"/>
      <c r="Y547" s="72"/>
      <c r="Z547" s="72"/>
    </row>
    <row r="548" ht="15.7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127"/>
      <c r="M548" s="127"/>
      <c r="N548" s="72"/>
      <c r="O548" s="72"/>
      <c r="P548" s="127"/>
      <c r="S548" s="72"/>
      <c r="T548" s="72"/>
      <c r="U548" s="72"/>
      <c r="V548" s="72"/>
      <c r="W548" s="72"/>
      <c r="X548" s="72"/>
      <c r="Y548" s="72"/>
      <c r="Z548" s="72"/>
    </row>
    <row r="549" ht="15.7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127"/>
      <c r="M549" s="127"/>
      <c r="N549" s="72"/>
      <c r="O549" s="72"/>
      <c r="P549" s="127"/>
      <c r="S549" s="72"/>
      <c r="T549" s="72"/>
      <c r="U549" s="72"/>
      <c r="V549" s="72"/>
      <c r="W549" s="72"/>
      <c r="X549" s="72"/>
      <c r="Y549" s="72"/>
      <c r="Z549" s="72"/>
    </row>
    <row r="550" ht="15.7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127"/>
      <c r="M550" s="127"/>
      <c r="N550" s="72"/>
      <c r="O550" s="72"/>
      <c r="P550" s="127"/>
      <c r="S550" s="72"/>
      <c r="T550" s="72"/>
      <c r="U550" s="72"/>
      <c r="V550" s="72"/>
      <c r="W550" s="72"/>
      <c r="X550" s="72"/>
      <c r="Y550" s="72"/>
      <c r="Z550" s="72"/>
    </row>
    <row r="551" ht="15.7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127"/>
      <c r="M551" s="127"/>
      <c r="N551" s="72"/>
      <c r="O551" s="72"/>
      <c r="P551" s="127"/>
      <c r="S551" s="72"/>
      <c r="T551" s="72"/>
      <c r="U551" s="72"/>
      <c r="V551" s="72"/>
      <c r="W551" s="72"/>
      <c r="X551" s="72"/>
      <c r="Y551" s="72"/>
      <c r="Z551" s="72"/>
    </row>
    <row r="552" ht="15.7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127"/>
      <c r="M552" s="127"/>
      <c r="N552" s="72"/>
      <c r="O552" s="72"/>
      <c r="P552" s="127"/>
      <c r="S552" s="72"/>
      <c r="T552" s="72"/>
      <c r="U552" s="72"/>
      <c r="V552" s="72"/>
      <c r="W552" s="72"/>
      <c r="X552" s="72"/>
      <c r="Y552" s="72"/>
      <c r="Z552" s="72"/>
    </row>
    <row r="553" ht="15.7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127"/>
      <c r="M553" s="127"/>
      <c r="N553" s="72"/>
      <c r="O553" s="72"/>
      <c r="P553" s="127"/>
      <c r="S553" s="72"/>
      <c r="T553" s="72"/>
      <c r="U553" s="72"/>
      <c r="V553" s="72"/>
      <c r="W553" s="72"/>
      <c r="X553" s="72"/>
      <c r="Y553" s="72"/>
      <c r="Z553" s="72"/>
    </row>
    <row r="554" ht="15.7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127"/>
      <c r="M554" s="127"/>
      <c r="N554" s="72"/>
      <c r="O554" s="72"/>
      <c r="P554" s="127"/>
      <c r="S554" s="72"/>
      <c r="T554" s="72"/>
      <c r="U554" s="72"/>
      <c r="V554" s="72"/>
      <c r="W554" s="72"/>
      <c r="X554" s="72"/>
      <c r="Y554" s="72"/>
      <c r="Z554" s="72"/>
    </row>
    <row r="555" ht="15.7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127"/>
      <c r="M555" s="127"/>
      <c r="N555" s="72"/>
      <c r="O555" s="72"/>
      <c r="P555" s="127"/>
      <c r="S555" s="72"/>
      <c r="T555" s="72"/>
      <c r="U555" s="72"/>
      <c r="V555" s="72"/>
      <c r="W555" s="72"/>
      <c r="X555" s="72"/>
      <c r="Y555" s="72"/>
      <c r="Z555" s="72"/>
    </row>
    <row r="556" ht="15.7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127"/>
      <c r="M556" s="127"/>
      <c r="N556" s="72"/>
      <c r="O556" s="72"/>
      <c r="P556" s="127"/>
      <c r="S556" s="72"/>
      <c r="T556" s="72"/>
      <c r="U556" s="72"/>
      <c r="V556" s="72"/>
      <c r="W556" s="72"/>
      <c r="X556" s="72"/>
      <c r="Y556" s="72"/>
      <c r="Z556" s="72"/>
    </row>
    <row r="557" ht="15.7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127"/>
      <c r="M557" s="127"/>
      <c r="N557" s="72"/>
      <c r="O557" s="72"/>
      <c r="P557" s="127"/>
      <c r="S557" s="72"/>
      <c r="T557" s="72"/>
      <c r="U557" s="72"/>
      <c r="V557" s="72"/>
      <c r="W557" s="72"/>
      <c r="X557" s="72"/>
      <c r="Y557" s="72"/>
      <c r="Z557" s="72"/>
    </row>
    <row r="558" ht="15.7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127"/>
      <c r="M558" s="127"/>
      <c r="N558" s="72"/>
      <c r="O558" s="72"/>
      <c r="P558" s="127"/>
      <c r="S558" s="72"/>
      <c r="T558" s="72"/>
      <c r="U558" s="72"/>
      <c r="V558" s="72"/>
      <c r="W558" s="72"/>
      <c r="X558" s="72"/>
      <c r="Y558" s="72"/>
      <c r="Z558" s="72"/>
    </row>
    <row r="559" ht="15.7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127"/>
      <c r="M559" s="127"/>
      <c r="N559" s="72"/>
      <c r="O559" s="72"/>
      <c r="P559" s="127"/>
      <c r="S559" s="72"/>
      <c r="T559" s="72"/>
      <c r="U559" s="72"/>
      <c r="V559" s="72"/>
      <c r="W559" s="72"/>
      <c r="X559" s="72"/>
      <c r="Y559" s="72"/>
      <c r="Z559" s="72"/>
    </row>
    <row r="560" ht="15.7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127"/>
      <c r="M560" s="127"/>
      <c r="N560" s="72"/>
      <c r="O560" s="72"/>
      <c r="P560" s="127"/>
      <c r="S560" s="72"/>
      <c r="T560" s="72"/>
      <c r="U560" s="72"/>
      <c r="V560" s="72"/>
      <c r="W560" s="72"/>
      <c r="X560" s="72"/>
      <c r="Y560" s="72"/>
      <c r="Z560" s="72"/>
    </row>
    <row r="561" ht="15.7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127"/>
      <c r="M561" s="127"/>
      <c r="N561" s="72"/>
      <c r="O561" s="72"/>
      <c r="P561" s="127"/>
      <c r="S561" s="72"/>
      <c r="T561" s="72"/>
      <c r="U561" s="72"/>
      <c r="V561" s="72"/>
      <c r="W561" s="72"/>
      <c r="X561" s="72"/>
      <c r="Y561" s="72"/>
      <c r="Z561" s="72"/>
    </row>
    <row r="562" ht="15.7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127"/>
      <c r="M562" s="127"/>
      <c r="N562" s="72"/>
      <c r="O562" s="72"/>
      <c r="P562" s="127"/>
      <c r="S562" s="72"/>
      <c r="T562" s="72"/>
      <c r="U562" s="72"/>
      <c r="V562" s="72"/>
      <c r="W562" s="72"/>
      <c r="X562" s="72"/>
      <c r="Y562" s="72"/>
      <c r="Z562" s="72"/>
    </row>
    <row r="563" ht="15.7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127"/>
      <c r="M563" s="127"/>
      <c r="N563" s="72"/>
      <c r="O563" s="72"/>
      <c r="P563" s="127"/>
      <c r="S563" s="72"/>
      <c r="T563" s="72"/>
      <c r="U563" s="72"/>
      <c r="V563" s="72"/>
      <c r="W563" s="72"/>
      <c r="X563" s="72"/>
      <c r="Y563" s="72"/>
      <c r="Z563" s="72"/>
    </row>
    <row r="564" ht="15.7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127"/>
      <c r="M564" s="127"/>
      <c r="N564" s="72"/>
      <c r="O564" s="72"/>
      <c r="P564" s="127"/>
      <c r="S564" s="72"/>
      <c r="T564" s="72"/>
      <c r="U564" s="72"/>
      <c r="V564" s="72"/>
      <c r="W564" s="72"/>
      <c r="X564" s="72"/>
      <c r="Y564" s="72"/>
      <c r="Z564" s="72"/>
    </row>
    <row r="565" ht="15.7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127"/>
      <c r="M565" s="127"/>
      <c r="N565" s="72"/>
      <c r="O565" s="72"/>
      <c r="P565" s="127"/>
      <c r="S565" s="72"/>
      <c r="T565" s="72"/>
      <c r="U565" s="72"/>
      <c r="V565" s="72"/>
      <c r="W565" s="72"/>
      <c r="X565" s="72"/>
      <c r="Y565" s="72"/>
      <c r="Z565" s="72"/>
    </row>
    <row r="566" ht="15.7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127"/>
      <c r="M566" s="127"/>
      <c r="N566" s="72"/>
      <c r="O566" s="72"/>
      <c r="P566" s="127"/>
      <c r="S566" s="72"/>
      <c r="T566" s="72"/>
      <c r="U566" s="72"/>
      <c r="V566" s="72"/>
      <c r="W566" s="72"/>
      <c r="X566" s="72"/>
      <c r="Y566" s="72"/>
      <c r="Z566" s="72"/>
    </row>
    <row r="567" ht="15.7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127"/>
      <c r="M567" s="127"/>
      <c r="N567" s="72"/>
      <c r="O567" s="72"/>
      <c r="P567" s="127"/>
      <c r="S567" s="72"/>
      <c r="T567" s="72"/>
      <c r="U567" s="72"/>
      <c r="V567" s="72"/>
      <c r="W567" s="72"/>
      <c r="X567" s="72"/>
      <c r="Y567" s="72"/>
      <c r="Z567" s="72"/>
    </row>
    <row r="568" ht="15.7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127"/>
      <c r="M568" s="127"/>
      <c r="N568" s="72"/>
      <c r="O568" s="72"/>
      <c r="P568" s="127"/>
      <c r="S568" s="72"/>
      <c r="T568" s="72"/>
      <c r="U568" s="72"/>
      <c r="V568" s="72"/>
      <c r="W568" s="72"/>
      <c r="X568" s="72"/>
      <c r="Y568" s="72"/>
      <c r="Z568" s="72"/>
    </row>
    <row r="569" ht="15.7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127"/>
      <c r="M569" s="127"/>
      <c r="N569" s="72"/>
      <c r="O569" s="72"/>
      <c r="P569" s="127"/>
      <c r="S569" s="72"/>
      <c r="T569" s="72"/>
      <c r="U569" s="72"/>
      <c r="V569" s="72"/>
      <c r="W569" s="72"/>
      <c r="X569" s="72"/>
      <c r="Y569" s="72"/>
      <c r="Z569" s="72"/>
    </row>
    <row r="570" ht="15.7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127"/>
      <c r="M570" s="127"/>
      <c r="N570" s="72"/>
      <c r="O570" s="72"/>
      <c r="P570" s="127"/>
      <c r="S570" s="72"/>
      <c r="T570" s="72"/>
      <c r="U570" s="72"/>
      <c r="V570" s="72"/>
      <c r="W570" s="72"/>
      <c r="X570" s="72"/>
      <c r="Y570" s="72"/>
      <c r="Z570" s="72"/>
    </row>
    <row r="571" ht="15.7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127"/>
      <c r="M571" s="127"/>
      <c r="N571" s="72"/>
      <c r="O571" s="72"/>
      <c r="P571" s="127"/>
      <c r="S571" s="72"/>
      <c r="T571" s="72"/>
      <c r="U571" s="72"/>
      <c r="V571" s="72"/>
      <c r="W571" s="72"/>
      <c r="X571" s="72"/>
      <c r="Y571" s="72"/>
      <c r="Z571" s="72"/>
    </row>
    <row r="572" ht="15.7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127"/>
      <c r="M572" s="127"/>
      <c r="N572" s="72"/>
      <c r="O572" s="72"/>
      <c r="P572" s="127"/>
      <c r="S572" s="72"/>
      <c r="T572" s="72"/>
      <c r="U572" s="72"/>
      <c r="V572" s="72"/>
      <c r="W572" s="72"/>
      <c r="X572" s="72"/>
      <c r="Y572" s="72"/>
      <c r="Z572" s="72"/>
    </row>
    <row r="573" ht="15.7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127"/>
      <c r="M573" s="127"/>
      <c r="N573" s="72"/>
      <c r="O573" s="72"/>
      <c r="P573" s="127"/>
      <c r="S573" s="72"/>
      <c r="T573" s="72"/>
      <c r="U573" s="72"/>
      <c r="V573" s="72"/>
      <c r="W573" s="72"/>
      <c r="X573" s="72"/>
      <c r="Y573" s="72"/>
      <c r="Z573" s="72"/>
    </row>
    <row r="574" ht="15.7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127"/>
      <c r="M574" s="127"/>
      <c r="N574" s="72"/>
      <c r="O574" s="72"/>
      <c r="P574" s="127"/>
      <c r="S574" s="72"/>
      <c r="T574" s="72"/>
      <c r="U574" s="72"/>
      <c r="V574" s="72"/>
      <c r="W574" s="72"/>
      <c r="X574" s="72"/>
      <c r="Y574" s="72"/>
      <c r="Z574" s="72"/>
    </row>
    <row r="575" ht="15.7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127"/>
      <c r="M575" s="127"/>
      <c r="N575" s="72"/>
      <c r="O575" s="72"/>
      <c r="P575" s="127"/>
      <c r="S575" s="72"/>
      <c r="T575" s="72"/>
      <c r="U575" s="72"/>
      <c r="V575" s="72"/>
      <c r="W575" s="72"/>
      <c r="X575" s="72"/>
      <c r="Y575" s="72"/>
      <c r="Z575" s="72"/>
    </row>
    <row r="576" ht="15.7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127"/>
      <c r="M576" s="127"/>
      <c r="N576" s="72"/>
      <c r="O576" s="72"/>
      <c r="P576" s="127"/>
      <c r="S576" s="72"/>
      <c r="T576" s="72"/>
      <c r="U576" s="72"/>
      <c r="V576" s="72"/>
      <c r="W576" s="72"/>
      <c r="X576" s="72"/>
      <c r="Y576" s="72"/>
      <c r="Z576" s="72"/>
    </row>
    <row r="577" ht="15.7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127"/>
      <c r="M577" s="127"/>
      <c r="N577" s="72"/>
      <c r="O577" s="72"/>
      <c r="P577" s="127"/>
      <c r="S577" s="72"/>
      <c r="T577" s="72"/>
      <c r="U577" s="72"/>
      <c r="V577" s="72"/>
      <c r="W577" s="72"/>
      <c r="X577" s="72"/>
      <c r="Y577" s="72"/>
      <c r="Z577" s="72"/>
    </row>
    <row r="578" ht="15.7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127"/>
      <c r="M578" s="127"/>
      <c r="N578" s="72"/>
      <c r="O578" s="72"/>
      <c r="P578" s="127"/>
      <c r="S578" s="72"/>
      <c r="T578" s="72"/>
      <c r="U578" s="72"/>
      <c r="V578" s="72"/>
      <c r="W578" s="72"/>
      <c r="X578" s="72"/>
      <c r="Y578" s="72"/>
      <c r="Z578" s="72"/>
    </row>
    <row r="579" ht="15.7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127"/>
      <c r="M579" s="127"/>
      <c r="N579" s="72"/>
      <c r="O579" s="72"/>
      <c r="P579" s="127"/>
      <c r="S579" s="72"/>
      <c r="T579" s="72"/>
      <c r="U579" s="72"/>
      <c r="V579" s="72"/>
      <c r="W579" s="72"/>
      <c r="X579" s="72"/>
      <c r="Y579" s="72"/>
      <c r="Z579" s="72"/>
    </row>
    <row r="580" ht="15.7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127"/>
      <c r="M580" s="127"/>
      <c r="N580" s="72"/>
      <c r="O580" s="72"/>
      <c r="P580" s="127"/>
      <c r="S580" s="72"/>
      <c r="T580" s="72"/>
      <c r="U580" s="72"/>
      <c r="V580" s="72"/>
      <c r="W580" s="72"/>
      <c r="X580" s="72"/>
      <c r="Y580" s="72"/>
      <c r="Z580" s="72"/>
    </row>
    <row r="581" ht="15.7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127"/>
      <c r="M581" s="127"/>
      <c r="N581" s="72"/>
      <c r="O581" s="72"/>
      <c r="P581" s="127"/>
      <c r="S581" s="72"/>
      <c r="T581" s="72"/>
      <c r="U581" s="72"/>
      <c r="V581" s="72"/>
      <c r="W581" s="72"/>
      <c r="X581" s="72"/>
      <c r="Y581" s="72"/>
      <c r="Z581" s="72"/>
    </row>
    <row r="582" ht="15.7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127"/>
      <c r="M582" s="127"/>
      <c r="N582" s="72"/>
      <c r="O582" s="72"/>
      <c r="P582" s="127"/>
      <c r="S582" s="72"/>
      <c r="T582" s="72"/>
      <c r="U582" s="72"/>
      <c r="V582" s="72"/>
      <c r="W582" s="72"/>
      <c r="X582" s="72"/>
      <c r="Y582" s="72"/>
      <c r="Z582" s="72"/>
    </row>
    <row r="583" ht="15.7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127"/>
      <c r="M583" s="127"/>
      <c r="N583" s="72"/>
      <c r="O583" s="72"/>
      <c r="P583" s="127"/>
      <c r="S583" s="72"/>
      <c r="T583" s="72"/>
      <c r="U583" s="72"/>
      <c r="V583" s="72"/>
      <c r="W583" s="72"/>
      <c r="X583" s="72"/>
      <c r="Y583" s="72"/>
      <c r="Z583" s="72"/>
    </row>
    <row r="584" ht="15.7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127"/>
      <c r="M584" s="127"/>
      <c r="N584" s="72"/>
      <c r="O584" s="72"/>
      <c r="P584" s="127"/>
      <c r="S584" s="72"/>
      <c r="T584" s="72"/>
      <c r="U584" s="72"/>
      <c r="V584" s="72"/>
      <c r="W584" s="72"/>
      <c r="X584" s="72"/>
      <c r="Y584" s="72"/>
      <c r="Z584" s="72"/>
    </row>
    <row r="585" ht="15.7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127"/>
      <c r="M585" s="127"/>
      <c r="N585" s="72"/>
      <c r="O585" s="72"/>
      <c r="P585" s="127"/>
      <c r="S585" s="72"/>
      <c r="T585" s="72"/>
      <c r="U585" s="72"/>
      <c r="V585" s="72"/>
      <c r="W585" s="72"/>
      <c r="X585" s="72"/>
      <c r="Y585" s="72"/>
      <c r="Z585" s="72"/>
    </row>
    <row r="586" ht="15.7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127"/>
      <c r="M586" s="127"/>
      <c r="N586" s="72"/>
      <c r="O586" s="72"/>
      <c r="P586" s="127"/>
      <c r="S586" s="72"/>
      <c r="T586" s="72"/>
      <c r="U586" s="72"/>
      <c r="V586" s="72"/>
      <c r="W586" s="72"/>
      <c r="X586" s="72"/>
      <c r="Y586" s="72"/>
      <c r="Z586" s="72"/>
    </row>
    <row r="587" ht="15.7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127"/>
      <c r="M587" s="127"/>
      <c r="N587" s="72"/>
      <c r="O587" s="72"/>
      <c r="P587" s="127"/>
      <c r="S587" s="72"/>
      <c r="T587" s="72"/>
      <c r="U587" s="72"/>
      <c r="V587" s="72"/>
      <c r="W587" s="72"/>
      <c r="X587" s="72"/>
      <c r="Y587" s="72"/>
      <c r="Z587" s="72"/>
    </row>
    <row r="588" ht="15.7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127"/>
      <c r="M588" s="127"/>
      <c r="N588" s="72"/>
      <c r="O588" s="72"/>
      <c r="P588" s="127"/>
      <c r="S588" s="72"/>
      <c r="T588" s="72"/>
      <c r="U588" s="72"/>
      <c r="V588" s="72"/>
      <c r="W588" s="72"/>
      <c r="X588" s="72"/>
      <c r="Y588" s="72"/>
      <c r="Z588" s="72"/>
    </row>
    <row r="589" ht="15.7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127"/>
      <c r="M589" s="127"/>
      <c r="N589" s="72"/>
      <c r="O589" s="72"/>
      <c r="P589" s="127"/>
      <c r="S589" s="72"/>
      <c r="T589" s="72"/>
      <c r="U589" s="72"/>
      <c r="V589" s="72"/>
      <c r="W589" s="72"/>
      <c r="X589" s="72"/>
      <c r="Y589" s="72"/>
      <c r="Z589" s="72"/>
    </row>
    <row r="590" ht="15.7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127"/>
      <c r="M590" s="127"/>
      <c r="N590" s="72"/>
      <c r="O590" s="72"/>
      <c r="P590" s="127"/>
      <c r="S590" s="72"/>
      <c r="T590" s="72"/>
      <c r="U590" s="72"/>
      <c r="V590" s="72"/>
      <c r="W590" s="72"/>
      <c r="X590" s="72"/>
      <c r="Y590" s="72"/>
      <c r="Z590" s="72"/>
    </row>
    <row r="591" ht="15.7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127"/>
      <c r="M591" s="127"/>
      <c r="N591" s="72"/>
      <c r="O591" s="72"/>
      <c r="P591" s="127"/>
      <c r="S591" s="72"/>
      <c r="T591" s="72"/>
      <c r="U591" s="72"/>
      <c r="V591" s="72"/>
      <c r="W591" s="72"/>
      <c r="X591" s="72"/>
      <c r="Y591" s="72"/>
      <c r="Z591" s="72"/>
    </row>
    <row r="592" ht="15.7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127"/>
      <c r="M592" s="127"/>
      <c r="N592" s="72"/>
      <c r="O592" s="72"/>
      <c r="P592" s="127"/>
      <c r="S592" s="72"/>
      <c r="T592" s="72"/>
      <c r="U592" s="72"/>
      <c r="V592" s="72"/>
      <c r="W592" s="72"/>
      <c r="X592" s="72"/>
      <c r="Y592" s="72"/>
      <c r="Z592" s="72"/>
    </row>
    <row r="593" ht="15.7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127"/>
      <c r="M593" s="127"/>
      <c r="N593" s="72"/>
      <c r="O593" s="72"/>
      <c r="P593" s="127"/>
      <c r="S593" s="72"/>
      <c r="T593" s="72"/>
      <c r="U593" s="72"/>
      <c r="V593" s="72"/>
      <c r="W593" s="72"/>
      <c r="X593" s="72"/>
      <c r="Y593" s="72"/>
      <c r="Z593" s="72"/>
    </row>
    <row r="594" ht="15.7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127"/>
      <c r="M594" s="127"/>
      <c r="N594" s="72"/>
      <c r="O594" s="72"/>
      <c r="P594" s="127"/>
      <c r="S594" s="72"/>
      <c r="T594" s="72"/>
      <c r="U594" s="72"/>
      <c r="V594" s="72"/>
      <c r="W594" s="72"/>
      <c r="X594" s="72"/>
      <c r="Y594" s="72"/>
      <c r="Z594" s="72"/>
    </row>
    <row r="595" ht="15.7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127"/>
      <c r="M595" s="127"/>
      <c r="N595" s="72"/>
      <c r="O595" s="72"/>
      <c r="P595" s="127"/>
      <c r="S595" s="72"/>
      <c r="T595" s="72"/>
      <c r="U595" s="72"/>
      <c r="V595" s="72"/>
      <c r="W595" s="72"/>
      <c r="X595" s="72"/>
      <c r="Y595" s="72"/>
      <c r="Z595" s="72"/>
    </row>
    <row r="596" ht="15.7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127"/>
      <c r="M596" s="127"/>
      <c r="N596" s="72"/>
      <c r="O596" s="72"/>
      <c r="P596" s="127"/>
      <c r="S596" s="72"/>
      <c r="T596" s="72"/>
      <c r="U596" s="72"/>
      <c r="V596" s="72"/>
      <c r="W596" s="72"/>
      <c r="X596" s="72"/>
      <c r="Y596" s="72"/>
      <c r="Z596" s="72"/>
    </row>
    <row r="597" ht="15.7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127"/>
      <c r="M597" s="127"/>
      <c r="N597" s="72"/>
      <c r="O597" s="72"/>
      <c r="P597" s="127"/>
      <c r="S597" s="72"/>
      <c r="T597" s="72"/>
      <c r="U597" s="72"/>
      <c r="V597" s="72"/>
      <c r="W597" s="72"/>
      <c r="X597" s="72"/>
      <c r="Y597" s="72"/>
      <c r="Z597" s="72"/>
    </row>
    <row r="598" ht="15.7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127"/>
      <c r="M598" s="127"/>
      <c r="N598" s="72"/>
      <c r="O598" s="72"/>
      <c r="P598" s="127"/>
      <c r="S598" s="72"/>
      <c r="T598" s="72"/>
      <c r="U598" s="72"/>
      <c r="V598" s="72"/>
      <c r="W598" s="72"/>
      <c r="X598" s="72"/>
      <c r="Y598" s="72"/>
      <c r="Z598" s="72"/>
    </row>
    <row r="599" ht="15.7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127"/>
      <c r="M599" s="127"/>
      <c r="N599" s="72"/>
      <c r="O599" s="72"/>
      <c r="P599" s="127"/>
      <c r="S599" s="72"/>
      <c r="T599" s="72"/>
      <c r="U599" s="72"/>
      <c r="V599" s="72"/>
      <c r="W599" s="72"/>
      <c r="X599" s="72"/>
      <c r="Y599" s="72"/>
      <c r="Z599" s="72"/>
    </row>
    <row r="600" ht="15.7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127"/>
      <c r="M600" s="127"/>
      <c r="N600" s="72"/>
      <c r="O600" s="72"/>
      <c r="P600" s="127"/>
      <c r="S600" s="72"/>
      <c r="T600" s="72"/>
      <c r="U600" s="72"/>
      <c r="V600" s="72"/>
      <c r="W600" s="72"/>
      <c r="X600" s="72"/>
      <c r="Y600" s="72"/>
      <c r="Z600" s="72"/>
    </row>
    <row r="601" ht="15.7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127"/>
      <c r="M601" s="127"/>
      <c r="N601" s="72"/>
      <c r="O601" s="72"/>
      <c r="P601" s="127"/>
      <c r="S601" s="72"/>
      <c r="T601" s="72"/>
      <c r="U601" s="72"/>
      <c r="V601" s="72"/>
      <c r="W601" s="72"/>
      <c r="X601" s="72"/>
      <c r="Y601" s="72"/>
      <c r="Z601" s="72"/>
    </row>
    <row r="602" ht="15.7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127"/>
      <c r="M602" s="127"/>
      <c r="N602" s="72"/>
      <c r="O602" s="72"/>
      <c r="P602" s="127"/>
      <c r="S602" s="72"/>
      <c r="T602" s="72"/>
      <c r="U602" s="72"/>
      <c r="V602" s="72"/>
      <c r="W602" s="72"/>
      <c r="X602" s="72"/>
      <c r="Y602" s="72"/>
      <c r="Z602" s="72"/>
    </row>
    <row r="603" ht="15.7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127"/>
      <c r="M603" s="127"/>
      <c r="N603" s="72"/>
      <c r="O603" s="72"/>
      <c r="P603" s="127"/>
      <c r="S603" s="72"/>
      <c r="T603" s="72"/>
      <c r="U603" s="72"/>
      <c r="V603" s="72"/>
      <c r="W603" s="72"/>
      <c r="X603" s="72"/>
      <c r="Y603" s="72"/>
      <c r="Z603" s="72"/>
    </row>
    <row r="604" ht="15.7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127"/>
      <c r="M604" s="127"/>
      <c r="N604" s="72"/>
      <c r="O604" s="72"/>
      <c r="P604" s="127"/>
      <c r="S604" s="72"/>
      <c r="T604" s="72"/>
      <c r="U604" s="72"/>
      <c r="V604" s="72"/>
      <c r="W604" s="72"/>
      <c r="X604" s="72"/>
      <c r="Y604" s="72"/>
      <c r="Z604" s="72"/>
    </row>
    <row r="605" ht="15.7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127"/>
      <c r="M605" s="127"/>
      <c r="N605" s="72"/>
      <c r="O605" s="72"/>
      <c r="P605" s="127"/>
      <c r="S605" s="72"/>
      <c r="T605" s="72"/>
      <c r="U605" s="72"/>
      <c r="V605" s="72"/>
      <c r="W605" s="72"/>
      <c r="X605" s="72"/>
      <c r="Y605" s="72"/>
      <c r="Z605" s="72"/>
    </row>
    <row r="606" ht="15.7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127"/>
      <c r="M606" s="127"/>
      <c r="N606" s="72"/>
      <c r="O606" s="72"/>
      <c r="P606" s="127"/>
      <c r="S606" s="72"/>
      <c r="T606" s="72"/>
      <c r="U606" s="72"/>
      <c r="V606" s="72"/>
      <c r="W606" s="72"/>
      <c r="X606" s="72"/>
      <c r="Y606" s="72"/>
      <c r="Z606" s="72"/>
    </row>
    <row r="607" ht="15.7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127"/>
      <c r="M607" s="127"/>
      <c r="N607" s="72"/>
      <c r="O607" s="72"/>
      <c r="P607" s="127"/>
      <c r="S607" s="72"/>
      <c r="T607" s="72"/>
      <c r="U607" s="72"/>
      <c r="V607" s="72"/>
      <c r="W607" s="72"/>
      <c r="X607" s="72"/>
      <c r="Y607" s="72"/>
      <c r="Z607" s="72"/>
    </row>
    <row r="608" ht="15.7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127"/>
      <c r="M608" s="127"/>
      <c r="N608" s="72"/>
      <c r="O608" s="72"/>
      <c r="P608" s="127"/>
      <c r="S608" s="72"/>
      <c r="T608" s="72"/>
      <c r="U608" s="72"/>
      <c r="V608" s="72"/>
      <c r="W608" s="72"/>
      <c r="X608" s="72"/>
      <c r="Y608" s="72"/>
      <c r="Z608" s="72"/>
    </row>
    <row r="609" ht="15.7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127"/>
      <c r="M609" s="127"/>
      <c r="N609" s="72"/>
      <c r="O609" s="72"/>
      <c r="P609" s="127"/>
      <c r="S609" s="72"/>
      <c r="T609" s="72"/>
      <c r="U609" s="72"/>
      <c r="V609" s="72"/>
      <c r="W609" s="72"/>
      <c r="X609" s="72"/>
      <c r="Y609" s="72"/>
      <c r="Z609" s="72"/>
    </row>
    <row r="610" ht="15.7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127"/>
      <c r="M610" s="127"/>
      <c r="N610" s="72"/>
      <c r="O610" s="72"/>
      <c r="P610" s="127"/>
      <c r="S610" s="72"/>
      <c r="T610" s="72"/>
      <c r="U610" s="72"/>
      <c r="V610" s="72"/>
      <c r="W610" s="72"/>
      <c r="X610" s="72"/>
      <c r="Y610" s="72"/>
      <c r="Z610" s="72"/>
    </row>
    <row r="611" ht="15.7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127"/>
      <c r="M611" s="127"/>
      <c r="N611" s="72"/>
      <c r="O611" s="72"/>
      <c r="P611" s="127"/>
      <c r="S611" s="72"/>
      <c r="T611" s="72"/>
      <c r="U611" s="72"/>
      <c r="V611" s="72"/>
      <c r="W611" s="72"/>
      <c r="X611" s="72"/>
      <c r="Y611" s="72"/>
      <c r="Z611" s="72"/>
    </row>
    <row r="612" ht="15.7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127"/>
      <c r="M612" s="127"/>
      <c r="N612" s="72"/>
      <c r="O612" s="72"/>
      <c r="P612" s="127"/>
      <c r="S612" s="72"/>
      <c r="T612" s="72"/>
      <c r="U612" s="72"/>
      <c r="V612" s="72"/>
      <c r="W612" s="72"/>
      <c r="X612" s="72"/>
      <c r="Y612" s="72"/>
      <c r="Z612" s="72"/>
    </row>
    <row r="613" ht="15.7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127"/>
      <c r="M613" s="127"/>
      <c r="N613" s="72"/>
      <c r="O613" s="72"/>
      <c r="P613" s="127"/>
      <c r="S613" s="72"/>
      <c r="T613" s="72"/>
      <c r="U613" s="72"/>
      <c r="V613" s="72"/>
      <c r="W613" s="72"/>
      <c r="X613" s="72"/>
      <c r="Y613" s="72"/>
      <c r="Z613" s="72"/>
    </row>
    <row r="614" ht="15.7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127"/>
      <c r="M614" s="127"/>
      <c r="N614" s="72"/>
      <c r="O614" s="72"/>
      <c r="P614" s="127"/>
      <c r="S614" s="72"/>
      <c r="T614" s="72"/>
      <c r="U614" s="72"/>
      <c r="V614" s="72"/>
      <c r="W614" s="72"/>
      <c r="X614" s="72"/>
      <c r="Y614" s="72"/>
      <c r="Z614" s="72"/>
    </row>
    <row r="615" ht="15.7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127"/>
      <c r="M615" s="127"/>
      <c r="N615" s="72"/>
      <c r="O615" s="72"/>
      <c r="P615" s="127"/>
      <c r="S615" s="72"/>
      <c r="T615" s="72"/>
      <c r="U615" s="72"/>
      <c r="V615" s="72"/>
      <c r="W615" s="72"/>
      <c r="X615" s="72"/>
      <c r="Y615" s="72"/>
      <c r="Z615" s="72"/>
    </row>
    <row r="616" ht="15.7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127"/>
      <c r="M616" s="127"/>
      <c r="N616" s="72"/>
      <c r="O616" s="72"/>
      <c r="P616" s="127"/>
      <c r="S616" s="72"/>
      <c r="T616" s="72"/>
      <c r="U616" s="72"/>
      <c r="V616" s="72"/>
      <c r="W616" s="72"/>
      <c r="X616" s="72"/>
      <c r="Y616" s="72"/>
      <c r="Z616" s="72"/>
    </row>
    <row r="617" ht="15.7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127"/>
      <c r="M617" s="127"/>
      <c r="N617" s="72"/>
      <c r="O617" s="72"/>
      <c r="P617" s="127"/>
      <c r="S617" s="72"/>
      <c r="T617" s="72"/>
      <c r="U617" s="72"/>
      <c r="V617" s="72"/>
      <c r="W617" s="72"/>
      <c r="X617" s="72"/>
      <c r="Y617" s="72"/>
      <c r="Z617" s="72"/>
    </row>
    <row r="618" ht="15.7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127"/>
      <c r="M618" s="127"/>
      <c r="N618" s="72"/>
      <c r="O618" s="72"/>
      <c r="P618" s="127"/>
      <c r="S618" s="72"/>
      <c r="T618" s="72"/>
      <c r="U618" s="72"/>
      <c r="V618" s="72"/>
      <c r="W618" s="72"/>
      <c r="X618" s="72"/>
      <c r="Y618" s="72"/>
      <c r="Z618" s="72"/>
    </row>
    <row r="619" ht="15.7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127"/>
      <c r="M619" s="127"/>
      <c r="N619" s="72"/>
      <c r="O619" s="72"/>
      <c r="P619" s="127"/>
      <c r="S619" s="72"/>
      <c r="T619" s="72"/>
      <c r="U619" s="72"/>
      <c r="V619" s="72"/>
      <c r="W619" s="72"/>
      <c r="X619" s="72"/>
      <c r="Y619" s="72"/>
      <c r="Z619" s="72"/>
    </row>
    <row r="620" ht="15.7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127"/>
      <c r="M620" s="127"/>
      <c r="N620" s="72"/>
      <c r="O620" s="72"/>
      <c r="P620" s="127"/>
      <c r="S620" s="72"/>
      <c r="T620" s="72"/>
      <c r="U620" s="72"/>
      <c r="V620" s="72"/>
      <c r="W620" s="72"/>
      <c r="X620" s="72"/>
      <c r="Y620" s="72"/>
      <c r="Z620" s="72"/>
    </row>
    <row r="621" ht="15.7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127"/>
      <c r="M621" s="127"/>
      <c r="N621" s="72"/>
      <c r="O621" s="72"/>
      <c r="P621" s="127"/>
      <c r="S621" s="72"/>
      <c r="T621" s="72"/>
      <c r="U621" s="72"/>
      <c r="V621" s="72"/>
      <c r="W621" s="72"/>
      <c r="X621" s="72"/>
      <c r="Y621" s="72"/>
      <c r="Z621" s="72"/>
    </row>
    <row r="622" ht="15.7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127"/>
      <c r="M622" s="127"/>
      <c r="N622" s="72"/>
      <c r="O622" s="72"/>
      <c r="P622" s="127"/>
      <c r="S622" s="72"/>
      <c r="T622" s="72"/>
      <c r="U622" s="72"/>
      <c r="V622" s="72"/>
      <c r="W622" s="72"/>
      <c r="X622" s="72"/>
      <c r="Y622" s="72"/>
      <c r="Z622" s="72"/>
    </row>
    <row r="623" ht="15.7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127"/>
      <c r="M623" s="127"/>
      <c r="N623" s="72"/>
      <c r="O623" s="72"/>
      <c r="P623" s="127"/>
      <c r="S623" s="72"/>
      <c r="T623" s="72"/>
      <c r="U623" s="72"/>
      <c r="V623" s="72"/>
      <c r="W623" s="72"/>
      <c r="X623" s="72"/>
      <c r="Y623" s="72"/>
      <c r="Z623" s="72"/>
    </row>
    <row r="624" ht="15.7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127"/>
      <c r="M624" s="127"/>
      <c r="N624" s="72"/>
      <c r="O624" s="72"/>
      <c r="P624" s="127"/>
      <c r="S624" s="72"/>
      <c r="T624" s="72"/>
      <c r="U624" s="72"/>
      <c r="V624" s="72"/>
      <c r="W624" s="72"/>
      <c r="X624" s="72"/>
      <c r="Y624" s="72"/>
      <c r="Z624" s="72"/>
    </row>
    <row r="625" ht="15.7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127"/>
      <c r="M625" s="127"/>
      <c r="N625" s="72"/>
      <c r="O625" s="72"/>
      <c r="P625" s="127"/>
      <c r="S625" s="72"/>
      <c r="T625" s="72"/>
      <c r="U625" s="72"/>
      <c r="V625" s="72"/>
      <c r="W625" s="72"/>
      <c r="X625" s="72"/>
      <c r="Y625" s="72"/>
      <c r="Z625" s="72"/>
    </row>
    <row r="626" ht="15.7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127"/>
      <c r="M626" s="127"/>
      <c r="N626" s="72"/>
      <c r="O626" s="72"/>
      <c r="P626" s="127"/>
      <c r="S626" s="72"/>
      <c r="T626" s="72"/>
      <c r="U626" s="72"/>
      <c r="V626" s="72"/>
      <c r="W626" s="72"/>
      <c r="X626" s="72"/>
      <c r="Y626" s="72"/>
      <c r="Z626" s="72"/>
    </row>
    <row r="627" ht="15.7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127"/>
      <c r="M627" s="127"/>
      <c r="N627" s="72"/>
      <c r="O627" s="72"/>
      <c r="P627" s="127"/>
      <c r="S627" s="72"/>
      <c r="T627" s="72"/>
      <c r="U627" s="72"/>
      <c r="V627" s="72"/>
      <c r="W627" s="72"/>
      <c r="X627" s="72"/>
      <c r="Y627" s="72"/>
      <c r="Z627" s="72"/>
    </row>
    <row r="628" ht="15.7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127"/>
      <c r="M628" s="127"/>
      <c r="N628" s="72"/>
      <c r="O628" s="72"/>
      <c r="P628" s="127"/>
      <c r="S628" s="72"/>
      <c r="T628" s="72"/>
      <c r="U628" s="72"/>
      <c r="V628" s="72"/>
      <c r="W628" s="72"/>
      <c r="X628" s="72"/>
      <c r="Y628" s="72"/>
      <c r="Z628" s="72"/>
    </row>
    <row r="629" ht="15.7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127"/>
      <c r="M629" s="127"/>
      <c r="N629" s="72"/>
      <c r="O629" s="72"/>
      <c r="P629" s="127"/>
      <c r="S629" s="72"/>
      <c r="T629" s="72"/>
      <c r="U629" s="72"/>
      <c r="V629" s="72"/>
      <c r="W629" s="72"/>
      <c r="X629" s="72"/>
      <c r="Y629" s="72"/>
      <c r="Z629" s="72"/>
    </row>
    <row r="630" ht="15.7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127"/>
      <c r="M630" s="127"/>
      <c r="N630" s="72"/>
      <c r="O630" s="72"/>
      <c r="P630" s="127"/>
      <c r="S630" s="72"/>
      <c r="T630" s="72"/>
      <c r="U630" s="72"/>
      <c r="V630" s="72"/>
      <c r="W630" s="72"/>
      <c r="X630" s="72"/>
      <c r="Y630" s="72"/>
      <c r="Z630" s="72"/>
    </row>
    <row r="631" ht="15.7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127"/>
      <c r="M631" s="127"/>
      <c r="N631" s="72"/>
      <c r="O631" s="72"/>
      <c r="P631" s="127"/>
      <c r="S631" s="72"/>
      <c r="T631" s="72"/>
      <c r="U631" s="72"/>
      <c r="V631" s="72"/>
      <c r="W631" s="72"/>
      <c r="X631" s="72"/>
      <c r="Y631" s="72"/>
      <c r="Z631" s="72"/>
    </row>
    <row r="632" ht="15.7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127"/>
      <c r="M632" s="127"/>
      <c r="N632" s="72"/>
      <c r="O632" s="72"/>
      <c r="P632" s="127"/>
      <c r="S632" s="72"/>
      <c r="T632" s="72"/>
      <c r="U632" s="72"/>
      <c r="V632" s="72"/>
      <c r="W632" s="72"/>
      <c r="X632" s="72"/>
      <c r="Y632" s="72"/>
      <c r="Z632" s="72"/>
    </row>
    <row r="633" ht="15.7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127"/>
      <c r="M633" s="127"/>
      <c r="N633" s="72"/>
      <c r="O633" s="72"/>
      <c r="P633" s="127"/>
      <c r="S633" s="72"/>
      <c r="T633" s="72"/>
      <c r="U633" s="72"/>
      <c r="V633" s="72"/>
      <c r="W633" s="72"/>
      <c r="X633" s="72"/>
      <c r="Y633" s="72"/>
      <c r="Z633" s="72"/>
    </row>
    <row r="634" ht="15.7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127"/>
      <c r="M634" s="127"/>
      <c r="N634" s="72"/>
      <c r="O634" s="72"/>
      <c r="P634" s="127"/>
      <c r="S634" s="72"/>
      <c r="T634" s="72"/>
      <c r="U634" s="72"/>
      <c r="V634" s="72"/>
      <c r="W634" s="72"/>
      <c r="X634" s="72"/>
      <c r="Y634" s="72"/>
      <c r="Z634" s="72"/>
    </row>
    <row r="635" ht="15.7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127"/>
      <c r="M635" s="127"/>
      <c r="N635" s="72"/>
      <c r="O635" s="72"/>
      <c r="P635" s="127"/>
      <c r="S635" s="72"/>
      <c r="T635" s="72"/>
      <c r="U635" s="72"/>
      <c r="V635" s="72"/>
      <c r="W635" s="72"/>
      <c r="X635" s="72"/>
      <c r="Y635" s="72"/>
      <c r="Z635" s="72"/>
    </row>
    <row r="636" ht="15.7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127"/>
      <c r="M636" s="127"/>
      <c r="N636" s="72"/>
      <c r="O636" s="72"/>
      <c r="P636" s="127"/>
      <c r="S636" s="72"/>
      <c r="T636" s="72"/>
      <c r="U636" s="72"/>
      <c r="V636" s="72"/>
      <c r="W636" s="72"/>
      <c r="X636" s="72"/>
      <c r="Y636" s="72"/>
      <c r="Z636" s="72"/>
    </row>
    <row r="637" ht="15.7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127"/>
      <c r="M637" s="127"/>
      <c r="N637" s="72"/>
      <c r="O637" s="72"/>
      <c r="P637" s="127"/>
      <c r="S637" s="72"/>
      <c r="T637" s="72"/>
      <c r="U637" s="72"/>
      <c r="V637" s="72"/>
      <c r="W637" s="72"/>
      <c r="X637" s="72"/>
      <c r="Y637" s="72"/>
      <c r="Z637" s="72"/>
    </row>
    <row r="638" ht="15.7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127"/>
      <c r="M638" s="127"/>
      <c r="N638" s="72"/>
      <c r="O638" s="72"/>
      <c r="P638" s="127"/>
      <c r="S638" s="72"/>
      <c r="T638" s="72"/>
      <c r="U638" s="72"/>
      <c r="V638" s="72"/>
      <c r="W638" s="72"/>
      <c r="X638" s="72"/>
      <c r="Y638" s="72"/>
      <c r="Z638" s="72"/>
    </row>
    <row r="639" ht="15.7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127"/>
      <c r="M639" s="127"/>
      <c r="N639" s="72"/>
      <c r="O639" s="72"/>
      <c r="P639" s="127"/>
      <c r="S639" s="72"/>
      <c r="T639" s="72"/>
      <c r="U639" s="72"/>
      <c r="V639" s="72"/>
      <c r="W639" s="72"/>
      <c r="X639" s="72"/>
      <c r="Y639" s="72"/>
      <c r="Z639" s="72"/>
    </row>
    <row r="640" ht="15.7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127"/>
      <c r="M640" s="127"/>
      <c r="N640" s="72"/>
      <c r="O640" s="72"/>
      <c r="P640" s="127"/>
      <c r="S640" s="72"/>
      <c r="T640" s="72"/>
      <c r="U640" s="72"/>
      <c r="V640" s="72"/>
      <c r="W640" s="72"/>
      <c r="X640" s="72"/>
      <c r="Y640" s="72"/>
      <c r="Z640" s="72"/>
    </row>
    <row r="641" ht="15.7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127"/>
      <c r="M641" s="127"/>
      <c r="N641" s="72"/>
      <c r="O641" s="72"/>
      <c r="P641" s="127"/>
      <c r="S641" s="72"/>
      <c r="T641" s="72"/>
      <c r="U641" s="72"/>
      <c r="V641" s="72"/>
      <c r="W641" s="72"/>
      <c r="X641" s="72"/>
      <c r="Y641" s="72"/>
      <c r="Z641" s="72"/>
    </row>
    <row r="642" ht="15.7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127"/>
      <c r="M642" s="127"/>
      <c r="N642" s="72"/>
      <c r="O642" s="72"/>
      <c r="P642" s="127"/>
      <c r="S642" s="72"/>
      <c r="T642" s="72"/>
      <c r="U642" s="72"/>
      <c r="V642" s="72"/>
      <c r="W642" s="72"/>
      <c r="X642" s="72"/>
      <c r="Y642" s="72"/>
      <c r="Z642" s="72"/>
    </row>
    <row r="643" ht="15.7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127"/>
      <c r="M643" s="127"/>
      <c r="N643" s="72"/>
      <c r="O643" s="72"/>
      <c r="P643" s="127"/>
      <c r="S643" s="72"/>
      <c r="T643" s="72"/>
      <c r="U643" s="72"/>
      <c r="V643" s="72"/>
      <c r="W643" s="72"/>
      <c r="X643" s="72"/>
      <c r="Y643" s="72"/>
      <c r="Z643" s="72"/>
    </row>
    <row r="644" ht="15.7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127"/>
      <c r="M644" s="127"/>
      <c r="N644" s="72"/>
      <c r="O644" s="72"/>
      <c r="P644" s="127"/>
      <c r="S644" s="72"/>
      <c r="T644" s="72"/>
      <c r="U644" s="72"/>
      <c r="V644" s="72"/>
      <c r="W644" s="72"/>
      <c r="X644" s="72"/>
      <c r="Y644" s="72"/>
      <c r="Z644" s="72"/>
    </row>
    <row r="645" ht="15.7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127"/>
      <c r="M645" s="127"/>
      <c r="N645" s="72"/>
      <c r="O645" s="72"/>
      <c r="P645" s="127"/>
      <c r="S645" s="72"/>
      <c r="T645" s="72"/>
      <c r="U645" s="72"/>
      <c r="V645" s="72"/>
      <c r="W645" s="72"/>
      <c r="X645" s="72"/>
      <c r="Y645" s="72"/>
      <c r="Z645" s="72"/>
    </row>
    <row r="646" ht="15.7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127"/>
      <c r="M646" s="127"/>
      <c r="N646" s="72"/>
      <c r="O646" s="72"/>
      <c r="P646" s="127"/>
      <c r="S646" s="72"/>
      <c r="T646" s="72"/>
      <c r="U646" s="72"/>
      <c r="V646" s="72"/>
      <c r="W646" s="72"/>
      <c r="X646" s="72"/>
      <c r="Y646" s="72"/>
      <c r="Z646" s="72"/>
    </row>
    <row r="647" ht="15.7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127"/>
      <c r="M647" s="127"/>
      <c r="N647" s="72"/>
      <c r="O647" s="72"/>
      <c r="P647" s="127"/>
      <c r="S647" s="72"/>
      <c r="T647" s="72"/>
      <c r="U647" s="72"/>
      <c r="V647" s="72"/>
      <c r="W647" s="72"/>
      <c r="X647" s="72"/>
      <c r="Y647" s="72"/>
      <c r="Z647" s="72"/>
    </row>
    <row r="648" ht="15.7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127"/>
      <c r="M648" s="127"/>
      <c r="N648" s="72"/>
      <c r="O648" s="72"/>
      <c r="P648" s="127"/>
      <c r="S648" s="72"/>
      <c r="T648" s="72"/>
      <c r="U648" s="72"/>
      <c r="V648" s="72"/>
      <c r="W648" s="72"/>
      <c r="X648" s="72"/>
      <c r="Y648" s="72"/>
      <c r="Z648" s="72"/>
    </row>
    <row r="649" ht="15.7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127"/>
      <c r="M649" s="127"/>
      <c r="N649" s="72"/>
      <c r="O649" s="72"/>
      <c r="P649" s="127"/>
      <c r="S649" s="72"/>
      <c r="T649" s="72"/>
      <c r="U649" s="72"/>
      <c r="V649" s="72"/>
      <c r="W649" s="72"/>
      <c r="X649" s="72"/>
      <c r="Y649" s="72"/>
      <c r="Z649" s="72"/>
    </row>
    <row r="650" ht="15.7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127"/>
      <c r="M650" s="127"/>
      <c r="N650" s="72"/>
      <c r="O650" s="72"/>
      <c r="P650" s="127"/>
      <c r="S650" s="72"/>
      <c r="T650" s="72"/>
      <c r="U650" s="72"/>
      <c r="V650" s="72"/>
      <c r="W650" s="72"/>
      <c r="X650" s="72"/>
      <c r="Y650" s="72"/>
      <c r="Z650" s="72"/>
    </row>
    <row r="651" ht="15.7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127"/>
      <c r="M651" s="127"/>
      <c r="N651" s="72"/>
      <c r="O651" s="72"/>
      <c r="P651" s="127"/>
      <c r="S651" s="72"/>
      <c r="T651" s="72"/>
      <c r="U651" s="72"/>
      <c r="V651" s="72"/>
      <c r="W651" s="72"/>
      <c r="X651" s="72"/>
      <c r="Y651" s="72"/>
      <c r="Z651" s="72"/>
    </row>
    <row r="652" ht="15.7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127"/>
      <c r="M652" s="127"/>
      <c r="N652" s="72"/>
      <c r="O652" s="72"/>
      <c r="P652" s="127"/>
      <c r="S652" s="72"/>
      <c r="T652" s="72"/>
      <c r="U652" s="72"/>
      <c r="V652" s="72"/>
      <c r="W652" s="72"/>
      <c r="X652" s="72"/>
      <c r="Y652" s="72"/>
      <c r="Z652" s="72"/>
    </row>
    <row r="653" ht="15.7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127"/>
      <c r="M653" s="127"/>
      <c r="N653" s="72"/>
      <c r="O653" s="72"/>
      <c r="P653" s="127"/>
      <c r="S653" s="72"/>
      <c r="T653" s="72"/>
      <c r="U653" s="72"/>
      <c r="V653" s="72"/>
      <c r="W653" s="72"/>
      <c r="X653" s="72"/>
      <c r="Y653" s="72"/>
      <c r="Z653" s="72"/>
    </row>
    <row r="654" ht="15.7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127"/>
      <c r="M654" s="127"/>
      <c r="N654" s="72"/>
      <c r="O654" s="72"/>
      <c r="P654" s="127"/>
      <c r="S654" s="72"/>
      <c r="T654" s="72"/>
      <c r="U654" s="72"/>
      <c r="V654" s="72"/>
      <c r="W654" s="72"/>
      <c r="X654" s="72"/>
      <c r="Y654" s="72"/>
      <c r="Z654" s="72"/>
    </row>
    <row r="655" ht="15.7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127"/>
      <c r="M655" s="127"/>
      <c r="N655" s="72"/>
      <c r="O655" s="72"/>
      <c r="P655" s="127"/>
      <c r="S655" s="72"/>
      <c r="T655" s="72"/>
      <c r="U655" s="72"/>
      <c r="V655" s="72"/>
      <c r="W655" s="72"/>
      <c r="X655" s="72"/>
      <c r="Y655" s="72"/>
      <c r="Z655" s="72"/>
    </row>
    <row r="656" ht="15.7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127"/>
      <c r="M656" s="127"/>
      <c r="N656" s="72"/>
      <c r="O656" s="72"/>
      <c r="P656" s="127"/>
      <c r="S656" s="72"/>
      <c r="T656" s="72"/>
      <c r="U656" s="72"/>
      <c r="V656" s="72"/>
      <c r="W656" s="72"/>
      <c r="X656" s="72"/>
      <c r="Y656" s="72"/>
      <c r="Z656" s="72"/>
    </row>
    <row r="657" ht="15.7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127"/>
      <c r="M657" s="127"/>
      <c r="N657" s="72"/>
      <c r="O657" s="72"/>
      <c r="P657" s="127"/>
      <c r="S657" s="72"/>
      <c r="T657" s="72"/>
      <c r="U657" s="72"/>
      <c r="V657" s="72"/>
      <c r="W657" s="72"/>
      <c r="X657" s="72"/>
      <c r="Y657" s="72"/>
      <c r="Z657" s="72"/>
    </row>
    <row r="658" ht="15.7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127"/>
      <c r="M658" s="127"/>
      <c r="N658" s="72"/>
      <c r="O658" s="72"/>
      <c r="P658" s="127"/>
      <c r="S658" s="72"/>
      <c r="T658" s="72"/>
      <c r="U658" s="72"/>
      <c r="V658" s="72"/>
      <c r="W658" s="72"/>
      <c r="X658" s="72"/>
      <c r="Y658" s="72"/>
      <c r="Z658" s="72"/>
    </row>
    <row r="659" ht="15.7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127"/>
      <c r="M659" s="127"/>
      <c r="N659" s="72"/>
      <c r="O659" s="72"/>
      <c r="P659" s="127"/>
      <c r="S659" s="72"/>
      <c r="T659" s="72"/>
      <c r="U659" s="72"/>
      <c r="V659" s="72"/>
      <c r="W659" s="72"/>
      <c r="X659" s="72"/>
      <c r="Y659" s="72"/>
      <c r="Z659" s="72"/>
    </row>
    <row r="660" ht="15.7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127"/>
      <c r="M660" s="127"/>
      <c r="N660" s="72"/>
      <c r="O660" s="72"/>
      <c r="P660" s="127"/>
      <c r="S660" s="72"/>
      <c r="T660" s="72"/>
      <c r="U660" s="72"/>
      <c r="V660" s="72"/>
      <c r="W660" s="72"/>
      <c r="X660" s="72"/>
      <c r="Y660" s="72"/>
      <c r="Z660" s="72"/>
    </row>
    <row r="661" ht="15.7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127"/>
      <c r="M661" s="127"/>
      <c r="N661" s="72"/>
      <c r="O661" s="72"/>
      <c r="P661" s="127"/>
      <c r="S661" s="72"/>
      <c r="T661" s="72"/>
      <c r="U661" s="72"/>
      <c r="V661" s="72"/>
      <c r="W661" s="72"/>
      <c r="X661" s="72"/>
      <c r="Y661" s="72"/>
      <c r="Z661" s="72"/>
    </row>
    <row r="662" ht="15.7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127"/>
      <c r="M662" s="127"/>
      <c r="N662" s="72"/>
      <c r="O662" s="72"/>
      <c r="P662" s="127"/>
      <c r="S662" s="72"/>
      <c r="T662" s="72"/>
      <c r="U662" s="72"/>
      <c r="V662" s="72"/>
      <c r="W662" s="72"/>
      <c r="X662" s="72"/>
      <c r="Y662" s="72"/>
      <c r="Z662" s="72"/>
    </row>
    <row r="663" ht="15.7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127"/>
      <c r="M663" s="127"/>
      <c r="N663" s="72"/>
      <c r="O663" s="72"/>
      <c r="P663" s="127"/>
      <c r="S663" s="72"/>
      <c r="T663" s="72"/>
      <c r="U663" s="72"/>
      <c r="V663" s="72"/>
      <c r="W663" s="72"/>
      <c r="X663" s="72"/>
      <c r="Y663" s="72"/>
      <c r="Z663" s="72"/>
    </row>
    <row r="664" ht="15.7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127"/>
      <c r="M664" s="127"/>
      <c r="N664" s="72"/>
      <c r="O664" s="72"/>
      <c r="P664" s="127"/>
      <c r="S664" s="72"/>
      <c r="T664" s="72"/>
      <c r="U664" s="72"/>
      <c r="V664" s="72"/>
      <c r="W664" s="72"/>
      <c r="X664" s="72"/>
      <c r="Y664" s="72"/>
      <c r="Z664" s="72"/>
    </row>
    <row r="665" ht="15.7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127"/>
      <c r="M665" s="127"/>
      <c r="N665" s="72"/>
      <c r="O665" s="72"/>
      <c r="P665" s="127"/>
      <c r="S665" s="72"/>
      <c r="T665" s="72"/>
      <c r="U665" s="72"/>
      <c r="V665" s="72"/>
      <c r="W665" s="72"/>
      <c r="X665" s="72"/>
      <c r="Y665" s="72"/>
      <c r="Z665" s="72"/>
    </row>
    <row r="666" ht="15.7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127"/>
      <c r="M666" s="127"/>
      <c r="N666" s="72"/>
      <c r="O666" s="72"/>
      <c r="P666" s="127"/>
      <c r="S666" s="72"/>
      <c r="T666" s="72"/>
      <c r="U666" s="72"/>
      <c r="V666" s="72"/>
      <c r="W666" s="72"/>
      <c r="X666" s="72"/>
      <c r="Y666" s="72"/>
      <c r="Z666" s="72"/>
    </row>
    <row r="667" ht="15.7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127"/>
      <c r="M667" s="127"/>
      <c r="N667" s="72"/>
      <c r="O667" s="72"/>
      <c r="P667" s="127"/>
      <c r="S667" s="72"/>
      <c r="T667" s="72"/>
      <c r="U667" s="72"/>
      <c r="V667" s="72"/>
      <c r="W667" s="72"/>
      <c r="X667" s="72"/>
      <c r="Y667" s="72"/>
      <c r="Z667" s="72"/>
    </row>
    <row r="668" ht="15.7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127"/>
      <c r="M668" s="127"/>
      <c r="N668" s="72"/>
      <c r="O668" s="72"/>
      <c r="P668" s="127"/>
      <c r="S668" s="72"/>
      <c r="T668" s="72"/>
      <c r="U668" s="72"/>
      <c r="V668" s="72"/>
      <c r="W668" s="72"/>
      <c r="X668" s="72"/>
      <c r="Y668" s="72"/>
      <c r="Z668" s="72"/>
    </row>
    <row r="669" ht="15.7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127"/>
      <c r="M669" s="127"/>
      <c r="N669" s="72"/>
      <c r="O669" s="72"/>
      <c r="P669" s="127"/>
      <c r="S669" s="72"/>
      <c r="T669" s="72"/>
      <c r="U669" s="72"/>
      <c r="V669" s="72"/>
      <c r="W669" s="72"/>
      <c r="X669" s="72"/>
      <c r="Y669" s="72"/>
      <c r="Z669" s="72"/>
    </row>
    <row r="670" ht="15.7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127"/>
      <c r="M670" s="127"/>
      <c r="N670" s="72"/>
      <c r="O670" s="72"/>
      <c r="P670" s="127"/>
      <c r="S670" s="72"/>
      <c r="T670" s="72"/>
      <c r="U670" s="72"/>
      <c r="V670" s="72"/>
      <c r="W670" s="72"/>
      <c r="X670" s="72"/>
      <c r="Y670" s="72"/>
      <c r="Z670" s="72"/>
    </row>
    <row r="671" ht="15.7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127"/>
      <c r="M671" s="127"/>
      <c r="N671" s="72"/>
      <c r="O671" s="72"/>
      <c r="P671" s="127"/>
      <c r="S671" s="72"/>
      <c r="T671" s="72"/>
      <c r="U671" s="72"/>
      <c r="V671" s="72"/>
      <c r="W671" s="72"/>
      <c r="X671" s="72"/>
      <c r="Y671" s="72"/>
      <c r="Z671" s="72"/>
    </row>
    <row r="672" ht="15.7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127"/>
      <c r="M672" s="127"/>
      <c r="N672" s="72"/>
      <c r="O672" s="72"/>
      <c r="P672" s="127"/>
      <c r="S672" s="72"/>
      <c r="T672" s="72"/>
      <c r="U672" s="72"/>
      <c r="V672" s="72"/>
      <c r="W672" s="72"/>
      <c r="X672" s="72"/>
      <c r="Y672" s="72"/>
      <c r="Z672" s="72"/>
    </row>
    <row r="673" ht="15.7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127"/>
      <c r="M673" s="127"/>
      <c r="N673" s="72"/>
      <c r="O673" s="72"/>
      <c r="P673" s="127"/>
      <c r="S673" s="72"/>
      <c r="T673" s="72"/>
      <c r="U673" s="72"/>
      <c r="V673" s="72"/>
      <c r="W673" s="72"/>
      <c r="X673" s="72"/>
      <c r="Y673" s="72"/>
      <c r="Z673" s="72"/>
    </row>
    <row r="674" ht="15.7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127"/>
      <c r="M674" s="127"/>
      <c r="N674" s="72"/>
      <c r="O674" s="72"/>
      <c r="P674" s="127"/>
      <c r="S674" s="72"/>
      <c r="T674" s="72"/>
      <c r="U674" s="72"/>
      <c r="V674" s="72"/>
      <c r="W674" s="72"/>
      <c r="X674" s="72"/>
      <c r="Y674" s="72"/>
      <c r="Z674" s="72"/>
    </row>
    <row r="675" ht="15.7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127"/>
      <c r="M675" s="127"/>
      <c r="N675" s="72"/>
      <c r="O675" s="72"/>
      <c r="P675" s="127"/>
      <c r="S675" s="72"/>
      <c r="T675" s="72"/>
      <c r="U675" s="72"/>
      <c r="V675" s="72"/>
      <c r="W675" s="72"/>
      <c r="X675" s="72"/>
      <c r="Y675" s="72"/>
      <c r="Z675" s="72"/>
    </row>
    <row r="676" ht="15.7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127"/>
      <c r="M676" s="127"/>
      <c r="N676" s="72"/>
      <c r="O676" s="72"/>
      <c r="P676" s="127"/>
      <c r="S676" s="72"/>
      <c r="T676" s="72"/>
      <c r="U676" s="72"/>
      <c r="V676" s="72"/>
      <c r="W676" s="72"/>
      <c r="X676" s="72"/>
      <c r="Y676" s="72"/>
      <c r="Z676" s="72"/>
    </row>
    <row r="677" ht="15.7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127"/>
      <c r="M677" s="127"/>
      <c r="N677" s="72"/>
      <c r="O677" s="72"/>
      <c r="P677" s="127"/>
      <c r="S677" s="72"/>
      <c r="T677" s="72"/>
      <c r="U677" s="72"/>
      <c r="V677" s="72"/>
      <c r="W677" s="72"/>
      <c r="X677" s="72"/>
      <c r="Y677" s="72"/>
      <c r="Z677" s="72"/>
    </row>
    <row r="678" ht="15.7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127"/>
      <c r="M678" s="127"/>
      <c r="N678" s="72"/>
      <c r="O678" s="72"/>
      <c r="P678" s="127"/>
      <c r="S678" s="72"/>
      <c r="T678" s="72"/>
      <c r="U678" s="72"/>
      <c r="V678" s="72"/>
      <c r="W678" s="72"/>
      <c r="X678" s="72"/>
      <c r="Y678" s="72"/>
      <c r="Z678" s="72"/>
    </row>
    <row r="679" ht="15.7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127"/>
      <c r="M679" s="127"/>
      <c r="N679" s="72"/>
      <c r="O679" s="72"/>
      <c r="P679" s="127"/>
      <c r="S679" s="72"/>
      <c r="T679" s="72"/>
      <c r="U679" s="72"/>
      <c r="V679" s="72"/>
      <c r="W679" s="72"/>
      <c r="X679" s="72"/>
      <c r="Y679" s="72"/>
      <c r="Z679" s="72"/>
    </row>
    <row r="680" ht="15.7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127"/>
      <c r="M680" s="127"/>
      <c r="N680" s="72"/>
      <c r="O680" s="72"/>
      <c r="P680" s="127"/>
      <c r="S680" s="72"/>
      <c r="T680" s="72"/>
      <c r="U680" s="72"/>
      <c r="V680" s="72"/>
      <c r="W680" s="72"/>
      <c r="X680" s="72"/>
      <c r="Y680" s="72"/>
      <c r="Z680" s="72"/>
    </row>
    <row r="681" ht="15.7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127"/>
      <c r="M681" s="127"/>
      <c r="N681" s="72"/>
      <c r="O681" s="72"/>
      <c r="P681" s="127"/>
      <c r="S681" s="72"/>
      <c r="T681" s="72"/>
      <c r="U681" s="72"/>
      <c r="V681" s="72"/>
      <c r="W681" s="72"/>
      <c r="X681" s="72"/>
      <c r="Y681" s="72"/>
      <c r="Z681" s="72"/>
    </row>
    <row r="682" ht="15.7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127"/>
      <c r="M682" s="127"/>
      <c r="N682" s="72"/>
      <c r="O682" s="72"/>
      <c r="P682" s="127"/>
      <c r="S682" s="72"/>
      <c r="T682" s="72"/>
      <c r="U682" s="72"/>
      <c r="V682" s="72"/>
      <c r="W682" s="72"/>
      <c r="X682" s="72"/>
      <c r="Y682" s="72"/>
      <c r="Z682" s="72"/>
    </row>
    <row r="683" ht="15.7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127"/>
      <c r="M683" s="127"/>
      <c r="N683" s="72"/>
      <c r="O683" s="72"/>
      <c r="P683" s="127"/>
      <c r="S683" s="72"/>
      <c r="T683" s="72"/>
      <c r="U683" s="72"/>
      <c r="V683" s="72"/>
      <c r="W683" s="72"/>
      <c r="X683" s="72"/>
      <c r="Y683" s="72"/>
      <c r="Z683" s="72"/>
    </row>
    <row r="684" ht="15.7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127"/>
      <c r="M684" s="127"/>
      <c r="N684" s="72"/>
      <c r="O684" s="72"/>
      <c r="P684" s="127"/>
      <c r="S684" s="72"/>
      <c r="T684" s="72"/>
      <c r="U684" s="72"/>
      <c r="V684" s="72"/>
      <c r="W684" s="72"/>
      <c r="X684" s="72"/>
      <c r="Y684" s="72"/>
      <c r="Z684" s="72"/>
    </row>
    <row r="685" ht="15.7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127"/>
      <c r="M685" s="127"/>
      <c r="N685" s="72"/>
      <c r="O685" s="72"/>
      <c r="P685" s="127"/>
      <c r="S685" s="72"/>
      <c r="T685" s="72"/>
      <c r="U685" s="72"/>
      <c r="V685" s="72"/>
      <c r="W685" s="72"/>
      <c r="X685" s="72"/>
      <c r="Y685" s="72"/>
      <c r="Z685" s="72"/>
    </row>
    <row r="686" ht="15.7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127"/>
      <c r="M686" s="127"/>
      <c r="N686" s="72"/>
      <c r="O686" s="72"/>
      <c r="P686" s="127"/>
      <c r="S686" s="72"/>
      <c r="T686" s="72"/>
      <c r="U686" s="72"/>
      <c r="V686" s="72"/>
      <c r="W686" s="72"/>
      <c r="X686" s="72"/>
      <c r="Y686" s="72"/>
      <c r="Z686" s="72"/>
    </row>
    <row r="687" ht="15.7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127"/>
      <c r="M687" s="127"/>
      <c r="N687" s="72"/>
      <c r="O687" s="72"/>
      <c r="P687" s="127"/>
      <c r="S687" s="72"/>
      <c r="T687" s="72"/>
      <c r="U687" s="72"/>
      <c r="V687" s="72"/>
      <c r="W687" s="72"/>
      <c r="X687" s="72"/>
      <c r="Y687" s="72"/>
      <c r="Z687" s="72"/>
    </row>
    <row r="688" ht="15.7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127"/>
      <c r="M688" s="127"/>
      <c r="N688" s="72"/>
      <c r="O688" s="72"/>
      <c r="P688" s="127"/>
      <c r="S688" s="72"/>
      <c r="T688" s="72"/>
      <c r="U688" s="72"/>
      <c r="V688" s="72"/>
      <c r="W688" s="72"/>
      <c r="X688" s="72"/>
      <c r="Y688" s="72"/>
      <c r="Z688" s="72"/>
    </row>
    <row r="689" ht="15.7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127"/>
      <c r="M689" s="127"/>
      <c r="N689" s="72"/>
      <c r="O689" s="72"/>
      <c r="P689" s="127"/>
      <c r="S689" s="72"/>
      <c r="T689" s="72"/>
      <c r="U689" s="72"/>
      <c r="V689" s="72"/>
      <c r="W689" s="72"/>
      <c r="X689" s="72"/>
      <c r="Y689" s="72"/>
      <c r="Z689" s="72"/>
    </row>
    <row r="690" ht="15.7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127"/>
      <c r="M690" s="127"/>
      <c r="N690" s="72"/>
      <c r="O690" s="72"/>
      <c r="P690" s="127"/>
      <c r="S690" s="72"/>
      <c r="T690" s="72"/>
      <c r="U690" s="72"/>
      <c r="V690" s="72"/>
      <c r="W690" s="72"/>
      <c r="X690" s="72"/>
      <c r="Y690" s="72"/>
      <c r="Z690" s="72"/>
    </row>
    <row r="691" ht="15.7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127"/>
      <c r="M691" s="127"/>
      <c r="N691" s="72"/>
      <c r="O691" s="72"/>
      <c r="P691" s="127"/>
      <c r="S691" s="72"/>
      <c r="T691" s="72"/>
      <c r="U691" s="72"/>
      <c r="V691" s="72"/>
      <c r="W691" s="72"/>
      <c r="X691" s="72"/>
      <c r="Y691" s="72"/>
      <c r="Z691" s="72"/>
    </row>
    <row r="692" ht="15.7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127"/>
      <c r="M692" s="127"/>
      <c r="N692" s="72"/>
      <c r="O692" s="72"/>
      <c r="P692" s="127"/>
      <c r="S692" s="72"/>
      <c r="T692" s="72"/>
      <c r="U692" s="72"/>
      <c r="V692" s="72"/>
      <c r="W692" s="72"/>
      <c r="X692" s="72"/>
      <c r="Y692" s="72"/>
      <c r="Z692" s="72"/>
    </row>
    <row r="693" ht="15.7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127"/>
      <c r="M693" s="127"/>
      <c r="N693" s="72"/>
      <c r="O693" s="72"/>
      <c r="P693" s="127"/>
      <c r="S693" s="72"/>
      <c r="T693" s="72"/>
      <c r="U693" s="72"/>
      <c r="V693" s="72"/>
      <c r="W693" s="72"/>
      <c r="X693" s="72"/>
      <c r="Y693" s="72"/>
      <c r="Z693" s="72"/>
    </row>
    <row r="694" ht="15.7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127"/>
      <c r="M694" s="127"/>
      <c r="N694" s="72"/>
      <c r="O694" s="72"/>
      <c r="P694" s="127"/>
      <c r="S694" s="72"/>
      <c r="T694" s="72"/>
      <c r="U694" s="72"/>
      <c r="V694" s="72"/>
      <c r="W694" s="72"/>
      <c r="X694" s="72"/>
      <c r="Y694" s="72"/>
      <c r="Z694" s="72"/>
    </row>
    <row r="695" ht="15.7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127"/>
      <c r="M695" s="127"/>
      <c r="N695" s="72"/>
      <c r="O695" s="72"/>
      <c r="P695" s="127"/>
      <c r="S695" s="72"/>
      <c r="T695" s="72"/>
      <c r="U695" s="72"/>
      <c r="V695" s="72"/>
      <c r="W695" s="72"/>
      <c r="X695" s="72"/>
      <c r="Y695" s="72"/>
      <c r="Z695" s="72"/>
    </row>
    <row r="696" ht="15.7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127"/>
      <c r="M696" s="127"/>
      <c r="N696" s="72"/>
      <c r="O696" s="72"/>
      <c r="P696" s="127"/>
      <c r="S696" s="72"/>
      <c r="T696" s="72"/>
      <c r="U696" s="72"/>
      <c r="V696" s="72"/>
      <c r="W696" s="72"/>
      <c r="X696" s="72"/>
      <c r="Y696" s="72"/>
      <c r="Z696" s="72"/>
    </row>
    <row r="697" ht="15.7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127"/>
      <c r="M697" s="127"/>
      <c r="N697" s="72"/>
      <c r="O697" s="72"/>
      <c r="P697" s="127"/>
      <c r="S697" s="72"/>
      <c r="T697" s="72"/>
      <c r="U697" s="72"/>
      <c r="V697" s="72"/>
      <c r="W697" s="72"/>
      <c r="X697" s="72"/>
      <c r="Y697" s="72"/>
      <c r="Z697" s="72"/>
    </row>
    <row r="698" ht="15.7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127"/>
      <c r="M698" s="127"/>
      <c r="N698" s="72"/>
      <c r="O698" s="72"/>
      <c r="P698" s="127"/>
      <c r="S698" s="72"/>
      <c r="T698" s="72"/>
      <c r="U698" s="72"/>
      <c r="V698" s="72"/>
      <c r="W698" s="72"/>
      <c r="X698" s="72"/>
      <c r="Y698" s="72"/>
      <c r="Z698" s="72"/>
    </row>
    <row r="699" ht="15.7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127"/>
      <c r="M699" s="127"/>
      <c r="N699" s="72"/>
      <c r="O699" s="72"/>
      <c r="P699" s="127"/>
      <c r="S699" s="72"/>
      <c r="T699" s="72"/>
      <c r="U699" s="72"/>
      <c r="V699" s="72"/>
      <c r="W699" s="72"/>
      <c r="X699" s="72"/>
      <c r="Y699" s="72"/>
      <c r="Z699" s="72"/>
    </row>
    <row r="700" ht="15.7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127"/>
      <c r="M700" s="127"/>
      <c r="N700" s="72"/>
      <c r="O700" s="72"/>
      <c r="P700" s="127"/>
      <c r="S700" s="72"/>
      <c r="T700" s="72"/>
      <c r="U700" s="72"/>
      <c r="V700" s="72"/>
      <c r="W700" s="72"/>
      <c r="X700" s="72"/>
      <c r="Y700" s="72"/>
      <c r="Z700" s="72"/>
    </row>
    <row r="701" ht="15.7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127"/>
      <c r="M701" s="127"/>
      <c r="N701" s="72"/>
      <c r="O701" s="72"/>
      <c r="P701" s="127"/>
      <c r="S701" s="72"/>
      <c r="T701" s="72"/>
      <c r="U701" s="72"/>
      <c r="V701" s="72"/>
      <c r="W701" s="72"/>
      <c r="X701" s="72"/>
      <c r="Y701" s="72"/>
      <c r="Z701" s="72"/>
    </row>
    <row r="702" ht="15.7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127"/>
      <c r="M702" s="127"/>
      <c r="N702" s="72"/>
      <c r="O702" s="72"/>
      <c r="P702" s="127"/>
      <c r="S702" s="72"/>
      <c r="T702" s="72"/>
      <c r="U702" s="72"/>
      <c r="V702" s="72"/>
      <c r="W702" s="72"/>
      <c r="X702" s="72"/>
      <c r="Y702" s="72"/>
      <c r="Z702" s="72"/>
    </row>
    <row r="703" ht="15.7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127"/>
      <c r="M703" s="127"/>
      <c r="N703" s="72"/>
      <c r="O703" s="72"/>
      <c r="P703" s="127"/>
      <c r="S703" s="72"/>
      <c r="T703" s="72"/>
      <c r="U703" s="72"/>
      <c r="V703" s="72"/>
      <c r="W703" s="72"/>
      <c r="X703" s="72"/>
      <c r="Y703" s="72"/>
      <c r="Z703" s="72"/>
    </row>
    <row r="704" ht="15.7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127"/>
      <c r="M704" s="127"/>
      <c r="N704" s="72"/>
      <c r="O704" s="72"/>
      <c r="P704" s="127"/>
      <c r="S704" s="72"/>
      <c r="T704" s="72"/>
      <c r="U704" s="72"/>
      <c r="V704" s="72"/>
      <c r="W704" s="72"/>
      <c r="X704" s="72"/>
      <c r="Y704" s="72"/>
      <c r="Z704" s="72"/>
    </row>
    <row r="705" ht="15.7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127"/>
      <c r="M705" s="127"/>
      <c r="N705" s="72"/>
      <c r="O705" s="72"/>
      <c r="P705" s="127"/>
      <c r="S705" s="72"/>
      <c r="T705" s="72"/>
      <c r="U705" s="72"/>
      <c r="V705" s="72"/>
      <c r="W705" s="72"/>
      <c r="X705" s="72"/>
      <c r="Y705" s="72"/>
      <c r="Z705" s="72"/>
    </row>
    <row r="706" ht="15.7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127"/>
      <c r="M706" s="127"/>
      <c r="N706" s="72"/>
      <c r="O706" s="72"/>
      <c r="P706" s="127"/>
      <c r="S706" s="72"/>
      <c r="T706" s="72"/>
      <c r="U706" s="72"/>
      <c r="V706" s="72"/>
      <c r="W706" s="72"/>
      <c r="X706" s="72"/>
      <c r="Y706" s="72"/>
      <c r="Z706" s="72"/>
    </row>
    <row r="707" ht="15.7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127"/>
      <c r="M707" s="127"/>
      <c r="N707" s="72"/>
      <c r="O707" s="72"/>
      <c r="P707" s="127"/>
      <c r="S707" s="72"/>
      <c r="T707" s="72"/>
      <c r="U707" s="72"/>
      <c r="V707" s="72"/>
      <c r="W707" s="72"/>
      <c r="X707" s="72"/>
      <c r="Y707" s="72"/>
      <c r="Z707" s="72"/>
    </row>
    <row r="708" ht="15.7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127"/>
      <c r="M708" s="127"/>
      <c r="N708" s="72"/>
      <c r="O708" s="72"/>
      <c r="P708" s="127"/>
      <c r="S708" s="72"/>
      <c r="T708" s="72"/>
      <c r="U708" s="72"/>
      <c r="V708" s="72"/>
      <c r="W708" s="72"/>
      <c r="X708" s="72"/>
      <c r="Y708" s="72"/>
      <c r="Z708" s="72"/>
    </row>
    <row r="709" ht="15.7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127"/>
      <c r="M709" s="127"/>
      <c r="N709" s="72"/>
      <c r="O709" s="72"/>
      <c r="P709" s="127"/>
      <c r="S709" s="72"/>
      <c r="T709" s="72"/>
      <c r="U709" s="72"/>
      <c r="V709" s="72"/>
      <c r="W709" s="72"/>
      <c r="X709" s="72"/>
      <c r="Y709" s="72"/>
      <c r="Z709" s="72"/>
    </row>
    <row r="710" ht="15.7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127"/>
      <c r="M710" s="127"/>
      <c r="N710" s="72"/>
      <c r="O710" s="72"/>
      <c r="P710" s="127"/>
      <c r="S710" s="72"/>
      <c r="T710" s="72"/>
      <c r="U710" s="72"/>
      <c r="V710" s="72"/>
      <c r="W710" s="72"/>
      <c r="X710" s="72"/>
      <c r="Y710" s="72"/>
      <c r="Z710" s="72"/>
    </row>
    <row r="711" ht="15.7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127"/>
      <c r="M711" s="127"/>
      <c r="N711" s="72"/>
      <c r="O711" s="72"/>
      <c r="P711" s="127"/>
      <c r="S711" s="72"/>
      <c r="T711" s="72"/>
      <c r="U711" s="72"/>
      <c r="V711" s="72"/>
      <c r="W711" s="72"/>
      <c r="X711" s="72"/>
      <c r="Y711" s="72"/>
      <c r="Z711" s="72"/>
    </row>
    <row r="712" ht="15.7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127"/>
      <c r="M712" s="127"/>
      <c r="N712" s="72"/>
      <c r="O712" s="72"/>
      <c r="P712" s="127"/>
      <c r="S712" s="72"/>
      <c r="T712" s="72"/>
      <c r="U712" s="72"/>
      <c r="V712" s="72"/>
      <c r="W712" s="72"/>
      <c r="X712" s="72"/>
      <c r="Y712" s="72"/>
      <c r="Z712" s="72"/>
    </row>
    <row r="713" ht="15.7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127"/>
      <c r="M713" s="127"/>
      <c r="N713" s="72"/>
      <c r="O713" s="72"/>
      <c r="P713" s="127"/>
      <c r="S713" s="72"/>
      <c r="T713" s="72"/>
      <c r="U713" s="72"/>
      <c r="V713" s="72"/>
      <c r="W713" s="72"/>
      <c r="X713" s="72"/>
      <c r="Y713" s="72"/>
      <c r="Z713" s="72"/>
    </row>
    <row r="714" ht="15.7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127"/>
      <c r="M714" s="127"/>
      <c r="N714" s="72"/>
      <c r="O714" s="72"/>
      <c r="P714" s="127"/>
      <c r="S714" s="72"/>
      <c r="T714" s="72"/>
      <c r="U714" s="72"/>
      <c r="V714" s="72"/>
      <c r="W714" s="72"/>
      <c r="X714" s="72"/>
      <c r="Y714" s="72"/>
      <c r="Z714" s="72"/>
    </row>
    <row r="715" ht="15.7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127"/>
      <c r="M715" s="127"/>
      <c r="N715" s="72"/>
      <c r="O715" s="72"/>
      <c r="P715" s="127"/>
      <c r="S715" s="72"/>
      <c r="T715" s="72"/>
      <c r="U715" s="72"/>
      <c r="V715" s="72"/>
      <c r="W715" s="72"/>
      <c r="X715" s="72"/>
      <c r="Y715" s="72"/>
      <c r="Z715" s="72"/>
    </row>
    <row r="716" ht="15.7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127"/>
      <c r="M716" s="127"/>
      <c r="N716" s="72"/>
      <c r="O716" s="72"/>
      <c r="P716" s="127"/>
      <c r="S716" s="72"/>
      <c r="T716" s="72"/>
      <c r="U716" s="72"/>
      <c r="V716" s="72"/>
      <c r="W716" s="72"/>
      <c r="X716" s="72"/>
      <c r="Y716" s="72"/>
      <c r="Z716" s="72"/>
    </row>
    <row r="717" ht="15.7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127"/>
      <c r="M717" s="127"/>
      <c r="N717" s="72"/>
      <c r="O717" s="72"/>
      <c r="P717" s="127"/>
      <c r="S717" s="72"/>
      <c r="T717" s="72"/>
      <c r="U717" s="72"/>
      <c r="V717" s="72"/>
      <c r="W717" s="72"/>
      <c r="X717" s="72"/>
      <c r="Y717" s="72"/>
      <c r="Z717" s="72"/>
    </row>
    <row r="718" ht="15.7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127"/>
      <c r="M718" s="127"/>
      <c r="N718" s="72"/>
      <c r="O718" s="72"/>
      <c r="P718" s="127"/>
      <c r="S718" s="72"/>
      <c r="T718" s="72"/>
      <c r="U718" s="72"/>
      <c r="V718" s="72"/>
      <c r="W718" s="72"/>
      <c r="X718" s="72"/>
      <c r="Y718" s="72"/>
      <c r="Z718" s="72"/>
    </row>
    <row r="719" ht="15.7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127"/>
      <c r="M719" s="127"/>
      <c r="N719" s="72"/>
      <c r="O719" s="72"/>
      <c r="P719" s="127"/>
      <c r="S719" s="72"/>
      <c r="T719" s="72"/>
      <c r="U719" s="72"/>
      <c r="V719" s="72"/>
      <c r="W719" s="72"/>
      <c r="X719" s="72"/>
      <c r="Y719" s="72"/>
      <c r="Z719" s="72"/>
    </row>
    <row r="720" ht="15.7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127"/>
      <c r="M720" s="127"/>
      <c r="N720" s="72"/>
      <c r="O720" s="72"/>
      <c r="P720" s="127"/>
      <c r="S720" s="72"/>
      <c r="T720" s="72"/>
      <c r="U720" s="72"/>
      <c r="V720" s="72"/>
      <c r="W720" s="72"/>
      <c r="X720" s="72"/>
      <c r="Y720" s="72"/>
      <c r="Z720" s="72"/>
    </row>
    <row r="721" ht="15.7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127"/>
      <c r="M721" s="127"/>
      <c r="N721" s="72"/>
      <c r="O721" s="72"/>
      <c r="P721" s="127"/>
      <c r="S721" s="72"/>
      <c r="T721" s="72"/>
      <c r="U721" s="72"/>
      <c r="V721" s="72"/>
      <c r="W721" s="72"/>
      <c r="X721" s="72"/>
      <c r="Y721" s="72"/>
      <c r="Z721" s="72"/>
    </row>
    <row r="722" ht="15.7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127"/>
      <c r="M722" s="127"/>
      <c r="N722" s="72"/>
      <c r="O722" s="72"/>
      <c r="P722" s="127"/>
      <c r="S722" s="72"/>
      <c r="T722" s="72"/>
      <c r="U722" s="72"/>
      <c r="V722" s="72"/>
      <c r="W722" s="72"/>
      <c r="X722" s="72"/>
      <c r="Y722" s="72"/>
      <c r="Z722" s="72"/>
    </row>
    <row r="723" ht="15.7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127"/>
      <c r="M723" s="127"/>
      <c r="N723" s="72"/>
      <c r="O723" s="72"/>
      <c r="P723" s="127"/>
      <c r="S723" s="72"/>
      <c r="T723" s="72"/>
      <c r="U723" s="72"/>
      <c r="V723" s="72"/>
      <c r="W723" s="72"/>
      <c r="X723" s="72"/>
      <c r="Y723" s="72"/>
      <c r="Z723" s="72"/>
    </row>
    <row r="724" ht="15.7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127"/>
      <c r="M724" s="127"/>
      <c r="N724" s="72"/>
      <c r="O724" s="72"/>
      <c r="P724" s="127"/>
      <c r="S724" s="72"/>
      <c r="T724" s="72"/>
      <c r="U724" s="72"/>
      <c r="V724" s="72"/>
      <c r="W724" s="72"/>
      <c r="X724" s="72"/>
      <c r="Y724" s="72"/>
      <c r="Z724" s="72"/>
    </row>
    <row r="725" ht="15.7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127"/>
      <c r="M725" s="127"/>
      <c r="N725" s="72"/>
      <c r="O725" s="72"/>
      <c r="P725" s="127"/>
      <c r="S725" s="72"/>
      <c r="T725" s="72"/>
      <c r="U725" s="72"/>
      <c r="V725" s="72"/>
      <c r="W725" s="72"/>
      <c r="X725" s="72"/>
      <c r="Y725" s="72"/>
      <c r="Z725" s="72"/>
    </row>
    <row r="726" ht="15.7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127"/>
      <c r="M726" s="127"/>
      <c r="N726" s="72"/>
      <c r="O726" s="72"/>
      <c r="P726" s="127"/>
      <c r="S726" s="72"/>
      <c r="T726" s="72"/>
      <c r="U726" s="72"/>
      <c r="V726" s="72"/>
      <c r="W726" s="72"/>
      <c r="X726" s="72"/>
      <c r="Y726" s="72"/>
      <c r="Z726" s="72"/>
    </row>
    <row r="727" ht="15.7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127"/>
      <c r="M727" s="127"/>
      <c r="N727" s="72"/>
      <c r="O727" s="72"/>
      <c r="P727" s="127"/>
      <c r="S727" s="72"/>
      <c r="T727" s="72"/>
      <c r="U727" s="72"/>
      <c r="V727" s="72"/>
      <c r="W727" s="72"/>
      <c r="X727" s="72"/>
      <c r="Y727" s="72"/>
      <c r="Z727" s="72"/>
    </row>
    <row r="728" ht="15.7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127"/>
      <c r="M728" s="127"/>
      <c r="N728" s="72"/>
      <c r="O728" s="72"/>
      <c r="P728" s="127"/>
      <c r="S728" s="72"/>
      <c r="T728" s="72"/>
      <c r="U728" s="72"/>
      <c r="V728" s="72"/>
      <c r="W728" s="72"/>
      <c r="X728" s="72"/>
      <c r="Y728" s="72"/>
      <c r="Z728" s="72"/>
    </row>
    <row r="729" ht="15.7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127"/>
      <c r="M729" s="127"/>
      <c r="N729" s="72"/>
      <c r="O729" s="72"/>
      <c r="P729" s="127"/>
      <c r="S729" s="72"/>
      <c r="T729" s="72"/>
      <c r="U729" s="72"/>
      <c r="V729" s="72"/>
      <c r="W729" s="72"/>
      <c r="X729" s="72"/>
      <c r="Y729" s="72"/>
      <c r="Z729" s="72"/>
    </row>
    <row r="730" ht="15.7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127"/>
      <c r="M730" s="127"/>
      <c r="N730" s="72"/>
      <c r="O730" s="72"/>
      <c r="P730" s="127"/>
      <c r="S730" s="72"/>
      <c r="T730" s="72"/>
      <c r="U730" s="72"/>
      <c r="V730" s="72"/>
      <c r="W730" s="72"/>
      <c r="X730" s="72"/>
      <c r="Y730" s="72"/>
      <c r="Z730" s="72"/>
    </row>
    <row r="731" ht="15.7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127"/>
      <c r="M731" s="127"/>
      <c r="N731" s="72"/>
      <c r="O731" s="72"/>
      <c r="P731" s="127"/>
      <c r="S731" s="72"/>
      <c r="T731" s="72"/>
      <c r="U731" s="72"/>
      <c r="V731" s="72"/>
      <c r="W731" s="72"/>
      <c r="X731" s="72"/>
      <c r="Y731" s="72"/>
      <c r="Z731" s="72"/>
    </row>
    <row r="732" ht="15.7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127"/>
      <c r="M732" s="127"/>
      <c r="N732" s="72"/>
      <c r="O732" s="72"/>
      <c r="P732" s="127"/>
      <c r="S732" s="72"/>
      <c r="T732" s="72"/>
      <c r="U732" s="72"/>
      <c r="V732" s="72"/>
      <c r="W732" s="72"/>
      <c r="X732" s="72"/>
      <c r="Y732" s="72"/>
      <c r="Z732" s="72"/>
    </row>
    <row r="733" ht="15.7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127"/>
      <c r="M733" s="127"/>
      <c r="N733" s="72"/>
      <c r="O733" s="72"/>
      <c r="P733" s="127"/>
      <c r="S733" s="72"/>
      <c r="T733" s="72"/>
      <c r="U733" s="72"/>
      <c r="V733" s="72"/>
      <c r="W733" s="72"/>
      <c r="X733" s="72"/>
      <c r="Y733" s="72"/>
      <c r="Z733" s="72"/>
    </row>
    <row r="734" ht="15.7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127"/>
      <c r="M734" s="127"/>
      <c r="N734" s="72"/>
      <c r="O734" s="72"/>
      <c r="P734" s="127"/>
      <c r="S734" s="72"/>
      <c r="T734" s="72"/>
      <c r="U734" s="72"/>
      <c r="V734" s="72"/>
      <c r="W734" s="72"/>
      <c r="X734" s="72"/>
      <c r="Y734" s="72"/>
      <c r="Z734" s="72"/>
    </row>
    <row r="735" ht="15.7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127"/>
      <c r="M735" s="127"/>
      <c r="N735" s="72"/>
      <c r="O735" s="72"/>
      <c r="P735" s="127"/>
      <c r="S735" s="72"/>
      <c r="T735" s="72"/>
      <c r="U735" s="72"/>
      <c r="V735" s="72"/>
      <c r="W735" s="72"/>
      <c r="X735" s="72"/>
      <c r="Y735" s="72"/>
      <c r="Z735" s="72"/>
    </row>
    <row r="736" ht="15.7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127"/>
      <c r="M736" s="127"/>
      <c r="N736" s="72"/>
      <c r="O736" s="72"/>
      <c r="P736" s="127"/>
      <c r="S736" s="72"/>
      <c r="T736" s="72"/>
      <c r="U736" s="72"/>
      <c r="V736" s="72"/>
      <c r="W736" s="72"/>
      <c r="X736" s="72"/>
      <c r="Y736" s="72"/>
      <c r="Z736" s="72"/>
    </row>
    <row r="737" ht="15.7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127"/>
      <c r="M737" s="127"/>
      <c r="N737" s="72"/>
      <c r="O737" s="72"/>
      <c r="P737" s="127"/>
      <c r="S737" s="72"/>
      <c r="T737" s="72"/>
      <c r="U737" s="72"/>
      <c r="V737" s="72"/>
      <c r="W737" s="72"/>
      <c r="X737" s="72"/>
      <c r="Y737" s="72"/>
      <c r="Z737" s="72"/>
    </row>
    <row r="738" ht="15.7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127"/>
      <c r="M738" s="127"/>
      <c r="N738" s="72"/>
      <c r="O738" s="72"/>
      <c r="P738" s="127"/>
      <c r="S738" s="72"/>
      <c r="T738" s="72"/>
      <c r="U738" s="72"/>
      <c r="V738" s="72"/>
      <c r="W738" s="72"/>
      <c r="X738" s="72"/>
      <c r="Y738" s="72"/>
      <c r="Z738" s="72"/>
    </row>
    <row r="739" ht="15.7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127"/>
      <c r="M739" s="127"/>
      <c r="N739" s="72"/>
      <c r="O739" s="72"/>
      <c r="P739" s="127"/>
      <c r="S739" s="72"/>
      <c r="T739" s="72"/>
      <c r="U739" s="72"/>
      <c r="V739" s="72"/>
      <c r="W739" s="72"/>
      <c r="X739" s="72"/>
      <c r="Y739" s="72"/>
      <c r="Z739" s="72"/>
    </row>
    <row r="740" ht="15.7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127"/>
      <c r="M740" s="127"/>
      <c r="N740" s="72"/>
      <c r="O740" s="72"/>
      <c r="P740" s="127"/>
      <c r="S740" s="72"/>
      <c r="T740" s="72"/>
      <c r="U740" s="72"/>
      <c r="V740" s="72"/>
      <c r="W740" s="72"/>
      <c r="X740" s="72"/>
      <c r="Y740" s="72"/>
      <c r="Z740" s="72"/>
    </row>
    <row r="741" ht="15.7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127"/>
      <c r="M741" s="127"/>
      <c r="N741" s="72"/>
      <c r="O741" s="72"/>
      <c r="P741" s="127"/>
      <c r="S741" s="72"/>
      <c r="T741" s="72"/>
      <c r="U741" s="72"/>
      <c r="V741" s="72"/>
      <c r="W741" s="72"/>
      <c r="X741" s="72"/>
      <c r="Y741" s="72"/>
      <c r="Z741" s="72"/>
    </row>
    <row r="742" ht="15.7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127"/>
      <c r="M742" s="127"/>
      <c r="N742" s="72"/>
      <c r="O742" s="72"/>
      <c r="P742" s="127"/>
      <c r="S742" s="72"/>
      <c r="T742" s="72"/>
      <c r="U742" s="72"/>
      <c r="V742" s="72"/>
      <c r="W742" s="72"/>
      <c r="X742" s="72"/>
      <c r="Y742" s="72"/>
      <c r="Z742" s="72"/>
    </row>
    <row r="743" ht="15.7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127"/>
      <c r="M743" s="127"/>
      <c r="N743" s="72"/>
      <c r="O743" s="72"/>
      <c r="P743" s="127"/>
      <c r="S743" s="72"/>
      <c r="T743" s="72"/>
      <c r="U743" s="72"/>
      <c r="V743" s="72"/>
      <c r="W743" s="72"/>
      <c r="X743" s="72"/>
      <c r="Y743" s="72"/>
      <c r="Z743" s="72"/>
    </row>
    <row r="744" ht="15.7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127"/>
      <c r="M744" s="127"/>
      <c r="N744" s="72"/>
      <c r="O744" s="72"/>
      <c r="P744" s="127"/>
      <c r="S744" s="72"/>
      <c r="T744" s="72"/>
      <c r="U744" s="72"/>
      <c r="V744" s="72"/>
      <c r="W744" s="72"/>
      <c r="X744" s="72"/>
      <c r="Y744" s="72"/>
      <c r="Z744" s="72"/>
    </row>
    <row r="745" ht="15.7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127"/>
      <c r="M745" s="127"/>
      <c r="N745" s="72"/>
      <c r="O745" s="72"/>
      <c r="P745" s="127"/>
      <c r="S745" s="72"/>
      <c r="T745" s="72"/>
      <c r="U745" s="72"/>
      <c r="V745" s="72"/>
      <c r="W745" s="72"/>
      <c r="X745" s="72"/>
      <c r="Y745" s="72"/>
      <c r="Z745" s="72"/>
    </row>
    <row r="746" ht="15.7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127"/>
      <c r="M746" s="127"/>
      <c r="N746" s="72"/>
      <c r="O746" s="72"/>
      <c r="P746" s="127"/>
      <c r="S746" s="72"/>
      <c r="T746" s="72"/>
      <c r="U746" s="72"/>
      <c r="V746" s="72"/>
      <c r="W746" s="72"/>
      <c r="X746" s="72"/>
      <c r="Y746" s="72"/>
      <c r="Z746" s="72"/>
    </row>
    <row r="747" ht="15.7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127"/>
      <c r="M747" s="127"/>
      <c r="N747" s="72"/>
      <c r="O747" s="72"/>
      <c r="P747" s="127"/>
      <c r="S747" s="72"/>
      <c r="T747" s="72"/>
      <c r="U747" s="72"/>
      <c r="V747" s="72"/>
      <c r="W747" s="72"/>
      <c r="X747" s="72"/>
      <c r="Y747" s="72"/>
      <c r="Z747" s="72"/>
    </row>
    <row r="748" ht="15.7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127"/>
      <c r="M748" s="127"/>
      <c r="N748" s="72"/>
      <c r="O748" s="72"/>
      <c r="P748" s="127"/>
      <c r="S748" s="72"/>
      <c r="T748" s="72"/>
      <c r="U748" s="72"/>
      <c r="V748" s="72"/>
      <c r="W748" s="72"/>
      <c r="X748" s="72"/>
      <c r="Y748" s="72"/>
      <c r="Z748" s="72"/>
    </row>
    <row r="749" ht="15.7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127"/>
      <c r="M749" s="127"/>
      <c r="N749" s="72"/>
      <c r="O749" s="72"/>
      <c r="P749" s="127"/>
      <c r="S749" s="72"/>
      <c r="T749" s="72"/>
      <c r="U749" s="72"/>
      <c r="V749" s="72"/>
      <c r="W749" s="72"/>
      <c r="X749" s="72"/>
      <c r="Y749" s="72"/>
      <c r="Z749" s="72"/>
    </row>
    <row r="750" ht="15.7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127"/>
      <c r="M750" s="127"/>
      <c r="N750" s="72"/>
      <c r="O750" s="72"/>
      <c r="P750" s="127"/>
      <c r="S750" s="72"/>
      <c r="T750" s="72"/>
      <c r="U750" s="72"/>
      <c r="V750" s="72"/>
      <c r="W750" s="72"/>
      <c r="X750" s="72"/>
      <c r="Y750" s="72"/>
      <c r="Z750" s="72"/>
    </row>
    <row r="751" ht="15.7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127"/>
      <c r="M751" s="127"/>
      <c r="N751" s="72"/>
      <c r="O751" s="72"/>
      <c r="P751" s="127"/>
      <c r="S751" s="72"/>
      <c r="T751" s="72"/>
      <c r="U751" s="72"/>
      <c r="V751" s="72"/>
      <c r="W751" s="72"/>
      <c r="X751" s="72"/>
      <c r="Y751" s="72"/>
      <c r="Z751" s="72"/>
    </row>
    <row r="752" ht="15.7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127"/>
      <c r="M752" s="127"/>
      <c r="N752" s="72"/>
      <c r="O752" s="72"/>
      <c r="P752" s="127"/>
      <c r="S752" s="72"/>
      <c r="T752" s="72"/>
      <c r="U752" s="72"/>
      <c r="V752" s="72"/>
      <c r="W752" s="72"/>
      <c r="X752" s="72"/>
      <c r="Y752" s="72"/>
      <c r="Z752" s="72"/>
    </row>
    <row r="753" ht="15.7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127"/>
      <c r="M753" s="127"/>
      <c r="N753" s="72"/>
      <c r="O753" s="72"/>
      <c r="P753" s="127"/>
      <c r="S753" s="72"/>
      <c r="T753" s="72"/>
      <c r="U753" s="72"/>
      <c r="V753" s="72"/>
      <c r="W753" s="72"/>
      <c r="X753" s="72"/>
      <c r="Y753" s="72"/>
      <c r="Z753" s="72"/>
    </row>
    <row r="754" ht="15.7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127"/>
      <c r="M754" s="127"/>
      <c r="N754" s="72"/>
      <c r="O754" s="72"/>
      <c r="P754" s="127"/>
      <c r="S754" s="72"/>
      <c r="T754" s="72"/>
      <c r="U754" s="72"/>
      <c r="V754" s="72"/>
      <c r="W754" s="72"/>
      <c r="X754" s="72"/>
      <c r="Y754" s="72"/>
      <c r="Z754" s="72"/>
    </row>
    <row r="755" ht="15.7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127"/>
      <c r="M755" s="127"/>
      <c r="N755" s="72"/>
      <c r="O755" s="72"/>
      <c r="P755" s="127"/>
      <c r="S755" s="72"/>
      <c r="T755" s="72"/>
      <c r="U755" s="72"/>
      <c r="V755" s="72"/>
      <c r="W755" s="72"/>
      <c r="X755" s="72"/>
      <c r="Y755" s="72"/>
      <c r="Z755" s="72"/>
    </row>
    <row r="756" ht="15.7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127"/>
      <c r="M756" s="127"/>
      <c r="N756" s="72"/>
      <c r="O756" s="72"/>
      <c r="P756" s="127"/>
      <c r="S756" s="72"/>
      <c r="T756" s="72"/>
      <c r="U756" s="72"/>
      <c r="V756" s="72"/>
      <c r="W756" s="72"/>
      <c r="X756" s="72"/>
      <c r="Y756" s="72"/>
      <c r="Z756" s="72"/>
    </row>
    <row r="757" ht="15.7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127"/>
      <c r="M757" s="127"/>
      <c r="N757" s="72"/>
      <c r="O757" s="72"/>
      <c r="P757" s="127"/>
      <c r="S757" s="72"/>
      <c r="T757" s="72"/>
      <c r="U757" s="72"/>
      <c r="V757" s="72"/>
      <c r="W757" s="72"/>
      <c r="X757" s="72"/>
      <c r="Y757" s="72"/>
      <c r="Z757" s="72"/>
    </row>
    <row r="758" ht="15.7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127"/>
      <c r="M758" s="127"/>
      <c r="N758" s="72"/>
      <c r="O758" s="72"/>
      <c r="P758" s="127"/>
      <c r="S758" s="72"/>
      <c r="T758" s="72"/>
      <c r="U758" s="72"/>
      <c r="V758" s="72"/>
      <c r="W758" s="72"/>
      <c r="X758" s="72"/>
      <c r="Y758" s="72"/>
      <c r="Z758" s="72"/>
    </row>
    <row r="759" ht="15.7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127"/>
      <c r="M759" s="127"/>
      <c r="N759" s="72"/>
      <c r="O759" s="72"/>
      <c r="P759" s="127"/>
      <c r="S759" s="72"/>
      <c r="T759" s="72"/>
      <c r="U759" s="72"/>
      <c r="V759" s="72"/>
      <c r="W759" s="72"/>
      <c r="X759" s="72"/>
      <c r="Y759" s="72"/>
      <c r="Z759" s="72"/>
    </row>
    <row r="760" ht="15.7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127"/>
      <c r="M760" s="127"/>
      <c r="N760" s="72"/>
      <c r="O760" s="72"/>
      <c r="P760" s="127"/>
      <c r="S760" s="72"/>
      <c r="T760" s="72"/>
      <c r="U760" s="72"/>
      <c r="V760" s="72"/>
      <c r="W760" s="72"/>
      <c r="X760" s="72"/>
      <c r="Y760" s="72"/>
      <c r="Z760" s="72"/>
    </row>
    <row r="761" ht="15.7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127"/>
      <c r="M761" s="127"/>
      <c r="N761" s="72"/>
      <c r="O761" s="72"/>
      <c r="P761" s="127"/>
      <c r="S761" s="72"/>
      <c r="T761" s="72"/>
      <c r="U761" s="72"/>
      <c r="V761" s="72"/>
      <c r="W761" s="72"/>
      <c r="X761" s="72"/>
      <c r="Y761" s="72"/>
      <c r="Z761" s="72"/>
    </row>
    <row r="762" ht="15.7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127"/>
      <c r="M762" s="127"/>
      <c r="N762" s="72"/>
      <c r="O762" s="72"/>
      <c r="P762" s="127"/>
      <c r="S762" s="72"/>
      <c r="T762" s="72"/>
      <c r="U762" s="72"/>
      <c r="V762" s="72"/>
      <c r="W762" s="72"/>
      <c r="X762" s="72"/>
      <c r="Y762" s="72"/>
      <c r="Z762" s="72"/>
    </row>
    <row r="763" ht="15.7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127"/>
      <c r="M763" s="127"/>
      <c r="N763" s="72"/>
      <c r="O763" s="72"/>
      <c r="P763" s="127"/>
      <c r="S763" s="72"/>
      <c r="T763" s="72"/>
      <c r="U763" s="72"/>
      <c r="V763" s="72"/>
      <c r="W763" s="72"/>
      <c r="X763" s="72"/>
      <c r="Y763" s="72"/>
      <c r="Z763" s="72"/>
    </row>
    <row r="764" ht="15.7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127"/>
      <c r="M764" s="127"/>
      <c r="N764" s="72"/>
      <c r="O764" s="72"/>
      <c r="P764" s="127"/>
      <c r="S764" s="72"/>
      <c r="T764" s="72"/>
      <c r="U764" s="72"/>
      <c r="V764" s="72"/>
      <c r="W764" s="72"/>
      <c r="X764" s="72"/>
      <c r="Y764" s="72"/>
      <c r="Z764" s="72"/>
    </row>
    <row r="765" ht="15.7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127"/>
      <c r="M765" s="127"/>
      <c r="N765" s="72"/>
      <c r="O765" s="72"/>
      <c r="P765" s="127"/>
      <c r="S765" s="72"/>
      <c r="T765" s="72"/>
      <c r="U765" s="72"/>
      <c r="V765" s="72"/>
      <c r="W765" s="72"/>
      <c r="X765" s="72"/>
      <c r="Y765" s="72"/>
      <c r="Z765" s="72"/>
    </row>
    <row r="766" ht="15.7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127"/>
      <c r="M766" s="127"/>
      <c r="N766" s="72"/>
      <c r="O766" s="72"/>
      <c r="P766" s="127"/>
      <c r="S766" s="72"/>
      <c r="T766" s="72"/>
      <c r="U766" s="72"/>
      <c r="V766" s="72"/>
      <c r="W766" s="72"/>
      <c r="X766" s="72"/>
      <c r="Y766" s="72"/>
      <c r="Z766" s="72"/>
    </row>
    <row r="767" ht="15.7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127"/>
      <c r="M767" s="127"/>
      <c r="N767" s="72"/>
      <c r="O767" s="72"/>
      <c r="P767" s="127"/>
      <c r="S767" s="72"/>
      <c r="T767" s="72"/>
      <c r="U767" s="72"/>
      <c r="V767" s="72"/>
      <c r="W767" s="72"/>
      <c r="X767" s="72"/>
      <c r="Y767" s="72"/>
      <c r="Z767" s="72"/>
    </row>
    <row r="768" ht="15.7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127"/>
      <c r="M768" s="127"/>
      <c r="N768" s="72"/>
      <c r="O768" s="72"/>
      <c r="P768" s="127"/>
      <c r="S768" s="72"/>
      <c r="T768" s="72"/>
      <c r="U768" s="72"/>
      <c r="V768" s="72"/>
      <c r="W768" s="72"/>
      <c r="X768" s="72"/>
      <c r="Y768" s="72"/>
      <c r="Z768" s="72"/>
    </row>
    <row r="769" ht="15.7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127"/>
      <c r="M769" s="127"/>
      <c r="N769" s="72"/>
      <c r="O769" s="72"/>
      <c r="P769" s="127"/>
      <c r="S769" s="72"/>
      <c r="T769" s="72"/>
      <c r="U769" s="72"/>
      <c r="V769" s="72"/>
      <c r="W769" s="72"/>
      <c r="X769" s="72"/>
      <c r="Y769" s="72"/>
      <c r="Z769" s="72"/>
    </row>
    <row r="770" ht="15.7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127"/>
      <c r="M770" s="127"/>
      <c r="N770" s="72"/>
      <c r="O770" s="72"/>
      <c r="P770" s="127"/>
      <c r="S770" s="72"/>
      <c r="T770" s="72"/>
      <c r="U770" s="72"/>
      <c r="V770" s="72"/>
      <c r="W770" s="72"/>
      <c r="X770" s="72"/>
      <c r="Y770" s="72"/>
      <c r="Z770" s="72"/>
    </row>
    <row r="771" ht="15.7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127"/>
      <c r="M771" s="127"/>
      <c r="N771" s="72"/>
      <c r="O771" s="72"/>
      <c r="P771" s="127"/>
      <c r="S771" s="72"/>
      <c r="T771" s="72"/>
      <c r="U771" s="72"/>
      <c r="V771" s="72"/>
      <c r="W771" s="72"/>
      <c r="X771" s="72"/>
      <c r="Y771" s="72"/>
      <c r="Z771" s="72"/>
    </row>
    <row r="772" ht="15.7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127"/>
      <c r="M772" s="127"/>
      <c r="N772" s="72"/>
      <c r="O772" s="72"/>
      <c r="P772" s="127"/>
      <c r="S772" s="72"/>
      <c r="T772" s="72"/>
      <c r="U772" s="72"/>
      <c r="V772" s="72"/>
      <c r="W772" s="72"/>
      <c r="X772" s="72"/>
      <c r="Y772" s="72"/>
      <c r="Z772" s="72"/>
    </row>
    <row r="773" ht="15.7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127"/>
      <c r="M773" s="127"/>
      <c r="N773" s="72"/>
      <c r="O773" s="72"/>
      <c r="P773" s="127"/>
      <c r="S773" s="72"/>
      <c r="T773" s="72"/>
      <c r="U773" s="72"/>
      <c r="V773" s="72"/>
      <c r="W773" s="72"/>
      <c r="X773" s="72"/>
      <c r="Y773" s="72"/>
      <c r="Z773" s="72"/>
    </row>
    <row r="774" ht="15.7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127"/>
      <c r="M774" s="127"/>
      <c r="N774" s="72"/>
      <c r="O774" s="72"/>
      <c r="P774" s="127"/>
      <c r="S774" s="72"/>
      <c r="T774" s="72"/>
      <c r="U774" s="72"/>
      <c r="V774" s="72"/>
      <c r="W774" s="72"/>
      <c r="X774" s="72"/>
      <c r="Y774" s="72"/>
      <c r="Z774" s="72"/>
    </row>
    <row r="775" ht="15.7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127"/>
      <c r="M775" s="127"/>
      <c r="N775" s="72"/>
      <c r="O775" s="72"/>
      <c r="P775" s="127"/>
      <c r="S775" s="72"/>
      <c r="T775" s="72"/>
      <c r="U775" s="72"/>
      <c r="V775" s="72"/>
      <c r="W775" s="72"/>
      <c r="X775" s="72"/>
      <c r="Y775" s="72"/>
      <c r="Z775" s="72"/>
    </row>
    <row r="776" ht="15.7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127"/>
      <c r="M776" s="127"/>
      <c r="N776" s="72"/>
      <c r="O776" s="72"/>
      <c r="P776" s="127"/>
      <c r="S776" s="72"/>
      <c r="T776" s="72"/>
      <c r="U776" s="72"/>
      <c r="V776" s="72"/>
      <c r="W776" s="72"/>
      <c r="X776" s="72"/>
      <c r="Y776" s="72"/>
      <c r="Z776" s="72"/>
    </row>
    <row r="777" ht="15.7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127"/>
      <c r="M777" s="127"/>
      <c r="N777" s="72"/>
      <c r="O777" s="72"/>
      <c r="P777" s="127"/>
      <c r="S777" s="72"/>
      <c r="T777" s="72"/>
      <c r="U777" s="72"/>
      <c r="V777" s="72"/>
      <c r="W777" s="72"/>
      <c r="X777" s="72"/>
      <c r="Y777" s="72"/>
      <c r="Z777" s="72"/>
    </row>
    <row r="778" ht="15.7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127"/>
      <c r="M778" s="127"/>
      <c r="N778" s="72"/>
      <c r="O778" s="72"/>
      <c r="P778" s="127"/>
      <c r="S778" s="72"/>
      <c r="T778" s="72"/>
      <c r="U778" s="72"/>
      <c r="V778" s="72"/>
      <c r="W778" s="72"/>
      <c r="X778" s="72"/>
      <c r="Y778" s="72"/>
      <c r="Z778" s="72"/>
    </row>
    <row r="779" ht="15.7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127"/>
      <c r="M779" s="127"/>
      <c r="N779" s="72"/>
      <c r="O779" s="72"/>
      <c r="P779" s="127"/>
      <c r="S779" s="72"/>
      <c r="T779" s="72"/>
      <c r="U779" s="72"/>
      <c r="V779" s="72"/>
      <c r="W779" s="72"/>
      <c r="X779" s="72"/>
      <c r="Y779" s="72"/>
      <c r="Z779" s="72"/>
    </row>
    <row r="780" ht="15.7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127"/>
      <c r="M780" s="127"/>
      <c r="N780" s="72"/>
      <c r="O780" s="72"/>
      <c r="P780" s="127"/>
      <c r="S780" s="72"/>
      <c r="T780" s="72"/>
      <c r="U780" s="72"/>
      <c r="V780" s="72"/>
      <c r="W780" s="72"/>
      <c r="X780" s="72"/>
      <c r="Y780" s="72"/>
      <c r="Z780" s="72"/>
    </row>
    <row r="781" ht="15.7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127"/>
      <c r="M781" s="127"/>
      <c r="N781" s="72"/>
      <c r="O781" s="72"/>
      <c r="P781" s="127"/>
      <c r="S781" s="72"/>
      <c r="T781" s="72"/>
      <c r="U781" s="72"/>
      <c r="V781" s="72"/>
      <c r="W781" s="72"/>
      <c r="X781" s="72"/>
      <c r="Y781" s="72"/>
      <c r="Z781" s="72"/>
    </row>
    <row r="782" ht="15.7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127"/>
      <c r="M782" s="127"/>
      <c r="N782" s="72"/>
      <c r="O782" s="72"/>
      <c r="P782" s="127"/>
      <c r="S782" s="72"/>
      <c r="T782" s="72"/>
      <c r="U782" s="72"/>
      <c r="V782" s="72"/>
      <c r="W782" s="72"/>
      <c r="X782" s="72"/>
      <c r="Y782" s="72"/>
      <c r="Z782" s="72"/>
    </row>
    <row r="783" ht="15.7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127"/>
      <c r="M783" s="127"/>
      <c r="N783" s="72"/>
      <c r="O783" s="72"/>
      <c r="P783" s="127"/>
      <c r="S783" s="72"/>
      <c r="T783" s="72"/>
      <c r="U783" s="72"/>
      <c r="V783" s="72"/>
      <c r="W783" s="72"/>
      <c r="X783" s="72"/>
      <c r="Y783" s="72"/>
      <c r="Z783" s="72"/>
    </row>
    <row r="784" ht="15.7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127"/>
      <c r="M784" s="127"/>
      <c r="N784" s="72"/>
      <c r="O784" s="72"/>
      <c r="P784" s="127"/>
      <c r="S784" s="72"/>
      <c r="T784" s="72"/>
      <c r="U784" s="72"/>
      <c r="V784" s="72"/>
      <c r="W784" s="72"/>
      <c r="X784" s="72"/>
      <c r="Y784" s="72"/>
      <c r="Z784" s="72"/>
    </row>
    <row r="785" ht="15.7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127"/>
      <c r="M785" s="127"/>
      <c r="N785" s="72"/>
      <c r="O785" s="72"/>
      <c r="P785" s="127"/>
      <c r="S785" s="72"/>
      <c r="T785" s="72"/>
      <c r="U785" s="72"/>
      <c r="V785" s="72"/>
      <c r="W785" s="72"/>
      <c r="X785" s="72"/>
      <c r="Y785" s="72"/>
      <c r="Z785" s="72"/>
    </row>
    <row r="786" ht="15.7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127"/>
      <c r="M786" s="127"/>
      <c r="N786" s="72"/>
      <c r="O786" s="72"/>
      <c r="P786" s="127"/>
      <c r="S786" s="72"/>
      <c r="T786" s="72"/>
      <c r="U786" s="72"/>
      <c r="V786" s="72"/>
      <c r="W786" s="72"/>
      <c r="X786" s="72"/>
      <c r="Y786" s="72"/>
      <c r="Z786" s="72"/>
    </row>
    <row r="787" ht="15.7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127"/>
      <c r="M787" s="127"/>
      <c r="N787" s="72"/>
      <c r="O787" s="72"/>
      <c r="P787" s="127"/>
      <c r="S787" s="72"/>
      <c r="T787" s="72"/>
      <c r="U787" s="72"/>
      <c r="V787" s="72"/>
      <c r="W787" s="72"/>
      <c r="X787" s="72"/>
      <c r="Y787" s="72"/>
      <c r="Z787" s="72"/>
    </row>
    <row r="788" ht="15.7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127"/>
      <c r="M788" s="127"/>
      <c r="N788" s="72"/>
      <c r="O788" s="72"/>
      <c r="P788" s="127"/>
      <c r="S788" s="72"/>
      <c r="T788" s="72"/>
      <c r="U788" s="72"/>
      <c r="V788" s="72"/>
      <c r="W788" s="72"/>
      <c r="X788" s="72"/>
      <c r="Y788" s="72"/>
      <c r="Z788" s="72"/>
    </row>
    <row r="789" ht="15.7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127"/>
      <c r="M789" s="127"/>
      <c r="N789" s="72"/>
      <c r="O789" s="72"/>
      <c r="P789" s="127"/>
      <c r="S789" s="72"/>
      <c r="T789" s="72"/>
      <c r="U789" s="72"/>
      <c r="V789" s="72"/>
      <c r="W789" s="72"/>
      <c r="X789" s="72"/>
      <c r="Y789" s="72"/>
      <c r="Z789" s="72"/>
    </row>
    <row r="790" ht="15.7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127"/>
      <c r="M790" s="127"/>
      <c r="N790" s="72"/>
      <c r="O790" s="72"/>
      <c r="P790" s="127"/>
      <c r="S790" s="72"/>
      <c r="T790" s="72"/>
      <c r="U790" s="72"/>
      <c r="V790" s="72"/>
      <c r="W790" s="72"/>
      <c r="X790" s="72"/>
      <c r="Y790" s="72"/>
      <c r="Z790" s="72"/>
    </row>
    <row r="791" ht="15.7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127"/>
      <c r="M791" s="127"/>
      <c r="N791" s="72"/>
      <c r="O791" s="72"/>
      <c r="P791" s="127"/>
      <c r="S791" s="72"/>
      <c r="T791" s="72"/>
      <c r="U791" s="72"/>
      <c r="V791" s="72"/>
      <c r="W791" s="72"/>
      <c r="X791" s="72"/>
      <c r="Y791" s="72"/>
      <c r="Z791" s="72"/>
    </row>
    <row r="792" ht="15.7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127"/>
      <c r="M792" s="127"/>
      <c r="N792" s="72"/>
      <c r="O792" s="72"/>
      <c r="P792" s="127"/>
      <c r="S792" s="72"/>
      <c r="T792" s="72"/>
      <c r="U792" s="72"/>
      <c r="V792" s="72"/>
      <c r="W792" s="72"/>
      <c r="X792" s="72"/>
      <c r="Y792" s="72"/>
      <c r="Z792" s="72"/>
    </row>
    <row r="793" ht="15.7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127"/>
      <c r="M793" s="127"/>
      <c r="N793" s="72"/>
      <c r="O793" s="72"/>
      <c r="P793" s="127"/>
      <c r="S793" s="72"/>
      <c r="T793" s="72"/>
      <c r="U793" s="72"/>
      <c r="V793" s="72"/>
      <c r="W793" s="72"/>
      <c r="X793" s="72"/>
      <c r="Y793" s="72"/>
      <c r="Z793" s="72"/>
    </row>
    <row r="794" ht="15.7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127"/>
      <c r="M794" s="127"/>
      <c r="N794" s="72"/>
      <c r="O794" s="72"/>
      <c r="P794" s="127"/>
      <c r="S794" s="72"/>
      <c r="T794" s="72"/>
      <c r="U794" s="72"/>
      <c r="V794" s="72"/>
      <c r="W794" s="72"/>
      <c r="X794" s="72"/>
      <c r="Y794" s="72"/>
      <c r="Z794" s="72"/>
    </row>
    <row r="795" ht="15.7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127"/>
      <c r="M795" s="127"/>
      <c r="N795" s="72"/>
      <c r="O795" s="72"/>
      <c r="P795" s="127"/>
      <c r="S795" s="72"/>
      <c r="T795" s="72"/>
      <c r="U795" s="72"/>
      <c r="V795" s="72"/>
      <c r="W795" s="72"/>
      <c r="X795" s="72"/>
      <c r="Y795" s="72"/>
      <c r="Z795" s="72"/>
    </row>
    <row r="796" ht="15.7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127"/>
      <c r="M796" s="127"/>
      <c r="N796" s="72"/>
      <c r="O796" s="72"/>
      <c r="P796" s="127"/>
      <c r="S796" s="72"/>
      <c r="T796" s="72"/>
      <c r="U796" s="72"/>
      <c r="V796" s="72"/>
      <c r="W796" s="72"/>
      <c r="X796" s="72"/>
      <c r="Y796" s="72"/>
      <c r="Z796" s="72"/>
    </row>
    <row r="797" ht="15.7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127"/>
      <c r="M797" s="127"/>
      <c r="N797" s="72"/>
      <c r="O797" s="72"/>
      <c r="P797" s="127"/>
      <c r="S797" s="72"/>
      <c r="T797" s="72"/>
      <c r="U797" s="72"/>
      <c r="V797" s="72"/>
      <c r="W797" s="72"/>
      <c r="X797" s="72"/>
      <c r="Y797" s="72"/>
      <c r="Z797" s="72"/>
    </row>
    <row r="798" ht="15.7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127"/>
      <c r="M798" s="127"/>
      <c r="N798" s="72"/>
      <c r="O798" s="72"/>
      <c r="P798" s="127"/>
      <c r="S798" s="72"/>
      <c r="T798" s="72"/>
      <c r="U798" s="72"/>
      <c r="V798" s="72"/>
      <c r="W798" s="72"/>
      <c r="X798" s="72"/>
      <c r="Y798" s="72"/>
      <c r="Z798" s="72"/>
    </row>
    <row r="799" ht="15.7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127"/>
      <c r="M799" s="127"/>
      <c r="N799" s="72"/>
      <c r="O799" s="72"/>
      <c r="P799" s="127"/>
      <c r="S799" s="72"/>
      <c r="T799" s="72"/>
      <c r="U799" s="72"/>
      <c r="V799" s="72"/>
      <c r="W799" s="72"/>
      <c r="X799" s="72"/>
      <c r="Y799" s="72"/>
      <c r="Z799" s="72"/>
    </row>
    <row r="800" ht="15.7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127"/>
      <c r="M800" s="127"/>
      <c r="N800" s="72"/>
      <c r="O800" s="72"/>
      <c r="P800" s="127"/>
      <c r="S800" s="72"/>
      <c r="T800" s="72"/>
      <c r="U800" s="72"/>
      <c r="V800" s="72"/>
      <c r="W800" s="72"/>
      <c r="X800" s="72"/>
      <c r="Y800" s="72"/>
      <c r="Z800" s="72"/>
    </row>
    <row r="801" ht="15.7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127"/>
      <c r="M801" s="127"/>
      <c r="N801" s="72"/>
      <c r="O801" s="72"/>
      <c r="P801" s="127"/>
      <c r="S801" s="72"/>
      <c r="T801" s="72"/>
      <c r="U801" s="72"/>
      <c r="V801" s="72"/>
      <c r="W801" s="72"/>
      <c r="X801" s="72"/>
      <c r="Y801" s="72"/>
      <c r="Z801" s="72"/>
    </row>
    <row r="802" ht="15.7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127"/>
      <c r="M802" s="127"/>
      <c r="N802" s="72"/>
      <c r="O802" s="72"/>
      <c r="P802" s="127"/>
      <c r="S802" s="72"/>
      <c r="T802" s="72"/>
      <c r="U802" s="72"/>
      <c r="V802" s="72"/>
      <c r="W802" s="72"/>
      <c r="X802" s="72"/>
      <c r="Y802" s="72"/>
      <c r="Z802" s="72"/>
    </row>
    <row r="803" ht="15.7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127"/>
      <c r="M803" s="127"/>
      <c r="N803" s="72"/>
      <c r="O803" s="72"/>
      <c r="P803" s="127"/>
      <c r="S803" s="72"/>
      <c r="T803" s="72"/>
      <c r="U803" s="72"/>
      <c r="V803" s="72"/>
      <c r="W803" s="72"/>
      <c r="X803" s="72"/>
      <c r="Y803" s="72"/>
      <c r="Z803" s="72"/>
    </row>
    <row r="804" ht="15.7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127"/>
      <c r="M804" s="127"/>
      <c r="N804" s="72"/>
      <c r="O804" s="72"/>
      <c r="P804" s="127"/>
      <c r="S804" s="72"/>
      <c r="T804" s="72"/>
      <c r="U804" s="72"/>
      <c r="V804" s="72"/>
      <c r="W804" s="72"/>
      <c r="X804" s="72"/>
      <c r="Y804" s="72"/>
      <c r="Z804" s="72"/>
    </row>
    <row r="805" ht="15.7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127"/>
      <c r="M805" s="127"/>
      <c r="N805" s="72"/>
      <c r="O805" s="72"/>
      <c r="P805" s="127"/>
      <c r="S805" s="72"/>
      <c r="T805" s="72"/>
      <c r="U805" s="72"/>
      <c r="V805" s="72"/>
      <c r="W805" s="72"/>
      <c r="X805" s="72"/>
      <c r="Y805" s="72"/>
      <c r="Z805" s="72"/>
    </row>
    <row r="806" ht="15.7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127"/>
      <c r="M806" s="127"/>
      <c r="N806" s="72"/>
      <c r="O806" s="72"/>
      <c r="P806" s="127"/>
      <c r="S806" s="72"/>
      <c r="T806" s="72"/>
      <c r="U806" s="72"/>
      <c r="V806" s="72"/>
      <c r="W806" s="72"/>
      <c r="X806" s="72"/>
      <c r="Y806" s="72"/>
      <c r="Z806" s="72"/>
    </row>
    <row r="807" ht="15.7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127"/>
      <c r="M807" s="127"/>
      <c r="N807" s="72"/>
      <c r="O807" s="72"/>
      <c r="P807" s="127"/>
      <c r="S807" s="72"/>
      <c r="T807" s="72"/>
      <c r="U807" s="72"/>
      <c r="V807" s="72"/>
      <c r="W807" s="72"/>
      <c r="X807" s="72"/>
      <c r="Y807" s="72"/>
      <c r="Z807" s="72"/>
    </row>
    <row r="808" ht="15.7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127"/>
      <c r="M808" s="127"/>
      <c r="N808" s="72"/>
      <c r="O808" s="72"/>
      <c r="P808" s="127"/>
      <c r="S808" s="72"/>
      <c r="T808" s="72"/>
      <c r="U808" s="72"/>
      <c r="V808" s="72"/>
      <c r="W808" s="72"/>
      <c r="X808" s="72"/>
      <c r="Y808" s="72"/>
      <c r="Z808" s="72"/>
    </row>
    <row r="809" ht="15.7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127"/>
      <c r="M809" s="127"/>
      <c r="N809" s="72"/>
      <c r="O809" s="72"/>
      <c r="P809" s="127"/>
      <c r="S809" s="72"/>
      <c r="T809" s="72"/>
      <c r="U809" s="72"/>
      <c r="V809" s="72"/>
      <c r="W809" s="72"/>
      <c r="X809" s="72"/>
      <c r="Y809" s="72"/>
      <c r="Z809" s="72"/>
    </row>
    <row r="810" ht="15.7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127"/>
      <c r="M810" s="127"/>
      <c r="N810" s="72"/>
      <c r="O810" s="72"/>
      <c r="P810" s="127"/>
      <c r="S810" s="72"/>
      <c r="T810" s="72"/>
      <c r="U810" s="72"/>
      <c r="V810" s="72"/>
      <c r="W810" s="72"/>
      <c r="X810" s="72"/>
      <c r="Y810" s="72"/>
      <c r="Z810" s="72"/>
    </row>
    <row r="811" ht="15.7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127"/>
      <c r="M811" s="127"/>
      <c r="N811" s="72"/>
      <c r="O811" s="72"/>
      <c r="P811" s="127"/>
      <c r="S811" s="72"/>
      <c r="T811" s="72"/>
      <c r="U811" s="72"/>
      <c r="V811" s="72"/>
      <c r="W811" s="72"/>
      <c r="X811" s="72"/>
      <c r="Y811" s="72"/>
      <c r="Z811" s="72"/>
    </row>
    <row r="812" ht="15.7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127"/>
      <c r="M812" s="127"/>
      <c r="N812" s="72"/>
      <c r="O812" s="72"/>
      <c r="P812" s="127"/>
      <c r="S812" s="72"/>
      <c r="T812" s="72"/>
      <c r="U812" s="72"/>
      <c r="V812" s="72"/>
      <c r="W812" s="72"/>
      <c r="X812" s="72"/>
      <c r="Y812" s="72"/>
      <c r="Z812" s="72"/>
    </row>
    <row r="813" ht="15.7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127"/>
      <c r="M813" s="127"/>
      <c r="N813" s="72"/>
      <c r="O813" s="72"/>
      <c r="P813" s="127"/>
      <c r="S813" s="72"/>
      <c r="T813" s="72"/>
      <c r="U813" s="72"/>
      <c r="V813" s="72"/>
      <c r="W813" s="72"/>
      <c r="X813" s="72"/>
      <c r="Y813" s="72"/>
      <c r="Z813" s="72"/>
    </row>
    <row r="814" ht="15.7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127"/>
      <c r="M814" s="127"/>
      <c r="N814" s="72"/>
      <c r="O814" s="72"/>
      <c r="P814" s="127"/>
      <c r="S814" s="72"/>
      <c r="T814" s="72"/>
      <c r="U814" s="72"/>
      <c r="V814" s="72"/>
      <c r="W814" s="72"/>
      <c r="X814" s="72"/>
      <c r="Y814" s="72"/>
      <c r="Z814" s="72"/>
    </row>
    <row r="815" ht="15.7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127"/>
      <c r="M815" s="127"/>
      <c r="N815" s="72"/>
      <c r="O815" s="72"/>
      <c r="P815" s="127"/>
      <c r="S815" s="72"/>
      <c r="T815" s="72"/>
      <c r="U815" s="72"/>
      <c r="V815" s="72"/>
      <c r="W815" s="72"/>
      <c r="X815" s="72"/>
      <c r="Y815" s="72"/>
      <c r="Z815" s="72"/>
    </row>
    <row r="816" ht="15.7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127"/>
      <c r="M816" s="127"/>
      <c r="N816" s="72"/>
      <c r="O816" s="72"/>
      <c r="P816" s="127"/>
      <c r="S816" s="72"/>
      <c r="T816" s="72"/>
      <c r="U816" s="72"/>
      <c r="V816" s="72"/>
      <c r="W816" s="72"/>
      <c r="X816" s="72"/>
      <c r="Y816" s="72"/>
      <c r="Z816" s="72"/>
    </row>
    <row r="817" ht="15.7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127"/>
      <c r="M817" s="127"/>
      <c r="N817" s="72"/>
      <c r="O817" s="72"/>
      <c r="P817" s="127"/>
      <c r="S817" s="72"/>
      <c r="T817" s="72"/>
      <c r="U817" s="72"/>
      <c r="V817" s="72"/>
      <c r="W817" s="72"/>
      <c r="X817" s="72"/>
      <c r="Y817" s="72"/>
      <c r="Z817" s="72"/>
    </row>
    <row r="818" ht="15.7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127"/>
      <c r="M818" s="127"/>
      <c r="N818" s="72"/>
      <c r="O818" s="72"/>
      <c r="P818" s="127"/>
      <c r="S818" s="72"/>
      <c r="T818" s="72"/>
      <c r="U818" s="72"/>
      <c r="V818" s="72"/>
      <c r="W818" s="72"/>
      <c r="X818" s="72"/>
      <c r="Y818" s="72"/>
      <c r="Z818" s="72"/>
    </row>
    <row r="819" ht="15.7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127"/>
      <c r="M819" s="127"/>
      <c r="N819" s="72"/>
      <c r="O819" s="72"/>
      <c r="P819" s="127"/>
      <c r="S819" s="72"/>
      <c r="T819" s="72"/>
      <c r="U819" s="72"/>
      <c r="V819" s="72"/>
      <c r="W819" s="72"/>
      <c r="X819" s="72"/>
      <c r="Y819" s="72"/>
      <c r="Z819" s="72"/>
    </row>
    <row r="820" ht="15.7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127"/>
      <c r="M820" s="127"/>
      <c r="N820" s="72"/>
      <c r="O820" s="72"/>
      <c r="P820" s="127"/>
      <c r="S820" s="72"/>
      <c r="T820" s="72"/>
      <c r="U820" s="72"/>
      <c r="V820" s="72"/>
      <c r="W820" s="72"/>
      <c r="X820" s="72"/>
      <c r="Y820" s="72"/>
      <c r="Z820" s="72"/>
    </row>
    <row r="821" ht="15.7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127"/>
      <c r="M821" s="127"/>
      <c r="N821" s="72"/>
      <c r="O821" s="72"/>
      <c r="P821" s="127"/>
      <c r="S821" s="72"/>
      <c r="T821" s="72"/>
      <c r="U821" s="72"/>
      <c r="V821" s="72"/>
      <c r="W821" s="72"/>
      <c r="X821" s="72"/>
      <c r="Y821" s="72"/>
      <c r="Z821" s="72"/>
    </row>
    <row r="822" ht="15.7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127"/>
      <c r="M822" s="127"/>
      <c r="N822" s="72"/>
      <c r="O822" s="72"/>
      <c r="P822" s="127"/>
      <c r="S822" s="72"/>
      <c r="T822" s="72"/>
      <c r="U822" s="72"/>
      <c r="V822" s="72"/>
      <c r="W822" s="72"/>
      <c r="X822" s="72"/>
      <c r="Y822" s="72"/>
      <c r="Z822" s="72"/>
    </row>
    <row r="823" ht="15.7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127"/>
      <c r="M823" s="127"/>
      <c r="N823" s="72"/>
      <c r="O823" s="72"/>
      <c r="P823" s="127"/>
      <c r="S823" s="72"/>
      <c r="T823" s="72"/>
      <c r="U823" s="72"/>
      <c r="V823" s="72"/>
      <c r="W823" s="72"/>
      <c r="X823" s="72"/>
      <c r="Y823" s="72"/>
      <c r="Z823" s="72"/>
    </row>
    <row r="824" ht="15.7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127"/>
      <c r="M824" s="127"/>
      <c r="N824" s="72"/>
      <c r="O824" s="72"/>
      <c r="P824" s="127"/>
      <c r="S824" s="72"/>
      <c r="T824" s="72"/>
      <c r="U824" s="72"/>
      <c r="V824" s="72"/>
      <c r="W824" s="72"/>
      <c r="X824" s="72"/>
      <c r="Y824" s="72"/>
      <c r="Z824" s="72"/>
    </row>
    <row r="825" ht="15.7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127"/>
      <c r="M825" s="127"/>
      <c r="N825" s="72"/>
      <c r="O825" s="72"/>
      <c r="P825" s="127"/>
      <c r="S825" s="72"/>
      <c r="T825" s="72"/>
      <c r="U825" s="72"/>
      <c r="V825" s="72"/>
      <c r="W825" s="72"/>
      <c r="X825" s="72"/>
      <c r="Y825" s="72"/>
      <c r="Z825" s="72"/>
    </row>
    <row r="826" ht="15.7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127"/>
      <c r="M826" s="127"/>
      <c r="N826" s="72"/>
      <c r="O826" s="72"/>
      <c r="P826" s="127"/>
      <c r="S826" s="72"/>
      <c r="T826" s="72"/>
      <c r="U826" s="72"/>
      <c r="V826" s="72"/>
      <c r="W826" s="72"/>
      <c r="X826" s="72"/>
      <c r="Y826" s="72"/>
      <c r="Z826" s="72"/>
    </row>
    <row r="827" ht="15.7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127"/>
      <c r="M827" s="127"/>
      <c r="N827" s="72"/>
      <c r="O827" s="72"/>
      <c r="P827" s="127"/>
      <c r="S827" s="72"/>
      <c r="T827" s="72"/>
      <c r="U827" s="72"/>
      <c r="V827" s="72"/>
      <c r="W827" s="72"/>
      <c r="X827" s="72"/>
      <c r="Y827" s="72"/>
      <c r="Z827" s="72"/>
    </row>
    <row r="828" ht="15.7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127"/>
      <c r="M828" s="127"/>
      <c r="N828" s="72"/>
      <c r="O828" s="72"/>
      <c r="P828" s="127"/>
      <c r="S828" s="72"/>
      <c r="T828" s="72"/>
      <c r="U828" s="72"/>
      <c r="V828" s="72"/>
      <c r="W828" s="72"/>
      <c r="X828" s="72"/>
      <c r="Y828" s="72"/>
      <c r="Z828" s="72"/>
    </row>
    <row r="829" ht="15.7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127"/>
      <c r="M829" s="127"/>
      <c r="N829" s="72"/>
      <c r="O829" s="72"/>
      <c r="P829" s="127"/>
      <c r="S829" s="72"/>
      <c r="T829" s="72"/>
      <c r="U829" s="72"/>
      <c r="V829" s="72"/>
      <c r="W829" s="72"/>
      <c r="X829" s="72"/>
      <c r="Y829" s="72"/>
      <c r="Z829" s="72"/>
    </row>
    <row r="830" ht="15.7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127"/>
      <c r="M830" s="127"/>
      <c r="N830" s="72"/>
      <c r="O830" s="72"/>
      <c r="P830" s="127"/>
      <c r="S830" s="72"/>
      <c r="T830" s="72"/>
      <c r="U830" s="72"/>
      <c r="V830" s="72"/>
      <c r="W830" s="72"/>
      <c r="X830" s="72"/>
      <c r="Y830" s="72"/>
      <c r="Z830" s="72"/>
    </row>
    <row r="831" ht="15.7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127"/>
      <c r="M831" s="127"/>
      <c r="N831" s="72"/>
      <c r="O831" s="72"/>
      <c r="P831" s="127"/>
      <c r="S831" s="72"/>
      <c r="T831" s="72"/>
      <c r="U831" s="72"/>
      <c r="V831" s="72"/>
      <c r="W831" s="72"/>
      <c r="X831" s="72"/>
      <c r="Y831" s="72"/>
      <c r="Z831" s="72"/>
    </row>
    <row r="832" ht="15.7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127"/>
      <c r="M832" s="127"/>
      <c r="N832" s="72"/>
      <c r="O832" s="72"/>
      <c r="P832" s="127"/>
      <c r="S832" s="72"/>
      <c r="T832" s="72"/>
      <c r="U832" s="72"/>
      <c r="V832" s="72"/>
      <c r="W832" s="72"/>
      <c r="X832" s="72"/>
      <c r="Y832" s="72"/>
      <c r="Z832" s="72"/>
    </row>
    <row r="833" ht="15.7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127"/>
      <c r="M833" s="127"/>
      <c r="N833" s="72"/>
      <c r="O833" s="72"/>
      <c r="P833" s="127"/>
      <c r="S833" s="72"/>
      <c r="T833" s="72"/>
      <c r="U833" s="72"/>
      <c r="V833" s="72"/>
      <c r="W833" s="72"/>
      <c r="X833" s="72"/>
      <c r="Y833" s="72"/>
      <c r="Z833" s="72"/>
    </row>
    <row r="834" ht="15.7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127"/>
      <c r="M834" s="127"/>
      <c r="N834" s="72"/>
      <c r="O834" s="72"/>
      <c r="P834" s="127"/>
      <c r="S834" s="72"/>
      <c r="T834" s="72"/>
      <c r="U834" s="72"/>
      <c r="V834" s="72"/>
      <c r="W834" s="72"/>
      <c r="X834" s="72"/>
      <c r="Y834" s="72"/>
      <c r="Z834" s="72"/>
    </row>
    <row r="835" ht="15.7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127"/>
      <c r="M835" s="127"/>
      <c r="N835" s="72"/>
      <c r="O835" s="72"/>
      <c r="P835" s="127"/>
      <c r="S835" s="72"/>
      <c r="T835" s="72"/>
      <c r="U835" s="72"/>
      <c r="V835" s="72"/>
      <c r="W835" s="72"/>
      <c r="X835" s="72"/>
      <c r="Y835" s="72"/>
      <c r="Z835" s="72"/>
    </row>
    <row r="836" ht="15.7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127"/>
      <c r="M836" s="127"/>
      <c r="N836" s="72"/>
      <c r="O836" s="72"/>
      <c r="P836" s="127"/>
      <c r="S836" s="72"/>
      <c r="T836" s="72"/>
      <c r="U836" s="72"/>
      <c r="V836" s="72"/>
      <c r="W836" s="72"/>
      <c r="X836" s="72"/>
      <c r="Y836" s="72"/>
      <c r="Z836" s="72"/>
    </row>
    <row r="837" ht="15.7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127"/>
      <c r="M837" s="127"/>
      <c r="N837" s="72"/>
      <c r="O837" s="72"/>
      <c r="P837" s="127"/>
      <c r="S837" s="72"/>
      <c r="T837" s="72"/>
      <c r="U837" s="72"/>
      <c r="V837" s="72"/>
      <c r="W837" s="72"/>
      <c r="X837" s="72"/>
      <c r="Y837" s="72"/>
      <c r="Z837" s="72"/>
    </row>
    <row r="838" ht="15.7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127"/>
      <c r="M838" s="127"/>
      <c r="N838" s="72"/>
      <c r="O838" s="72"/>
      <c r="P838" s="127"/>
      <c r="S838" s="72"/>
      <c r="T838" s="72"/>
      <c r="U838" s="72"/>
      <c r="V838" s="72"/>
      <c r="W838" s="72"/>
      <c r="X838" s="72"/>
      <c r="Y838" s="72"/>
      <c r="Z838" s="72"/>
    </row>
    <row r="839" ht="15.7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127"/>
      <c r="M839" s="127"/>
      <c r="N839" s="72"/>
      <c r="O839" s="72"/>
      <c r="P839" s="127"/>
      <c r="S839" s="72"/>
      <c r="T839" s="72"/>
      <c r="U839" s="72"/>
      <c r="V839" s="72"/>
      <c r="W839" s="72"/>
      <c r="X839" s="72"/>
      <c r="Y839" s="72"/>
      <c r="Z839" s="72"/>
    </row>
    <row r="840" ht="15.7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127"/>
      <c r="M840" s="127"/>
      <c r="N840" s="72"/>
      <c r="O840" s="72"/>
      <c r="P840" s="127"/>
      <c r="S840" s="72"/>
      <c r="T840" s="72"/>
      <c r="U840" s="72"/>
      <c r="V840" s="72"/>
      <c r="W840" s="72"/>
      <c r="X840" s="72"/>
      <c r="Y840" s="72"/>
      <c r="Z840" s="72"/>
    </row>
    <row r="841" ht="15.7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127"/>
      <c r="M841" s="127"/>
      <c r="N841" s="72"/>
      <c r="O841" s="72"/>
      <c r="P841" s="127"/>
      <c r="S841" s="72"/>
      <c r="T841" s="72"/>
      <c r="U841" s="72"/>
      <c r="V841" s="72"/>
      <c r="W841" s="72"/>
      <c r="X841" s="72"/>
      <c r="Y841" s="72"/>
      <c r="Z841" s="72"/>
    </row>
    <row r="842" ht="15.7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127"/>
      <c r="M842" s="127"/>
      <c r="N842" s="72"/>
      <c r="O842" s="72"/>
      <c r="P842" s="127"/>
      <c r="S842" s="72"/>
      <c r="T842" s="72"/>
      <c r="U842" s="72"/>
      <c r="V842" s="72"/>
      <c r="W842" s="72"/>
      <c r="X842" s="72"/>
      <c r="Y842" s="72"/>
      <c r="Z842" s="72"/>
    </row>
    <row r="843" ht="15.7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127"/>
      <c r="M843" s="127"/>
      <c r="N843" s="72"/>
      <c r="O843" s="72"/>
      <c r="P843" s="127"/>
      <c r="S843" s="72"/>
      <c r="T843" s="72"/>
      <c r="U843" s="72"/>
      <c r="V843" s="72"/>
      <c r="W843" s="72"/>
      <c r="X843" s="72"/>
      <c r="Y843" s="72"/>
      <c r="Z843" s="72"/>
    </row>
    <row r="844" ht="15.7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127"/>
      <c r="M844" s="127"/>
      <c r="N844" s="72"/>
      <c r="O844" s="72"/>
      <c r="P844" s="127"/>
      <c r="S844" s="72"/>
      <c r="T844" s="72"/>
      <c r="U844" s="72"/>
      <c r="V844" s="72"/>
      <c r="W844" s="72"/>
      <c r="X844" s="72"/>
      <c r="Y844" s="72"/>
      <c r="Z844" s="72"/>
    </row>
    <row r="845" ht="15.7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127"/>
      <c r="M845" s="127"/>
      <c r="N845" s="72"/>
      <c r="O845" s="72"/>
      <c r="P845" s="127"/>
      <c r="S845" s="72"/>
      <c r="T845" s="72"/>
      <c r="U845" s="72"/>
      <c r="V845" s="72"/>
      <c r="W845" s="72"/>
      <c r="X845" s="72"/>
      <c r="Y845" s="72"/>
      <c r="Z845" s="72"/>
    </row>
    <row r="846" ht="15.7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127"/>
      <c r="M846" s="127"/>
      <c r="N846" s="72"/>
      <c r="O846" s="72"/>
      <c r="P846" s="127"/>
      <c r="S846" s="72"/>
      <c r="T846" s="72"/>
      <c r="U846" s="72"/>
      <c r="V846" s="72"/>
      <c r="W846" s="72"/>
      <c r="X846" s="72"/>
      <c r="Y846" s="72"/>
      <c r="Z846" s="72"/>
    </row>
    <row r="847" ht="15.7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127"/>
      <c r="M847" s="127"/>
      <c r="N847" s="72"/>
      <c r="O847" s="72"/>
      <c r="P847" s="127"/>
      <c r="S847" s="72"/>
      <c r="T847" s="72"/>
      <c r="U847" s="72"/>
      <c r="V847" s="72"/>
      <c r="W847" s="72"/>
      <c r="X847" s="72"/>
      <c r="Y847" s="72"/>
      <c r="Z847" s="72"/>
    </row>
    <row r="848" ht="15.7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127"/>
      <c r="M848" s="127"/>
      <c r="N848" s="72"/>
      <c r="O848" s="72"/>
      <c r="P848" s="127"/>
      <c r="S848" s="72"/>
      <c r="T848" s="72"/>
      <c r="U848" s="72"/>
      <c r="V848" s="72"/>
      <c r="W848" s="72"/>
      <c r="X848" s="72"/>
      <c r="Y848" s="72"/>
      <c r="Z848" s="72"/>
    </row>
    <row r="849" ht="15.7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127"/>
      <c r="M849" s="127"/>
      <c r="N849" s="72"/>
      <c r="O849" s="72"/>
      <c r="P849" s="127"/>
      <c r="S849" s="72"/>
      <c r="T849" s="72"/>
      <c r="U849" s="72"/>
      <c r="V849" s="72"/>
      <c r="W849" s="72"/>
      <c r="X849" s="72"/>
      <c r="Y849" s="72"/>
      <c r="Z849" s="72"/>
    </row>
    <row r="850" ht="15.7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127"/>
      <c r="M850" s="127"/>
      <c r="N850" s="72"/>
      <c r="O850" s="72"/>
      <c r="P850" s="127"/>
      <c r="S850" s="72"/>
      <c r="T850" s="72"/>
      <c r="U850" s="72"/>
      <c r="V850" s="72"/>
      <c r="W850" s="72"/>
      <c r="X850" s="72"/>
      <c r="Y850" s="72"/>
      <c r="Z850" s="72"/>
    </row>
    <row r="851" ht="15.7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127"/>
      <c r="M851" s="127"/>
      <c r="N851" s="72"/>
      <c r="O851" s="72"/>
      <c r="P851" s="127"/>
      <c r="S851" s="72"/>
      <c r="T851" s="72"/>
      <c r="U851" s="72"/>
      <c r="V851" s="72"/>
      <c r="W851" s="72"/>
      <c r="X851" s="72"/>
      <c r="Y851" s="72"/>
      <c r="Z851" s="72"/>
    </row>
    <row r="852" ht="15.7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127"/>
      <c r="M852" s="127"/>
      <c r="N852" s="72"/>
      <c r="O852" s="72"/>
      <c r="P852" s="127"/>
      <c r="S852" s="72"/>
      <c r="T852" s="72"/>
      <c r="U852" s="72"/>
      <c r="V852" s="72"/>
      <c r="W852" s="72"/>
      <c r="X852" s="72"/>
      <c r="Y852" s="72"/>
      <c r="Z852" s="72"/>
    </row>
    <row r="853" ht="15.7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127"/>
      <c r="M853" s="127"/>
      <c r="N853" s="72"/>
      <c r="O853" s="72"/>
      <c r="P853" s="127"/>
      <c r="S853" s="72"/>
      <c r="T853" s="72"/>
      <c r="U853" s="72"/>
      <c r="V853" s="72"/>
      <c r="W853" s="72"/>
      <c r="X853" s="72"/>
      <c r="Y853" s="72"/>
      <c r="Z853" s="72"/>
    </row>
    <row r="854" ht="15.7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127"/>
      <c r="M854" s="127"/>
      <c r="N854" s="72"/>
      <c r="O854" s="72"/>
      <c r="P854" s="127"/>
      <c r="S854" s="72"/>
      <c r="T854" s="72"/>
      <c r="U854" s="72"/>
      <c r="V854" s="72"/>
      <c r="W854" s="72"/>
      <c r="X854" s="72"/>
      <c r="Y854" s="72"/>
      <c r="Z854" s="72"/>
    </row>
    <row r="855" ht="15.7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127"/>
      <c r="M855" s="127"/>
      <c r="N855" s="72"/>
      <c r="O855" s="72"/>
      <c r="P855" s="127"/>
      <c r="S855" s="72"/>
      <c r="T855" s="72"/>
      <c r="U855" s="72"/>
      <c r="V855" s="72"/>
      <c r="W855" s="72"/>
      <c r="X855" s="72"/>
      <c r="Y855" s="72"/>
      <c r="Z855" s="72"/>
    </row>
    <row r="856" ht="15.7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127"/>
      <c r="M856" s="127"/>
      <c r="N856" s="72"/>
      <c r="O856" s="72"/>
      <c r="P856" s="127"/>
      <c r="S856" s="72"/>
      <c r="T856" s="72"/>
      <c r="U856" s="72"/>
      <c r="V856" s="72"/>
      <c r="W856" s="72"/>
      <c r="X856" s="72"/>
      <c r="Y856" s="72"/>
      <c r="Z856" s="72"/>
    </row>
    <row r="857" ht="15.7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127"/>
      <c r="M857" s="127"/>
      <c r="N857" s="72"/>
      <c r="O857" s="72"/>
      <c r="P857" s="127"/>
      <c r="S857" s="72"/>
      <c r="T857" s="72"/>
      <c r="U857" s="72"/>
      <c r="V857" s="72"/>
      <c r="W857" s="72"/>
      <c r="X857" s="72"/>
      <c r="Y857" s="72"/>
      <c r="Z857" s="72"/>
    </row>
    <row r="858" ht="15.7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127"/>
      <c r="M858" s="127"/>
      <c r="N858" s="72"/>
      <c r="O858" s="72"/>
      <c r="P858" s="127"/>
      <c r="S858" s="72"/>
      <c r="T858" s="72"/>
      <c r="U858" s="72"/>
      <c r="V858" s="72"/>
      <c r="W858" s="72"/>
      <c r="X858" s="72"/>
      <c r="Y858" s="72"/>
      <c r="Z858" s="72"/>
    </row>
    <row r="859" ht="15.7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127"/>
      <c r="M859" s="127"/>
      <c r="N859" s="72"/>
      <c r="O859" s="72"/>
      <c r="P859" s="127"/>
      <c r="S859" s="72"/>
      <c r="T859" s="72"/>
      <c r="U859" s="72"/>
      <c r="V859" s="72"/>
      <c r="W859" s="72"/>
      <c r="X859" s="72"/>
      <c r="Y859" s="72"/>
      <c r="Z859" s="72"/>
    </row>
    <row r="860" ht="15.7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127"/>
      <c r="M860" s="127"/>
      <c r="N860" s="72"/>
      <c r="O860" s="72"/>
      <c r="P860" s="127"/>
      <c r="S860" s="72"/>
      <c r="T860" s="72"/>
      <c r="U860" s="72"/>
      <c r="V860" s="72"/>
      <c r="W860" s="72"/>
      <c r="X860" s="72"/>
      <c r="Y860" s="72"/>
      <c r="Z860" s="72"/>
    </row>
    <row r="861" ht="15.7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127"/>
      <c r="M861" s="127"/>
      <c r="N861" s="72"/>
      <c r="O861" s="72"/>
      <c r="P861" s="127"/>
      <c r="S861" s="72"/>
      <c r="T861" s="72"/>
      <c r="U861" s="72"/>
      <c r="V861" s="72"/>
      <c r="W861" s="72"/>
      <c r="X861" s="72"/>
      <c r="Y861" s="72"/>
      <c r="Z861" s="72"/>
    </row>
    <row r="862" ht="15.7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127"/>
      <c r="M862" s="127"/>
      <c r="N862" s="72"/>
      <c r="O862" s="72"/>
      <c r="P862" s="127"/>
      <c r="S862" s="72"/>
      <c r="T862" s="72"/>
      <c r="U862" s="72"/>
      <c r="V862" s="72"/>
      <c r="W862" s="72"/>
      <c r="X862" s="72"/>
      <c r="Y862" s="72"/>
      <c r="Z862" s="72"/>
    </row>
    <row r="863" ht="15.7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127"/>
      <c r="M863" s="127"/>
      <c r="N863" s="72"/>
      <c r="O863" s="72"/>
      <c r="P863" s="127"/>
      <c r="S863" s="72"/>
      <c r="T863" s="72"/>
      <c r="U863" s="72"/>
      <c r="V863" s="72"/>
      <c r="W863" s="72"/>
      <c r="X863" s="72"/>
      <c r="Y863" s="72"/>
      <c r="Z863" s="72"/>
    </row>
    <row r="864" ht="15.7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127"/>
      <c r="M864" s="127"/>
      <c r="N864" s="72"/>
      <c r="O864" s="72"/>
      <c r="P864" s="127"/>
      <c r="S864" s="72"/>
      <c r="T864" s="72"/>
      <c r="U864" s="72"/>
      <c r="V864" s="72"/>
      <c r="W864" s="72"/>
      <c r="X864" s="72"/>
      <c r="Y864" s="72"/>
      <c r="Z864" s="72"/>
    </row>
    <row r="865" ht="15.7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127"/>
      <c r="M865" s="127"/>
      <c r="N865" s="72"/>
      <c r="O865" s="72"/>
      <c r="P865" s="127"/>
      <c r="S865" s="72"/>
      <c r="T865" s="72"/>
      <c r="U865" s="72"/>
      <c r="V865" s="72"/>
      <c r="W865" s="72"/>
      <c r="X865" s="72"/>
      <c r="Y865" s="72"/>
      <c r="Z865" s="72"/>
    </row>
    <row r="866" ht="15.7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127"/>
      <c r="M866" s="127"/>
      <c r="N866" s="72"/>
      <c r="O866" s="72"/>
      <c r="P866" s="127"/>
      <c r="S866" s="72"/>
      <c r="T866" s="72"/>
      <c r="U866" s="72"/>
      <c r="V866" s="72"/>
      <c r="W866" s="72"/>
      <c r="X866" s="72"/>
      <c r="Y866" s="72"/>
      <c r="Z866" s="72"/>
    </row>
    <row r="867" ht="15.7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127"/>
      <c r="M867" s="127"/>
      <c r="N867" s="72"/>
      <c r="O867" s="72"/>
      <c r="P867" s="127"/>
      <c r="S867" s="72"/>
      <c r="T867" s="72"/>
      <c r="U867" s="72"/>
      <c r="V867" s="72"/>
      <c r="W867" s="72"/>
      <c r="X867" s="72"/>
      <c r="Y867" s="72"/>
      <c r="Z867" s="72"/>
    </row>
    <row r="868" ht="15.7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127"/>
      <c r="M868" s="127"/>
      <c r="N868" s="72"/>
      <c r="O868" s="72"/>
      <c r="P868" s="127"/>
      <c r="S868" s="72"/>
      <c r="T868" s="72"/>
      <c r="U868" s="72"/>
      <c r="V868" s="72"/>
      <c r="W868" s="72"/>
      <c r="X868" s="72"/>
      <c r="Y868" s="72"/>
      <c r="Z868" s="72"/>
    </row>
    <row r="869" ht="15.7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127"/>
      <c r="M869" s="127"/>
      <c r="N869" s="72"/>
      <c r="O869" s="72"/>
      <c r="P869" s="127"/>
      <c r="S869" s="72"/>
      <c r="T869" s="72"/>
      <c r="U869" s="72"/>
      <c r="V869" s="72"/>
      <c r="W869" s="72"/>
      <c r="X869" s="72"/>
      <c r="Y869" s="72"/>
      <c r="Z869" s="72"/>
    </row>
    <row r="870" ht="15.7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127"/>
      <c r="M870" s="127"/>
      <c r="N870" s="72"/>
      <c r="O870" s="72"/>
      <c r="P870" s="127"/>
      <c r="S870" s="72"/>
      <c r="T870" s="72"/>
      <c r="U870" s="72"/>
      <c r="V870" s="72"/>
      <c r="W870" s="72"/>
      <c r="X870" s="72"/>
      <c r="Y870" s="72"/>
      <c r="Z870" s="72"/>
    </row>
    <row r="871" ht="15.7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127"/>
      <c r="M871" s="127"/>
      <c r="N871" s="72"/>
      <c r="O871" s="72"/>
      <c r="P871" s="127"/>
      <c r="S871" s="72"/>
      <c r="T871" s="72"/>
      <c r="U871" s="72"/>
      <c r="V871" s="72"/>
      <c r="W871" s="72"/>
      <c r="X871" s="72"/>
      <c r="Y871" s="72"/>
      <c r="Z871" s="72"/>
    </row>
    <row r="872" ht="15.7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127"/>
      <c r="M872" s="127"/>
      <c r="N872" s="72"/>
      <c r="O872" s="72"/>
      <c r="P872" s="127"/>
      <c r="S872" s="72"/>
      <c r="T872" s="72"/>
      <c r="U872" s="72"/>
      <c r="V872" s="72"/>
      <c r="W872" s="72"/>
      <c r="X872" s="72"/>
      <c r="Y872" s="72"/>
      <c r="Z872" s="72"/>
    </row>
    <row r="873" ht="15.7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127"/>
      <c r="M873" s="127"/>
      <c r="N873" s="72"/>
      <c r="O873" s="72"/>
      <c r="P873" s="127"/>
      <c r="S873" s="72"/>
      <c r="T873" s="72"/>
      <c r="U873" s="72"/>
      <c r="V873" s="72"/>
      <c r="W873" s="72"/>
      <c r="X873" s="72"/>
      <c r="Y873" s="72"/>
      <c r="Z873" s="72"/>
    </row>
    <row r="874" ht="15.7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127"/>
      <c r="M874" s="127"/>
      <c r="N874" s="72"/>
      <c r="O874" s="72"/>
      <c r="P874" s="127"/>
      <c r="S874" s="72"/>
      <c r="T874" s="72"/>
      <c r="U874" s="72"/>
      <c r="V874" s="72"/>
      <c r="W874" s="72"/>
      <c r="X874" s="72"/>
      <c r="Y874" s="72"/>
      <c r="Z874" s="72"/>
    </row>
    <row r="875" ht="15.7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127"/>
      <c r="M875" s="127"/>
      <c r="N875" s="72"/>
      <c r="O875" s="72"/>
      <c r="P875" s="127"/>
      <c r="S875" s="72"/>
      <c r="T875" s="72"/>
      <c r="U875" s="72"/>
      <c r="V875" s="72"/>
      <c r="W875" s="72"/>
      <c r="X875" s="72"/>
      <c r="Y875" s="72"/>
      <c r="Z875" s="72"/>
    </row>
    <row r="876" ht="15.7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127"/>
      <c r="M876" s="127"/>
      <c r="N876" s="72"/>
      <c r="O876" s="72"/>
      <c r="P876" s="127"/>
      <c r="S876" s="72"/>
      <c r="T876" s="72"/>
      <c r="U876" s="72"/>
      <c r="V876" s="72"/>
      <c r="W876" s="72"/>
      <c r="X876" s="72"/>
      <c r="Y876" s="72"/>
      <c r="Z876" s="72"/>
    </row>
    <row r="877" ht="15.7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127"/>
      <c r="M877" s="127"/>
      <c r="N877" s="72"/>
      <c r="O877" s="72"/>
      <c r="P877" s="127"/>
      <c r="S877" s="72"/>
      <c r="T877" s="72"/>
      <c r="U877" s="72"/>
      <c r="V877" s="72"/>
      <c r="W877" s="72"/>
      <c r="X877" s="72"/>
      <c r="Y877" s="72"/>
      <c r="Z877" s="72"/>
    </row>
    <row r="878" ht="15.7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127"/>
      <c r="M878" s="127"/>
      <c r="N878" s="72"/>
      <c r="O878" s="72"/>
      <c r="P878" s="127"/>
      <c r="S878" s="72"/>
      <c r="T878" s="72"/>
      <c r="U878" s="72"/>
      <c r="V878" s="72"/>
      <c r="W878" s="72"/>
      <c r="X878" s="72"/>
      <c r="Y878" s="72"/>
      <c r="Z878" s="72"/>
    </row>
    <row r="879" ht="15.7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127"/>
      <c r="M879" s="127"/>
      <c r="N879" s="72"/>
      <c r="O879" s="72"/>
      <c r="P879" s="127"/>
      <c r="S879" s="72"/>
      <c r="T879" s="72"/>
      <c r="U879" s="72"/>
      <c r="V879" s="72"/>
      <c r="W879" s="72"/>
      <c r="X879" s="72"/>
      <c r="Y879" s="72"/>
      <c r="Z879" s="72"/>
    </row>
    <row r="880" ht="15.7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127"/>
      <c r="M880" s="127"/>
      <c r="N880" s="72"/>
      <c r="O880" s="72"/>
      <c r="P880" s="127"/>
      <c r="S880" s="72"/>
      <c r="T880" s="72"/>
      <c r="U880" s="72"/>
      <c r="V880" s="72"/>
      <c r="W880" s="72"/>
      <c r="X880" s="72"/>
      <c r="Y880" s="72"/>
      <c r="Z880" s="72"/>
    </row>
    <row r="881" ht="15.7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127"/>
      <c r="M881" s="127"/>
      <c r="N881" s="72"/>
      <c r="O881" s="72"/>
      <c r="P881" s="127"/>
      <c r="S881" s="72"/>
      <c r="T881" s="72"/>
      <c r="U881" s="72"/>
      <c r="V881" s="72"/>
      <c r="W881" s="72"/>
      <c r="X881" s="72"/>
      <c r="Y881" s="72"/>
      <c r="Z881" s="72"/>
    </row>
    <row r="882" ht="15.7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127"/>
      <c r="M882" s="127"/>
      <c r="N882" s="72"/>
      <c r="O882" s="72"/>
      <c r="P882" s="127"/>
      <c r="S882" s="72"/>
      <c r="T882" s="72"/>
      <c r="U882" s="72"/>
      <c r="V882" s="72"/>
      <c r="W882" s="72"/>
      <c r="X882" s="72"/>
      <c r="Y882" s="72"/>
      <c r="Z882" s="72"/>
    </row>
    <row r="883" ht="15.7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127"/>
      <c r="M883" s="127"/>
      <c r="N883" s="72"/>
      <c r="O883" s="72"/>
      <c r="P883" s="127"/>
      <c r="S883" s="72"/>
      <c r="T883" s="72"/>
      <c r="U883" s="72"/>
      <c r="V883" s="72"/>
      <c r="W883" s="72"/>
      <c r="X883" s="72"/>
      <c r="Y883" s="72"/>
      <c r="Z883" s="72"/>
    </row>
    <row r="884" ht="15.7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127"/>
      <c r="M884" s="127"/>
      <c r="N884" s="72"/>
      <c r="O884" s="72"/>
      <c r="P884" s="127"/>
      <c r="S884" s="72"/>
      <c r="T884" s="72"/>
      <c r="U884" s="72"/>
      <c r="V884" s="72"/>
      <c r="W884" s="72"/>
      <c r="X884" s="72"/>
      <c r="Y884" s="72"/>
      <c r="Z884" s="72"/>
    </row>
    <row r="885" ht="15.7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127"/>
      <c r="M885" s="127"/>
      <c r="N885" s="72"/>
      <c r="O885" s="72"/>
      <c r="P885" s="127"/>
      <c r="S885" s="72"/>
      <c r="T885" s="72"/>
      <c r="U885" s="72"/>
      <c r="V885" s="72"/>
      <c r="W885" s="72"/>
      <c r="X885" s="72"/>
      <c r="Y885" s="72"/>
      <c r="Z885" s="72"/>
    </row>
    <row r="886" ht="15.7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127"/>
      <c r="M886" s="127"/>
      <c r="N886" s="72"/>
      <c r="O886" s="72"/>
      <c r="P886" s="127"/>
      <c r="S886" s="72"/>
      <c r="T886" s="72"/>
      <c r="U886" s="72"/>
      <c r="V886" s="72"/>
      <c r="W886" s="72"/>
      <c r="X886" s="72"/>
      <c r="Y886" s="72"/>
      <c r="Z886" s="72"/>
    </row>
    <row r="887" ht="15.7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127"/>
      <c r="M887" s="127"/>
      <c r="N887" s="72"/>
      <c r="O887" s="72"/>
      <c r="P887" s="127"/>
      <c r="S887" s="72"/>
      <c r="T887" s="72"/>
      <c r="U887" s="72"/>
      <c r="V887" s="72"/>
      <c r="W887" s="72"/>
      <c r="X887" s="72"/>
      <c r="Y887" s="72"/>
      <c r="Z887" s="72"/>
    </row>
    <row r="888" ht="15.7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127"/>
      <c r="M888" s="127"/>
      <c r="N888" s="72"/>
      <c r="O888" s="72"/>
      <c r="P888" s="127"/>
      <c r="S888" s="72"/>
      <c r="T888" s="72"/>
      <c r="U888" s="72"/>
      <c r="V888" s="72"/>
      <c r="W888" s="72"/>
      <c r="X888" s="72"/>
      <c r="Y888" s="72"/>
      <c r="Z888" s="72"/>
    </row>
    <row r="889" ht="15.7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127"/>
      <c r="M889" s="127"/>
      <c r="N889" s="72"/>
      <c r="O889" s="72"/>
      <c r="P889" s="127"/>
      <c r="S889" s="72"/>
      <c r="T889" s="72"/>
      <c r="U889" s="72"/>
      <c r="V889" s="72"/>
      <c r="W889" s="72"/>
      <c r="X889" s="72"/>
      <c r="Y889" s="72"/>
      <c r="Z889" s="72"/>
    </row>
    <row r="890" ht="15.7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127"/>
      <c r="M890" s="127"/>
      <c r="N890" s="72"/>
      <c r="O890" s="72"/>
      <c r="P890" s="127"/>
      <c r="S890" s="72"/>
      <c r="T890" s="72"/>
      <c r="U890" s="72"/>
      <c r="V890" s="72"/>
      <c r="W890" s="72"/>
      <c r="X890" s="72"/>
      <c r="Y890" s="72"/>
      <c r="Z890" s="72"/>
    </row>
    <row r="891" ht="15.7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127"/>
      <c r="M891" s="127"/>
      <c r="N891" s="72"/>
      <c r="O891" s="72"/>
      <c r="P891" s="127"/>
      <c r="S891" s="72"/>
      <c r="T891" s="72"/>
      <c r="U891" s="72"/>
      <c r="V891" s="72"/>
      <c r="W891" s="72"/>
      <c r="X891" s="72"/>
      <c r="Y891" s="72"/>
      <c r="Z891" s="72"/>
    </row>
    <row r="892" ht="15.7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127"/>
      <c r="M892" s="127"/>
      <c r="N892" s="72"/>
      <c r="O892" s="72"/>
      <c r="P892" s="127"/>
      <c r="S892" s="72"/>
      <c r="T892" s="72"/>
      <c r="U892" s="72"/>
      <c r="V892" s="72"/>
      <c r="W892" s="72"/>
      <c r="X892" s="72"/>
      <c r="Y892" s="72"/>
      <c r="Z892" s="72"/>
    </row>
    <row r="893" ht="15.7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127"/>
      <c r="M893" s="127"/>
      <c r="N893" s="72"/>
      <c r="O893" s="72"/>
      <c r="P893" s="127"/>
      <c r="S893" s="72"/>
      <c r="T893" s="72"/>
      <c r="U893" s="72"/>
      <c r="V893" s="72"/>
      <c r="W893" s="72"/>
      <c r="X893" s="72"/>
      <c r="Y893" s="72"/>
      <c r="Z893" s="72"/>
    </row>
    <row r="894" ht="15.7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127"/>
      <c r="M894" s="127"/>
      <c r="N894" s="72"/>
      <c r="O894" s="72"/>
      <c r="P894" s="127"/>
      <c r="S894" s="72"/>
      <c r="T894" s="72"/>
      <c r="U894" s="72"/>
      <c r="V894" s="72"/>
      <c r="W894" s="72"/>
      <c r="X894" s="72"/>
      <c r="Y894" s="72"/>
      <c r="Z894" s="72"/>
    </row>
    <row r="895" ht="15.7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127"/>
      <c r="M895" s="127"/>
      <c r="N895" s="72"/>
      <c r="O895" s="72"/>
      <c r="P895" s="127"/>
      <c r="S895" s="72"/>
      <c r="T895" s="72"/>
      <c r="U895" s="72"/>
      <c r="V895" s="72"/>
      <c r="W895" s="72"/>
      <c r="X895" s="72"/>
      <c r="Y895" s="72"/>
      <c r="Z895" s="72"/>
    </row>
    <row r="896" ht="15.7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127"/>
      <c r="M896" s="127"/>
      <c r="N896" s="72"/>
      <c r="O896" s="72"/>
      <c r="P896" s="127"/>
      <c r="S896" s="72"/>
      <c r="T896" s="72"/>
      <c r="U896" s="72"/>
      <c r="V896" s="72"/>
      <c r="W896" s="72"/>
      <c r="X896" s="72"/>
      <c r="Y896" s="72"/>
      <c r="Z896" s="72"/>
    </row>
    <row r="897" ht="15.7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127"/>
      <c r="M897" s="127"/>
      <c r="N897" s="72"/>
      <c r="O897" s="72"/>
      <c r="P897" s="127"/>
      <c r="S897" s="72"/>
      <c r="T897" s="72"/>
      <c r="U897" s="72"/>
      <c r="V897" s="72"/>
      <c r="W897" s="72"/>
      <c r="X897" s="72"/>
      <c r="Y897" s="72"/>
      <c r="Z897" s="72"/>
    </row>
    <row r="898" ht="15.7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127"/>
      <c r="M898" s="127"/>
      <c r="N898" s="72"/>
      <c r="O898" s="72"/>
      <c r="P898" s="127"/>
      <c r="S898" s="72"/>
      <c r="T898" s="72"/>
      <c r="U898" s="72"/>
      <c r="V898" s="72"/>
      <c r="W898" s="72"/>
      <c r="X898" s="72"/>
      <c r="Y898" s="72"/>
      <c r="Z898" s="72"/>
    </row>
    <row r="899" ht="15.7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127"/>
      <c r="M899" s="127"/>
      <c r="N899" s="72"/>
      <c r="O899" s="72"/>
      <c r="P899" s="127"/>
      <c r="S899" s="72"/>
      <c r="T899" s="72"/>
      <c r="U899" s="72"/>
      <c r="V899" s="72"/>
      <c r="W899" s="72"/>
      <c r="X899" s="72"/>
      <c r="Y899" s="72"/>
      <c r="Z899" s="72"/>
    </row>
    <row r="900" ht="15.7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127"/>
      <c r="M900" s="127"/>
      <c r="N900" s="72"/>
      <c r="O900" s="72"/>
      <c r="P900" s="127"/>
      <c r="S900" s="72"/>
      <c r="T900" s="72"/>
      <c r="U900" s="72"/>
      <c r="V900" s="72"/>
      <c r="W900" s="72"/>
      <c r="X900" s="72"/>
      <c r="Y900" s="72"/>
      <c r="Z900" s="72"/>
    </row>
    <row r="901" ht="15.7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127"/>
      <c r="M901" s="127"/>
      <c r="N901" s="72"/>
      <c r="O901" s="72"/>
      <c r="P901" s="127"/>
      <c r="S901" s="72"/>
      <c r="T901" s="72"/>
      <c r="U901" s="72"/>
      <c r="V901" s="72"/>
      <c r="W901" s="72"/>
      <c r="X901" s="72"/>
      <c r="Y901" s="72"/>
      <c r="Z901" s="72"/>
    </row>
    <row r="902" ht="15.7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127"/>
      <c r="M902" s="127"/>
      <c r="N902" s="72"/>
      <c r="O902" s="72"/>
      <c r="P902" s="127"/>
      <c r="S902" s="72"/>
      <c r="T902" s="72"/>
      <c r="U902" s="72"/>
      <c r="V902" s="72"/>
      <c r="W902" s="72"/>
      <c r="X902" s="72"/>
      <c r="Y902" s="72"/>
      <c r="Z902" s="72"/>
    </row>
    <row r="903" ht="15.7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127"/>
      <c r="M903" s="127"/>
      <c r="N903" s="72"/>
      <c r="O903" s="72"/>
      <c r="P903" s="127"/>
      <c r="S903" s="72"/>
      <c r="T903" s="72"/>
      <c r="U903" s="72"/>
      <c r="V903" s="72"/>
      <c r="W903" s="72"/>
      <c r="X903" s="72"/>
      <c r="Y903" s="72"/>
      <c r="Z903" s="72"/>
    </row>
    <row r="904" ht="15.7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127"/>
      <c r="M904" s="127"/>
      <c r="N904" s="72"/>
      <c r="O904" s="72"/>
      <c r="P904" s="127"/>
      <c r="S904" s="72"/>
      <c r="T904" s="72"/>
      <c r="U904" s="72"/>
      <c r="V904" s="72"/>
      <c r="W904" s="72"/>
      <c r="X904" s="72"/>
      <c r="Y904" s="72"/>
      <c r="Z904" s="72"/>
    </row>
    <row r="905" ht="15.7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127"/>
      <c r="M905" s="127"/>
      <c r="N905" s="72"/>
      <c r="O905" s="72"/>
      <c r="P905" s="127"/>
      <c r="S905" s="72"/>
      <c r="T905" s="72"/>
      <c r="U905" s="72"/>
      <c r="V905" s="72"/>
      <c r="W905" s="72"/>
      <c r="X905" s="72"/>
      <c r="Y905" s="72"/>
      <c r="Z905" s="72"/>
    </row>
    <row r="906" ht="15.7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127"/>
      <c r="M906" s="127"/>
      <c r="N906" s="72"/>
      <c r="O906" s="72"/>
      <c r="P906" s="127"/>
      <c r="S906" s="72"/>
      <c r="T906" s="72"/>
      <c r="U906" s="72"/>
      <c r="V906" s="72"/>
      <c r="W906" s="72"/>
      <c r="X906" s="72"/>
      <c r="Y906" s="72"/>
      <c r="Z906" s="72"/>
    </row>
    <row r="907" ht="15.7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127"/>
      <c r="M907" s="127"/>
      <c r="N907" s="72"/>
      <c r="O907" s="72"/>
      <c r="P907" s="127"/>
      <c r="S907" s="72"/>
      <c r="T907" s="72"/>
      <c r="U907" s="72"/>
      <c r="V907" s="72"/>
      <c r="W907" s="72"/>
      <c r="X907" s="72"/>
      <c r="Y907" s="72"/>
      <c r="Z907" s="72"/>
    </row>
    <row r="908" ht="15.7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127"/>
      <c r="M908" s="127"/>
      <c r="N908" s="72"/>
      <c r="O908" s="72"/>
      <c r="P908" s="127"/>
      <c r="S908" s="72"/>
      <c r="T908" s="72"/>
      <c r="U908" s="72"/>
      <c r="V908" s="72"/>
      <c r="W908" s="72"/>
      <c r="X908" s="72"/>
      <c r="Y908" s="72"/>
      <c r="Z908" s="72"/>
    </row>
    <row r="909" ht="15.7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127"/>
      <c r="M909" s="127"/>
      <c r="N909" s="72"/>
      <c r="O909" s="72"/>
      <c r="P909" s="127"/>
      <c r="S909" s="72"/>
      <c r="T909" s="72"/>
      <c r="U909" s="72"/>
      <c r="V909" s="72"/>
      <c r="W909" s="72"/>
      <c r="X909" s="72"/>
      <c r="Y909" s="72"/>
      <c r="Z909" s="72"/>
    </row>
    <row r="910" ht="15.7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127"/>
      <c r="M910" s="127"/>
      <c r="N910" s="72"/>
      <c r="O910" s="72"/>
      <c r="P910" s="127"/>
      <c r="S910" s="72"/>
      <c r="T910" s="72"/>
      <c r="U910" s="72"/>
      <c r="V910" s="72"/>
      <c r="W910" s="72"/>
      <c r="X910" s="72"/>
      <c r="Y910" s="72"/>
      <c r="Z910" s="72"/>
    </row>
    <row r="911" ht="15.7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127"/>
      <c r="M911" s="127"/>
      <c r="N911" s="72"/>
      <c r="O911" s="72"/>
      <c r="P911" s="127"/>
      <c r="S911" s="72"/>
      <c r="T911" s="72"/>
      <c r="U911" s="72"/>
      <c r="V911" s="72"/>
      <c r="W911" s="72"/>
      <c r="X911" s="72"/>
      <c r="Y911" s="72"/>
      <c r="Z911" s="72"/>
    </row>
    <row r="912" ht="15.7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127"/>
      <c r="M912" s="127"/>
      <c r="N912" s="72"/>
      <c r="O912" s="72"/>
      <c r="P912" s="127"/>
      <c r="S912" s="72"/>
      <c r="T912" s="72"/>
      <c r="U912" s="72"/>
      <c r="V912" s="72"/>
      <c r="W912" s="72"/>
      <c r="X912" s="72"/>
      <c r="Y912" s="72"/>
      <c r="Z912" s="72"/>
    </row>
    <row r="913" ht="15.7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127"/>
      <c r="M913" s="127"/>
      <c r="N913" s="72"/>
      <c r="O913" s="72"/>
      <c r="P913" s="127"/>
      <c r="S913" s="72"/>
      <c r="T913" s="72"/>
      <c r="U913" s="72"/>
      <c r="V913" s="72"/>
      <c r="W913" s="72"/>
      <c r="X913" s="72"/>
      <c r="Y913" s="72"/>
      <c r="Z913" s="72"/>
    </row>
    <row r="914" ht="15.7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127"/>
      <c r="M914" s="127"/>
      <c r="N914" s="72"/>
      <c r="O914" s="72"/>
      <c r="P914" s="127"/>
      <c r="S914" s="72"/>
      <c r="T914" s="72"/>
      <c r="U914" s="72"/>
      <c r="V914" s="72"/>
      <c r="W914" s="72"/>
      <c r="X914" s="72"/>
      <c r="Y914" s="72"/>
      <c r="Z914" s="72"/>
    </row>
    <row r="915" ht="15.7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127"/>
      <c r="M915" s="127"/>
      <c r="N915" s="72"/>
      <c r="O915" s="72"/>
      <c r="P915" s="127"/>
      <c r="S915" s="72"/>
      <c r="T915" s="72"/>
      <c r="U915" s="72"/>
      <c r="V915" s="72"/>
      <c r="W915" s="72"/>
      <c r="X915" s="72"/>
      <c r="Y915" s="72"/>
      <c r="Z915" s="72"/>
    </row>
    <row r="916" ht="15.7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127"/>
      <c r="M916" s="127"/>
      <c r="N916" s="72"/>
      <c r="O916" s="72"/>
      <c r="P916" s="127"/>
      <c r="S916" s="72"/>
      <c r="T916" s="72"/>
      <c r="U916" s="72"/>
      <c r="V916" s="72"/>
      <c r="W916" s="72"/>
      <c r="X916" s="72"/>
      <c r="Y916" s="72"/>
      <c r="Z916" s="72"/>
    </row>
    <row r="917" ht="15.7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127"/>
      <c r="M917" s="127"/>
      <c r="N917" s="72"/>
      <c r="O917" s="72"/>
      <c r="P917" s="127"/>
      <c r="S917" s="72"/>
      <c r="T917" s="72"/>
      <c r="U917" s="72"/>
      <c r="V917" s="72"/>
      <c r="W917" s="72"/>
      <c r="X917" s="72"/>
      <c r="Y917" s="72"/>
      <c r="Z917" s="72"/>
    </row>
    <row r="918" ht="15.7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127"/>
      <c r="M918" s="127"/>
      <c r="N918" s="72"/>
      <c r="O918" s="72"/>
      <c r="P918" s="127"/>
      <c r="S918" s="72"/>
      <c r="T918" s="72"/>
      <c r="U918" s="72"/>
      <c r="V918" s="72"/>
      <c r="W918" s="72"/>
      <c r="X918" s="72"/>
      <c r="Y918" s="72"/>
      <c r="Z918" s="72"/>
    </row>
    <row r="919" ht="15.7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127"/>
      <c r="M919" s="127"/>
      <c r="N919" s="72"/>
      <c r="O919" s="72"/>
      <c r="P919" s="127"/>
      <c r="S919" s="72"/>
      <c r="T919" s="72"/>
      <c r="U919" s="72"/>
      <c r="V919" s="72"/>
      <c r="W919" s="72"/>
      <c r="X919" s="72"/>
      <c r="Y919" s="72"/>
      <c r="Z919" s="72"/>
    </row>
    <row r="920" ht="15.7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127"/>
      <c r="M920" s="127"/>
      <c r="N920" s="72"/>
      <c r="O920" s="72"/>
      <c r="P920" s="127"/>
      <c r="S920" s="72"/>
      <c r="T920" s="72"/>
      <c r="U920" s="72"/>
      <c r="V920" s="72"/>
      <c r="W920" s="72"/>
      <c r="X920" s="72"/>
      <c r="Y920" s="72"/>
      <c r="Z920" s="72"/>
    </row>
    <row r="921" ht="15.7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127"/>
      <c r="M921" s="127"/>
      <c r="N921" s="72"/>
      <c r="O921" s="72"/>
      <c r="P921" s="127"/>
      <c r="S921" s="72"/>
      <c r="T921" s="72"/>
      <c r="U921" s="72"/>
      <c r="V921" s="72"/>
      <c r="W921" s="72"/>
      <c r="X921" s="72"/>
      <c r="Y921" s="72"/>
      <c r="Z921" s="72"/>
    </row>
    <row r="922" ht="15.7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127"/>
      <c r="M922" s="127"/>
      <c r="N922" s="72"/>
      <c r="O922" s="72"/>
      <c r="P922" s="127"/>
      <c r="S922" s="72"/>
      <c r="T922" s="72"/>
      <c r="U922" s="72"/>
      <c r="V922" s="72"/>
      <c r="W922" s="72"/>
      <c r="X922" s="72"/>
      <c r="Y922" s="72"/>
      <c r="Z922" s="72"/>
    </row>
    <row r="923" ht="15.7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127"/>
      <c r="M923" s="127"/>
      <c r="N923" s="72"/>
      <c r="O923" s="72"/>
      <c r="P923" s="127"/>
      <c r="S923" s="72"/>
      <c r="T923" s="72"/>
      <c r="U923" s="72"/>
      <c r="V923" s="72"/>
      <c r="W923" s="72"/>
      <c r="X923" s="72"/>
      <c r="Y923" s="72"/>
      <c r="Z923" s="72"/>
    </row>
    <row r="924" ht="15.7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127"/>
      <c r="M924" s="127"/>
      <c r="N924" s="72"/>
      <c r="O924" s="72"/>
      <c r="P924" s="127"/>
      <c r="S924" s="72"/>
      <c r="T924" s="72"/>
      <c r="U924" s="72"/>
      <c r="V924" s="72"/>
      <c r="W924" s="72"/>
      <c r="X924" s="72"/>
      <c r="Y924" s="72"/>
      <c r="Z924" s="72"/>
    </row>
    <row r="925" ht="15.7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127"/>
      <c r="M925" s="127"/>
      <c r="N925" s="72"/>
      <c r="O925" s="72"/>
      <c r="P925" s="127"/>
      <c r="S925" s="72"/>
      <c r="T925" s="72"/>
      <c r="U925" s="72"/>
      <c r="V925" s="72"/>
      <c r="W925" s="72"/>
      <c r="X925" s="72"/>
      <c r="Y925" s="72"/>
      <c r="Z925" s="72"/>
    </row>
    <row r="926" ht="15.7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127"/>
      <c r="M926" s="127"/>
      <c r="N926" s="72"/>
      <c r="O926" s="72"/>
      <c r="P926" s="127"/>
      <c r="S926" s="72"/>
      <c r="T926" s="72"/>
      <c r="U926" s="72"/>
      <c r="V926" s="72"/>
      <c r="W926" s="72"/>
      <c r="X926" s="72"/>
      <c r="Y926" s="72"/>
      <c r="Z926" s="72"/>
    </row>
    <row r="927" ht="15.7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127"/>
      <c r="M927" s="127"/>
      <c r="N927" s="72"/>
      <c r="O927" s="72"/>
      <c r="P927" s="127"/>
      <c r="S927" s="72"/>
      <c r="T927" s="72"/>
      <c r="U927" s="72"/>
      <c r="V927" s="72"/>
      <c r="W927" s="72"/>
      <c r="X927" s="72"/>
      <c r="Y927" s="72"/>
      <c r="Z927" s="72"/>
    </row>
    <row r="928" ht="15.7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127"/>
      <c r="M928" s="127"/>
      <c r="N928" s="72"/>
      <c r="O928" s="72"/>
      <c r="P928" s="127"/>
      <c r="S928" s="72"/>
      <c r="T928" s="72"/>
      <c r="U928" s="72"/>
      <c r="V928" s="72"/>
      <c r="W928" s="72"/>
      <c r="X928" s="72"/>
      <c r="Y928" s="72"/>
      <c r="Z928" s="72"/>
    </row>
    <row r="929" ht="15.7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127"/>
      <c r="M929" s="127"/>
      <c r="N929" s="72"/>
      <c r="O929" s="72"/>
      <c r="P929" s="127"/>
      <c r="S929" s="72"/>
      <c r="T929" s="72"/>
      <c r="U929" s="72"/>
      <c r="V929" s="72"/>
      <c r="W929" s="72"/>
      <c r="X929" s="72"/>
      <c r="Y929" s="72"/>
      <c r="Z929" s="72"/>
    </row>
    <row r="930" ht="15.7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127"/>
      <c r="M930" s="127"/>
      <c r="N930" s="72"/>
      <c r="O930" s="72"/>
      <c r="P930" s="127"/>
      <c r="S930" s="72"/>
      <c r="T930" s="72"/>
      <c r="U930" s="72"/>
      <c r="V930" s="72"/>
      <c r="W930" s="72"/>
      <c r="X930" s="72"/>
      <c r="Y930" s="72"/>
      <c r="Z930" s="72"/>
    </row>
    <row r="931" ht="15.7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127"/>
      <c r="M931" s="127"/>
      <c r="N931" s="72"/>
      <c r="O931" s="72"/>
      <c r="P931" s="127"/>
      <c r="S931" s="72"/>
      <c r="T931" s="72"/>
      <c r="U931" s="72"/>
      <c r="V931" s="72"/>
      <c r="W931" s="72"/>
      <c r="X931" s="72"/>
      <c r="Y931" s="72"/>
      <c r="Z931" s="72"/>
    </row>
    <row r="932" ht="15.7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127"/>
      <c r="M932" s="127"/>
      <c r="N932" s="72"/>
      <c r="O932" s="72"/>
      <c r="P932" s="127"/>
      <c r="S932" s="72"/>
      <c r="T932" s="72"/>
      <c r="U932" s="72"/>
      <c r="V932" s="72"/>
      <c r="W932" s="72"/>
      <c r="X932" s="72"/>
      <c r="Y932" s="72"/>
      <c r="Z932" s="72"/>
    </row>
    <row r="933" ht="15.7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127"/>
      <c r="M933" s="127"/>
      <c r="N933" s="72"/>
      <c r="O933" s="72"/>
      <c r="P933" s="127"/>
      <c r="S933" s="72"/>
      <c r="T933" s="72"/>
      <c r="U933" s="72"/>
      <c r="V933" s="72"/>
      <c r="W933" s="72"/>
      <c r="X933" s="72"/>
      <c r="Y933" s="72"/>
      <c r="Z933" s="72"/>
    </row>
    <row r="934" ht="15.7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127"/>
      <c r="M934" s="127"/>
      <c r="N934" s="72"/>
      <c r="O934" s="72"/>
      <c r="P934" s="127"/>
      <c r="S934" s="72"/>
      <c r="T934" s="72"/>
      <c r="U934" s="72"/>
      <c r="V934" s="72"/>
      <c r="W934" s="72"/>
      <c r="X934" s="72"/>
      <c r="Y934" s="72"/>
      <c r="Z934" s="72"/>
    </row>
    <row r="935" ht="15.7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127"/>
      <c r="M935" s="127"/>
      <c r="N935" s="72"/>
      <c r="O935" s="72"/>
      <c r="P935" s="127"/>
      <c r="S935" s="72"/>
      <c r="T935" s="72"/>
      <c r="U935" s="72"/>
      <c r="V935" s="72"/>
      <c r="W935" s="72"/>
      <c r="X935" s="72"/>
      <c r="Y935" s="72"/>
      <c r="Z935" s="72"/>
    </row>
    <row r="936" ht="15.7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127"/>
      <c r="M936" s="127"/>
      <c r="N936" s="72"/>
      <c r="O936" s="72"/>
      <c r="P936" s="127"/>
      <c r="S936" s="72"/>
      <c r="T936" s="72"/>
      <c r="U936" s="72"/>
      <c r="V936" s="72"/>
      <c r="W936" s="72"/>
      <c r="X936" s="72"/>
      <c r="Y936" s="72"/>
      <c r="Z936" s="72"/>
    </row>
    <row r="937" ht="15.7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127"/>
      <c r="M937" s="127"/>
      <c r="N937" s="72"/>
      <c r="O937" s="72"/>
      <c r="P937" s="127"/>
      <c r="S937" s="72"/>
      <c r="T937" s="72"/>
      <c r="U937" s="72"/>
      <c r="V937" s="72"/>
      <c r="W937" s="72"/>
      <c r="X937" s="72"/>
      <c r="Y937" s="72"/>
      <c r="Z937" s="72"/>
    </row>
    <row r="938" ht="15.7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127"/>
      <c r="M938" s="127"/>
      <c r="N938" s="72"/>
      <c r="O938" s="72"/>
      <c r="P938" s="127"/>
      <c r="S938" s="72"/>
      <c r="T938" s="72"/>
      <c r="U938" s="72"/>
      <c r="V938" s="72"/>
      <c r="W938" s="72"/>
      <c r="X938" s="72"/>
      <c r="Y938" s="72"/>
      <c r="Z938" s="72"/>
    </row>
    <row r="939" ht="15.7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127"/>
      <c r="M939" s="127"/>
      <c r="N939" s="72"/>
      <c r="O939" s="72"/>
      <c r="P939" s="127"/>
      <c r="S939" s="72"/>
      <c r="T939" s="72"/>
      <c r="U939" s="72"/>
      <c r="V939" s="72"/>
      <c r="W939" s="72"/>
      <c r="X939" s="72"/>
      <c r="Y939" s="72"/>
      <c r="Z939" s="72"/>
    </row>
    <row r="940" ht="15.7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127"/>
      <c r="M940" s="127"/>
      <c r="N940" s="72"/>
      <c r="O940" s="72"/>
      <c r="P940" s="127"/>
      <c r="S940" s="72"/>
      <c r="T940" s="72"/>
      <c r="U940" s="72"/>
      <c r="V940" s="72"/>
      <c r="W940" s="72"/>
      <c r="X940" s="72"/>
      <c r="Y940" s="72"/>
      <c r="Z940" s="72"/>
    </row>
    <row r="941" ht="15.7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127"/>
      <c r="M941" s="127"/>
      <c r="N941" s="72"/>
      <c r="O941" s="72"/>
      <c r="P941" s="127"/>
      <c r="S941" s="72"/>
      <c r="T941" s="72"/>
      <c r="U941" s="72"/>
      <c r="V941" s="72"/>
      <c r="W941" s="72"/>
      <c r="X941" s="72"/>
      <c r="Y941" s="72"/>
      <c r="Z941" s="72"/>
    </row>
    <row r="942" ht="15.7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127"/>
      <c r="M942" s="127"/>
      <c r="N942" s="72"/>
      <c r="O942" s="72"/>
      <c r="P942" s="127"/>
      <c r="S942" s="72"/>
      <c r="T942" s="72"/>
      <c r="U942" s="72"/>
      <c r="V942" s="72"/>
      <c r="W942" s="72"/>
      <c r="X942" s="72"/>
      <c r="Y942" s="72"/>
      <c r="Z942" s="72"/>
    </row>
    <row r="943" ht="15.7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127"/>
      <c r="M943" s="127"/>
      <c r="N943" s="72"/>
      <c r="O943" s="72"/>
      <c r="P943" s="127"/>
      <c r="S943" s="72"/>
      <c r="T943" s="72"/>
      <c r="U943" s="72"/>
      <c r="V943" s="72"/>
      <c r="W943" s="72"/>
      <c r="X943" s="72"/>
      <c r="Y943" s="72"/>
      <c r="Z943" s="72"/>
    </row>
    <row r="944" ht="15.7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127"/>
      <c r="M944" s="127"/>
      <c r="N944" s="72"/>
      <c r="O944" s="72"/>
      <c r="P944" s="127"/>
      <c r="S944" s="72"/>
      <c r="T944" s="72"/>
      <c r="U944" s="72"/>
      <c r="V944" s="72"/>
      <c r="W944" s="72"/>
      <c r="X944" s="72"/>
      <c r="Y944" s="72"/>
      <c r="Z944" s="72"/>
    </row>
    <row r="945" ht="15.7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127"/>
      <c r="M945" s="127"/>
      <c r="N945" s="72"/>
      <c r="O945" s="72"/>
      <c r="P945" s="127"/>
      <c r="S945" s="72"/>
      <c r="T945" s="72"/>
      <c r="U945" s="72"/>
      <c r="V945" s="72"/>
      <c r="W945" s="72"/>
      <c r="X945" s="72"/>
      <c r="Y945" s="72"/>
      <c r="Z945" s="72"/>
    </row>
    <row r="946" ht="15.7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127"/>
      <c r="M946" s="127"/>
      <c r="N946" s="72"/>
      <c r="O946" s="72"/>
      <c r="P946" s="127"/>
      <c r="S946" s="72"/>
      <c r="T946" s="72"/>
      <c r="U946" s="72"/>
      <c r="V946" s="72"/>
      <c r="W946" s="72"/>
      <c r="X946" s="72"/>
      <c r="Y946" s="72"/>
      <c r="Z946" s="72"/>
    </row>
    <row r="947" ht="15.7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127"/>
      <c r="M947" s="127"/>
      <c r="N947" s="72"/>
      <c r="O947" s="72"/>
      <c r="P947" s="127"/>
      <c r="S947" s="72"/>
      <c r="T947" s="72"/>
      <c r="U947" s="72"/>
      <c r="V947" s="72"/>
      <c r="W947" s="72"/>
      <c r="X947" s="72"/>
      <c r="Y947" s="72"/>
      <c r="Z947" s="72"/>
    </row>
    <row r="948" ht="15.7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127"/>
      <c r="M948" s="127"/>
      <c r="N948" s="72"/>
      <c r="O948" s="72"/>
      <c r="P948" s="127"/>
      <c r="S948" s="72"/>
      <c r="T948" s="72"/>
      <c r="U948" s="72"/>
      <c r="V948" s="72"/>
      <c r="W948" s="72"/>
      <c r="X948" s="72"/>
      <c r="Y948" s="72"/>
      <c r="Z948" s="72"/>
    </row>
    <row r="949" ht="15.7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127"/>
      <c r="M949" s="127"/>
      <c r="N949" s="72"/>
      <c r="O949" s="72"/>
      <c r="P949" s="127"/>
      <c r="S949" s="72"/>
      <c r="T949" s="72"/>
      <c r="U949" s="72"/>
      <c r="V949" s="72"/>
      <c r="W949" s="72"/>
      <c r="X949" s="72"/>
      <c r="Y949" s="72"/>
      <c r="Z949" s="72"/>
    </row>
    <row r="950" ht="15.7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127"/>
      <c r="M950" s="127"/>
      <c r="N950" s="72"/>
      <c r="O950" s="72"/>
      <c r="P950" s="127"/>
      <c r="S950" s="72"/>
      <c r="T950" s="72"/>
      <c r="U950" s="72"/>
      <c r="V950" s="72"/>
      <c r="W950" s="72"/>
      <c r="X950" s="72"/>
      <c r="Y950" s="72"/>
      <c r="Z950" s="72"/>
    </row>
    <row r="951" ht="15.7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127"/>
      <c r="M951" s="127"/>
      <c r="N951" s="72"/>
      <c r="O951" s="72"/>
      <c r="P951" s="127"/>
      <c r="S951" s="72"/>
      <c r="T951" s="72"/>
      <c r="U951" s="72"/>
      <c r="V951" s="72"/>
      <c r="W951" s="72"/>
      <c r="X951" s="72"/>
      <c r="Y951" s="72"/>
      <c r="Z951" s="72"/>
    </row>
    <row r="952" ht="15.7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127"/>
      <c r="M952" s="127"/>
      <c r="N952" s="72"/>
      <c r="O952" s="72"/>
      <c r="P952" s="127"/>
      <c r="S952" s="72"/>
      <c r="T952" s="72"/>
      <c r="U952" s="72"/>
      <c r="V952" s="72"/>
      <c r="W952" s="72"/>
      <c r="X952" s="72"/>
      <c r="Y952" s="72"/>
      <c r="Z952" s="72"/>
    </row>
    <row r="953" ht="15.7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127"/>
      <c r="M953" s="127"/>
      <c r="N953" s="72"/>
      <c r="O953" s="72"/>
      <c r="P953" s="127"/>
      <c r="S953" s="72"/>
      <c r="T953" s="72"/>
      <c r="U953" s="72"/>
      <c r="V953" s="72"/>
      <c r="W953" s="72"/>
      <c r="X953" s="72"/>
      <c r="Y953" s="72"/>
      <c r="Z953" s="72"/>
    </row>
    <row r="954" ht="15.7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127"/>
      <c r="M954" s="127"/>
      <c r="N954" s="72"/>
      <c r="O954" s="72"/>
      <c r="P954" s="127"/>
      <c r="S954" s="72"/>
      <c r="T954" s="72"/>
      <c r="U954" s="72"/>
      <c r="V954" s="72"/>
      <c r="W954" s="72"/>
      <c r="X954" s="72"/>
      <c r="Y954" s="72"/>
      <c r="Z954" s="72"/>
    </row>
    <row r="955" ht="15.7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127"/>
      <c r="M955" s="127"/>
      <c r="N955" s="72"/>
      <c r="O955" s="72"/>
      <c r="P955" s="127"/>
      <c r="S955" s="72"/>
      <c r="T955" s="72"/>
      <c r="U955" s="72"/>
      <c r="V955" s="72"/>
      <c r="W955" s="72"/>
      <c r="X955" s="72"/>
      <c r="Y955" s="72"/>
      <c r="Z955" s="72"/>
    </row>
    <row r="956" ht="15.7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127"/>
      <c r="M956" s="127"/>
      <c r="N956" s="72"/>
      <c r="O956" s="72"/>
      <c r="P956" s="127"/>
      <c r="S956" s="72"/>
      <c r="T956" s="72"/>
      <c r="U956" s="72"/>
      <c r="V956" s="72"/>
      <c r="W956" s="72"/>
      <c r="X956" s="72"/>
      <c r="Y956" s="72"/>
      <c r="Z956" s="72"/>
    </row>
    <row r="957" ht="15.7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127"/>
      <c r="M957" s="127"/>
      <c r="N957" s="72"/>
      <c r="O957" s="72"/>
      <c r="P957" s="127"/>
      <c r="S957" s="72"/>
      <c r="T957" s="72"/>
      <c r="U957" s="72"/>
      <c r="V957" s="72"/>
      <c r="W957" s="72"/>
      <c r="X957" s="72"/>
      <c r="Y957" s="72"/>
      <c r="Z957" s="72"/>
    </row>
    <row r="958" ht="15.7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127"/>
      <c r="M958" s="127"/>
      <c r="N958" s="72"/>
      <c r="O958" s="72"/>
      <c r="P958" s="127"/>
      <c r="S958" s="72"/>
      <c r="T958" s="72"/>
      <c r="U958" s="72"/>
      <c r="V958" s="72"/>
      <c r="W958" s="72"/>
      <c r="X958" s="72"/>
      <c r="Y958" s="72"/>
      <c r="Z958" s="72"/>
    </row>
    <row r="959" ht="15.7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127"/>
      <c r="M959" s="127"/>
      <c r="N959" s="72"/>
      <c r="O959" s="72"/>
      <c r="P959" s="127"/>
      <c r="S959" s="72"/>
      <c r="T959" s="72"/>
      <c r="U959" s="72"/>
      <c r="V959" s="72"/>
      <c r="W959" s="72"/>
      <c r="X959" s="72"/>
      <c r="Y959" s="72"/>
      <c r="Z959" s="72"/>
    </row>
    <row r="960" ht="15.7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127"/>
      <c r="M960" s="127"/>
      <c r="N960" s="72"/>
      <c r="O960" s="72"/>
      <c r="P960" s="127"/>
      <c r="S960" s="72"/>
      <c r="T960" s="72"/>
      <c r="U960" s="72"/>
      <c r="V960" s="72"/>
      <c r="W960" s="72"/>
      <c r="X960" s="72"/>
      <c r="Y960" s="72"/>
      <c r="Z960" s="72"/>
    </row>
    <row r="961" ht="15.7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127"/>
      <c r="M961" s="127"/>
      <c r="N961" s="72"/>
      <c r="O961" s="72"/>
      <c r="P961" s="127"/>
      <c r="S961" s="72"/>
      <c r="T961" s="72"/>
      <c r="U961" s="72"/>
      <c r="V961" s="72"/>
      <c r="W961" s="72"/>
      <c r="X961" s="72"/>
      <c r="Y961" s="72"/>
      <c r="Z961" s="72"/>
    </row>
    <row r="962" ht="15.7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127"/>
      <c r="M962" s="127"/>
      <c r="N962" s="72"/>
      <c r="O962" s="72"/>
      <c r="P962" s="127"/>
      <c r="S962" s="72"/>
      <c r="T962" s="72"/>
      <c r="U962" s="72"/>
      <c r="V962" s="72"/>
      <c r="W962" s="72"/>
      <c r="X962" s="72"/>
      <c r="Y962" s="72"/>
      <c r="Z962" s="72"/>
    </row>
    <row r="963" ht="15.7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127"/>
      <c r="M963" s="127"/>
      <c r="N963" s="72"/>
      <c r="O963" s="72"/>
      <c r="P963" s="127"/>
      <c r="S963" s="72"/>
      <c r="T963" s="72"/>
      <c r="U963" s="72"/>
      <c r="V963" s="72"/>
      <c r="W963" s="72"/>
      <c r="X963" s="72"/>
      <c r="Y963" s="72"/>
      <c r="Z963" s="72"/>
    </row>
    <row r="964" ht="15.7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127"/>
      <c r="M964" s="127"/>
      <c r="N964" s="72"/>
      <c r="O964" s="72"/>
      <c r="P964" s="127"/>
      <c r="S964" s="72"/>
      <c r="T964" s="72"/>
      <c r="U964" s="72"/>
      <c r="V964" s="72"/>
      <c r="W964" s="72"/>
      <c r="X964" s="72"/>
      <c r="Y964" s="72"/>
      <c r="Z964" s="72"/>
    </row>
    <row r="965" ht="15.7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127"/>
      <c r="M965" s="127"/>
      <c r="N965" s="72"/>
      <c r="O965" s="72"/>
      <c r="P965" s="127"/>
      <c r="S965" s="72"/>
      <c r="T965" s="72"/>
      <c r="U965" s="72"/>
      <c r="V965" s="72"/>
      <c r="W965" s="72"/>
      <c r="X965" s="72"/>
      <c r="Y965" s="72"/>
      <c r="Z965" s="72"/>
    </row>
    <row r="966" ht="15.7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127"/>
      <c r="M966" s="127"/>
      <c r="N966" s="72"/>
      <c r="O966" s="72"/>
      <c r="P966" s="127"/>
      <c r="S966" s="72"/>
      <c r="T966" s="72"/>
      <c r="U966" s="72"/>
      <c r="V966" s="72"/>
      <c r="W966" s="72"/>
      <c r="X966" s="72"/>
      <c r="Y966" s="72"/>
      <c r="Z966" s="72"/>
    </row>
    <row r="967" ht="15.7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127"/>
      <c r="M967" s="127"/>
      <c r="N967" s="72"/>
      <c r="O967" s="72"/>
      <c r="P967" s="127"/>
      <c r="S967" s="72"/>
      <c r="T967" s="72"/>
      <c r="U967" s="72"/>
      <c r="V967" s="72"/>
      <c r="W967" s="72"/>
      <c r="X967" s="72"/>
      <c r="Y967" s="72"/>
      <c r="Z967" s="72"/>
    </row>
    <row r="968" ht="15.7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127"/>
      <c r="M968" s="127"/>
      <c r="N968" s="72"/>
      <c r="O968" s="72"/>
      <c r="P968" s="127"/>
      <c r="S968" s="72"/>
      <c r="T968" s="72"/>
      <c r="U968" s="72"/>
      <c r="V968" s="72"/>
      <c r="W968" s="72"/>
      <c r="X968" s="72"/>
      <c r="Y968" s="72"/>
      <c r="Z968" s="72"/>
    </row>
    <row r="969" ht="15.7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127"/>
      <c r="M969" s="127"/>
      <c r="N969" s="72"/>
      <c r="O969" s="72"/>
      <c r="P969" s="127"/>
      <c r="S969" s="72"/>
      <c r="T969" s="72"/>
      <c r="U969" s="72"/>
      <c r="V969" s="72"/>
      <c r="W969" s="72"/>
      <c r="X969" s="72"/>
      <c r="Y969" s="72"/>
      <c r="Z969" s="72"/>
    </row>
    <row r="970" ht="15.7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127"/>
      <c r="M970" s="127"/>
      <c r="N970" s="72"/>
      <c r="O970" s="72"/>
      <c r="P970" s="127"/>
      <c r="S970" s="72"/>
      <c r="T970" s="72"/>
      <c r="U970" s="72"/>
      <c r="V970" s="72"/>
      <c r="W970" s="72"/>
      <c r="X970" s="72"/>
      <c r="Y970" s="72"/>
      <c r="Z970" s="72"/>
    </row>
    <row r="971" ht="15.7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127"/>
      <c r="M971" s="127"/>
      <c r="N971" s="72"/>
      <c r="O971" s="72"/>
      <c r="P971" s="127"/>
      <c r="S971" s="72"/>
      <c r="T971" s="72"/>
      <c r="U971" s="72"/>
      <c r="V971" s="72"/>
      <c r="W971" s="72"/>
      <c r="X971" s="72"/>
      <c r="Y971" s="72"/>
      <c r="Z971" s="72"/>
    </row>
    <row r="972" ht="15.7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127"/>
      <c r="M972" s="127"/>
      <c r="N972" s="72"/>
      <c r="O972" s="72"/>
      <c r="P972" s="127"/>
      <c r="S972" s="72"/>
      <c r="T972" s="72"/>
      <c r="U972" s="72"/>
      <c r="V972" s="72"/>
      <c r="W972" s="72"/>
      <c r="X972" s="72"/>
      <c r="Y972" s="72"/>
      <c r="Z972" s="72"/>
    </row>
    <row r="973" ht="15.7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127"/>
      <c r="M973" s="127"/>
      <c r="N973" s="72"/>
      <c r="O973" s="72"/>
      <c r="P973" s="127"/>
      <c r="S973" s="72"/>
      <c r="T973" s="72"/>
      <c r="U973" s="72"/>
      <c r="V973" s="72"/>
      <c r="W973" s="72"/>
      <c r="X973" s="72"/>
      <c r="Y973" s="72"/>
      <c r="Z973" s="72"/>
    </row>
    <row r="974" ht="15.7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127"/>
      <c r="M974" s="127"/>
      <c r="N974" s="72"/>
      <c r="O974" s="72"/>
      <c r="P974" s="127"/>
      <c r="S974" s="72"/>
      <c r="T974" s="72"/>
      <c r="U974" s="72"/>
      <c r="V974" s="72"/>
      <c r="W974" s="72"/>
      <c r="X974" s="72"/>
      <c r="Y974" s="72"/>
      <c r="Z974" s="72"/>
    </row>
    <row r="975" ht="15.7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127"/>
      <c r="M975" s="127"/>
      <c r="N975" s="72"/>
      <c r="O975" s="72"/>
      <c r="P975" s="127"/>
      <c r="S975" s="72"/>
      <c r="T975" s="72"/>
      <c r="U975" s="72"/>
      <c r="V975" s="72"/>
      <c r="W975" s="72"/>
      <c r="X975" s="72"/>
      <c r="Y975" s="72"/>
      <c r="Z975" s="72"/>
    </row>
    <row r="976" ht="15.7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127"/>
      <c r="M976" s="127"/>
      <c r="N976" s="72"/>
      <c r="O976" s="72"/>
      <c r="P976" s="127"/>
      <c r="S976" s="72"/>
      <c r="T976" s="72"/>
      <c r="U976" s="72"/>
      <c r="V976" s="72"/>
      <c r="W976" s="72"/>
      <c r="X976" s="72"/>
      <c r="Y976" s="72"/>
      <c r="Z976" s="72"/>
    </row>
    <row r="977" ht="15.7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127"/>
      <c r="M977" s="127"/>
      <c r="N977" s="72"/>
      <c r="O977" s="72"/>
      <c r="P977" s="127"/>
      <c r="S977" s="72"/>
      <c r="T977" s="72"/>
      <c r="U977" s="72"/>
      <c r="V977" s="72"/>
      <c r="W977" s="72"/>
      <c r="X977" s="72"/>
      <c r="Y977" s="72"/>
      <c r="Z977" s="72"/>
    </row>
    <row r="978" ht="15.7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127"/>
      <c r="M978" s="127"/>
      <c r="N978" s="72"/>
      <c r="O978" s="72"/>
      <c r="P978" s="127"/>
      <c r="S978" s="72"/>
      <c r="T978" s="72"/>
      <c r="U978" s="72"/>
      <c r="V978" s="72"/>
      <c r="W978" s="72"/>
      <c r="X978" s="72"/>
      <c r="Y978" s="72"/>
      <c r="Z978" s="72"/>
    </row>
    <row r="979" ht="15.7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127"/>
      <c r="M979" s="127"/>
      <c r="N979" s="72"/>
      <c r="O979" s="72"/>
      <c r="P979" s="127"/>
      <c r="S979" s="72"/>
      <c r="T979" s="72"/>
      <c r="U979" s="72"/>
      <c r="V979" s="72"/>
      <c r="W979" s="72"/>
      <c r="X979" s="72"/>
      <c r="Y979" s="72"/>
      <c r="Z979" s="72"/>
    </row>
    <row r="980" ht="15.7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127"/>
      <c r="M980" s="127"/>
      <c r="N980" s="72"/>
      <c r="O980" s="72"/>
      <c r="P980" s="127"/>
      <c r="S980" s="72"/>
      <c r="T980" s="72"/>
      <c r="U980" s="72"/>
      <c r="V980" s="72"/>
      <c r="W980" s="72"/>
      <c r="X980" s="72"/>
      <c r="Y980" s="72"/>
      <c r="Z980" s="72"/>
    </row>
    <row r="981" ht="15.7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127"/>
      <c r="M981" s="127"/>
      <c r="N981" s="72"/>
      <c r="O981" s="72"/>
      <c r="P981" s="127"/>
      <c r="S981" s="72"/>
      <c r="T981" s="72"/>
      <c r="U981" s="72"/>
      <c r="V981" s="72"/>
      <c r="W981" s="72"/>
      <c r="X981" s="72"/>
      <c r="Y981" s="72"/>
      <c r="Z981" s="72"/>
    </row>
    <row r="982" ht="15.7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127"/>
      <c r="M982" s="127"/>
      <c r="N982" s="72"/>
      <c r="O982" s="72"/>
      <c r="P982" s="127"/>
      <c r="S982" s="72"/>
      <c r="T982" s="72"/>
      <c r="U982" s="72"/>
      <c r="V982" s="72"/>
      <c r="W982" s="72"/>
      <c r="X982" s="72"/>
      <c r="Y982" s="72"/>
      <c r="Z982" s="72"/>
    </row>
    <row r="983" ht="15.7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127"/>
      <c r="M983" s="127"/>
      <c r="N983" s="72"/>
      <c r="O983" s="72"/>
      <c r="P983" s="127"/>
      <c r="S983" s="72"/>
      <c r="T983" s="72"/>
      <c r="U983" s="72"/>
      <c r="V983" s="72"/>
      <c r="W983" s="72"/>
      <c r="X983" s="72"/>
      <c r="Y983" s="72"/>
      <c r="Z983" s="72"/>
    </row>
    <row r="984" ht="15.7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127"/>
      <c r="M984" s="127"/>
      <c r="N984" s="72"/>
      <c r="O984" s="72"/>
      <c r="P984" s="127"/>
      <c r="S984" s="72"/>
      <c r="T984" s="72"/>
      <c r="U984" s="72"/>
      <c r="V984" s="72"/>
      <c r="W984" s="72"/>
      <c r="X984" s="72"/>
      <c r="Y984" s="72"/>
      <c r="Z984" s="72"/>
    </row>
    <row r="985" ht="15.7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127"/>
      <c r="M985" s="127"/>
      <c r="N985" s="72"/>
      <c r="O985" s="72"/>
      <c r="P985" s="127"/>
      <c r="S985" s="72"/>
      <c r="T985" s="72"/>
      <c r="U985" s="72"/>
      <c r="V985" s="72"/>
      <c r="W985" s="72"/>
      <c r="X985" s="72"/>
      <c r="Y985" s="72"/>
      <c r="Z985" s="72"/>
    </row>
    <row r="986" ht="15.7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127"/>
      <c r="M986" s="127"/>
      <c r="N986" s="72"/>
      <c r="O986" s="72"/>
      <c r="P986" s="127"/>
      <c r="S986" s="72"/>
      <c r="T986" s="72"/>
      <c r="U986" s="72"/>
      <c r="V986" s="72"/>
      <c r="W986" s="72"/>
      <c r="X986" s="72"/>
      <c r="Y986" s="72"/>
      <c r="Z986" s="72"/>
    </row>
    <row r="987" ht="15.7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127"/>
      <c r="M987" s="127"/>
      <c r="N987" s="72"/>
      <c r="O987" s="72"/>
      <c r="P987" s="127"/>
      <c r="S987" s="72"/>
      <c r="T987" s="72"/>
      <c r="U987" s="72"/>
      <c r="V987" s="72"/>
      <c r="W987" s="72"/>
      <c r="X987" s="72"/>
      <c r="Y987" s="72"/>
      <c r="Z987" s="72"/>
    </row>
    <row r="988" ht="15.7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127"/>
      <c r="M988" s="127"/>
      <c r="N988" s="72"/>
      <c r="O988" s="72"/>
      <c r="P988" s="127"/>
      <c r="S988" s="72"/>
      <c r="T988" s="72"/>
      <c r="U988" s="72"/>
      <c r="V988" s="72"/>
      <c r="W988" s="72"/>
      <c r="X988" s="72"/>
      <c r="Y988" s="72"/>
      <c r="Z988" s="72"/>
    </row>
    <row r="989" ht="15.7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127"/>
      <c r="M989" s="127"/>
      <c r="N989" s="72"/>
      <c r="O989" s="72"/>
      <c r="P989" s="127"/>
      <c r="S989" s="72"/>
      <c r="T989" s="72"/>
      <c r="U989" s="72"/>
      <c r="V989" s="72"/>
      <c r="W989" s="72"/>
      <c r="X989" s="72"/>
      <c r="Y989" s="72"/>
      <c r="Z989" s="72"/>
    </row>
    <row r="990" ht="15.7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127"/>
      <c r="M990" s="127"/>
      <c r="N990" s="72"/>
      <c r="O990" s="72"/>
      <c r="P990" s="127"/>
      <c r="S990" s="72"/>
      <c r="T990" s="72"/>
      <c r="U990" s="72"/>
      <c r="V990" s="72"/>
      <c r="W990" s="72"/>
      <c r="X990" s="72"/>
      <c r="Y990" s="72"/>
      <c r="Z990" s="72"/>
    </row>
    <row r="991" ht="15.7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127"/>
      <c r="M991" s="127"/>
      <c r="N991" s="72"/>
      <c r="O991" s="72"/>
      <c r="P991" s="127"/>
      <c r="S991" s="72"/>
      <c r="T991" s="72"/>
      <c r="U991" s="72"/>
      <c r="V991" s="72"/>
      <c r="W991" s="72"/>
      <c r="X991" s="72"/>
      <c r="Y991" s="72"/>
      <c r="Z991" s="72"/>
    </row>
    <row r="992" ht="15.7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127"/>
      <c r="M992" s="127"/>
      <c r="N992" s="72"/>
      <c r="O992" s="72"/>
      <c r="P992" s="127"/>
      <c r="S992" s="72"/>
      <c r="T992" s="72"/>
      <c r="U992" s="72"/>
      <c r="V992" s="72"/>
      <c r="W992" s="72"/>
      <c r="X992" s="72"/>
      <c r="Y992" s="72"/>
      <c r="Z992" s="72"/>
    </row>
    <row r="993" ht="15.7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127"/>
      <c r="M993" s="127"/>
      <c r="N993" s="72"/>
      <c r="O993" s="72"/>
      <c r="P993" s="127"/>
      <c r="S993" s="72"/>
      <c r="T993" s="72"/>
      <c r="U993" s="72"/>
      <c r="V993" s="72"/>
      <c r="W993" s="72"/>
      <c r="X993" s="72"/>
      <c r="Y993" s="72"/>
      <c r="Z993" s="72"/>
    </row>
    <row r="994" ht="15.7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127"/>
      <c r="M994" s="127"/>
      <c r="N994" s="72"/>
      <c r="O994" s="72"/>
      <c r="P994" s="127"/>
      <c r="S994" s="72"/>
      <c r="T994" s="72"/>
      <c r="U994" s="72"/>
      <c r="V994" s="72"/>
      <c r="W994" s="72"/>
      <c r="X994" s="72"/>
      <c r="Y994" s="72"/>
      <c r="Z994" s="72"/>
    </row>
    <row r="995" ht="15.7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127"/>
      <c r="M995" s="127"/>
      <c r="N995" s="72"/>
      <c r="O995" s="72"/>
      <c r="P995" s="127"/>
      <c r="S995" s="72"/>
      <c r="T995" s="72"/>
      <c r="U995" s="72"/>
      <c r="V995" s="72"/>
      <c r="W995" s="72"/>
      <c r="X995" s="72"/>
      <c r="Y995" s="72"/>
      <c r="Z995" s="72"/>
    </row>
    <row r="996" ht="15.7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127"/>
      <c r="M996" s="127"/>
      <c r="N996" s="72"/>
      <c r="O996" s="72"/>
      <c r="P996" s="127"/>
      <c r="S996" s="72"/>
      <c r="T996" s="72"/>
      <c r="U996" s="72"/>
      <c r="V996" s="72"/>
      <c r="W996" s="72"/>
      <c r="X996" s="72"/>
      <c r="Y996" s="72"/>
      <c r="Z996" s="72"/>
    </row>
    <row r="997" ht="15.7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127"/>
      <c r="M997" s="127"/>
      <c r="N997" s="72"/>
      <c r="O997" s="72"/>
      <c r="P997" s="127"/>
      <c r="S997" s="72"/>
      <c r="T997" s="72"/>
      <c r="U997" s="72"/>
      <c r="V997" s="72"/>
      <c r="W997" s="72"/>
      <c r="X997" s="72"/>
      <c r="Y997" s="72"/>
      <c r="Z997" s="72"/>
    </row>
    <row r="998" ht="15.7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127"/>
      <c r="M998" s="127"/>
      <c r="N998" s="72"/>
      <c r="O998" s="72"/>
      <c r="P998" s="127"/>
      <c r="S998" s="72"/>
      <c r="T998" s="72"/>
      <c r="U998" s="72"/>
      <c r="V998" s="72"/>
      <c r="W998" s="72"/>
      <c r="X998" s="72"/>
      <c r="Y998" s="72"/>
      <c r="Z998" s="72"/>
    </row>
    <row r="999" ht="15.7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127"/>
      <c r="M999" s="127"/>
      <c r="N999" s="72"/>
      <c r="O999" s="72"/>
      <c r="P999" s="127"/>
      <c r="S999" s="72"/>
      <c r="T999" s="72"/>
      <c r="U999" s="72"/>
      <c r="V999" s="72"/>
      <c r="W999" s="72"/>
      <c r="X999" s="72"/>
      <c r="Y999" s="72"/>
      <c r="Z999" s="72"/>
    </row>
    <row r="1000" ht="15.7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127"/>
      <c r="M1000" s="127"/>
      <c r="N1000" s="72"/>
      <c r="O1000" s="72"/>
      <c r="P1000" s="127"/>
      <c r="S1000" s="72"/>
      <c r="T1000" s="72"/>
      <c r="U1000" s="72"/>
      <c r="V1000" s="72"/>
      <c r="W1000" s="72"/>
      <c r="X1000" s="72"/>
      <c r="Y1000" s="72"/>
      <c r="Z1000" s="72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4.71"/>
    <col customWidth="1" min="5" max="11" width="10.71"/>
    <col customWidth="1" min="12" max="12" width="11.71"/>
    <col customWidth="1" min="13" max="13" width="11.14"/>
    <col customWidth="1" min="14" max="14" width="8.71"/>
    <col customWidth="1" min="15" max="15" width="10.86"/>
    <col customWidth="1" min="16" max="16" width="13.0"/>
    <col customWidth="1" min="17" max="17" width="18.71"/>
    <col customWidth="1" min="18" max="18" width="6.86"/>
    <col customWidth="1" min="1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>
      <c r="A4" s="187" t="s">
        <v>3</v>
      </c>
      <c r="B4" s="188" t="s">
        <v>4</v>
      </c>
      <c r="C4" s="188" t="s">
        <v>5</v>
      </c>
      <c r="D4" s="188" t="s">
        <v>6</v>
      </c>
      <c r="E4" s="188" t="s">
        <v>7</v>
      </c>
      <c r="F4" s="188" t="s">
        <v>8</v>
      </c>
      <c r="G4" s="188" t="s">
        <v>9</v>
      </c>
      <c r="H4" s="188" t="s">
        <v>10</v>
      </c>
      <c r="I4" s="188" t="s">
        <v>11</v>
      </c>
      <c r="J4" s="188" t="s">
        <v>12</v>
      </c>
      <c r="K4" s="188" t="s">
        <v>13</v>
      </c>
      <c r="L4" s="188" t="s">
        <v>14</v>
      </c>
      <c r="M4" s="188" t="s">
        <v>15</v>
      </c>
      <c r="N4" s="188" t="s">
        <v>16</v>
      </c>
      <c r="O4" s="188" t="s">
        <v>17</v>
      </c>
      <c r="P4" s="188" t="s">
        <v>18</v>
      </c>
      <c r="Q4" s="188" t="s">
        <v>19</v>
      </c>
      <c r="R4" s="188" t="s">
        <v>20</v>
      </c>
    </row>
    <row r="5">
      <c r="A5" s="10" t="s">
        <v>266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>
      <c r="A6" s="13" t="s">
        <v>267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>
      <c r="A7" s="80" t="s">
        <v>23</v>
      </c>
      <c r="B7" s="172" t="s">
        <v>24</v>
      </c>
      <c r="C7" s="81">
        <v>1.0</v>
      </c>
      <c r="D7" s="212" t="s">
        <v>268</v>
      </c>
      <c r="E7" s="84">
        <v>6.15</v>
      </c>
      <c r="F7" s="84">
        <v>3.5</v>
      </c>
      <c r="G7" s="84">
        <v>4.1</v>
      </c>
      <c r="H7" s="83" t="s">
        <v>26</v>
      </c>
      <c r="I7" s="83" t="s">
        <v>26</v>
      </c>
      <c r="J7" s="83" t="s">
        <v>26</v>
      </c>
      <c r="K7" s="84">
        <v>3.09</v>
      </c>
      <c r="L7" s="84">
        <v>3.68</v>
      </c>
      <c r="M7" s="83" t="s">
        <v>26</v>
      </c>
      <c r="N7" s="84">
        <v>4.01</v>
      </c>
      <c r="O7" s="84">
        <v>3.68</v>
      </c>
      <c r="P7" s="84">
        <v>4.19</v>
      </c>
      <c r="Q7" s="190">
        <f t="shared" ref="Q7:Q46" si="1">AVERAGE(E7,F7,G7,H7,I7,J7,K7,L7,M7,N7,O7,P7)</f>
        <v>4.05</v>
      </c>
      <c r="R7" s="162">
        <v>6.0</v>
      </c>
    </row>
    <row r="8">
      <c r="A8" s="20"/>
      <c r="B8" s="21"/>
      <c r="C8" s="22">
        <v>2.0</v>
      </c>
      <c r="D8" s="145" t="s">
        <v>269</v>
      </c>
      <c r="E8" s="24">
        <v>6.0</v>
      </c>
      <c r="F8" s="24">
        <v>3.8</v>
      </c>
      <c r="G8" s="24">
        <v>4.07</v>
      </c>
      <c r="H8" s="215" t="s">
        <v>26</v>
      </c>
      <c r="I8" s="215" t="s">
        <v>26</v>
      </c>
      <c r="J8" s="215" t="s">
        <v>26</v>
      </c>
      <c r="K8" s="24">
        <v>3.5</v>
      </c>
      <c r="L8" s="24">
        <v>3.37</v>
      </c>
      <c r="M8" s="215" t="s">
        <v>26</v>
      </c>
      <c r="N8" s="24">
        <v>4.8</v>
      </c>
      <c r="O8" s="24">
        <v>3.75</v>
      </c>
      <c r="P8" s="24">
        <v>4.29</v>
      </c>
      <c r="Q8" s="192">
        <f t="shared" si="1"/>
        <v>4.1975</v>
      </c>
      <c r="R8" s="23">
        <v>6.0</v>
      </c>
    </row>
    <row r="9">
      <c r="A9" s="20"/>
      <c r="B9" s="21"/>
      <c r="C9" s="22">
        <v>3.0</v>
      </c>
      <c r="D9" s="145" t="s">
        <v>270</v>
      </c>
      <c r="E9" s="24">
        <v>6.1</v>
      </c>
      <c r="F9" s="24">
        <v>3.52</v>
      </c>
      <c r="G9" s="24">
        <v>4.0</v>
      </c>
      <c r="H9" s="215" t="s">
        <v>26</v>
      </c>
      <c r="I9" s="215" t="s">
        <v>26</v>
      </c>
      <c r="J9" s="215" t="s">
        <v>26</v>
      </c>
      <c r="K9" s="24">
        <v>3.12</v>
      </c>
      <c r="L9" s="24">
        <v>3.27</v>
      </c>
      <c r="M9" s="215" t="s">
        <v>26</v>
      </c>
      <c r="N9" s="24">
        <v>3.98</v>
      </c>
      <c r="O9" s="24">
        <v>4.53</v>
      </c>
      <c r="P9" s="24">
        <v>4.45</v>
      </c>
      <c r="Q9" s="192">
        <f t="shared" si="1"/>
        <v>4.12125</v>
      </c>
      <c r="R9" s="23">
        <v>6.0</v>
      </c>
    </row>
    <row r="10">
      <c r="A10" s="20"/>
      <c r="B10" s="21"/>
      <c r="C10" s="22">
        <v>4.0</v>
      </c>
      <c r="D10" s="50" t="s">
        <v>271</v>
      </c>
      <c r="E10" s="24">
        <v>5.98</v>
      </c>
      <c r="F10" s="24">
        <v>3.45</v>
      </c>
      <c r="G10" s="24">
        <v>4.11</v>
      </c>
      <c r="H10" s="215" t="s">
        <v>26</v>
      </c>
      <c r="I10" s="215" t="s">
        <v>26</v>
      </c>
      <c r="J10" s="215" t="s">
        <v>26</v>
      </c>
      <c r="K10" s="24">
        <v>3.38</v>
      </c>
      <c r="L10" s="24">
        <v>3.18</v>
      </c>
      <c r="M10" s="215" t="s">
        <v>26</v>
      </c>
      <c r="N10" s="24">
        <v>4.13</v>
      </c>
      <c r="O10" s="24">
        <v>4.41</v>
      </c>
      <c r="P10" s="24">
        <v>4.69</v>
      </c>
      <c r="Q10" s="192">
        <f t="shared" si="1"/>
        <v>4.16625</v>
      </c>
      <c r="R10" s="216">
        <v>6.0</v>
      </c>
    </row>
    <row r="11">
      <c r="A11" s="20"/>
      <c r="B11" s="21"/>
      <c r="C11" s="22">
        <v>5.0</v>
      </c>
      <c r="D11" s="145" t="s">
        <v>272</v>
      </c>
      <c r="E11" s="24">
        <v>6.0</v>
      </c>
      <c r="F11" s="24">
        <v>3.6</v>
      </c>
      <c r="G11" s="24">
        <v>3.95</v>
      </c>
      <c r="H11" s="215" t="s">
        <v>26</v>
      </c>
      <c r="I11" s="215" t="s">
        <v>26</v>
      </c>
      <c r="J11" s="215" t="s">
        <v>26</v>
      </c>
      <c r="K11" s="24">
        <v>3.28</v>
      </c>
      <c r="L11" s="24">
        <v>4.13</v>
      </c>
      <c r="M11" s="215" t="s">
        <v>26</v>
      </c>
      <c r="N11" s="24">
        <v>4.05</v>
      </c>
      <c r="O11" s="24">
        <v>4.11</v>
      </c>
      <c r="P11" s="24">
        <v>3.94</v>
      </c>
      <c r="Q11" s="192">
        <f t="shared" si="1"/>
        <v>4.1325</v>
      </c>
      <c r="R11" s="23">
        <v>6.0</v>
      </c>
    </row>
    <row r="12">
      <c r="A12" s="20"/>
      <c r="B12" s="21"/>
      <c r="C12" s="22">
        <v>6.0</v>
      </c>
      <c r="D12" s="145" t="s">
        <v>273</v>
      </c>
      <c r="E12" s="24">
        <v>6.01</v>
      </c>
      <c r="F12" s="24">
        <v>3.5</v>
      </c>
      <c r="G12" s="24">
        <v>4.1</v>
      </c>
      <c r="H12" s="215" t="s">
        <v>26</v>
      </c>
      <c r="I12" s="215" t="s">
        <v>26</v>
      </c>
      <c r="J12" s="215" t="s">
        <v>26</v>
      </c>
      <c r="K12" s="24">
        <v>3.33</v>
      </c>
      <c r="L12" s="24">
        <v>3.55</v>
      </c>
      <c r="M12" s="215" t="s">
        <v>26</v>
      </c>
      <c r="N12" s="24">
        <v>4.41</v>
      </c>
      <c r="O12" s="24">
        <v>3.96</v>
      </c>
      <c r="P12" s="24">
        <v>3.91</v>
      </c>
      <c r="Q12" s="192">
        <f t="shared" si="1"/>
        <v>4.09625</v>
      </c>
      <c r="R12" s="23">
        <v>6.0</v>
      </c>
    </row>
    <row r="13">
      <c r="A13" s="20"/>
      <c r="B13" s="21"/>
      <c r="C13" s="22">
        <v>7.0</v>
      </c>
      <c r="D13" s="145" t="s">
        <v>274</v>
      </c>
      <c r="E13" s="24">
        <v>6.1</v>
      </c>
      <c r="F13" s="24">
        <v>3.55</v>
      </c>
      <c r="G13" s="24">
        <v>4.0</v>
      </c>
      <c r="H13" s="215" t="s">
        <v>26</v>
      </c>
      <c r="I13" s="215" t="s">
        <v>26</v>
      </c>
      <c r="J13" s="215" t="s">
        <v>26</v>
      </c>
      <c r="K13" s="24">
        <v>3.21</v>
      </c>
      <c r="L13" s="24">
        <v>3.41</v>
      </c>
      <c r="M13" s="215" t="s">
        <v>26</v>
      </c>
      <c r="N13" s="24">
        <v>4.67</v>
      </c>
      <c r="O13" s="24">
        <v>4.17</v>
      </c>
      <c r="P13" s="24">
        <v>4.16</v>
      </c>
      <c r="Q13" s="192">
        <f t="shared" si="1"/>
        <v>4.15875</v>
      </c>
      <c r="R13" s="23">
        <v>6.0</v>
      </c>
    </row>
    <row r="14">
      <c r="A14" s="20"/>
      <c r="B14" s="26"/>
      <c r="C14" s="22">
        <v>8.0</v>
      </c>
      <c r="D14" s="145" t="s">
        <v>275</v>
      </c>
      <c r="E14" s="24">
        <v>6.25</v>
      </c>
      <c r="F14" s="24">
        <v>3.48</v>
      </c>
      <c r="G14" s="24">
        <v>3.95</v>
      </c>
      <c r="H14" s="215" t="s">
        <v>26</v>
      </c>
      <c r="I14" s="215" t="s">
        <v>26</v>
      </c>
      <c r="J14" s="215" t="s">
        <v>26</v>
      </c>
      <c r="K14" s="24">
        <v>3.18</v>
      </c>
      <c r="L14" s="24">
        <v>3.63</v>
      </c>
      <c r="M14" s="215" t="s">
        <v>26</v>
      </c>
      <c r="N14" s="24">
        <v>4.17</v>
      </c>
      <c r="O14" s="24">
        <v>3.89</v>
      </c>
      <c r="P14" s="24">
        <v>4.36</v>
      </c>
      <c r="Q14" s="192">
        <f t="shared" si="1"/>
        <v>4.11375</v>
      </c>
      <c r="R14" s="23">
        <v>6.0</v>
      </c>
    </row>
    <row r="15">
      <c r="A15" s="20"/>
      <c r="B15" s="15" t="s">
        <v>32</v>
      </c>
      <c r="C15" s="16">
        <v>1.0</v>
      </c>
      <c r="D15" s="144" t="s">
        <v>268</v>
      </c>
      <c r="E15" s="27">
        <v>44.0</v>
      </c>
      <c r="F15" s="120">
        <v>33.0</v>
      </c>
      <c r="G15" s="27">
        <v>48.0</v>
      </c>
      <c r="H15" s="83" t="s">
        <v>26</v>
      </c>
      <c r="I15" s="83" t="s">
        <v>26</v>
      </c>
      <c r="J15" s="83" t="s">
        <v>26</v>
      </c>
      <c r="K15" s="120">
        <v>35.0</v>
      </c>
      <c r="L15" s="27">
        <v>51.0</v>
      </c>
      <c r="M15" s="83" t="s">
        <v>26</v>
      </c>
      <c r="N15" s="27">
        <v>51.0</v>
      </c>
      <c r="O15" s="27">
        <v>41.0</v>
      </c>
      <c r="P15" s="27">
        <v>30.0</v>
      </c>
      <c r="Q15" s="194">
        <f t="shared" si="1"/>
        <v>41.625</v>
      </c>
      <c r="R15" s="17">
        <v>50.0</v>
      </c>
    </row>
    <row r="16">
      <c r="A16" s="20"/>
      <c r="B16" s="21"/>
      <c r="C16" s="22">
        <v>2.0</v>
      </c>
      <c r="D16" s="145" t="s">
        <v>269</v>
      </c>
      <c r="E16" s="29">
        <v>38.0</v>
      </c>
      <c r="F16" s="85">
        <v>22.0</v>
      </c>
      <c r="G16" s="29">
        <v>47.0</v>
      </c>
      <c r="H16" s="215" t="s">
        <v>26</v>
      </c>
      <c r="I16" s="215" t="s">
        <v>26</v>
      </c>
      <c r="J16" s="215" t="s">
        <v>26</v>
      </c>
      <c r="K16" s="85">
        <v>43.0</v>
      </c>
      <c r="L16" s="29">
        <v>51.0</v>
      </c>
      <c r="M16" s="215" t="s">
        <v>26</v>
      </c>
      <c r="N16" s="29">
        <v>51.0</v>
      </c>
      <c r="O16" s="29">
        <v>34.0</v>
      </c>
      <c r="P16" s="29">
        <v>32.0</v>
      </c>
      <c r="Q16" s="195">
        <f t="shared" si="1"/>
        <v>39.75</v>
      </c>
      <c r="R16" s="23">
        <v>50.0</v>
      </c>
    </row>
    <row r="17">
      <c r="A17" s="20"/>
      <c r="B17" s="21"/>
      <c r="C17" s="22">
        <v>3.0</v>
      </c>
      <c r="D17" s="145" t="s">
        <v>270</v>
      </c>
      <c r="E17" s="29">
        <v>32.0</v>
      </c>
      <c r="F17" s="85">
        <v>47.0</v>
      </c>
      <c r="G17" s="29">
        <v>48.0</v>
      </c>
      <c r="H17" s="215" t="s">
        <v>26</v>
      </c>
      <c r="I17" s="215" t="s">
        <v>26</v>
      </c>
      <c r="J17" s="215" t="s">
        <v>26</v>
      </c>
      <c r="K17" s="85">
        <v>42.0</v>
      </c>
      <c r="L17" s="29">
        <v>63.0</v>
      </c>
      <c r="M17" s="215" t="s">
        <v>26</v>
      </c>
      <c r="N17" s="29">
        <v>63.0</v>
      </c>
      <c r="O17" s="29">
        <v>27.0</v>
      </c>
      <c r="P17" s="29">
        <v>30.0</v>
      </c>
      <c r="Q17" s="195">
        <f t="shared" si="1"/>
        <v>44</v>
      </c>
      <c r="R17" s="23">
        <v>50.0</v>
      </c>
    </row>
    <row r="18">
      <c r="A18" s="20"/>
      <c r="B18" s="21"/>
      <c r="C18" s="22">
        <v>4.0</v>
      </c>
      <c r="D18" s="50" t="s">
        <v>271</v>
      </c>
      <c r="E18" s="29">
        <v>25.0</v>
      </c>
      <c r="F18" s="85">
        <v>46.0</v>
      </c>
      <c r="G18" s="29">
        <v>50.0</v>
      </c>
      <c r="H18" s="215" t="s">
        <v>26</v>
      </c>
      <c r="I18" s="215" t="s">
        <v>26</v>
      </c>
      <c r="J18" s="215" t="s">
        <v>26</v>
      </c>
      <c r="K18" s="85">
        <v>46.0</v>
      </c>
      <c r="L18" s="29">
        <v>34.0</v>
      </c>
      <c r="M18" s="215" t="s">
        <v>26</v>
      </c>
      <c r="N18" s="29">
        <v>34.0</v>
      </c>
      <c r="O18" s="29">
        <v>41.0</v>
      </c>
      <c r="P18" s="29">
        <v>36.0</v>
      </c>
      <c r="Q18" s="195">
        <f t="shared" si="1"/>
        <v>39</v>
      </c>
      <c r="R18" s="23">
        <v>50.0</v>
      </c>
    </row>
    <row r="19">
      <c r="A19" s="20"/>
      <c r="B19" s="21"/>
      <c r="C19" s="22">
        <v>5.0</v>
      </c>
      <c r="D19" s="145" t="s">
        <v>272</v>
      </c>
      <c r="E19" s="29">
        <v>31.0</v>
      </c>
      <c r="F19" s="85">
        <v>40.0</v>
      </c>
      <c r="G19" s="29">
        <v>136.0</v>
      </c>
      <c r="H19" s="215" t="s">
        <v>26</v>
      </c>
      <c r="I19" s="215" t="s">
        <v>26</v>
      </c>
      <c r="J19" s="215" t="s">
        <v>26</v>
      </c>
      <c r="K19" s="85">
        <v>47.0</v>
      </c>
      <c r="L19" s="29">
        <v>51.0</v>
      </c>
      <c r="M19" s="215" t="s">
        <v>26</v>
      </c>
      <c r="N19" s="29">
        <v>51.0</v>
      </c>
      <c r="O19" s="29">
        <v>36.0</v>
      </c>
      <c r="P19" s="29">
        <v>27.0</v>
      </c>
      <c r="Q19" s="195">
        <f t="shared" si="1"/>
        <v>52.375</v>
      </c>
      <c r="R19" s="23">
        <v>50.0</v>
      </c>
    </row>
    <row r="20">
      <c r="A20" s="20"/>
      <c r="B20" s="21"/>
      <c r="C20" s="22">
        <v>6.0</v>
      </c>
      <c r="D20" s="145" t="s">
        <v>273</v>
      </c>
      <c r="E20" s="29">
        <v>32.0</v>
      </c>
      <c r="F20" s="85">
        <v>46.0</v>
      </c>
      <c r="G20" s="29">
        <v>17.0</v>
      </c>
      <c r="H20" s="215" t="s">
        <v>26</v>
      </c>
      <c r="I20" s="215" t="s">
        <v>26</v>
      </c>
      <c r="J20" s="215" t="s">
        <v>26</v>
      </c>
      <c r="K20" s="85">
        <v>38.0</v>
      </c>
      <c r="L20" s="29">
        <v>40.0</v>
      </c>
      <c r="M20" s="215" t="s">
        <v>26</v>
      </c>
      <c r="N20" s="29">
        <v>40.0</v>
      </c>
      <c r="O20" s="29">
        <v>35.0</v>
      </c>
      <c r="P20" s="29">
        <v>33.0</v>
      </c>
      <c r="Q20" s="195">
        <f t="shared" si="1"/>
        <v>35.125</v>
      </c>
      <c r="R20" s="23">
        <v>50.0</v>
      </c>
    </row>
    <row r="21" ht="15.75" customHeight="1">
      <c r="A21" s="20"/>
      <c r="B21" s="21"/>
      <c r="C21" s="22">
        <v>7.0</v>
      </c>
      <c r="D21" s="145" t="s">
        <v>274</v>
      </c>
      <c r="E21" s="29">
        <v>39.0</v>
      </c>
      <c r="F21" s="85">
        <v>30.0</v>
      </c>
      <c r="G21" s="29">
        <v>22.0</v>
      </c>
      <c r="H21" s="215" t="s">
        <v>26</v>
      </c>
      <c r="I21" s="215" t="s">
        <v>26</v>
      </c>
      <c r="J21" s="215" t="s">
        <v>26</v>
      </c>
      <c r="K21" s="85">
        <v>42.0</v>
      </c>
      <c r="L21" s="29">
        <v>51.0</v>
      </c>
      <c r="M21" s="215" t="s">
        <v>26</v>
      </c>
      <c r="N21" s="29">
        <v>51.0</v>
      </c>
      <c r="O21" s="29">
        <v>26.0</v>
      </c>
      <c r="P21" s="29">
        <v>37.0</v>
      </c>
      <c r="Q21" s="195">
        <f t="shared" si="1"/>
        <v>37.25</v>
      </c>
      <c r="R21" s="23">
        <v>50.0</v>
      </c>
    </row>
    <row r="22" ht="15.75" customHeight="1">
      <c r="A22" s="20"/>
      <c r="B22" s="26"/>
      <c r="C22" s="22">
        <v>8.0</v>
      </c>
      <c r="D22" s="145" t="s">
        <v>275</v>
      </c>
      <c r="E22" s="29">
        <v>35.0</v>
      </c>
      <c r="F22" s="85">
        <v>47.0</v>
      </c>
      <c r="G22" s="29">
        <v>34.0</v>
      </c>
      <c r="H22" s="215" t="s">
        <v>26</v>
      </c>
      <c r="I22" s="215" t="s">
        <v>26</v>
      </c>
      <c r="J22" s="215" t="s">
        <v>26</v>
      </c>
      <c r="K22" s="85">
        <v>133.0</v>
      </c>
      <c r="L22" s="29">
        <v>35.0</v>
      </c>
      <c r="M22" s="215" t="s">
        <v>26</v>
      </c>
      <c r="N22" s="29">
        <v>35.0</v>
      </c>
      <c r="O22" s="29">
        <v>27.0</v>
      </c>
      <c r="P22" s="29">
        <v>43.0</v>
      </c>
      <c r="Q22" s="195">
        <f t="shared" si="1"/>
        <v>48.625</v>
      </c>
      <c r="R22" s="23">
        <v>50.0</v>
      </c>
    </row>
    <row r="23" ht="15.75" customHeight="1">
      <c r="A23" s="20"/>
      <c r="B23" s="15" t="s">
        <v>33</v>
      </c>
      <c r="C23" s="16">
        <v>1.0</v>
      </c>
      <c r="D23" s="144" t="s">
        <v>268</v>
      </c>
      <c r="E23" s="18">
        <v>7.12</v>
      </c>
      <c r="F23" s="18">
        <v>7.92</v>
      </c>
      <c r="G23" s="18">
        <v>7.89</v>
      </c>
      <c r="H23" s="83" t="s">
        <v>26</v>
      </c>
      <c r="I23" s="83" t="s">
        <v>26</v>
      </c>
      <c r="J23" s="83" t="s">
        <v>26</v>
      </c>
      <c r="K23" s="18">
        <v>7.87</v>
      </c>
      <c r="L23" s="18">
        <v>7.73</v>
      </c>
      <c r="M23" s="83" t="s">
        <v>26</v>
      </c>
      <c r="N23" s="18">
        <v>8.07</v>
      </c>
      <c r="O23" s="18">
        <v>6.8</v>
      </c>
      <c r="P23" s="18">
        <v>7.6</v>
      </c>
      <c r="Q23" s="190">
        <f t="shared" si="1"/>
        <v>7.625</v>
      </c>
      <c r="R23" s="59" t="s">
        <v>161</v>
      </c>
    </row>
    <row r="24" ht="15.75" customHeight="1">
      <c r="A24" s="20"/>
      <c r="B24" s="21"/>
      <c r="C24" s="22">
        <v>2.0</v>
      </c>
      <c r="D24" s="145" t="s">
        <v>269</v>
      </c>
      <c r="E24" s="24">
        <v>7.18</v>
      </c>
      <c r="F24" s="24">
        <v>7.91</v>
      </c>
      <c r="G24" s="24">
        <v>8.0</v>
      </c>
      <c r="H24" s="215" t="s">
        <v>26</v>
      </c>
      <c r="I24" s="215" t="s">
        <v>26</v>
      </c>
      <c r="J24" s="215" t="s">
        <v>26</v>
      </c>
      <c r="K24" s="24">
        <v>7.91</v>
      </c>
      <c r="L24" s="24">
        <v>7.69</v>
      </c>
      <c r="M24" s="215" t="s">
        <v>26</v>
      </c>
      <c r="N24" s="24">
        <v>8.14</v>
      </c>
      <c r="O24" s="24">
        <v>6.8</v>
      </c>
      <c r="P24" s="24">
        <v>7.98</v>
      </c>
      <c r="Q24" s="192">
        <f t="shared" si="1"/>
        <v>7.70125</v>
      </c>
      <c r="R24" s="60" t="s">
        <v>161</v>
      </c>
    </row>
    <row r="25" ht="15.75" customHeight="1">
      <c r="A25" s="20"/>
      <c r="B25" s="21"/>
      <c r="C25" s="22">
        <v>3.0</v>
      </c>
      <c r="D25" s="145" t="s">
        <v>270</v>
      </c>
      <c r="E25" s="24">
        <v>7.08</v>
      </c>
      <c r="F25" s="24">
        <v>7.92</v>
      </c>
      <c r="G25" s="24">
        <v>7.97</v>
      </c>
      <c r="H25" s="215" t="s">
        <v>26</v>
      </c>
      <c r="I25" s="215" t="s">
        <v>26</v>
      </c>
      <c r="J25" s="215" t="s">
        <v>26</v>
      </c>
      <c r="K25" s="24">
        <v>7.95</v>
      </c>
      <c r="L25" s="24">
        <v>8.01</v>
      </c>
      <c r="M25" s="215" t="s">
        <v>26</v>
      </c>
      <c r="N25" s="24">
        <v>8.2</v>
      </c>
      <c r="O25" s="24">
        <v>6.98</v>
      </c>
      <c r="P25" s="24">
        <v>7.67</v>
      </c>
      <c r="Q25" s="192">
        <f t="shared" si="1"/>
        <v>7.7225</v>
      </c>
      <c r="R25" s="60" t="s">
        <v>161</v>
      </c>
    </row>
    <row r="26" ht="15.75" customHeight="1">
      <c r="A26" s="20"/>
      <c r="B26" s="21"/>
      <c r="C26" s="22">
        <v>4.0</v>
      </c>
      <c r="D26" s="50" t="s">
        <v>271</v>
      </c>
      <c r="E26" s="24">
        <v>7.03</v>
      </c>
      <c r="F26" s="24">
        <v>7.94</v>
      </c>
      <c r="G26" s="24">
        <v>7.99</v>
      </c>
      <c r="H26" s="215" t="s">
        <v>26</v>
      </c>
      <c r="I26" s="215" t="s">
        <v>26</v>
      </c>
      <c r="J26" s="215" t="s">
        <v>26</v>
      </c>
      <c r="K26" s="24">
        <v>7.98</v>
      </c>
      <c r="L26" s="24">
        <v>8.13</v>
      </c>
      <c r="M26" s="215" t="s">
        <v>26</v>
      </c>
      <c r="N26" s="24">
        <v>8.22</v>
      </c>
      <c r="O26" s="24">
        <v>7.11</v>
      </c>
      <c r="P26" s="24">
        <v>8.25</v>
      </c>
      <c r="Q26" s="192">
        <f t="shared" si="1"/>
        <v>7.83125</v>
      </c>
      <c r="R26" s="60" t="s">
        <v>161</v>
      </c>
    </row>
    <row r="27" ht="15.75" customHeight="1">
      <c r="A27" s="20"/>
      <c r="B27" s="21"/>
      <c r="C27" s="22">
        <v>5.0</v>
      </c>
      <c r="D27" s="145" t="s">
        <v>272</v>
      </c>
      <c r="E27" s="24">
        <v>7.08</v>
      </c>
      <c r="F27" s="24">
        <v>7.9</v>
      </c>
      <c r="G27" s="24">
        <v>7.97</v>
      </c>
      <c r="H27" s="215" t="s">
        <v>26</v>
      </c>
      <c r="I27" s="215" t="s">
        <v>26</v>
      </c>
      <c r="J27" s="215" t="s">
        <v>26</v>
      </c>
      <c r="K27" s="24">
        <v>7.97</v>
      </c>
      <c r="L27" s="24">
        <v>8.13</v>
      </c>
      <c r="M27" s="215" t="s">
        <v>26</v>
      </c>
      <c r="N27" s="24">
        <v>8.24</v>
      </c>
      <c r="O27" s="24">
        <v>7.08</v>
      </c>
      <c r="P27" s="24">
        <v>8.05</v>
      </c>
      <c r="Q27" s="192">
        <f t="shared" si="1"/>
        <v>7.8025</v>
      </c>
      <c r="R27" s="60" t="s">
        <v>161</v>
      </c>
    </row>
    <row r="28" ht="15.75" customHeight="1">
      <c r="A28" s="20"/>
      <c r="B28" s="21"/>
      <c r="C28" s="22">
        <v>6.0</v>
      </c>
      <c r="D28" s="145" t="s">
        <v>273</v>
      </c>
      <c r="E28" s="24">
        <v>7.0</v>
      </c>
      <c r="F28" s="24">
        <v>7.93</v>
      </c>
      <c r="G28" s="24">
        <v>7.98</v>
      </c>
      <c r="H28" s="215" t="s">
        <v>26</v>
      </c>
      <c r="I28" s="215" t="s">
        <v>26</v>
      </c>
      <c r="J28" s="215" t="s">
        <v>26</v>
      </c>
      <c r="K28" s="24">
        <v>8.0</v>
      </c>
      <c r="L28" s="24">
        <v>8.2</v>
      </c>
      <c r="M28" s="215" t="s">
        <v>26</v>
      </c>
      <c r="N28" s="24">
        <v>8.25</v>
      </c>
      <c r="O28" s="24">
        <v>7.12</v>
      </c>
      <c r="P28" s="24">
        <v>7.9</v>
      </c>
      <c r="Q28" s="192">
        <f t="shared" si="1"/>
        <v>7.7975</v>
      </c>
      <c r="R28" s="60" t="s">
        <v>161</v>
      </c>
    </row>
    <row r="29" ht="15.75" customHeight="1">
      <c r="A29" s="20"/>
      <c r="B29" s="21"/>
      <c r="C29" s="22">
        <v>7.0</v>
      </c>
      <c r="D29" s="145" t="s">
        <v>274</v>
      </c>
      <c r="E29" s="24">
        <v>7.09</v>
      </c>
      <c r="F29" s="24">
        <v>7.97</v>
      </c>
      <c r="G29" s="24">
        <v>7.97</v>
      </c>
      <c r="H29" s="215" t="s">
        <v>26</v>
      </c>
      <c r="I29" s="215" t="s">
        <v>26</v>
      </c>
      <c r="J29" s="215" t="s">
        <v>26</v>
      </c>
      <c r="K29" s="24">
        <v>7.92</v>
      </c>
      <c r="L29" s="24">
        <v>8.17</v>
      </c>
      <c r="M29" s="215" t="s">
        <v>26</v>
      </c>
      <c r="N29" s="24">
        <v>8.26</v>
      </c>
      <c r="O29" s="24">
        <v>7.21</v>
      </c>
      <c r="P29" s="24">
        <v>7.71</v>
      </c>
      <c r="Q29" s="192">
        <f t="shared" si="1"/>
        <v>7.7875</v>
      </c>
      <c r="R29" s="60" t="s">
        <v>161</v>
      </c>
    </row>
    <row r="30" ht="15.75" customHeight="1">
      <c r="A30" s="20"/>
      <c r="B30" s="26"/>
      <c r="C30" s="22">
        <v>8.0</v>
      </c>
      <c r="D30" s="145" t="s">
        <v>275</v>
      </c>
      <c r="E30" s="24">
        <v>7.21</v>
      </c>
      <c r="F30" s="24">
        <v>7.99</v>
      </c>
      <c r="G30" s="24">
        <v>7.98</v>
      </c>
      <c r="H30" s="215" t="s">
        <v>26</v>
      </c>
      <c r="I30" s="215" t="s">
        <v>26</v>
      </c>
      <c r="J30" s="215" t="s">
        <v>26</v>
      </c>
      <c r="K30" s="24">
        <v>7.97</v>
      </c>
      <c r="L30" s="24">
        <v>8.19</v>
      </c>
      <c r="M30" s="215" t="s">
        <v>26</v>
      </c>
      <c r="N30" s="24">
        <v>8.17</v>
      </c>
      <c r="O30" s="24">
        <v>7.12</v>
      </c>
      <c r="P30" s="24">
        <v>7.93</v>
      </c>
      <c r="Q30" s="192">
        <f t="shared" si="1"/>
        <v>7.82</v>
      </c>
      <c r="R30" s="60" t="s">
        <v>161</v>
      </c>
    </row>
    <row r="31" ht="15.75" customHeight="1">
      <c r="A31" s="20"/>
      <c r="B31" s="15" t="s">
        <v>276</v>
      </c>
      <c r="C31" s="16">
        <v>1.0</v>
      </c>
      <c r="D31" s="144" t="s">
        <v>268</v>
      </c>
      <c r="E31" s="18">
        <v>29.1</v>
      </c>
      <c r="F31" s="18">
        <v>30.0</v>
      </c>
      <c r="G31" s="18">
        <v>30.0</v>
      </c>
      <c r="H31" s="83" t="s">
        <v>26</v>
      </c>
      <c r="I31" s="83" t="s">
        <v>26</v>
      </c>
      <c r="J31" s="83" t="s">
        <v>26</v>
      </c>
      <c r="K31" s="18">
        <v>32.1</v>
      </c>
      <c r="L31" s="18">
        <v>29.9</v>
      </c>
      <c r="M31" s="83" t="s">
        <v>26</v>
      </c>
      <c r="N31" s="18">
        <v>28.85</v>
      </c>
      <c r="O31" s="18">
        <v>30.4</v>
      </c>
      <c r="P31" s="18">
        <v>29.1</v>
      </c>
      <c r="Q31" s="190">
        <f t="shared" si="1"/>
        <v>29.93125</v>
      </c>
      <c r="R31" s="18" t="s">
        <v>163</v>
      </c>
    </row>
    <row r="32" ht="15.75" customHeight="1">
      <c r="A32" s="20"/>
      <c r="B32" s="21"/>
      <c r="C32" s="22">
        <v>2.0</v>
      </c>
      <c r="D32" s="145" t="s">
        <v>269</v>
      </c>
      <c r="E32" s="24">
        <v>29.2</v>
      </c>
      <c r="F32" s="24">
        <v>30.0</v>
      </c>
      <c r="G32" s="24">
        <v>31.4</v>
      </c>
      <c r="H32" s="215" t="s">
        <v>26</v>
      </c>
      <c r="I32" s="215" t="s">
        <v>26</v>
      </c>
      <c r="J32" s="215" t="s">
        <v>26</v>
      </c>
      <c r="K32" s="24">
        <v>32.5</v>
      </c>
      <c r="L32" s="24">
        <v>30.1</v>
      </c>
      <c r="M32" s="215" t="s">
        <v>26</v>
      </c>
      <c r="N32" s="24">
        <v>29.0</v>
      </c>
      <c r="O32" s="24">
        <v>30.3</v>
      </c>
      <c r="P32" s="24">
        <v>29.15</v>
      </c>
      <c r="Q32" s="192">
        <f t="shared" si="1"/>
        <v>30.20625</v>
      </c>
      <c r="R32" s="24" t="s">
        <v>163</v>
      </c>
    </row>
    <row r="33" ht="15.75" customHeight="1">
      <c r="A33" s="20"/>
      <c r="B33" s="21"/>
      <c r="C33" s="22">
        <v>3.0</v>
      </c>
      <c r="D33" s="145" t="s">
        <v>270</v>
      </c>
      <c r="E33" s="24">
        <v>29.15</v>
      </c>
      <c r="F33" s="24">
        <v>29.2</v>
      </c>
      <c r="G33" s="24">
        <v>32.0</v>
      </c>
      <c r="H33" s="215" t="s">
        <v>26</v>
      </c>
      <c r="I33" s="215" t="s">
        <v>26</v>
      </c>
      <c r="J33" s="215" t="s">
        <v>26</v>
      </c>
      <c r="K33" s="24">
        <v>32.6</v>
      </c>
      <c r="L33" s="24">
        <v>30.1</v>
      </c>
      <c r="M33" s="215" t="s">
        <v>26</v>
      </c>
      <c r="N33" s="24">
        <v>29.1</v>
      </c>
      <c r="O33" s="24">
        <v>29.73</v>
      </c>
      <c r="P33" s="24">
        <v>29.6</v>
      </c>
      <c r="Q33" s="192">
        <f t="shared" si="1"/>
        <v>30.185</v>
      </c>
      <c r="R33" s="24" t="s">
        <v>163</v>
      </c>
    </row>
    <row r="34" ht="15.75" customHeight="1">
      <c r="A34" s="20"/>
      <c r="B34" s="21"/>
      <c r="C34" s="22">
        <v>4.0</v>
      </c>
      <c r="D34" s="50" t="s">
        <v>271</v>
      </c>
      <c r="E34" s="24">
        <v>29.3</v>
      </c>
      <c r="F34" s="24">
        <v>29.3</v>
      </c>
      <c r="G34" s="24">
        <v>32.1</v>
      </c>
      <c r="H34" s="215" t="s">
        <v>26</v>
      </c>
      <c r="I34" s="215" t="s">
        <v>26</v>
      </c>
      <c r="J34" s="215" t="s">
        <v>26</v>
      </c>
      <c r="K34" s="24">
        <v>32.6</v>
      </c>
      <c r="L34" s="24">
        <v>30.0</v>
      </c>
      <c r="M34" s="215" t="s">
        <v>26</v>
      </c>
      <c r="N34" s="24">
        <v>29.08</v>
      </c>
      <c r="O34" s="24">
        <v>30.11</v>
      </c>
      <c r="P34" s="24">
        <v>28.85</v>
      </c>
      <c r="Q34" s="192">
        <f t="shared" si="1"/>
        <v>30.1675</v>
      </c>
      <c r="R34" s="24" t="s">
        <v>163</v>
      </c>
    </row>
    <row r="35" ht="15.75" customHeight="1">
      <c r="A35" s="20"/>
      <c r="B35" s="21"/>
      <c r="C35" s="22">
        <v>5.0</v>
      </c>
      <c r="D35" s="145" t="s">
        <v>272</v>
      </c>
      <c r="E35" s="24">
        <v>29.3</v>
      </c>
      <c r="F35" s="24">
        <v>29.1</v>
      </c>
      <c r="G35" s="24">
        <v>32.05</v>
      </c>
      <c r="H35" s="215" t="s">
        <v>26</v>
      </c>
      <c r="I35" s="215" t="s">
        <v>26</v>
      </c>
      <c r="J35" s="215" t="s">
        <v>26</v>
      </c>
      <c r="K35" s="24">
        <v>32.3</v>
      </c>
      <c r="L35" s="24">
        <v>29.9</v>
      </c>
      <c r="M35" s="215" t="s">
        <v>26</v>
      </c>
      <c r="N35" s="24">
        <v>28.9</v>
      </c>
      <c r="O35" s="24">
        <v>29.83</v>
      </c>
      <c r="P35" s="24">
        <v>28.67</v>
      </c>
      <c r="Q35" s="192">
        <f t="shared" si="1"/>
        <v>30.00625</v>
      </c>
      <c r="R35" s="24" t="s">
        <v>163</v>
      </c>
    </row>
    <row r="36" ht="15.75" customHeight="1">
      <c r="A36" s="20"/>
      <c r="B36" s="21"/>
      <c r="C36" s="22">
        <v>6.0</v>
      </c>
      <c r="D36" s="145" t="s">
        <v>273</v>
      </c>
      <c r="E36" s="24">
        <v>29.1</v>
      </c>
      <c r="F36" s="24">
        <v>29.0</v>
      </c>
      <c r="G36" s="24">
        <v>32.0</v>
      </c>
      <c r="H36" s="215" t="s">
        <v>26</v>
      </c>
      <c r="I36" s="215" t="s">
        <v>26</v>
      </c>
      <c r="J36" s="215" t="s">
        <v>26</v>
      </c>
      <c r="K36" s="24">
        <v>32.7</v>
      </c>
      <c r="L36" s="24">
        <v>29.9</v>
      </c>
      <c r="M36" s="215" t="s">
        <v>26</v>
      </c>
      <c r="N36" s="24">
        <v>28.9</v>
      </c>
      <c r="O36" s="24">
        <v>30.33</v>
      </c>
      <c r="P36" s="24">
        <v>29.3</v>
      </c>
      <c r="Q36" s="192">
        <f t="shared" si="1"/>
        <v>30.15375</v>
      </c>
      <c r="R36" s="24" t="s">
        <v>163</v>
      </c>
    </row>
    <row r="37" ht="15.75" customHeight="1">
      <c r="A37" s="20"/>
      <c r="B37" s="21"/>
      <c r="C37" s="22">
        <v>7.0</v>
      </c>
      <c r="D37" s="145" t="s">
        <v>274</v>
      </c>
      <c r="E37" s="24">
        <v>29.15</v>
      </c>
      <c r="F37" s="24">
        <v>28.4</v>
      </c>
      <c r="G37" s="24">
        <v>32.2</v>
      </c>
      <c r="H37" s="215" t="s">
        <v>26</v>
      </c>
      <c r="I37" s="215" t="s">
        <v>26</v>
      </c>
      <c r="J37" s="215" t="s">
        <v>26</v>
      </c>
      <c r="K37" s="24">
        <v>31.3</v>
      </c>
      <c r="L37" s="24">
        <v>29.8</v>
      </c>
      <c r="M37" s="215" t="s">
        <v>26</v>
      </c>
      <c r="N37" s="24">
        <v>28.8</v>
      </c>
      <c r="O37" s="24">
        <v>29.4</v>
      </c>
      <c r="P37" s="24">
        <v>29.45</v>
      </c>
      <c r="Q37" s="192">
        <f t="shared" si="1"/>
        <v>29.8125</v>
      </c>
      <c r="R37" s="24" t="s">
        <v>163</v>
      </c>
    </row>
    <row r="38" ht="15.75" customHeight="1">
      <c r="A38" s="20"/>
      <c r="B38" s="26"/>
      <c r="C38" s="22">
        <v>8.0</v>
      </c>
      <c r="D38" s="145" t="s">
        <v>275</v>
      </c>
      <c r="E38" s="24">
        <v>29.3</v>
      </c>
      <c r="F38" s="24">
        <v>28.4</v>
      </c>
      <c r="G38" s="24">
        <v>32.1</v>
      </c>
      <c r="H38" s="215" t="s">
        <v>26</v>
      </c>
      <c r="I38" s="215" t="s">
        <v>26</v>
      </c>
      <c r="J38" s="215" t="s">
        <v>26</v>
      </c>
      <c r="K38" s="24">
        <v>31.8</v>
      </c>
      <c r="L38" s="24">
        <v>29.8</v>
      </c>
      <c r="M38" s="215" t="s">
        <v>26</v>
      </c>
      <c r="N38" s="24">
        <v>28.63</v>
      </c>
      <c r="O38" s="24">
        <v>29.73</v>
      </c>
      <c r="P38" s="24">
        <v>28.97</v>
      </c>
      <c r="Q38" s="192">
        <f t="shared" si="1"/>
        <v>29.84125</v>
      </c>
      <c r="R38" s="24" t="s">
        <v>163</v>
      </c>
    </row>
    <row r="39" ht="15.75" customHeight="1">
      <c r="A39" s="20"/>
      <c r="B39" s="15" t="s">
        <v>37</v>
      </c>
      <c r="C39" s="16">
        <v>1.0</v>
      </c>
      <c r="D39" s="144" t="s">
        <v>268</v>
      </c>
      <c r="E39" s="27">
        <v>3.0</v>
      </c>
      <c r="F39" s="27">
        <v>3.0</v>
      </c>
      <c r="G39" s="27">
        <v>3.0</v>
      </c>
      <c r="H39" s="83" t="s">
        <v>26</v>
      </c>
      <c r="I39" s="83" t="s">
        <v>26</v>
      </c>
      <c r="J39" s="83" t="s">
        <v>26</v>
      </c>
      <c r="K39" s="27">
        <v>5.0</v>
      </c>
      <c r="L39" s="27">
        <v>3.0</v>
      </c>
      <c r="M39" s="83" t="s">
        <v>26</v>
      </c>
      <c r="N39" s="27">
        <v>3.0</v>
      </c>
      <c r="O39" s="27">
        <v>3.0</v>
      </c>
      <c r="P39" s="27">
        <v>5.0</v>
      </c>
      <c r="Q39" s="194">
        <f t="shared" si="1"/>
        <v>3.5</v>
      </c>
      <c r="R39" s="27">
        <v>50.0</v>
      </c>
    </row>
    <row r="40" ht="15.75" customHeight="1">
      <c r="A40" s="20"/>
      <c r="B40" s="21"/>
      <c r="C40" s="22">
        <v>2.0</v>
      </c>
      <c r="D40" s="145" t="s">
        <v>269</v>
      </c>
      <c r="E40" s="29">
        <v>3.0</v>
      </c>
      <c r="F40" s="29">
        <v>3.0</v>
      </c>
      <c r="G40" s="29">
        <v>3.0</v>
      </c>
      <c r="H40" s="215" t="s">
        <v>26</v>
      </c>
      <c r="I40" s="215" t="s">
        <v>26</v>
      </c>
      <c r="J40" s="215" t="s">
        <v>26</v>
      </c>
      <c r="K40" s="29">
        <v>5.0</v>
      </c>
      <c r="L40" s="29">
        <v>3.0</v>
      </c>
      <c r="M40" s="215" t="s">
        <v>26</v>
      </c>
      <c r="N40" s="29">
        <v>3.0</v>
      </c>
      <c r="O40" s="29">
        <v>3.0</v>
      </c>
      <c r="P40" s="29">
        <v>5.0</v>
      </c>
      <c r="Q40" s="195">
        <f t="shared" si="1"/>
        <v>3.5</v>
      </c>
      <c r="R40" s="29">
        <v>50.0</v>
      </c>
    </row>
    <row r="41" ht="15.75" customHeight="1">
      <c r="A41" s="20"/>
      <c r="B41" s="21"/>
      <c r="C41" s="22">
        <v>3.0</v>
      </c>
      <c r="D41" s="145" t="s">
        <v>270</v>
      </c>
      <c r="E41" s="29">
        <v>3.0</v>
      </c>
      <c r="F41" s="29">
        <v>3.0</v>
      </c>
      <c r="G41" s="29">
        <v>3.0</v>
      </c>
      <c r="H41" s="215" t="s">
        <v>26</v>
      </c>
      <c r="I41" s="215" t="s">
        <v>26</v>
      </c>
      <c r="J41" s="215" t="s">
        <v>26</v>
      </c>
      <c r="K41" s="29">
        <v>5.0</v>
      </c>
      <c r="L41" s="29">
        <v>3.0</v>
      </c>
      <c r="M41" s="215" t="s">
        <v>26</v>
      </c>
      <c r="N41" s="29">
        <v>3.0</v>
      </c>
      <c r="O41" s="29">
        <v>3.0</v>
      </c>
      <c r="P41" s="29">
        <v>3.0</v>
      </c>
      <c r="Q41" s="195">
        <f t="shared" si="1"/>
        <v>3.25</v>
      </c>
      <c r="R41" s="29">
        <v>50.0</v>
      </c>
    </row>
    <row r="42" ht="15.75" customHeight="1">
      <c r="A42" s="20"/>
      <c r="B42" s="21"/>
      <c r="C42" s="22">
        <v>4.0</v>
      </c>
      <c r="D42" s="50" t="s">
        <v>271</v>
      </c>
      <c r="E42" s="29">
        <v>3.0</v>
      </c>
      <c r="F42" s="29">
        <v>3.0</v>
      </c>
      <c r="G42" s="29">
        <v>3.0</v>
      </c>
      <c r="H42" s="215" t="s">
        <v>26</v>
      </c>
      <c r="I42" s="215" t="s">
        <v>26</v>
      </c>
      <c r="J42" s="215" t="s">
        <v>26</v>
      </c>
      <c r="K42" s="29">
        <v>5.0</v>
      </c>
      <c r="L42" s="29">
        <v>3.0</v>
      </c>
      <c r="M42" s="215" t="s">
        <v>26</v>
      </c>
      <c r="N42" s="29">
        <v>3.0</v>
      </c>
      <c r="O42" s="29">
        <v>3.0</v>
      </c>
      <c r="P42" s="29">
        <v>3.0</v>
      </c>
      <c r="Q42" s="195">
        <f t="shared" si="1"/>
        <v>3.25</v>
      </c>
      <c r="R42" s="29">
        <v>50.0</v>
      </c>
    </row>
    <row r="43" ht="15.75" customHeight="1">
      <c r="A43" s="20"/>
      <c r="B43" s="21"/>
      <c r="C43" s="22">
        <v>5.0</v>
      </c>
      <c r="D43" s="145" t="s">
        <v>272</v>
      </c>
      <c r="E43" s="29">
        <v>3.0</v>
      </c>
      <c r="F43" s="29">
        <v>3.0</v>
      </c>
      <c r="G43" s="29">
        <v>3.0</v>
      </c>
      <c r="H43" s="215" t="s">
        <v>26</v>
      </c>
      <c r="I43" s="215" t="s">
        <v>26</v>
      </c>
      <c r="J43" s="215" t="s">
        <v>26</v>
      </c>
      <c r="K43" s="29">
        <v>5.0</v>
      </c>
      <c r="L43" s="29">
        <v>3.0</v>
      </c>
      <c r="M43" s="215" t="s">
        <v>26</v>
      </c>
      <c r="N43" s="29">
        <v>3.0</v>
      </c>
      <c r="O43" s="29">
        <v>3.0</v>
      </c>
      <c r="P43" s="29">
        <v>3.0</v>
      </c>
      <c r="Q43" s="195">
        <f t="shared" si="1"/>
        <v>3.25</v>
      </c>
      <c r="R43" s="29">
        <v>50.0</v>
      </c>
    </row>
    <row r="44" ht="15.75" customHeight="1">
      <c r="A44" s="20"/>
      <c r="B44" s="21"/>
      <c r="C44" s="22">
        <v>6.0</v>
      </c>
      <c r="D44" s="145" t="s">
        <v>273</v>
      </c>
      <c r="E44" s="29">
        <v>3.0</v>
      </c>
      <c r="F44" s="29">
        <v>3.0</v>
      </c>
      <c r="G44" s="29">
        <v>3.0</v>
      </c>
      <c r="H44" s="215" t="s">
        <v>26</v>
      </c>
      <c r="I44" s="215" t="s">
        <v>26</v>
      </c>
      <c r="J44" s="215" t="s">
        <v>26</v>
      </c>
      <c r="K44" s="29">
        <v>5.0</v>
      </c>
      <c r="L44" s="29">
        <v>3.0</v>
      </c>
      <c r="M44" s="215" t="s">
        <v>26</v>
      </c>
      <c r="N44" s="29">
        <v>3.0</v>
      </c>
      <c r="O44" s="29">
        <v>3.0</v>
      </c>
      <c r="P44" s="29">
        <v>3.0</v>
      </c>
      <c r="Q44" s="195">
        <f t="shared" si="1"/>
        <v>3.25</v>
      </c>
      <c r="R44" s="29">
        <v>50.0</v>
      </c>
    </row>
    <row r="45" ht="15.75" customHeight="1">
      <c r="A45" s="20"/>
      <c r="B45" s="21"/>
      <c r="C45" s="22">
        <v>7.0</v>
      </c>
      <c r="D45" s="145" t="s">
        <v>274</v>
      </c>
      <c r="E45" s="29">
        <v>3.0</v>
      </c>
      <c r="F45" s="29">
        <v>3.0</v>
      </c>
      <c r="G45" s="29">
        <v>3.0</v>
      </c>
      <c r="H45" s="215" t="s">
        <v>26</v>
      </c>
      <c r="I45" s="215" t="s">
        <v>26</v>
      </c>
      <c r="J45" s="215" t="s">
        <v>26</v>
      </c>
      <c r="K45" s="29">
        <v>5.0</v>
      </c>
      <c r="L45" s="29">
        <v>3.0</v>
      </c>
      <c r="M45" s="215" t="s">
        <v>26</v>
      </c>
      <c r="N45" s="29">
        <v>3.0</v>
      </c>
      <c r="O45" s="29">
        <v>3.0</v>
      </c>
      <c r="P45" s="29">
        <v>3.0</v>
      </c>
      <c r="Q45" s="195">
        <f t="shared" si="1"/>
        <v>3.25</v>
      </c>
      <c r="R45" s="29">
        <v>50.0</v>
      </c>
    </row>
    <row r="46" ht="15.75" customHeight="1">
      <c r="A46" s="20"/>
      <c r="B46" s="26"/>
      <c r="C46" s="22">
        <v>8.0</v>
      </c>
      <c r="D46" s="145" t="s">
        <v>275</v>
      </c>
      <c r="E46" s="29">
        <v>3.0</v>
      </c>
      <c r="F46" s="29">
        <v>3.0</v>
      </c>
      <c r="G46" s="29">
        <v>3.0</v>
      </c>
      <c r="H46" s="215" t="s">
        <v>26</v>
      </c>
      <c r="I46" s="215" t="s">
        <v>26</v>
      </c>
      <c r="J46" s="215" t="s">
        <v>26</v>
      </c>
      <c r="K46" s="29">
        <v>5.0</v>
      </c>
      <c r="L46" s="29">
        <v>3.0</v>
      </c>
      <c r="M46" s="215" t="s">
        <v>26</v>
      </c>
      <c r="N46" s="29">
        <v>3.0</v>
      </c>
      <c r="O46" s="29">
        <v>3.0</v>
      </c>
      <c r="P46" s="29">
        <v>3.0</v>
      </c>
      <c r="Q46" s="195">
        <f t="shared" si="1"/>
        <v>3.25</v>
      </c>
      <c r="R46" s="29">
        <v>50.0</v>
      </c>
    </row>
    <row r="47" ht="15.75" customHeight="1">
      <c r="A47" s="20"/>
      <c r="B47" s="15" t="s">
        <v>38</v>
      </c>
      <c r="C47" s="16">
        <v>1.0</v>
      </c>
      <c r="D47" s="144" t="s">
        <v>268</v>
      </c>
      <c r="E47" s="27">
        <v>130.0</v>
      </c>
      <c r="F47" s="120">
        <v>320.0</v>
      </c>
      <c r="G47" s="27">
        <v>5400.0</v>
      </c>
      <c r="H47" s="83" t="s">
        <v>26</v>
      </c>
      <c r="I47" s="83" t="s">
        <v>26</v>
      </c>
      <c r="J47" s="83" t="s">
        <v>26</v>
      </c>
      <c r="K47" s="83" t="s">
        <v>59</v>
      </c>
      <c r="L47" s="32">
        <v>5400.0</v>
      </c>
      <c r="M47" s="83" t="s">
        <v>26</v>
      </c>
      <c r="N47" s="32">
        <v>9200.0</v>
      </c>
      <c r="O47" s="32">
        <v>9200.0</v>
      </c>
      <c r="P47" s="27">
        <v>350.0</v>
      </c>
      <c r="Q47" s="207">
        <f t="shared" ref="Q47:Q54" si="2">GEOMEAN(E47,F47,G47,H47,I47,J47,K47,L47,M47,N47,O47,P47)</f>
        <v>1668.083524</v>
      </c>
      <c r="R47" s="17">
        <v>100.0</v>
      </c>
      <c r="S47" s="34">
        <f>GEOMEAN(Q47:Q54)</f>
        <v>456.6462332</v>
      </c>
    </row>
    <row r="48" ht="15.75" customHeight="1">
      <c r="A48" s="20"/>
      <c r="B48" s="21"/>
      <c r="C48" s="22">
        <v>2.0</v>
      </c>
      <c r="D48" s="145" t="s">
        <v>269</v>
      </c>
      <c r="E48" s="29">
        <v>49.0</v>
      </c>
      <c r="F48" s="35">
        <v>140.0</v>
      </c>
      <c r="G48" s="29">
        <v>9200.0</v>
      </c>
      <c r="H48" s="215" t="s">
        <v>26</v>
      </c>
      <c r="I48" s="215" t="s">
        <v>26</v>
      </c>
      <c r="J48" s="215" t="s">
        <v>26</v>
      </c>
      <c r="K48" s="215" t="s">
        <v>59</v>
      </c>
      <c r="L48" s="36">
        <v>70.0</v>
      </c>
      <c r="M48" s="215" t="s">
        <v>26</v>
      </c>
      <c r="N48" s="36">
        <v>220.0</v>
      </c>
      <c r="O48" s="36">
        <v>240.0</v>
      </c>
      <c r="P48" s="29">
        <v>350.0</v>
      </c>
      <c r="Q48" s="209">
        <f t="shared" si="2"/>
        <v>260.6078068</v>
      </c>
      <c r="R48" s="23">
        <v>100.0</v>
      </c>
    </row>
    <row r="49" ht="15.75" customHeight="1">
      <c r="A49" s="20"/>
      <c r="B49" s="21"/>
      <c r="C49" s="22">
        <v>3.0</v>
      </c>
      <c r="D49" s="145" t="s">
        <v>270</v>
      </c>
      <c r="E49" s="29">
        <v>79.0</v>
      </c>
      <c r="F49" s="35">
        <v>1400.0</v>
      </c>
      <c r="G49" s="29">
        <v>2400.0</v>
      </c>
      <c r="H49" s="215" t="s">
        <v>26</v>
      </c>
      <c r="I49" s="215" t="s">
        <v>26</v>
      </c>
      <c r="J49" s="215" t="s">
        <v>26</v>
      </c>
      <c r="K49" s="215" t="s">
        <v>59</v>
      </c>
      <c r="L49" s="36">
        <v>280000.0</v>
      </c>
      <c r="M49" s="215" t="s">
        <v>26</v>
      </c>
      <c r="N49" s="36">
        <v>3500.0</v>
      </c>
      <c r="O49" s="36">
        <v>2400.0</v>
      </c>
      <c r="P49" s="29">
        <v>350.0</v>
      </c>
      <c r="Q49" s="209">
        <f t="shared" si="2"/>
        <v>2158.789252</v>
      </c>
      <c r="R49" s="23">
        <v>100.0</v>
      </c>
    </row>
    <row r="50" ht="15.75" customHeight="1">
      <c r="A50" s="20"/>
      <c r="B50" s="21"/>
      <c r="C50" s="22">
        <v>4.0</v>
      </c>
      <c r="D50" s="50" t="s">
        <v>271</v>
      </c>
      <c r="E50" s="29">
        <v>46.0</v>
      </c>
      <c r="F50" s="85">
        <v>70.0</v>
      </c>
      <c r="G50" s="29">
        <v>540.0</v>
      </c>
      <c r="H50" s="215" t="s">
        <v>26</v>
      </c>
      <c r="I50" s="215" t="s">
        <v>26</v>
      </c>
      <c r="J50" s="215" t="s">
        <v>26</v>
      </c>
      <c r="K50" s="215" t="s">
        <v>59</v>
      </c>
      <c r="L50" s="36">
        <v>3500.0</v>
      </c>
      <c r="M50" s="215" t="s">
        <v>26</v>
      </c>
      <c r="N50" s="36">
        <v>2400.0</v>
      </c>
      <c r="O50" s="36">
        <v>3500.0</v>
      </c>
      <c r="P50" s="29">
        <v>240.0</v>
      </c>
      <c r="Q50" s="209">
        <f t="shared" si="2"/>
        <v>533.3012486</v>
      </c>
      <c r="R50" s="23">
        <v>100.0</v>
      </c>
    </row>
    <row r="51" ht="15.75" customHeight="1">
      <c r="A51" s="20"/>
      <c r="B51" s="21"/>
      <c r="C51" s="22">
        <v>5.0</v>
      </c>
      <c r="D51" s="145" t="s">
        <v>272</v>
      </c>
      <c r="E51" s="29">
        <v>33.0</v>
      </c>
      <c r="F51" s="35">
        <v>33.0</v>
      </c>
      <c r="G51" s="29">
        <v>240.0</v>
      </c>
      <c r="H51" s="215" t="s">
        <v>26</v>
      </c>
      <c r="I51" s="215" t="s">
        <v>26</v>
      </c>
      <c r="J51" s="215" t="s">
        <v>26</v>
      </c>
      <c r="K51" s="215" t="s">
        <v>59</v>
      </c>
      <c r="L51" s="36">
        <v>1100.0</v>
      </c>
      <c r="M51" s="215" t="s">
        <v>26</v>
      </c>
      <c r="N51" s="36">
        <v>2400.0</v>
      </c>
      <c r="O51" s="36">
        <v>13.0</v>
      </c>
      <c r="P51" s="29">
        <v>240.0</v>
      </c>
      <c r="Q51" s="209">
        <f t="shared" si="2"/>
        <v>155.0344578</v>
      </c>
      <c r="R51" s="23">
        <v>100.0</v>
      </c>
    </row>
    <row r="52" ht="15.75" customHeight="1">
      <c r="A52" s="20"/>
      <c r="B52" s="21"/>
      <c r="C52" s="22">
        <v>6.0</v>
      </c>
      <c r="D52" s="145" t="s">
        <v>273</v>
      </c>
      <c r="E52" s="29">
        <v>49.0</v>
      </c>
      <c r="F52" s="85">
        <v>320.0</v>
      </c>
      <c r="G52" s="29" t="s">
        <v>277</v>
      </c>
      <c r="H52" s="215" t="s">
        <v>26</v>
      </c>
      <c r="I52" s="215" t="s">
        <v>26</v>
      </c>
      <c r="J52" s="215" t="s">
        <v>26</v>
      </c>
      <c r="K52" s="215" t="s">
        <v>59</v>
      </c>
      <c r="L52" s="36">
        <v>700.0</v>
      </c>
      <c r="M52" s="215" t="s">
        <v>26</v>
      </c>
      <c r="N52" s="36">
        <v>5400.0</v>
      </c>
      <c r="O52" s="36">
        <v>1600.0</v>
      </c>
      <c r="P52" s="29">
        <v>240.0</v>
      </c>
      <c r="Q52" s="209">
        <f t="shared" si="2"/>
        <v>532.3470443</v>
      </c>
      <c r="R52" s="23">
        <v>100.0</v>
      </c>
    </row>
    <row r="53" ht="15.75" customHeight="1">
      <c r="A53" s="20"/>
      <c r="B53" s="21"/>
      <c r="C53" s="22">
        <v>7.0</v>
      </c>
      <c r="D53" s="145" t="s">
        <v>274</v>
      </c>
      <c r="E53" s="29">
        <v>23.0</v>
      </c>
      <c r="F53" s="35">
        <v>79.0</v>
      </c>
      <c r="G53" s="29">
        <v>23.0</v>
      </c>
      <c r="H53" s="215" t="s">
        <v>26</v>
      </c>
      <c r="I53" s="215" t="s">
        <v>26</v>
      </c>
      <c r="J53" s="215" t="s">
        <v>26</v>
      </c>
      <c r="K53" s="215" t="s">
        <v>59</v>
      </c>
      <c r="L53" s="36">
        <v>170.0</v>
      </c>
      <c r="M53" s="215" t="s">
        <v>26</v>
      </c>
      <c r="N53" s="36">
        <v>16000.0</v>
      </c>
      <c r="O53" s="36">
        <v>1100.0</v>
      </c>
      <c r="P53" s="29">
        <v>33.0</v>
      </c>
      <c r="Q53" s="209">
        <f t="shared" si="2"/>
        <v>170.1351474</v>
      </c>
      <c r="R53" s="23">
        <v>100.0</v>
      </c>
    </row>
    <row r="54" ht="15.75" customHeight="1">
      <c r="A54" s="20"/>
      <c r="B54" s="26"/>
      <c r="C54" s="22">
        <v>8.0</v>
      </c>
      <c r="D54" s="145" t="s">
        <v>275</v>
      </c>
      <c r="E54" s="29">
        <v>79.0</v>
      </c>
      <c r="F54" s="85">
        <v>79.0</v>
      </c>
      <c r="G54" s="29">
        <v>350.0</v>
      </c>
      <c r="H54" s="215" t="s">
        <v>26</v>
      </c>
      <c r="I54" s="215" t="s">
        <v>26</v>
      </c>
      <c r="J54" s="215" t="s">
        <v>26</v>
      </c>
      <c r="K54" s="215" t="s">
        <v>59</v>
      </c>
      <c r="L54" s="29">
        <v>920.0</v>
      </c>
      <c r="M54" s="215" t="s">
        <v>26</v>
      </c>
      <c r="N54" s="36">
        <v>9200.0</v>
      </c>
      <c r="O54" s="36">
        <v>23.0</v>
      </c>
      <c r="P54" s="29">
        <v>240.0</v>
      </c>
      <c r="Q54" s="209">
        <f t="shared" si="2"/>
        <v>269.0505297</v>
      </c>
      <c r="R54" s="23">
        <v>100.0</v>
      </c>
    </row>
    <row r="55" ht="15.75" customHeight="1">
      <c r="A55" s="20"/>
      <c r="B55" s="15" t="s">
        <v>278</v>
      </c>
      <c r="C55" s="16">
        <v>1.0</v>
      </c>
      <c r="D55" s="144" t="s">
        <v>268</v>
      </c>
      <c r="E55" s="39">
        <v>0.09</v>
      </c>
      <c r="F55" s="120" t="s">
        <v>40</v>
      </c>
      <c r="G55" s="120" t="s">
        <v>40</v>
      </c>
      <c r="H55" s="83" t="s">
        <v>26</v>
      </c>
      <c r="I55" s="83" t="s">
        <v>26</v>
      </c>
      <c r="J55" s="83" t="s">
        <v>26</v>
      </c>
      <c r="K55" s="120" t="s">
        <v>40</v>
      </c>
      <c r="L55" s="120" t="s">
        <v>40</v>
      </c>
      <c r="M55" s="83" t="s">
        <v>26</v>
      </c>
      <c r="N55" s="39">
        <v>0.077</v>
      </c>
      <c r="O55" s="39" t="s">
        <v>40</v>
      </c>
      <c r="P55" s="39" t="s">
        <v>40</v>
      </c>
      <c r="Q55" s="198">
        <f t="shared" ref="Q55:Q56" si="3">AVERAGE(E55,0.045,0.045,H55,I55,J55,0.045,0.045,0.045,N55,O55,P55)</f>
        <v>0.056</v>
      </c>
      <c r="R55" s="17">
        <v>10.0</v>
      </c>
    </row>
    <row r="56" ht="16.5" customHeight="1">
      <c r="A56" s="20"/>
      <c r="B56" s="21"/>
      <c r="C56" s="22">
        <v>2.0</v>
      </c>
      <c r="D56" s="145" t="s">
        <v>269</v>
      </c>
      <c r="E56" s="24" t="s">
        <v>40</v>
      </c>
      <c r="F56" s="24" t="s">
        <v>40</v>
      </c>
      <c r="G56" s="24" t="s">
        <v>40</v>
      </c>
      <c r="H56" s="215" t="s">
        <v>26</v>
      </c>
      <c r="I56" s="215" t="s">
        <v>26</v>
      </c>
      <c r="J56" s="215" t="s">
        <v>26</v>
      </c>
      <c r="K56" s="85" t="s">
        <v>40</v>
      </c>
      <c r="L56" s="85" t="s">
        <v>40</v>
      </c>
      <c r="M56" s="215" t="s">
        <v>26</v>
      </c>
      <c r="N56" s="41">
        <v>0.087</v>
      </c>
      <c r="O56" s="24" t="s">
        <v>40</v>
      </c>
      <c r="P56" s="24" t="s">
        <v>40</v>
      </c>
      <c r="Q56" s="200">
        <f t="shared" si="3"/>
        <v>0.052</v>
      </c>
      <c r="R56" s="23">
        <v>10.0</v>
      </c>
    </row>
    <row r="57" ht="15.75" customHeight="1">
      <c r="A57" s="20"/>
      <c r="B57" s="21"/>
      <c r="C57" s="22">
        <v>3.0</v>
      </c>
      <c r="D57" s="145" t="s">
        <v>270</v>
      </c>
      <c r="E57" s="24" t="s">
        <v>40</v>
      </c>
      <c r="F57" s="24" t="s">
        <v>40</v>
      </c>
      <c r="G57" s="24" t="s">
        <v>40</v>
      </c>
      <c r="H57" s="215" t="s">
        <v>26</v>
      </c>
      <c r="I57" s="215" t="s">
        <v>26</v>
      </c>
      <c r="J57" s="215" t="s">
        <v>26</v>
      </c>
      <c r="K57" s="85">
        <v>0.057</v>
      </c>
      <c r="L57" s="41">
        <v>0.26</v>
      </c>
      <c r="M57" s="215" t="s">
        <v>26</v>
      </c>
      <c r="N57" s="41">
        <v>0.057</v>
      </c>
      <c r="O57" s="24" t="s">
        <v>40</v>
      </c>
      <c r="P57" s="24" t="s">
        <v>40</v>
      </c>
      <c r="Q57" s="200">
        <f>AVERAGE(E57,0.045,0.045,H57,I57,J57,K57,L57,M57,N57,O57,P57)</f>
        <v>0.0928</v>
      </c>
      <c r="R57" s="23">
        <v>10.0</v>
      </c>
    </row>
    <row r="58" ht="15.75" customHeight="1">
      <c r="A58" s="20"/>
      <c r="B58" s="21"/>
      <c r="C58" s="22">
        <v>4.0</v>
      </c>
      <c r="D58" s="50" t="s">
        <v>271</v>
      </c>
      <c r="E58" s="41">
        <v>0.088</v>
      </c>
      <c r="F58" s="24" t="s">
        <v>40</v>
      </c>
      <c r="G58" s="24" t="s">
        <v>40</v>
      </c>
      <c r="H58" s="215" t="s">
        <v>26</v>
      </c>
      <c r="I58" s="215" t="s">
        <v>26</v>
      </c>
      <c r="J58" s="215" t="s">
        <v>26</v>
      </c>
      <c r="K58" s="85" t="s">
        <v>40</v>
      </c>
      <c r="L58" s="41">
        <v>0.158</v>
      </c>
      <c r="M58" s="215" t="s">
        <v>26</v>
      </c>
      <c r="N58" s="41" t="s">
        <v>40</v>
      </c>
      <c r="O58" s="24" t="s">
        <v>40</v>
      </c>
      <c r="P58" s="24" t="s">
        <v>40</v>
      </c>
      <c r="Q58" s="200">
        <f>AVERAGE(E58,0.045,0.045,H58,I58,J58,0.045,L58,M58,N58,O58,P58)</f>
        <v>0.0762</v>
      </c>
      <c r="R58" s="23">
        <v>10.0</v>
      </c>
    </row>
    <row r="59" ht="15.75" customHeight="1">
      <c r="A59" s="20"/>
      <c r="B59" s="21"/>
      <c r="C59" s="22">
        <v>5.0</v>
      </c>
      <c r="D59" s="145" t="s">
        <v>272</v>
      </c>
      <c r="E59" s="41">
        <v>0.323</v>
      </c>
      <c r="F59" s="24" t="s">
        <v>40</v>
      </c>
      <c r="G59" s="24" t="s">
        <v>40</v>
      </c>
      <c r="H59" s="215" t="s">
        <v>26</v>
      </c>
      <c r="I59" s="215" t="s">
        <v>26</v>
      </c>
      <c r="J59" s="215" t="s">
        <v>26</v>
      </c>
      <c r="K59" s="85">
        <v>0.085</v>
      </c>
      <c r="L59" s="85" t="s">
        <v>40</v>
      </c>
      <c r="M59" s="215" t="s">
        <v>26</v>
      </c>
      <c r="N59" s="41" t="s">
        <v>40</v>
      </c>
      <c r="O59" s="24" t="s">
        <v>40</v>
      </c>
      <c r="P59" s="24" t="s">
        <v>40</v>
      </c>
      <c r="Q59" s="200">
        <f t="shared" ref="Q59:Q60" si="4">AVERAGE(E59,0.045,0.045,H59,I59,J59,K59,0.045,0.045,N59,O59,P59)</f>
        <v>0.098</v>
      </c>
      <c r="R59" s="23">
        <v>10.0</v>
      </c>
    </row>
    <row r="60" ht="15.75" customHeight="1">
      <c r="A60" s="20"/>
      <c r="B60" s="21"/>
      <c r="C60" s="22">
        <v>6.0</v>
      </c>
      <c r="D60" s="145" t="s">
        <v>273</v>
      </c>
      <c r="E60" s="24" t="s">
        <v>40</v>
      </c>
      <c r="F60" s="24" t="s">
        <v>40</v>
      </c>
      <c r="G60" s="24" t="s">
        <v>40</v>
      </c>
      <c r="H60" s="215" t="s">
        <v>26</v>
      </c>
      <c r="I60" s="215" t="s">
        <v>26</v>
      </c>
      <c r="J60" s="215" t="s">
        <v>26</v>
      </c>
      <c r="K60" s="85">
        <v>0.076</v>
      </c>
      <c r="L60" s="85" t="s">
        <v>40</v>
      </c>
      <c r="M60" s="215" t="s">
        <v>26</v>
      </c>
      <c r="N60" s="41">
        <v>0.099</v>
      </c>
      <c r="O60" s="24" t="s">
        <v>40</v>
      </c>
      <c r="P60" s="24" t="s">
        <v>40</v>
      </c>
      <c r="Q60" s="200">
        <f t="shared" si="4"/>
        <v>0.05916666667</v>
      </c>
      <c r="R60" s="23">
        <v>10.0</v>
      </c>
    </row>
    <row r="61" ht="15.75" customHeight="1">
      <c r="A61" s="20"/>
      <c r="B61" s="21"/>
      <c r="C61" s="22">
        <v>7.0</v>
      </c>
      <c r="D61" s="145" t="s">
        <v>274</v>
      </c>
      <c r="E61" s="24" t="s">
        <v>40</v>
      </c>
      <c r="F61" s="24" t="s">
        <v>40</v>
      </c>
      <c r="G61" s="24" t="s">
        <v>40</v>
      </c>
      <c r="H61" s="215" t="s">
        <v>26</v>
      </c>
      <c r="I61" s="215" t="s">
        <v>26</v>
      </c>
      <c r="J61" s="215" t="s">
        <v>26</v>
      </c>
      <c r="K61" s="85">
        <v>0.064</v>
      </c>
      <c r="L61" s="41">
        <v>0.235</v>
      </c>
      <c r="M61" s="215" t="s">
        <v>26</v>
      </c>
      <c r="N61" s="41">
        <v>0.085</v>
      </c>
      <c r="O61" s="24" t="s">
        <v>40</v>
      </c>
      <c r="P61" s="24" t="s">
        <v>40</v>
      </c>
      <c r="Q61" s="200">
        <f>AVERAGE(E61,0.045,0.045,H61,I61,J61,K61,L61,M61,N61,O61,P61)</f>
        <v>0.0948</v>
      </c>
      <c r="R61" s="23">
        <v>10.0</v>
      </c>
    </row>
    <row r="62" ht="15.75" customHeight="1">
      <c r="A62" s="20"/>
      <c r="B62" s="26"/>
      <c r="C62" s="22">
        <v>8.0</v>
      </c>
      <c r="D62" s="145" t="s">
        <v>275</v>
      </c>
      <c r="E62" s="24" t="s">
        <v>40</v>
      </c>
      <c r="F62" s="24" t="s">
        <v>40</v>
      </c>
      <c r="G62" s="41">
        <v>0.205</v>
      </c>
      <c r="H62" s="215" t="s">
        <v>26</v>
      </c>
      <c r="I62" s="215" t="s">
        <v>26</v>
      </c>
      <c r="J62" s="215" t="s">
        <v>26</v>
      </c>
      <c r="K62" s="85">
        <v>0.124</v>
      </c>
      <c r="L62" s="41">
        <v>0.15</v>
      </c>
      <c r="M62" s="215" t="s">
        <v>26</v>
      </c>
      <c r="N62" s="41">
        <v>0.09</v>
      </c>
      <c r="O62" s="24" t="s">
        <v>40</v>
      </c>
      <c r="P62" s="24" t="s">
        <v>40</v>
      </c>
      <c r="Q62" s="200">
        <f>AVERAGE(0.045,0.045,G62,H62,I62,J62,K62,L62,M62,N62,O62,P62)</f>
        <v>0.1098333333</v>
      </c>
      <c r="R62" s="23">
        <v>10.0</v>
      </c>
    </row>
    <row r="63" ht="15.75" customHeight="1">
      <c r="A63" s="20"/>
      <c r="B63" s="15" t="s">
        <v>279</v>
      </c>
      <c r="C63" s="16">
        <v>1.0</v>
      </c>
      <c r="D63" s="144" t="s">
        <v>268</v>
      </c>
      <c r="E63" s="18" t="s">
        <v>231</v>
      </c>
      <c r="F63" s="120">
        <v>0.045</v>
      </c>
      <c r="G63" s="18" t="s">
        <v>231</v>
      </c>
      <c r="H63" s="83" t="s">
        <v>26</v>
      </c>
      <c r="I63" s="83" t="s">
        <v>26</v>
      </c>
      <c r="J63" s="83" t="s">
        <v>26</v>
      </c>
      <c r="K63" s="120" t="s">
        <v>231</v>
      </c>
      <c r="L63" s="39">
        <v>0.07</v>
      </c>
      <c r="M63" s="83" t="s">
        <v>26</v>
      </c>
      <c r="N63" s="39">
        <v>0.063</v>
      </c>
      <c r="O63" s="39">
        <v>0.056</v>
      </c>
      <c r="P63" s="39">
        <v>0.034</v>
      </c>
      <c r="Q63" s="198">
        <f>AVERAGE(0.025,F63,0.025,H63,I63,J63,0.025,L63,M63,N63,O63,P63)</f>
        <v>0.042875</v>
      </c>
      <c r="R63" s="17">
        <v>0.5</v>
      </c>
    </row>
    <row r="64" ht="15.75" customHeight="1">
      <c r="A64" s="20"/>
      <c r="B64" s="21"/>
      <c r="C64" s="22">
        <v>2.0</v>
      </c>
      <c r="D64" s="145" t="s">
        <v>269</v>
      </c>
      <c r="E64" s="24" t="s">
        <v>231</v>
      </c>
      <c r="F64" s="85">
        <v>0.025</v>
      </c>
      <c r="G64" s="24" t="s">
        <v>231</v>
      </c>
      <c r="H64" s="215" t="s">
        <v>26</v>
      </c>
      <c r="I64" s="215" t="s">
        <v>26</v>
      </c>
      <c r="J64" s="215" t="s">
        <v>26</v>
      </c>
      <c r="K64" s="85">
        <v>0.025</v>
      </c>
      <c r="L64" s="41">
        <v>0.052</v>
      </c>
      <c r="M64" s="215" t="s">
        <v>26</v>
      </c>
      <c r="N64" s="41">
        <v>0.085</v>
      </c>
      <c r="O64" s="41">
        <v>0.029</v>
      </c>
      <c r="P64" s="41">
        <v>0.028</v>
      </c>
      <c r="Q64" s="200">
        <f t="shared" ref="Q64:Q65" si="5">AVERAGE(0.025,F64,0.025,H64,I64,J64,K64,L64,M64,N64,O64,P64)</f>
        <v>0.03675</v>
      </c>
      <c r="R64" s="23">
        <v>0.5</v>
      </c>
    </row>
    <row r="65" ht="15.75" customHeight="1">
      <c r="A65" s="20"/>
      <c r="B65" s="21"/>
      <c r="C65" s="22">
        <v>3.0</v>
      </c>
      <c r="D65" s="145" t="s">
        <v>270</v>
      </c>
      <c r="E65" s="24" t="s">
        <v>231</v>
      </c>
      <c r="F65" s="41">
        <v>0.025</v>
      </c>
      <c r="G65" s="24" t="s">
        <v>231</v>
      </c>
      <c r="H65" s="215" t="s">
        <v>26</v>
      </c>
      <c r="I65" s="215" t="s">
        <v>26</v>
      </c>
      <c r="J65" s="215" t="s">
        <v>26</v>
      </c>
      <c r="K65" s="85">
        <v>0.026</v>
      </c>
      <c r="L65" s="41">
        <v>0.087</v>
      </c>
      <c r="M65" s="215" t="s">
        <v>26</v>
      </c>
      <c r="N65" s="41">
        <v>0.08</v>
      </c>
      <c r="O65" s="41">
        <v>0.037</v>
      </c>
      <c r="P65" s="41">
        <v>0.031</v>
      </c>
      <c r="Q65" s="200">
        <f t="shared" si="5"/>
        <v>0.042</v>
      </c>
      <c r="R65" s="23">
        <v>0.5</v>
      </c>
    </row>
    <row r="66" ht="15.75" customHeight="1">
      <c r="A66" s="20"/>
      <c r="B66" s="21"/>
      <c r="C66" s="22">
        <v>4.0</v>
      </c>
      <c r="D66" s="50" t="s">
        <v>271</v>
      </c>
      <c r="E66" s="24" t="s">
        <v>231</v>
      </c>
      <c r="F66" s="85">
        <v>0.027</v>
      </c>
      <c r="G66" s="24" t="s">
        <v>231</v>
      </c>
      <c r="H66" s="215" t="s">
        <v>26</v>
      </c>
      <c r="I66" s="215" t="s">
        <v>26</v>
      </c>
      <c r="J66" s="215" t="s">
        <v>26</v>
      </c>
      <c r="K66" s="85" t="s">
        <v>231</v>
      </c>
      <c r="L66" s="41">
        <v>0.081</v>
      </c>
      <c r="M66" s="215" t="s">
        <v>26</v>
      </c>
      <c r="N66" s="41">
        <v>0.045</v>
      </c>
      <c r="O66" s="41">
        <v>0.055</v>
      </c>
      <c r="P66" s="41">
        <v>0.037</v>
      </c>
      <c r="Q66" s="200">
        <f t="shared" ref="Q66:Q67" si="6">AVERAGE(0.025,F66,0.025,H66,I66,J66,0.025,L66,M66,N66,O66,P66)</f>
        <v>0.04</v>
      </c>
      <c r="R66" s="23">
        <v>0.5</v>
      </c>
    </row>
    <row r="67" ht="15.75" customHeight="1">
      <c r="A67" s="20"/>
      <c r="B67" s="21"/>
      <c r="C67" s="22">
        <v>5.0</v>
      </c>
      <c r="D67" s="145" t="s">
        <v>272</v>
      </c>
      <c r="E67" s="24" t="s">
        <v>231</v>
      </c>
      <c r="F67" s="85" t="s">
        <v>231</v>
      </c>
      <c r="G67" s="24" t="s">
        <v>231</v>
      </c>
      <c r="H67" s="215" t="s">
        <v>26</v>
      </c>
      <c r="I67" s="215" t="s">
        <v>26</v>
      </c>
      <c r="J67" s="215" t="s">
        <v>26</v>
      </c>
      <c r="K67" s="41">
        <v>0.03</v>
      </c>
      <c r="L67" s="41">
        <v>0.074</v>
      </c>
      <c r="M67" s="215" t="s">
        <v>26</v>
      </c>
      <c r="N67" s="41">
        <v>0.042</v>
      </c>
      <c r="O67" s="41">
        <v>0.035</v>
      </c>
      <c r="P67" s="41">
        <v>0.019</v>
      </c>
      <c r="Q67" s="200">
        <f t="shared" si="6"/>
        <v>0.035</v>
      </c>
      <c r="R67" s="23">
        <v>0.5</v>
      </c>
    </row>
    <row r="68" ht="15.75" customHeight="1">
      <c r="A68" s="20"/>
      <c r="B68" s="21"/>
      <c r="C68" s="22">
        <v>6.0</v>
      </c>
      <c r="D68" s="145" t="s">
        <v>273</v>
      </c>
      <c r="E68" s="24" t="s">
        <v>231</v>
      </c>
      <c r="F68" s="85">
        <v>0.039</v>
      </c>
      <c r="G68" s="24" t="s">
        <v>231</v>
      </c>
      <c r="H68" s="215" t="s">
        <v>26</v>
      </c>
      <c r="I68" s="215" t="s">
        <v>26</v>
      </c>
      <c r="J68" s="215" t="s">
        <v>26</v>
      </c>
      <c r="K68" s="85">
        <v>0.032</v>
      </c>
      <c r="L68" s="41">
        <v>0.058</v>
      </c>
      <c r="M68" s="215" t="s">
        <v>26</v>
      </c>
      <c r="N68" s="41">
        <v>0.069</v>
      </c>
      <c r="O68" s="41">
        <v>0.037</v>
      </c>
      <c r="P68" s="41">
        <v>0.063</v>
      </c>
      <c r="Q68" s="200">
        <f>AVERAGE(0.025,F68,0.025,H68,I68,J68,K68,L68,M68,N68,O68,P68)</f>
        <v>0.0435</v>
      </c>
      <c r="R68" s="23">
        <v>0.5</v>
      </c>
    </row>
    <row r="69" ht="15.75" customHeight="1">
      <c r="A69" s="20"/>
      <c r="B69" s="21"/>
      <c r="C69" s="22">
        <v>7.0</v>
      </c>
      <c r="D69" s="145" t="s">
        <v>274</v>
      </c>
      <c r="E69" s="24" t="s">
        <v>231</v>
      </c>
      <c r="F69" s="85">
        <v>0.032</v>
      </c>
      <c r="G69" s="24" t="s">
        <v>231</v>
      </c>
      <c r="H69" s="215" t="s">
        <v>26</v>
      </c>
      <c r="I69" s="215" t="s">
        <v>26</v>
      </c>
      <c r="J69" s="215" t="s">
        <v>26</v>
      </c>
      <c r="K69" s="85" t="s">
        <v>231</v>
      </c>
      <c r="L69" s="41">
        <v>0.062</v>
      </c>
      <c r="M69" s="215" t="s">
        <v>26</v>
      </c>
      <c r="N69" s="41">
        <v>0.1</v>
      </c>
      <c r="O69" s="41">
        <v>0.058</v>
      </c>
      <c r="P69" s="41">
        <v>0.027</v>
      </c>
      <c r="Q69" s="200">
        <f>AVERAGE(0.025,F69,0.025,H69,I69,J69,0.025,L69,M69,N69,O69,P69)</f>
        <v>0.04425</v>
      </c>
      <c r="R69" s="23">
        <v>0.5</v>
      </c>
    </row>
    <row r="70" ht="15.75" customHeight="1">
      <c r="A70" s="20"/>
      <c r="B70" s="26"/>
      <c r="C70" s="22">
        <v>8.0</v>
      </c>
      <c r="D70" s="145" t="s">
        <v>275</v>
      </c>
      <c r="E70" s="24" t="s">
        <v>231</v>
      </c>
      <c r="F70" s="85">
        <v>0.032</v>
      </c>
      <c r="G70" s="41">
        <v>0.028</v>
      </c>
      <c r="H70" s="215" t="s">
        <v>26</v>
      </c>
      <c r="I70" s="215" t="s">
        <v>26</v>
      </c>
      <c r="J70" s="215" t="s">
        <v>26</v>
      </c>
      <c r="K70" s="85" t="s">
        <v>231</v>
      </c>
      <c r="L70" s="41">
        <v>0.045</v>
      </c>
      <c r="M70" s="215" t="s">
        <v>26</v>
      </c>
      <c r="N70" s="41">
        <v>0.092</v>
      </c>
      <c r="O70" s="41">
        <v>0.047</v>
      </c>
      <c r="P70" s="41">
        <v>0.03</v>
      </c>
      <c r="Q70" s="200">
        <f>AVERAGE(0.025,F70,G70,H70,I70,J70,0.025,L70,M70,N70,O70,P70)</f>
        <v>0.0405</v>
      </c>
      <c r="R70" s="23">
        <v>0.5</v>
      </c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127"/>
      <c r="M71" s="127"/>
      <c r="N71" s="72"/>
      <c r="O71" s="72"/>
      <c r="P71" s="72"/>
    </row>
    <row r="72" ht="15.75" customHeight="1">
      <c r="A72" s="91" t="s">
        <v>43</v>
      </c>
      <c r="D72" s="72"/>
      <c r="E72" s="72"/>
      <c r="F72" s="72"/>
      <c r="G72" s="72"/>
      <c r="H72" s="72"/>
      <c r="I72" s="72"/>
      <c r="J72" s="72"/>
      <c r="K72" s="72"/>
      <c r="L72" s="127"/>
      <c r="M72" s="127"/>
      <c r="N72" s="72"/>
      <c r="O72" s="72"/>
      <c r="P72" s="72"/>
    </row>
    <row r="73" ht="9.0" customHeight="1">
      <c r="D73" s="72"/>
      <c r="E73" s="72"/>
      <c r="F73" s="72"/>
      <c r="G73" s="72"/>
      <c r="H73" s="72"/>
      <c r="I73" s="72"/>
      <c r="J73" s="72"/>
      <c r="K73" s="72"/>
      <c r="L73" s="127"/>
      <c r="M73" s="127"/>
      <c r="N73" s="72"/>
      <c r="O73" s="72"/>
      <c r="P73" s="72"/>
    </row>
    <row r="74" ht="13.5" customHeight="1">
      <c r="A74" s="252" t="s">
        <v>280</v>
      </c>
      <c r="I74" s="72"/>
      <c r="J74" s="72"/>
      <c r="K74" s="72"/>
      <c r="L74" s="127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0.5" customHeight="1">
      <c r="A75" s="253"/>
      <c r="B75" s="253"/>
      <c r="C75" s="25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3:B30"/>
    <mergeCell ref="B31:B38"/>
    <mergeCell ref="B39:B46"/>
    <mergeCell ref="B47:B54"/>
    <mergeCell ref="B55:B62"/>
    <mergeCell ref="B63:B70"/>
    <mergeCell ref="A72:C73"/>
    <mergeCell ref="A74:H74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43"/>
    <col customWidth="1" min="3" max="3" width="8.43"/>
    <col customWidth="1" min="4" max="4" width="12.43"/>
    <col customWidth="1" min="5" max="5" width="14.14"/>
    <col customWidth="1" min="6" max="6" width="11.86"/>
    <col customWidth="1" min="7" max="7" width="12.43"/>
    <col customWidth="1" min="8" max="8" width="12.14"/>
    <col customWidth="1" min="9" max="9" width="12.0"/>
    <col customWidth="1" min="10" max="10" width="9.0"/>
    <col customWidth="1" min="11" max="11" width="17.86"/>
    <col customWidth="1" min="12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>
      <c r="A4" s="254" t="s">
        <v>3</v>
      </c>
      <c r="B4" s="255" t="s">
        <v>4</v>
      </c>
      <c r="C4" s="255" t="s">
        <v>5</v>
      </c>
      <c r="D4" s="256" t="s">
        <v>281</v>
      </c>
      <c r="E4" s="257"/>
      <c r="F4" s="255" t="s">
        <v>282</v>
      </c>
      <c r="G4" s="255" t="s">
        <v>283</v>
      </c>
      <c r="H4" s="255" t="s">
        <v>284</v>
      </c>
      <c r="I4" s="255" t="s">
        <v>285</v>
      </c>
      <c r="J4" s="255" t="s">
        <v>286</v>
      </c>
      <c r="K4" s="255" t="s">
        <v>287</v>
      </c>
    </row>
    <row r="5">
      <c r="A5" s="258"/>
      <c r="B5" s="26"/>
      <c r="C5" s="26"/>
      <c r="D5" s="8" t="s">
        <v>288</v>
      </c>
      <c r="E5" s="188" t="s">
        <v>289</v>
      </c>
      <c r="F5" s="26"/>
      <c r="G5" s="26"/>
      <c r="H5" s="26"/>
      <c r="I5" s="26"/>
      <c r="J5" s="26"/>
      <c r="K5" s="26"/>
    </row>
    <row r="6">
      <c r="A6" s="10" t="s">
        <v>290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>
      <c r="A7" s="13" t="s">
        <v>291</v>
      </c>
      <c r="B7" s="11"/>
      <c r="C7" s="11"/>
      <c r="D7" s="11"/>
      <c r="E7" s="11"/>
      <c r="F7" s="11"/>
      <c r="G7" s="11"/>
      <c r="H7" s="11"/>
      <c r="I7" s="11"/>
      <c r="J7" s="11"/>
      <c r="K7" s="12"/>
    </row>
    <row r="8">
      <c r="A8" s="80" t="s">
        <v>23</v>
      </c>
      <c r="B8" s="46" t="s">
        <v>292</v>
      </c>
      <c r="C8" s="81">
        <v>1.0</v>
      </c>
      <c r="D8" s="202">
        <v>14.66669</v>
      </c>
      <c r="E8" s="202">
        <v>120.84239</v>
      </c>
      <c r="F8" s="120" t="s">
        <v>26</v>
      </c>
      <c r="G8" s="120" t="s">
        <v>26</v>
      </c>
      <c r="H8" s="120">
        <v>1.7</v>
      </c>
      <c r="I8" s="120">
        <v>1.6</v>
      </c>
      <c r="J8" s="120">
        <v>1.6</v>
      </c>
      <c r="K8" s="162">
        <v>9.6</v>
      </c>
    </row>
    <row r="9">
      <c r="A9" s="20"/>
      <c r="B9" s="21"/>
      <c r="C9" s="22">
        <v>2.0</v>
      </c>
      <c r="D9" s="203">
        <v>14.67756</v>
      </c>
      <c r="E9" s="203">
        <v>120.76119</v>
      </c>
      <c r="F9" s="85" t="s">
        <v>26</v>
      </c>
      <c r="G9" s="85" t="s">
        <v>26</v>
      </c>
      <c r="H9" s="85">
        <v>1.6</v>
      </c>
      <c r="I9" s="85">
        <v>1.5</v>
      </c>
      <c r="J9" s="85">
        <v>1.5</v>
      </c>
      <c r="K9" s="23">
        <v>9.6</v>
      </c>
    </row>
    <row r="10">
      <c r="A10" s="20"/>
      <c r="B10" s="21"/>
      <c r="C10" s="22">
        <v>3.0</v>
      </c>
      <c r="D10" s="203">
        <v>14.67142</v>
      </c>
      <c r="E10" s="203">
        <v>120.62481</v>
      </c>
      <c r="F10" s="85" t="s">
        <v>26</v>
      </c>
      <c r="G10" s="85" t="s">
        <v>26</v>
      </c>
      <c r="H10" s="85">
        <v>2.0</v>
      </c>
      <c r="I10" s="85">
        <v>1.4</v>
      </c>
      <c r="J10" s="85">
        <v>1.4</v>
      </c>
      <c r="K10" s="23">
        <v>9.6</v>
      </c>
    </row>
    <row r="11">
      <c r="A11" s="20"/>
      <c r="B11" s="21"/>
      <c r="C11" s="22">
        <v>4.0</v>
      </c>
      <c r="D11" s="203">
        <v>14.57836</v>
      </c>
      <c r="E11" s="203">
        <v>120.63139</v>
      </c>
      <c r="F11" s="85" t="s">
        <v>26</v>
      </c>
      <c r="G11" s="85" t="s">
        <v>26</v>
      </c>
      <c r="H11" s="85">
        <v>1.6</v>
      </c>
      <c r="I11" s="85">
        <v>1.6</v>
      </c>
      <c r="J11" s="85">
        <v>1.6</v>
      </c>
      <c r="K11" s="23">
        <v>9.6</v>
      </c>
    </row>
    <row r="12">
      <c r="A12" s="20"/>
      <c r="B12" s="21"/>
      <c r="C12" s="22">
        <v>5.0</v>
      </c>
      <c r="D12" s="203">
        <v>14.4525</v>
      </c>
      <c r="E12" s="203">
        <v>120.62608</v>
      </c>
      <c r="F12" s="85" t="s">
        <v>26</v>
      </c>
      <c r="G12" s="85" t="s">
        <v>26</v>
      </c>
      <c r="H12" s="85">
        <v>1.6</v>
      </c>
      <c r="I12" s="85">
        <v>1.8</v>
      </c>
      <c r="J12" s="85">
        <v>1.8</v>
      </c>
      <c r="K12" s="23">
        <v>9.6</v>
      </c>
    </row>
    <row r="13">
      <c r="A13" s="20"/>
      <c r="B13" s="21"/>
      <c r="C13" s="22">
        <v>6.0</v>
      </c>
      <c r="D13" s="203">
        <v>14.45306</v>
      </c>
      <c r="E13" s="203">
        <v>120.75489</v>
      </c>
      <c r="F13" s="85" t="s">
        <v>26</v>
      </c>
      <c r="G13" s="85" t="s">
        <v>26</v>
      </c>
      <c r="H13" s="85">
        <v>2.3</v>
      </c>
      <c r="I13" s="85">
        <v>1.9</v>
      </c>
      <c r="J13" s="85">
        <v>1.9</v>
      </c>
      <c r="K13" s="23">
        <v>9.6</v>
      </c>
    </row>
    <row r="14">
      <c r="A14" s="20"/>
      <c r="B14" s="21"/>
      <c r="C14" s="22">
        <v>7.0</v>
      </c>
      <c r="D14" s="203">
        <v>14.46786</v>
      </c>
      <c r="E14" s="203">
        <v>120.841107</v>
      </c>
      <c r="F14" s="85" t="s">
        <v>26</v>
      </c>
      <c r="G14" s="85" t="s">
        <v>26</v>
      </c>
      <c r="H14" s="85">
        <v>1.7</v>
      </c>
      <c r="I14" s="85">
        <v>1.4</v>
      </c>
      <c r="J14" s="85">
        <v>1.4</v>
      </c>
      <c r="K14" s="23">
        <v>9.6</v>
      </c>
    </row>
    <row r="15">
      <c r="A15" s="20"/>
      <c r="B15" s="21"/>
      <c r="C15" s="22">
        <v>8.0</v>
      </c>
      <c r="D15" s="203">
        <v>14.58444</v>
      </c>
      <c r="E15" s="203">
        <v>120.76211</v>
      </c>
      <c r="F15" s="85" t="s">
        <v>26</v>
      </c>
      <c r="G15" s="85" t="s">
        <v>26</v>
      </c>
      <c r="H15" s="85">
        <v>1.7</v>
      </c>
      <c r="I15" s="85">
        <v>1.8</v>
      </c>
      <c r="J15" s="85">
        <v>1.8</v>
      </c>
      <c r="K15" s="23">
        <v>9.6</v>
      </c>
    </row>
    <row r="16">
      <c r="A16" s="20"/>
      <c r="B16" s="26"/>
      <c r="C16" s="22">
        <v>9.0</v>
      </c>
      <c r="D16" s="203">
        <v>14.590809</v>
      </c>
      <c r="E16" s="203">
        <v>120.847296</v>
      </c>
      <c r="F16" s="85" t="s">
        <v>26</v>
      </c>
      <c r="G16" s="85" t="s">
        <v>26</v>
      </c>
      <c r="H16" s="85">
        <v>1.9</v>
      </c>
      <c r="I16" s="85">
        <v>1.8</v>
      </c>
      <c r="J16" s="85">
        <v>1.8</v>
      </c>
      <c r="K16" s="23">
        <v>9.6</v>
      </c>
    </row>
    <row r="17">
      <c r="A17" s="20"/>
      <c r="B17" s="15" t="s">
        <v>293</v>
      </c>
      <c r="C17" s="16">
        <v>1.0</v>
      </c>
      <c r="D17" s="202">
        <v>14.66669</v>
      </c>
      <c r="E17" s="202">
        <v>120.84239</v>
      </c>
      <c r="F17" s="120" t="s">
        <v>26</v>
      </c>
      <c r="G17" s="120" t="s">
        <v>26</v>
      </c>
      <c r="H17" s="120">
        <v>28.0</v>
      </c>
      <c r="I17" s="120">
        <v>29.0</v>
      </c>
      <c r="J17" s="120">
        <v>29.0</v>
      </c>
      <c r="K17" s="17">
        <v>370.0</v>
      </c>
    </row>
    <row r="18">
      <c r="A18" s="20"/>
      <c r="B18" s="21"/>
      <c r="C18" s="22">
        <v>2.0</v>
      </c>
      <c r="D18" s="203">
        <v>14.67756</v>
      </c>
      <c r="E18" s="203">
        <v>120.76119</v>
      </c>
      <c r="F18" s="85" t="s">
        <v>26</v>
      </c>
      <c r="G18" s="85" t="s">
        <v>26</v>
      </c>
      <c r="H18" s="85">
        <v>23.0</v>
      </c>
      <c r="I18" s="85">
        <v>28.0</v>
      </c>
      <c r="J18" s="85">
        <v>28.0</v>
      </c>
      <c r="K18" s="23">
        <v>370.0</v>
      </c>
    </row>
    <row r="19">
      <c r="A19" s="20"/>
      <c r="B19" s="21"/>
      <c r="C19" s="22">
        <v>3.0</v>
      </c>
      <c r="D19" s="203">
        <v>14.67142</v>
      </c>
      <c r="E19" s="203">
        <v>120.62481</v>
      </c>
      <c r="F19" s="85" t="s">
        <v>26</v>
      </c>
      <c r="G19" s="85" t="s">
        <v>26</v>
      </c>
      <c r="H19" s="85">
        <v>19.0</v>
      </c>
      <c r="I19" s="85">
        <v>21.0</v>
      </c>
      <c r="J19" s="85">
        <v>21.0</v>
      </c>
      <c r="K19" s="23">
        <v>370.0</v>
      </c>
    </row>
    <row r="20">
      <c r="A20" s="20"/>
      <c r="B20" s="21"/>
      <c r="C20" s="22">
        <v>4.0</v>
      </c>
      <c r="D20" s="203">
        <v>14.57836</v>
      </c>
      <c r="E20" s="203">
        <v>120.63139</v>
      </c>
      <c r="F20" s="85" t="s">
        <v>26</v>
      </c>
      <c r="G20" s="85" t="s">
        <v>26</v>
      </c>
      <c r="H20" s="85">
        <v>19.0</v>
      </c>
      <c r="I20" s="85">
        <v>20.0</v>
      </c>
      <c r="J20" s="85">
        <v>20.0</v>
      </c>
      <c r="K20" s="23">
        <v>370.0</v>
      </c>
    </row>
    <row r="21" ht="15.75" customHeight="1">
      <c r="A21" s="20"/>
      <c r="B21" s="21"/>
      <c r="C21" s="22">
        <v>5.0</v>
      </c>
      <c r="D21" s="203">
        <v>14.4525</v>
      </c>
      <c r="E21" s="203">
        <v>120.62608</v>
      </c>
      <c r="F21" s="85" t="s">
        <v>26</v>
      </c>
      <c r="G21" s="85" t="s">
        <v>26</v>
      </c>
      <c r="H21" s="85">
        <v>17.0</v>
      </c>
      <c r="I21" s="85">
        <v>18.0</v>
      </c>
      <c r="J21" s="85">
        <v>18.0</v>
      </c>
      <c r="K21" s="23">
        <v>370.0</v>
      </c>
    </row>
    <row r="22" ht="15.75" customHeight="1">
      <c r="A22" s="20"/>
      <c r="B22" s="21"/>
      <c r="C22" s="22">
        <v>6.0</v>
      </c>
      <c r="D22" s="203">
        <v>14.45306</v>
      </c>
      <c r="E22" s="203">
        <v>120.75489</v>
      </c>
      <c r="F22" s="85" t="s">
        <v>26</v>
      </c>
      <c r="G22" s="85" t="s">
        <v>26</v>
      </c>
      <c r="H22" s="85">
        <v>14.0</v>
      </c>
      <c r="I22" s="85">
        <v>15.0</v>
      </c>
      <c r="J22" s="85">
        <v>15.0</v>
      </c>
      <c r="K22" s="23">
        <v>370.0</v>
      </c>
    </row>
    <row r="23" ht="15.75" customHeight="1">
      <c r="A23" s="20"/>
      <c r="B23" s="21"/>
      <c r="C23" s="22">
        <v>7.0</v>
      </c>
      <c r="D23" s="203">
        <v>14.46786</v>
      </c>
      <c r="E23" s="203">
        <v>120.841107</v>
      </c>
      <c r="F23" s="85" t="s">
        <v>26</v>
      </c>
      <c r="G23" s="85" t="s">
        <v>26</v>
      </c>
      <c r="H23" s="85">
        <v>15.0</v>
      </c>
      <c r="I23" s="85">
        <v>11.0</v>
      </c>
      <c r="J23" s="85">
        <v>11.0</v>
      </c>
      <c r="K23" s="23">
        <v>370.0</v>
      </c>
    </row>
    <row r="24" ht="15.75" customHeight="1">
      <c r="A24" s="20"/>
      <c r="B24" s="21"/>
      <c r="C24" s="22">
        <v>8.0</v>
      </c>
      <c r="D24" s="203">
        <v>14.58444</v>
      </c>
      <c r="E24" s="203">
        <v>120.76211</v>
      </c>
      <c r="F24" s="85" t="s">
        <v>26</v>
      </c>
      <c r="G24" s="85" t="s">
        <v>26</v>
      </c>
      <c r="H24" s="85">
        <v>22.0</v>
      </c>
      <c r="I24" s="85">
        <v>24.0</v>
      </c>
      <c r="J24" s="85">
        <v>24.0</v>
      </c>
      <c r="K24" s="23">
        <v>370.0</v>
      </c>
    </row>
    <row r="25" ht="15.75" customHeight="1">
      <c r="A25" s="20"/>
      <c r="B25" s="26"/>
      <c r="C25" s="22">
        <v>9.0</v>
      </c>
      <c r="D25" s="203">
        <v>14.590809</v>
      </c>
      <c r="E25" s="203">
        <v>120.847296</v>
      </c>
      <c r="F25" s="85" t="s">
        <v>26</v>
      </c>
      <c r="G25" s="85" t="s">
        <v>26</v>
      </c>
      <c r="H25" s="85">
        <v>26.0</v>
      </c>
      <c r="I25" s="85">
        <v>19.0</v>
      </c>
      <c r="J25" s="85">
        <v>19.0</v>
      </c>
      <c r="K25" s="23">
        <v>370.0</v>
      </c>
    </row>
    <row r="26" ht="15.75" customHeight="1">
      <c r="A26" s="20"/>
      <c r="B26" s="15" t="s">
        <v>294</v>
      </c>
      <c r="C26" s="16">
        <v>1.0</v>
      </c>
      <c r="D26" s="202">
        <v>14.66669</v>
      </c>
      <c r="E26" s="202">
        <v>120.84239</v>
      </c>
      <c r="F26" s="120" t="s">
        <v>26</v>
      </c>
      <c r="G26" s="120" t="s">
        <v>26</v>
      </c>
      <c r="H26" s="120">
        <v>28.0</v>
      </c>
      <c r="I26" s="120">
        <v>30.0</v>
      </c>
      <c r="J26" s="120">
        <v>30.0</v>
      </c>
      <c r="K26" s="59">
        <v>218.0</v>
      </c>
    </row>
    <row r="27" ht="15.75" customHeight="1">
      <c r="A27" s="20"/>
      <c r="B27" s="21"/>
      <c r="C27" s="22">
        <v>2.0</v>
      </c>
      <c r="D27" s="203">
        <v>14.67756</v>
      </c>
      <c r="E27" s="203">
        <v>120.76119</v>
      </c>
      <c r="F27" s="85" t="s">
        <v>26</v>
      </c>
      <c r="G27" s="85" t="s">
        <v>26</v>
      </c>
      <c r="H27" s="85">
        <v>23.0</v>
      </c>
      <c r="I27" s="85">
        <v>24.0</v>
      </c>
      <c r="J27" s="85">
        <v>24.0</v>
      </c>
      <c r="K27" s="60">
        <v>218.0</v>
      </c>
    </row>
    <row r="28" ht="15.75" customHeight="1">
      <c r="A28" s="20"/>
      <c r="B28" s="21"/>
      <c r="C28" s="22">
        <v>3.0</v>
      </c>
      <c r="D28" s="203">
        <v>14.67142</v>
      </c>
      <c r="E28" s="203">
        <v>120.62481</v>
      </c>
      <c r="F28" s="85" t="s">
        <v>26</v>
      </c>
      <c r="G28" s="85" t="s">
        <v>26</v>
      </c>
      <c r="H28" s="85">
        <v>27.0</v>
      </c>
      <c r="I28" s="85">
        <v>16.0</v>
      </c>
      <c r="J28" s="85">
        <v>16.0</v>
      </c>
      <c r="K28" s="60">
        <v>218.0</v>
      </c>
    </row>
    <row r="29" ht="15.75" customHeight="1">
      <c r="A29" s="20"/>
      <c r="B29" s="21"/>
      <c r="C29" s="22">
        <v>4.0</v>
      </c>
      <c r="D29" s="203">
        <v>14.57836</v>
      </c>
      <c r="E29" s="203">
        <v>120.63139</v>
      </c>
      <c r="F29" s="85" t="s">
        <v>26</v>
      </c>
      <c r="G29" s="85" t="s">
        <v>26</v>
      </c>
      <c r="H29" s="85">
        <v>19.0</v>
      </c>
      <c r="I29" s="85">
        <v>20.0</v>
      </c>
      <c r="J29" s="85">
        <v>20.0</v>
      </c>
      <c r="K29" s="60">
        <v>218.0</v>
      </c>
    </row>
    <row r="30" ht="15.75" customHeight="1">
      <c r="A30" s="20"/>
      <c r="B30" s="21"/>
      <c r="C30" s="22">
        <v>5.0</v>
      </c>
      <c r="D30" s="203">
        <v>14.4525</v>
      </c>
      <c r="E30" s="203">
        <v>120.62608</v>
      </c>
      <c r="F30" s="85" t="s">
        <v>26</v>
      </c>
      <c r="G30" s="85" t="s">
        <v>26</v>
      </c>
      <c r="H30" s="85">
        <v>17.0</v>
      </c>
      <c r="I30" s="85">
        <v>26.0</v>
      </c>
      <c r="J30" s="85">
        <v>26.0</v>
      </c>
      <c r="K30" s="60">
        <v>218.0</v>
      </c>
    </row>
    <row r="31" ht="15.75" customHeight="1">
      <c r="A31" s="20"/>
      <c r="B31" s="21"/>
      <c r="C31" s="22">
        <v>6.0</v>
      </c>
      <c r="D31" s="203">
        <v>14.45306</v>
      </c>
      <c r="E31" s="203">
        <v>120.75489</v>
      </c>
      <c r="F31" s="85" t="s">
        <v>26</v>
      </c>
      <c r="G31" s="85" t="s">
        <v>26</v>
      </c>
      <c r="H31" s="85">
        <v>30.0</v>
      </c>
      <c r="I31" s="85">
        <v>29.0</v>
      </c>
      <c r="J31" s="85">
        <v>29.0</v>
      </c>
      <c r="K31" s="60">
        <v>218.0</v>
      </c>
    </row>
    <row r="32" ht="15.75" customHeight="1">
      <c r="A32" s="20"/>
      <c r="B32" s="21"/>
      <c r="C32" s="22">
        <v>7.0</v>
      </c>
      <c r="D32" s="203">
        <v>14.46786</v>
      </c>
      <c r="E32" s="203">
        <v>120.841107</v>
      </c>
      <c r="F32" s="85" t="s">
        <v>26</v>
      </c>
      <c r="G32" s="85" t="s">
        <v>26</v>
      </c>
      <c r="H32" s="85">
        <v>28.0</v>
      </c>
      <c r="I32" s="85">
        <v>25.0</v>
      </c>
      <c r="J32" s="85">
        <v>25.0</v>
      </c>
      <c r="K32" s="60">
        <v>218.0</v>
      </c>
    </row>
    <row r="33" ht="15.75" customHeight="1">
      <c r="A33" s="20"/>
      <c r="B33" s="21"/>
      <c r="C33" s="22">
        <v>8.0</v>
      </c>
      <c r="D33" s="203">
        <v>14.58444</v>
      </c>
      <c r="E33" s="203">
        <v>120.76211</v>
      </c>
      <c r="F33" s="85" t="s">
        <v>26</v>
      </c>
      <c r="G33" s="85" t="s">
        <v>26</v>
      </c>
      <c r="H33" s="85">
        <v>25.0</v>
      </c>
      <c r="I33" s="85">
        <v>32.0</v>
      </c>
      <c r="J33" s="85">
        <v>32.0</v>
      </c>
      <c r="K33" s="60">
        <v>218.0</v>
      </c>
    </row>
    <row r="34" ht="15.75" customHeight="1">
      <c r="A34" s="20"/>
      <c r="B34" s="26"/>
      <c r="C34" s="22">
        <v>9.0</v>
      </c>
      <c r="D34" s="203">
        <v>14.590809</v>
      </c>
      <c r="E34" s="203">
        <v>120.847296</v>
      </c>
      <c r="F34" s="85" t="s">
        <v>26</v>
      </c>
      <c r="G34" s="85" t="s">
        <v>26</v>
      </c>
      <c r="H34" s="85">
        <v>40.0</v>
      </c>
      <c r="I34" s="85">
        <v>32.0</v>
      </c>
      <c r="J34" s="85">
        <v>32.0</v>
      </c>
      <c r="K34" s="60">
        <v>218.0</v>
      </c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</row>
    <row r="36" ht="15.75" customHeight="1">
      <c r="A36" s="91" t="s">
        <v>43</v>
      </c>
      <c r="D36" s="91"/>
      <c r="E36" s="72"/>
      <c r="F36" s="72"/>
      <c r="G36" s="72"/>
      <c r="H36" s="72"/>
      <c r="I36" s="72"/>
    </row>
    <row r="37" ht="15.75" customHeight="1">
      <c r="D37" s="91"/>
      <c r="E37" s="72"/>
      <c r="F37" s="72"/>
      <c r="G37" s="72"/>
      <c r="H37" s="72"/>
      <c r="I37" s="72"/>
    </row>
    <row r="38" ht="15.75" customHeight="1">
      <c r="A38" s="126" t="s">
        <v>295</v>
      </c>
      <c r="F38" s="79"/>
      <c r="G38" s="79"/>
      <c r="H38" s="79"/>
      <c r="I38" s="79"/>
    </row>
    <row r="39" ht="15.75" customHeight="1">
      <c r="F39" s="79"/>
      <c r="G39" s="79"/>
      <c r="H39" s="79"/>
      <c r="I39" s="79"/>
    </row>
    <row r="40" ht="15.75" customHeight="1">
      <c r="F40" s="79"/>
      <c r="G40" s="79"/>
      <c r="H40" s="79"/>
      <c r="I40" s="79"/>
    </row>
    <row r="41" ht="15.75" customHeight="1">
      <c r="F41" s="79"/>
      <c r="G41" s="79"/>
      <c r="H41" s="79"/>
      <c r="I41" s="79"/>
    </row>
    <row r="42" ht="15.75" customHeight="1">
      <c r="F42" s="79"/>
      <c r="G42" s="79"/>
      <c r="H42" s="79"/>
      <c r="I42" s="79"/>
    </row>
    <row r="43" ht="15.75" customHeight="1">
      <c r="F43" s="79"/>
      <c r="G43" s="79"/>
      <c r="H43" s="79"/>
      <c r="I43" s="79"/>
    </row>
    <row r="44" ht="15.75" customHeight="1">
      <c r="F44" s="79"/>
      <c r="G44" s="79"/>
      <c r="H44" s="79"/>
      <c r="I44" s="79"/>
    </row>
    <row r="45" ht="15.75" customHeight="1">
      <c r="F45" s="79"/>
      <c r="G45" s="79"/>
      <c r="H45" s="79"/>
      <c r="I45" s="79"/>
    </row>
    <row r="46" ht="15.75" customHeight="1">
      <c r="F46" s="79"/>
      <c r="G46" s="79"/>
      <c r="H46" s="79"/>
      <c r="I46" s="79"/>
    </row>
    <row r="47" ht="15.75" customHeight="1">
      <c r="F47" s="79"/>
      <c r="G47" s="79"/>
      <c r="H47" s="79"/>
      <c r="I47" s="79"/>
    </row>
    <row r="48" ht="15.75" customHeight="1">
      <c r="F48" s="79"/>
      <c r="G48" s="79"/>
      <c r="H48" s="79"/>
      <c r="I48" s="79"/>
    </row>
    <row r="49" ht="15.75" customHeight="1">
      <c r="F49" s="79"/>
      <c r="G49" s="79"/>
      <c r="H49" s="79"/>
      <c r="I49" s="79"/>
    </row>
    <row r="50" ht="15.75" customHeight="1">
      <c r="F50" s="79"/>
      <c r="G50" s="79"/>
      <c r="H50" s="79"/>
      <c r="I50" s="79"/>
    </row>
    <row r="51" ht="15.75" customHeight="1">
      <c r="F51" s="79"/>
      <c r="G51" s="79"/>
      <c r="H51" s="79"/>
      <c r="I51" s="79"/>
    </row>
    <row r="52" ht="15.75" customHeight="1">
      <c r="F52" s="79"/>
      <c r="G52" s="79"/>
      <c r="H52" s="79"/>
      <c r="I52" s="79"/>
    </row>
    <row r="53" ht="15.75" customHeight="1">
      <c r="F53" s="79"/>
      <c r="G53" s="79"/>
      <c r="H53" s="79"/>
      <c r="I53" s="79"/>
    </row>
    <row r="54" ht="15.75" customHeight="1">
      <c r="F54" s="79"/>
      <c r="G54" s="79"/>
      <c r="H54" s="79"/>
      <c r="I54" s="79"/>
    </row>
    <row r="55" ht="15.75" customHeight="1">
      <c r="F55" s="79"/>
      <c r="G55" s="79"/>
      <c r="H55" s="79"/>
      <c r="I55" s="79"/>
    </row>
    <row r="56" ht="15.75" customHeight="1">
      <c r="F56" s="79"/>
      <c r="G56" s="79"/>
      <c r="H56" s="79"/>
      <c r="I56" s="79"/>
    </row>
    <row r="57" ht="15.75" customHeight="1">
      <c r="F57" s="79"/>
      <c r="G57" s="79"/>
      <c r="H57" s="79"/>
      <c r="I57" s="79"/>
    </row>
    <row r="58" ht="15.75" customHeight="1">
      <c r="F58" s="79"/>
      <c r="G58" s="79"/>
      <c r="H58" s="79"/>
      <c r="I58" s="79"/>
    </row>
    <row r="59" ht="15.75" customHeight="1">
      <c r="F59" s="79"/>
      <c r="G59" s="79"/>
      <c r="H59" s="79"/>
      <c r="I59" s="79"/>
    </row>
    <row r="60" ht="15.75" customHeight="1">
      <c r="F60" s="79"/>
      <c r="G60" s="79"/>
      <c r="H60" s="79"/>
      <c r="I60" s="79"/>
    </row>
    <row r="61" ht="15.75" customHeight="1">
      <c r="F61" s="79"/>
      <c r="G61" s="79"/>
      <c r="H61" s="79"/>
      <c r="I61" s="79"/>
    </row>
    <row r="62" ht="15.75" customHeight="1">
      <c r="F62" s="79"/>
      <c r="G62" s="79"/>
      <c r="H62" s="79"/>
      <c r="I62" s="79"/>
    </row>
    <row r="63" ht="15.75" customHeight="1">
      <c r="F63" s="79"/>
      <c r="G63" s="79"/>
      <c r="H63" s="79"/>
      <c r="I63" s="79"/>
    </row>
    <row r="64" ht="15.75" customHeight="1">
      <c r="F64" s="79"/>
      <c r="G64" s="79"/>
      <c r="H64" s="79"/>
      <c r="I64" s="79"/>
    </row>
    <row r="65" ht="15.75" customHeight="1">
      <c r="F65" s="79"/>
      <c r="G65" s="79"/>
      <c r="H65" s="79"/>
      <c r="I65" s="79"/>
    </row>
    <row r="66" ht="15.75" customHeight="1">
      <c r="F66" s="79"/>
      <c r="G66" s="79"/>
      <c r="H66" s="79"/>
      <c r="I66" s="79"/>
    </row>
    <row r="67" ht="15.75" customHeight="1">
      <c r="F67" s="79"/>
      <c r="G67" s="79"/>
      <c r="H67" s="79"/>
      <c r="I67" s="79"/>
    </row>
    <row r="68" ht="15.75" customHeight="1">
      <c r="F68" s="79"/>
      <c r="G68" s="79"/>
      <c r="H68" s="79"/>
      <c r="I68" s="79"/>
    </row>
    <row r="69" ht="15.75" customHeight="1">
      <c r="F69" s="79"/>
      <c r="G69" s="79"/>
      <c r="H69" s="79"/>
      <c r="I69" s="79"/>
    </row>
    <row r="70" ht="15.75" customHeight="1">
      <c r="F70" s="79"/>
      <c r="G70" s="79"/>
      <c r="H70" s="79"/>
      <c r="I70" s="79"/>
    </row>
    <row r="71" ht="15.75" customHeight="1">
      <c r="F71" s="79"/>
      <c r="G71" s="79"/>
      <c r="H71" s="79"/>
      <c r="I71" s="79"/>
    </row>
    <row r="72" ht="15.75" customHeight="1">
      <c r="F72" s="79"/>
      <c r="G72" s="79"/>
      <c r="H72" s="79"/>
      <c r="I72" s="79"/>
    </row>
    <row r="73" ht="15.75" customHeight="1">
      <c r="F73" s="79"/>
      <c r="G73" s="79"/>
      <c r="H73" s="79"/>
      <c r="I73" s="79"/>
    </row>
    <row r="74" ht="15.75" customHeight="1">
      <c r="F74" s="79"/>
      <c r="G74" s="79"/>
      <c r="H74" s="79"/>
      <c r="I74" s="79"/>
    </row>
    <row r="75" ht="15.75" customHeight="1">
      <c r="F75" s="79"/>
      <c r="G75" s="79"/>
      <c r="H75" s="79"/>
      <c r="I75" s="79"/>
    </row>
    <row r="76" ht="15.75" customHeight="1">
      <c r="F76" s="79"/>
      <c r="G76" s="79"/>
      <c r="H76" s="79"/>
      <c r="I76" s="79"/>
    </row>
    <row r="77" ht="15.75" customHeight="1">
      <c r="F77" s="79"/>
      <c r="G77" s="79"/>
      <c r="H77" s="79"/>
      <c r="I77" s="79"/>
    </row>
    <row r="78" ht="15.75" customHeight="1">
      <c r="F78" s="79"/>
      <c r="G78" s="79"/>
      <c r="H78" s="79"/>
      <c r="I78" s="79"/>
    </row>
    <row r="79" ht="15.75" customHeight="1">
      <c r="F79" s="79"/>
      <c r="G79" s="79"/>
      <c r="H79" s="79"/>
      <c r="I79" s="79"/>
    </row>
    <row r="80" ht="15.75" customHeight="1">
      <c r="F80" s="79"/>
      <c r="G80" s="79"/>
      <c r="H80" s="79"/>
      <c r="I80" s="79"/>
    </row>
    <row r="81" ht="15.75" customHeight="1">
      <c r="F81" s="79"/>
      <c r="G81" s="79"/>
      <c r="H81" s="79"/>
      <c r="I81" s="79"/>
    </row>
    <row r="82" ht="15.75" customHeight="1">
      <c r="F82" s="79"/>
      <c r="G82" s="79"/>
      <c r="H82" s="79"/>
      <c r="I82" s="79"/>
    </row>
    <row r="83" ht="15.75" customHeight="1">
      <c r="F83" s="79"/>
      <c r="G83" s="79"/>
      <c r="H83" s="79"/>
      <c r="I83" s="79"/>
    </row>
    <row r="84" ht="15.75" customHeight="1">
      <c r="F84" s="79"/>
      <c r="G84" s="79"/>
      <c r="H84" s="79"/>
      <c r="I84" s="79"/>
    </row>
    <row r="85" ht="15.75" customHeight="1">
      <c r="F85" s="79"/>
      <c r="G85" s="79"/>
      <c r="H85" s="79"/>
      <c r="I85" s="79"/>
    </row>
    <row r="86" ht="15.75" customHeight="1">
      <c r="F86" s="79"/>
      <c r="G86" s="79"/>
      <c r="H86" s="79"/>
      <c r="I86" s="79"/>
    </row>
    <row r="87" ht="15.75" customHeight="1">
      <c r="F87" s="79"/>
      <c r="G87" s="79"/>
      <c r="H87" s="79"/>
      <c r="I87" s="79"/>
    </row>
    <row r="88" ht="15.75" customHeight="1">
      <c r="F88" s="79"/>
      <c r="G88" s="79"/>
      <c r="H88" s="79"/>
      <c r="I88" s="79"/>
    </row>
    <row r="89" ht="15.75" customHeight="1">
      <c r="F89" s="79"/>
      <c r="G89" s="79"/>
      <c r="H89" s="79"/>
      <c r="I89" s="79"/>
    </row>
    <row r="90" ht="15.75" customHeight="1">
      <c r="F90" s="79"/>
      <c r="G90" s="79"/>
      <c r="H90" s="79"/>
      <c r="I90" s="79"/>
    </row>
    <row r="91" ht="15.75" customHeight="1">
      <c r="F91" s="79"/>
      <c r="G91" s="79"/>
      <c r="H91" s="79"/>
      <c r="I91" s="79"/>
    </row>
    <row r="92" ht="15.75" customHeight="1">
      <c r="F92" s="79"/>
      <c r="G92" s="79"/>
      <c r="H92" s="79"/>
      <c r="I92" s="79"/>
    </row>
    <row r="93" ht="15.75" customHeight="1">
      <c r="F93" s="79"/>
      <c r="G93" s="79"/>
      <c r="H93" s="79"/>
      <c r="I93" s="79"/>
    </row>
    <row r="94" ht="15.75" customHeight="1">
      <c r="F94" s="79"/>
      <c r="G94" s="79"/>
      <c r="H94" s="79"/>
      <c r="I94" s="79"/>
    </row>
    <row r="95" ht="15.75" customHeight="1">
      <c r="F95" s="79"/>
      <c r="G95" s="79"/>
      <c r="H95" s="79"/>
      <c r="I95" s="79"/>
    </row>
    <row r="96" ht="15.75" customHeight="1">
      <c r="F96" s="79"/>
      <c r="G96" s="79"/>
      <c r="H96" s="79"/>
      <c r="I96" s="79"/>
    </row>
    <row r="97" ht="15.75" customHeight="1">
      <c r="F97" s="79"/>
      <c r="G97" s="79"/>
      <c r="H97" s="79"/>
      <c r="I97" s="79"/>
    </row>
    <row r="98" ht="15.75" customHeight="1">
      <c r="F98" s="79"/>
      <c r="G98" s="79"/>
      <c r="H98" s="79"/>
      <c r="I98" s="79"/>
    </row>
    <row r="99" ht="15.75" customHeight="1">
      <c r="F99" s="79"/>
      <c r="G99" s="79"/>
      <c r="H99" s="79"/>
      <c r="I99" s="79"/>
    </row>
    <row r="100" ht="15.75" customHeight="1">
      <c r="F100" s="79"/>
      <c r="G100" s="79"/>
      <c r="H100" s="79"/>
      <c r="I100" s="79"/>
    </row>
    <row r="101" ht="15.75" customHeight="1">
      <c r="F101" s="79"/>
      <c r="G101" s="79"/>
      <c r="H101" s="79"/>
      <c r="I101" s="79"/>
    </row>
    <row r="102" ht="15.75" customHeight="1">
      <c r="F102" s="79"/>
      <c r="G102" s="79"/>
      <c r="H102" s="79"/>
      <c r="I102" s="79"/>
    </row>
    <row r="103" ht="15.75" customHeight="1">
      <c r="F103" s="79"/>
      <c r="G103" s="79"/>
      <c r="H103" s="79"/>
      <c r="I103" s="79"/>
    </row>
    <row r="104" ht="15.75" customHeight="1">
      <c r="F104" s="79"/>
      <c r="G104" s="79"/>
      <c r="H104" s="79"/>
      <c r="I104" s="79"/>
    </row>
    <row r="105" ht="15.75" customHeight="1">
      <c r="F105" s="79"/>
      <c r="G105" s="79"/>
      <c r="H105" s="79"/>
      <c r="I105" s="79"/>
    </row>
    <row r="106" ht="15.75" customHeight="1">
      <c r="F106" s="79"/>
      <c r="G106" s="79"/>
      <c r="H106" s="79"/>
      <c r="I106" s="79"/>
    </row>
    <row r="107" ht="15.75" customHeight="1">
      <c r="F107" s="79"/>
      <c r="G107" s="79"/>
      <c r="H107" s="79"/>
      <c r="I107" s="79"/>
    </row>
    <row r="108" ht="15.75" customHeight="1">
      <c r="F108" s="79"/>
      <c r="G108" s="79"/>
      <c r="H108" s="79"/>
      <c r="I108" s="79"/>
    </row>
    <row r="109" ht="15.75" customHeight="1">
      <c r="F109" s="79"/>
      <c r="G109" s="79"/>
      <c r="H109" s="79"/>
      <c r="I109" s="79"/>
    </row>
    <row r="110" ht="15.75" customHeight="1">
      <c r="F110" s="79"/>
      <c r="G110" s="79"/>
      <c r="H110" s="79"/>
      <c r="I110" s="79"/>
    </row>
    <row r="111" ht="15.75" customHeight="1">
      <c r="F111" s="79"/>
      <c r="G111" s="79"/>
      <c r="H111" s="79"/>
      <c r="I111" s="79"/>
    </row>
    <row r="112" ht="15.75" customHeight="1">
      <c r="F112" s="79"/>
      <c r="G112" s="79"/>
      <c r="H112" s="79"/>
      <c r="I112" s="79"/>
    </row>
    <row r="113" ht="15.75" customHeight="1">
      <c r="F113" s="79"/>
      <c r="G113" s="79"/>
      <c r="H113" s="79"/>
      <c r="I113" s="79"/>
    </row>
    <row r="114" ht="15.75" customHeight="1">
      <c r="F114" s="79"/>
      <c r="G114" s="79"/>
      <c r="H114" s="79"/>
      <c r="I114" s="79"/>
    </row>
    <row r="115" ht="15.75" customHeight="1">
      <c r="F115" s="79"/>
      <c r="G115" s="79"/>
      <c r="H115" s="79"/>
      <c r="I115" s="79"/>
    </row>
    <row r="116" ht="15.75" customHeight="1">
      <c r="F116" s="79"/>
      <c r="G116" s="79"/>
      <c r="H116" s="79"/>
      <c r="I116" s="79"/>
    </row>
    <row r="117" ht="15.75" customHeight="1">
      <c r="F117" s="79"/>
      <c r="G117" s="79"/>
      <c r="H117" s="79"/>
      <c r="I117" s="79"/>
    </row>
    <row r="118" ht="15.75" customHeight="1">
      <c r="F118" s="79"/>
      <c r="G118" s="79"/>
      <c r="H118" s="79"/>
      <c r="I118" s="79"/>
    </row>
    <row r="119" ht="15.75" customHeight="1">
      <c r="F119" s="79"/>
      <c r="G119" s="79"/>
      <c r="H119" s="79"/>
      <c r="I119" s="79"/>
    </row>
    <row r="120" ht="15.75" customHeight="1">
      <c r="F120" s="79"/>
      <c r="G120" s="79"/>
      <c r="H120" s="79"/>
      <c r="I120" s="79"/>
    </row>
    <row r="121" ht="15.75" customHeight="1">
      <c r="F121" s="79"/>
      <c r="G121" s="79"/>
      <c r="H121" s="79"/>
      <c r="I121" s="79"/>
    </row>
    <row r="122" ht="15.75" customHeight="1">
      <c r="F122" s="79"/>
      <c r="G122" s="79"/>
      <c r="H122" s="79"/>
      <c r="I122" s="79"/>
    </row>
    <row r="123" ht="15.75" customHeight="1">
      <c r="F123" s="79"/>
      <c r="G123" s="79"/>
      <c r="H123" s="79"/>
      <c r="I123" s="79"/>
    </row>
    <row r="124" ht="15.75" customHeight="1">
      <c r="F124" s="79"/>
      <c r="G124" s="79"/>
      <c r="H124" s="79"/>
      <c r="I124" s="79"/>
    </row>
    <row r="125" ht="15.75" customHeight="1">
      <c r="F125" s="79"/>
      <c r="G125" s="79"/>
      <c r="H125" s="79"/>
      <c r="I125" s="79"/>
    </row>
    <row r="126" ht="15.75" customHeight="1">
      <c r="F126" s="79"/>
      <c r="G126" s="79"/>
      <c r="H126" s="79"/>
      <c r="I126" s="79"/>
    </row>
    <row r="127" ht="15.75" customHeight="1">
      <c r="F127" s="79"/>
      <c r="G127" s="79"/>
      <c r="H127" s="79"/>
      <c r="I127" s="79"/>
    </row>
    <row r="128" ht="15.75" customHeight="1">
      <c r="F128" s="79"/>
      <c r="G128" s="79"/>
      <c r="H128" s="79"/>
      <c r="I128" s="79"/>
    </row>
    <row r="129" ht="15.75" customHeight="1">
      <c r="F129" s="79"/>
      <c r="G129" s="79"/>
      <c r="H129" s="79"/>
      <c r="I129" s="79"/>
    </row>
    <row r="130" ht="15.75" customHeight="1">
      <c r="F130" s="79"/>
      <c r="G130" s="79"/>
      <c r="H130" s="79"/>
      <c r="I130" s="79"/>
    </row>
    <row r="131" ht="15.75" customHeight="1">
      <c r="F131" s="79"/>
      <c r="G131" s="79"/>
      <c r="H131" s="79"/>
      <c r="I131" s="79"/>
    </row>
    <row r="132" ht="15.75" customHeight="1">
      <c r="F132" s="79"/>
      <c r="G132" s="79"/>
      <c r="H132" s="79"/>
      <c r="I132" s="79"/>
    </row>
    <row r="133" ht="15.75" customHeight="1">
      <c r="F133" s="79"/>
      <c r="G133" s="79"/>
      <c r="H133" s="79"/>
      <c r="I133" s="79"/>
    </row>
    <row r="134" ht="15.75" customHeight="1">
      <c r="F134" s="79"/>
      <c r="G134" s="79"/>
      <c r="H134" s="79"/>
      <c r="I134" s="79"/>
    </row>
    <row r="135" ht="15.75" customHeight="1">
      <c r="F135" s="79"/>
      <c r="G135" s="79"/>
      <c r="H135" s="79"/>
      <c r="I135" s="79"/>
    </row>
    <row r="136" ht="15.75" customHeight="1">
      <c r="F136" s="79"/>
      <c r="G136" s="79"/>
      <c r="H136" s="79"/>
      <c r="I136" s="79"/>
    </row>
    <row r="137" ht="15.75" customHeight="1">
      <c r="F137" s="79"/>
      <c r="G137" s="79"/>
      <c r="H137" s="79"/>
      <c r="I137" s="79"/>
    </row>
    <row r="138" ht="15.75" customHeight="1">
      <c r="F138" s="79"/>
      <c r="G138" s="79"/>
      <c r="H138" s="79"/>
      <c r="I138" s="79"/>
    </row>
    <row r="139" ht="15.75" customHeight="1">
      <c r="F139" s="79"/>
      <c r="G139" s="79"/>
      <c r="H139" s="79"/>
      <c r="I139" s="79"/>
    </row>
    <row r="140" ht="15.75" customHeight="1">
      <c r="F140" s="79"/>
      <c r="G140" s="79"/>
      <c r="H140" s="79"/>
      <c r="I140" s="79"/>
    </row>
    <row r="141" ht="15.75" customHeight="1">
      <c r="F141" s="79"/>
      <c r="G141" s="79"/>
      <c r="H141" s="79"/>
      <c r="I141" s="79"/>
    </row>
    <row r="142" ht="15.75" customHeight="1">
      <c r="F142" s="79"/>
      <c r="G142" s="79"/>
      <c r="H142" s="79"/>
      <c r="I142" s="79"/>
    </row>
    <row r="143" ht="15.75" customHeight="1">
      <c r="F143" s="79"/>
      <c r="G143" s="79"/>
      <c r="H143" s="79"/>
      <c r="I143" s="79"/>
    </row>
    <row r="144" ht="15.75" customHeight="1">
      <c r="F144" s="79"/>
      <c r="G144" s="79"/>
      <c r="H144" s="79"/>
      <c r="I144" s="79"/>
    </row>
    <row r="145" ht="15.75" customHeight="1">
      <c r="F145" s="79"/>
      <c r="G145" s="79"/>
      <c r="H145" s="79"/>
      <c r="I145" s="79"/>
    </row>
    <row r="146" ht="15.75" customHeight="1">
      <c r="F146" s="79"/>
      <c r="G146" s="79"/>
      <c r="H146" s="79"/>
      <c r="I146" s="79"/>
    </row>
    <row r="147" ht="15.75" customHeight="1">
      <c r="F147" s="79"/>
      <c r="G147" s="79"/>
      <c r="H147" s="79"/>
      <c r="I147" s="79"/>
    </row>
    <row r="148" ht="15.75" customHeight="1">
      <c r="F148" s="79"/>
      <c r="G148" s="79"/>
      <c r="H148" s="79"/>
      <c r="I148" s="79"/>
    </row>
    <row r="149" ht="15.75" customHeight="1">
      <c r="F149" s="79"/>
      <c r="G149" s="79"/>
      <c r="H149" s="79"/>
      <c r="I149" s="79"/>
    </row>
    <row r="150" ht="15.75" customHeight="1">
      <c r="F150" s="79"/>
      <c r="G150" s="79"/>
      <c r="H150" s="79"/>
      <c r="I150" s="79"/>
    </row>
    <row r="151" ht="15.75" customHeight="1">
      <c r="F151" s="79"/>
      <c r="G151" s="79"/>
      <c r="H151" s="79"/>
      <c r="I151" s="79"/>
    </row>
    <row r="152" ht="15.75" customHeight="1">
      <c r="F152" s="79"/>
      <c r="G152" s="79"/>
      <c r="H152" s="79"/>
      <c r="I152" s="79"/>
    </row>
    <row r="153" ht="15.75" customHeight="1">
      <c r="F153" s="79"/>
      <c r="G153" s="79"/>
      <c r="H153" s="79"/>
      <c r="I153" s="79"/>
    </row>
    <row r="154" ht="15.75" customHeight="1">
      <c r="F154" s="79"/>
      <c r="G154" s="79"/>
      <c r="H154" s="79"/>
      <c r="I154" s="79"/>
    </row>
    <row r="155" ht="15.75" customHeight="1">
      <c r="F155" s="79"/>
      <c r="G155" s="79"/>
      <c r="H155" s="79"/>
      <c r="I155" s="79"/>
    </row>
    <row r="156" ht="15.75" customHeight="1">
      <c r="F156" s="79"/>
      <c r="G156" s="79"/>
      <c r="H156" s="79"/>
      <c r="I156" s="79"/>
    </row>
    <row r="157" ht="15.75" customHeight="1">
      <c r="F157" s="79"/>
      <c r="G157" s="79"/>
      <c r="H157" s="79"/>
      <c r="I157" s="79"/>
    </row>
    <row r="158" ht="15.75" customHeight="1">
      <c r="F158" s="79"/>
      <c r="G158" s="79"/>
      <c r="H158" s="79"/>
      <c r="I158" s="79"/>
    </row>
    <row r="159" ht="15.75" customHeight="1">
      <c r="F159" s="79"/>
      <c r="G159" s="79"/>
      <c r="H159" s="79"/>
      <c r="I159" s="79"/>
    </row>
    <row r="160" ht="15.75" customHeight="1">
      <c r="F160" s="79"/>
      <c r="G160" s="79"/>
      <c r="H160" s="79"/>
      <c r="I160" s="79"/>
    </row>
    <row r="161" ht="15.75" customHeight="1">
      <c r="F161" s="79"/>
      <c r="G161" s="79"/>
      <c r="H161" s="79"/>
      <c r="I161" s="79"/>
    </row>
    <row r="162" ht="15.75" customHeight="1">
      <c r="F162" s="79"/>
      <c r="G162" s="79"/>
      <c r="H162" s="79"/>
      <c r="I162" s="79"/>
    </row>
    <row r="163" ht="15.75" customHeight="1">
      <c r="F163" s="79"/>
      <c r="G163" s="79"/>
      <c r="H163" s="79"/>
      <c r="I163" s="79"/>
    </row>
    <row r="164" ht="15.75" customHeight="1">
      <c r="F164" s="79"/>
      <c r="G164" s="79"/>
      <c r="H164" s="79"/>
      <c r="I164" s="79"/>
    </row>
    <row r="165" ht="15.75" customHeight="1">
      <c r="F165" s="79"/>
      <c r="G165" s="79"/>
      <c r="H165" s="79"/>
      <c r="I165" s="79"/>
    </row>
    <row r="166" ht="15.75" customHeight="1">
      <c r="F166" s="79"/>
      <c r="G166" s="79"/>
      <c r="H166" s="79"/>
      <c r="I166" s="79"/>
    </row>
    <row r="167" ht="15.75" customHeight="1">
      <c r="F167" s="79"/>
      <c r="G167" s="79"/>
      <c r="H167" s="79"/>
      <c r="I167" s="79"/>
    </row>
    <row r="168" ht="15.75" customHeight="1">
      <c r="F168" s="79"/>
      <c r="G168" s="79"/>
      <c r="H168" s="79"/>
      <c r="I168" s="79"/>
    </row>
    <row r="169" ht="15.75" customHeight="1">
      <c r="F169" s="79"/>
      <c r="G169" s="79"/>
      <c r="H169" s="79"/>
      <c r="I169" s="79"/>
    </row>
    <row r="170" ht="15.75" customHeight="1">
      <c r="F170" s="79"/>
      <c r="G170" s="79"/>
      <c r="H170" s="79"/>
      <c r="I170" s="79"/>
    </row>
    <row r="171" ht="15.75" customHeight="1">
      <c r="F171" s="79"/>
      <c r="G171" s="79"/>
      <c r="H171" s="79"/>
      <c r="I171" s="79"/>
    </row>
    <row r="172" ht="15.75" customHeight="1">
      <c r="F172" s="79"/>
      <c r="G172" s="79"/>
      <c r="H172" s="79"/>
      <c r="I172" s="79"/>
    </row>
    <row r="173" ht="15.75" customHeight="1">
      <c r="F173" s="79"/>
      <c r="G173" s="79"/>
      <c r="H173" s="79"/>
      <c r="I173" s="79"/>
    </row>
    <row r="174" ht="15.75" customHeight="1">
      <c r="F174" s="79"/>
      <c r="G174" s="79"/>
      <c r="H174" s="79"/>
      <c r="I174" s="79"/>
    </row>
    <row r="175" ht="15.75" customHeight="1">
      <c r="F175" s="79"/>
      <c r="G175" s="79"/>
      <c r="H175" s="79"/>
      <c r="I175" s="79"/>
    </row>
    <row r="176" ht="15.75" customHeight="1">
      <c r="F176" s="79"/>
      <c r="G176" s="79"/>
      <c r="H176" s="79"/>
      <c r="I176" s="79"/>
    </row>
    <row r="177" ht="15.75" customHeight="1">
      <c r="F177" s="79"/>
      <c r="G177" s="79"/>
      <c r="H177" s="79"/>
      <c r="I177" s="79"/>
    </row>
    <row r="178" ht="15.75" customHeight="1">
      <c r="F178" s="79"/>
      <c r="G178" s="79"/>
      <c r="H178" s="79"/>
      <c r="I178" s="79"/>
    </row>
    <row r="179" ht="15.75" customHeight="1">
      <c r="F179" s="79"/>
      <c r="G179" s="79"/>
      <c r="H179" s="79"/>
      <c r="I179" s="79"/>
    </row>
    <row r="180" ht="15.75" customHeight="1">
      <c r="F180" s="79"/>
      <c r="G180" s="79"/>
      <c r="H180" s="79"/>
      <c r="I180" s="79"/>
    </row>
    <row r="181" ht="15.75" customHeight="1">
      <c r="F181" s="79"/>
      <c r="G181" s="79"/>
      <c r="H181" s="79"/>
      <c r="I181" s="79"/>
    </row>
    <row r="182" ht="15.75" customHeight="1">
      <c r="F182" s="79"/>
      <c r="G182" s="79"/>
      <c r="H182" s="79"/>
      <c r="I182" s="79"/>
    </row>
    <row r="183" ht="15.75" customHeight="1">
      <c r="F183" s="79"/>
      <c r="G183" s="79"/>
      <c r="H183" s="79"/>
      <c r="I183" s="79"/>
    </row>
    <row r="184" ht="15.75" customHeight="1">
      <c r="F184" s="79"/>
      <c r="G184" s="79"/>
      <c r="H184" s="79"/>
      <c r="I184" s="79"/>
    </row>
    <row r="185" ht="15.75" customHeight="1">
      <c r="F185" s="79"/>
      <c r="G185" s="79"/>
      <c r="H185" s="79"/>
      <c r="I185" s="79"/>
    </row>
    <row r="186" ht="15.75" customHeight="1">
      <c r="F186" s="79"/>
      <c r="G186" s="79"/>
      <c r="H186" s="79"/>
      <c r="I186" s="79"/>
    </row>
    <row r="187" ht="15.75" customHeight="1">
      <c r="F187" s="79"/>
      <c r="G187" s="79"/>
      <c r="H187" s="79"/>
      <c r="I187" s="79"/>
    </row>
    <row r="188" ht="15.75" customHeight="1">
      <c r="F188" s="79"/>
      <c r="G188" s="79"/>
      <c r="H188" s="79"/>
      <c r="I188" s="79"/>
    </row>
    <row r="189" ht="15.75" customHeight="1">
      <c r="F189" s="79"/>
      <c r="G189" s="79"/>
      <c r="H189" s="79"/>
      <c r="I189" s="79"/>
    </row>
    <row r="190" ht="15.75" customHeight="1">
      <c r="F190" s="79"/>
      <c r="G190" s="79"/>
      <c r="H190" s="79"/>
      <c r="I190" s="79"/>
    </row>
    <row r="191" ht="15.75" customHeight="1">
      <c r="F191" s="79"/>
      <c r="G191" s="79"/>
      <c r="H191" s="79"/>
      <c r="I191" s="79"/>
    </row>
    <row r="192" ht="15.75" customHeight="1">
      <c r="F192" s="79"/>
      <c r="G192" s="79"/>
      <c r="H192" s="79"/>
      <c r="I192" s="79"/>
    </row>
    <row r="193" ht="15.75" customHeight="1">
      <c r="F193" s="79"/>
      <c r="G193" s="79"/>
      <c r="H193" s="79"/>
      <c r="I193" s="79"/>
    </row>
    <row r="194" ht="15.75" customHeight="1">
      <c r="F194" s="79"/>
      <c r="G194" s="79"/>
      <c r="H194" s="79"/>
      <c r="I194" s="79"/>
    </row>
    <row r="195" ht="15.75" customHeight="1">
      <c r="F195" s="79"/>
      <c r="G195" s="79"/>
      <c r="H195" s="79"/>
      <c r="I195" s="79"/>
    </row>
    <row r="196" ht="15.75" customHeight="1">
      <c r="F196" s="79"/>
      <c r="G196" s="79"/>
      <c r="H196" s="79"/>
      <c r="I196" s="79"/>
    </row>
    <row r="197" ht="15.75" customHeight="1">
      <c r="F197" s="79"/>
      <c r="G197" s="79"/>
      <c r="H197" s="79"/>
      <c r="I197" s="79"/>
    </row>
    <row r="198" ht="15.75" customHeight="1">
      <c r="F198" s="79"/>
      <c r="G198" s="79"/>
      <c r="H198" s="79"/>
      <c r="I198" s="79"/>
    </row>
    <row r="199" ht="15.75" customHeight="1">
      <c r="F199" s="79"/>
      <c r="G199" s="79"/>
      <c r="H199" s="79"/>
      <c r="I199" s="79"/>
    </row>
    <row r="200" ht="15.75" customHeight="1">
      <c r="F200" s="79"/>
      <c r="G200" s="79"/>
      <c r="H200" s="79"/>
      <c r="I200" s="79"/>
    </row>
    <row r="201" ht="15.75" customHeight="1">
      <c r="F201" s="79"/>
      <c r="G201" s="79"/>
      <c r="H201" s="79"/>
      <c r="I201" s="79"/>
    </row>
    <row r="202" ht="15.75" customHeight="1">
      <c r="F202" s="79"/>
      <c r="G202" s="79"/>
      <c r="H202" s="79"/>
      <c r="I202" s="79"/>
    </row>
    <row r="203" ht="15.75" customHeight="1">
      <c r="F203" s="79"/>
      <c r="G203" s="79"/>
      <c r="H203" s="79"/>
      <c r="I203" s="79"/>
    </row>
    <row r="204" ht="15.75" customHeight="1">
      <c r="F204" s="79"/>
      <c r="G204" s="79"/>
      <c r="H204" s="79"/>
      <c r="I204" s="79"/>
    </row>
    <row r="205" ht="15.75" customHeight="1">
      <c r="F205" s="79"/>
      <c r="G205" s="79"/>
      <c r="H205" s="79"/>
      <c r="I205" s="79"/>
    </row>
    <row r="206" ht="15.75" customHeight="1">
      <c r="F206" s="79"/>
      <c r="G206" s="79"/>
      <c r="H206" s="79"/>
      <c r="I206" s="79"/>
    </row>
    <row r="207" ht="15.75" customHeight="1">
      <c r="F207" s="79"/>
      <c r="G207" s="79"/>
      <c r="H207" s="79"/>
      <c r="I207" s="79"/>
    </row>
    <row r="208" ht="15.75" customHeight="1">
      <c r="F208" s="79"/>
      <c r="G208" s="79"/>
      <c r="H208" s="79"/>
      <c r="I208" s="79"/>
    </row>
    <row r="209" ht="15.75" customHeight="1">
      <c r="F209" s="79"/>
      <c r="G209" s="79"/>
      <c r="H209" s="79"/>
      <c r="I209" s="79"/>
    </row>
    <row r="210" ht="15.75" customHeight="1">
      <c r="F210" s="79"/>
      <c r="G210" s="79"/>
      <c r="H210" s="79"/>
      <c r="I210" s="79"/>
    </row>
    <row r="211" ht="15.75" customHeight="1">
      <c r="F211" s="79"/>
      <c r="G211" s="79"/>
      <c r="H211" s="79"/>
      <c r="I211" s="79"/>
    </row>
    <row r="212" ht="15.75" customHeight="1">
      <c r="F212" s="79"/>
      <c r="G212" s="79"/>
      <c r="H212" s="79"/>
      <c r="I212" s="79"/>
    </row>
    <row r="213" ht="15.75" customHeight="1">
      <c r="F213" s="79"/>
      <c r="G213" s="79"/>
      <c r="H213" s="79"/>
      <c r="I213" s="79"/>
    </row>
    <row r="214" ht="15.75" customHeight="1">
      <c r="F214" s="79"/>
      <c r="G214" s="79"/>
      <c r="H214" s="79"/>
      <c r="I214" s="79"/>
    </row>
    <row r="215" ht="15.75" customHeight="1">
      <c r="F215" s="79"/>
      <c r="G215" s="79"/>
      <c r="H215" s="79"/>
      <c r="I215" s="79"/>
    </row>
    <row r="216" ht="15.75" customHeight="1">
      <c r="F216" s="79"/>
      <c r="G216" s="79"/>
      <c r="H216" s="79"/>
      <c r="I216" s="79"/>
    </row>
    <row r="217" ht="15.75" customHeight="1">
      <c r="F217" s="79"/>
      <c r="G217" s="79"/>
      <c r="H217" s="79"/>
      <c r="I217" s="79"/>
    </row>
    <row r="218" ht="15.75" customHeight="1">
      <c r="F218" s="79"/>
      <c r="G218" s="79"/>
      <c r="H218" s="79"/>
      <c r="I218" s="79"/>
    </row>
    <row r="219" ht="15.75" customHeight="1">
      <c r="F219" s="79"/>
      <c r="G219" s="79"/>
      <c r="H219" s="79"/>
      <c r="I219" s="79"/>
    </row>
    <row r="220" ht="15.75" customHeight="1">
      <c r="F220" s="79"/>
      <c r="G220" s="79"/>
      <c r="H220" s="79"/>
      <c r="I220" s="79"/>
    </row>
    <row r="221" ht="15.75" customHeight="1">
      <c r="F221" s="79"/>
      <c r="G221" s="79"/>
      <c r="H221" s="79"/>
      <c r="I221" s="79"/>
    </row>
    <row r="222" ht="15.75" customHeight="1">
      <c r="F222" s="79"/>
      <c r="G222" s="79"/>
      <c r="H222" s="79"/>
      <c r="I222" s="79"/>
    </row>
    <row r="223" ht="15.75" customHeight="1">
      <c r="F223" s="79"/>
      <c r="G223" s="79"/>
      <c r="H223" s="79"/>
      <c r="I223" s="79"/>
    </row>
    <row r="224" ht="15.75" customHeight="1">
      <c r="F224" s="79"/>
      <c r="G224" s="79"/>
      <c r="H224" s="79"/>
      <c r="I224" s="79"/>
    </row>
    <row r="225" ht="15.75" customHeight="1">
      <c r="F225" s="79"/>
      <c r="G225" s="79"/>
      <c r="H225" s="79"/>
      <c r="I225" s="79"/>
    </row>
    <row r="226" ht="15.75" customHeight="1">
      <c r="F226" s="79"/>
      <c r="G226" s="79"/>
      <c r="H226" s="79"/>
      <c r="I226" s="79"/>
    </row>
    <row r="227" ht="15.75" customHeight="1">
      <c r="F227" s="79"/>
      <c r="G227" s="79"/>
      <c r="H227" s="79"/>
      <c r="I227" s="79"/>
    </row>
    <row r="228" ht="15.75" customHeight="1">
      <c r="F228" s="79"/>
      <c r="G228" s="79"/>
      <c r="H228" s="79"/>
      <c r="I228" s="79"/>
    </row>
    <row r="229" ht="15.75" customHeight="1">
      <c r="F229" s="79"/>
      <c r="G229" s="79"/>
      <c r="H229" s="79"/>
      <c r="I229" s="79"/>
    </row>
    <row r="230" ht="15.75" customHeight="1">
      <c r="F230" s="79"/>
      <c r="G230" s="79"/>
      <c r="H230" s="79"/>
      <c r="I230" s="79"/>
    </row>
    <row r="231" ht="15.75" customHeight="1">
      <c r="F231" s="79"/>
      <c r="G231" s="79"/>
      <c r="H231" s="79"/>
      <c r="I231" s="79"/>
    </row>
    <row r="232" ht="15.75" customHeight="1">
      <c r="F232" s="79"/>
      <c r="G232" s="79"/>
      <c r="H232" s="79"/>
      <c r="I232" s="79"/>
    </row>
    <row r="233" ht="15.75" customHeight="1">
      <c r="F233" s="79"/>
      <c r="G233" s="79"/>
      <c r="H233" s="79"/>
      <c r="I233" s="79"/>
    </row>
    <row r="234" ht="15.75" customHeight="1">
      <c r="F234" s="79"/>
      <c r="G234" s="79"/>
      <c r="H234" s="79"/>
      <c r="I234" s="79"/>
    </row>
    <row r="235" ht="15.75" customHeight="1">
      <c r="F235" s="79"/>
      <c r="G235" s="79"/>
      <c r="H235" s="79"/>
      <c r="I235" s="79"/>
    </row>
    <row r="236" ht="15.75" customHeight="1">
      <c r="F236" s="79"/>
      <c r="G236" s="79"/>
      <c r="H236" s="79"/>
      <c r="I236" s="79"/>
    </row>
    <row r="237" ht="15.75" customHeight="1">
      <c r="F237" s="79"/>
      <c r="G237" s="79"/>
      <c r="H237" s="79"/>
      <c r="I237" s="79"/>
    </row>
    <row r="238" ht="15.75" customHeight="1">
      <c r="F238" s="79"/>
      <c r="G238" s="79"/>
      <c r="H238" s="79"/>
      <c r="I238" s="79"/>
    </row>
    <row r="239" ht="15.75" customHeight="1">
      <c r="F239" s="79"/>
      <c r="G239" s="79"/>
      <c r="H239" s="79"/>
      <c r="I239" s="79"/>
    </row>
    <row r="240" ht="15.75" customHeight="1">
      <c r="F240" s="79"/>
      <c r="G240" s="79"/>
      <c r="H240" s="79"/>
      <c r="I240" s="79"/>
    </row>
    <row r="241" ht="15.75" customHeight="1">
      <c r="F241" s="79"/>
      <c r="G241" s="79"/>
      <c r="H241" s="79"/>
      <c r="I241" s="79"/>
    </row>
    <row r="242" ht="15.75" customHeight="1">
      <c r="F242" s="79"/>
      <c r="G242" s="79"/>
      <c r="H242" s="79"/>
      <c r="I242" s="79"/>
    </row>
    <row r="243" ht="15.75" customHeight="1">
      <c r="F243" s="79"/>
      <c r="G243" s="79"/>
      <c r="H243" s="79"/>
      <c r="I243" s="79"/>
    </row>
    <row r="244" ht="15.75" customHeight="1">
      <c r="F244" s="79"/>
      <c r="G244" s="79"/>
      <c r="H244" s="79"/>
      <c r="I244" s="79"/>
    </row>
    <row r="245" ht="15.75" customHeight="1">
      <c r="F245" s="79"/>
      <c r="G245" s="79"/>
      <c r="H245" s="79"/>
      <c r="I245" s="79"/>
    </row>
    <row r="246" ht="15.75" customHeight="1">
      <c r="F246" s="79"/>
      <c r="G246" s="79"/>
      <c r="H246" s="79"/>
      <c r="I246" s="79"/>
    </row>
    <row r="247" ht="15.75" customHeight="1">
      <c r="F247" s="79"/>
      <c r="G247" s="79"/>
      <c r="H247" s="79"/>
      <c r="I247" s="79"/>
    </row>
    <row r="248" ht="15.75" customHeight="1">
      <c r="F248" s="79"/>
      <c r="G248" s="79"/>
      <c r="H248" s="79"/>
      <c r="I248" s="79"/>
    </row>
    <row r="249" ht="15.75" customHeight="1">
      <c r="F249" s="79"/>
      <c r="G249" s="79"/>
      <c r="H249" s="79"/>
      <c r="I249" s="79"/>
    </row>
    <row r="250" ht="15.75" customHeight="1">
      <c r="F250" s="79"/>
      <c r="G250" s="79"/>
      <c r="H250" s="79"/>
      <c r="I250" s="79"/>
    </row>
    <row r="251" ht="15.75" customHeight="1">
      <c r="F251" s="79"/>
      <c r="G251" s="79"/>
      <c r="H251" s="79"/>
      <c r="I251" s="79"/>
    </row>
    <row r="252" ht="15.75" customHeight="1">
      <c r="F252" s="79"/>
      <c r="G252" s="79"/>
      <c r="H252" s="79"/>
      <c r="I252" s="79"/>
    </row>
    <row r="253" ht="15.75" customHeight="1">
      <c r="F253" s="79"/>
      <c r="G253" s="79"/>
      <c r="H253" s="79"/>
      <c r="I253" s="79"/>
    </row>
    <row r="254" ht="15.75" customHeight="1">
      <c r="F254" s="79"/>
      <c r="G254" s="79"/>
      <c r="H254" s="79"/>
      <c r="I254" s="79"/>
    </row>
    <row r="255" ht="15.75" customHeight="1">
      <c r="F255" s="79"/>
      <c r="G255" s="79"/>
      <c r="H255" s="79"/>
      <c r="I255" s="79"/>
    </row>
    <row r="256" ht="15.75" customHeight="1">
      <c r="F256" s="79"/>
      <c r="G256" s="79"/>
      <c r="H256" s="79"/>
      <c r="I256" s="79"/>
    </row>
    <row r="257" ht="15.75" customHeight="1">
      <c r="F257" s="79"/>
      <c r="G257" s="79"/>
      <c r="H257" s="79"/>
      <c r="I257" s="79"/>
    </row>
    <row r="258" ht="15.75" customHeight="1">
      <c r="F258" s="79"/>
      <c r="G258" s="79"/>
      <c r="H258" s="79"/>
      <c r="I258" s="79"/>
    </row>
    <row r="259" ht="15.75" customHeight="1">
      <c r="F259" s="79"/>
      <c r="G259" s="79"/>
      <c r="H259" s="79"/>
      <c r="I259" s="79"/>
    </row>
    <row r="260" ht="15.75" customHeight="1">
      <c r="F260" s="79"/>
      <c r="G260" s="79"/>
      <c r="H260" s="79"/>
      <c r="I260" s="79"/>
    </row>
    <row r="261" ht="15.75" customHeight="1">
      <c r="F261" s="79"/>
      <c r="G261" s="79"/>
      <c r="H261" s="79"/>
      <c r="I261" s="79"/>
    </row>
    <row r="262" ht="15.75" customHeight="1">
      <c r="F262" s="79"/>
      <c r="G262" s="79"/>
      <c r="H262" s="79"/>
      <c r="I262" s="79"/>
    </row>
    <row r="263" ht="15.75" customHeight="1">
      <c r="F263" s="79"/>
      <c r="G263" s="79"/>
      <c r="H263" s="79"/>
      <c r="I263" s="79"/>
    </row>
    <row r="264" ht="15.75" customHeight="1">
      <c r="F264" s="79"/>
      <c r="G264" s="79"/>
      <c r="H264" s="79"/>
      <c r="I264" s="79"/>
    </row>
    <row r="265" ht="15.75" customHeight="1">
      <c r="F265" s="79"/>
      <c r="G265" s="79"/>
      <c r="H265" s="79"/>
      <c r="I265" s="79"/>
    </row>
    <row r="266" ht="15.75" customHeight="1">
      <c r="F266" s="79"/>
      <c r="G266" s="79"/>
      <c r="H266" s="79"/>
      <c r="I266" s="79"/>
    </row>
    <row r="267" ht="15.75" customHeight="1">
      <c r="F267" s="79"/>
      <c r="G267" s="79"/>
      <c r="H267" s="79"/>
      <c r="I267" s="79"/>
    </row>
    <row r="268" ht="15.75" customHeight="1">
      <c r="F268" s="79"/>
      <c r="G268" s="79"/>
      <c r="H268" s="79"/>
      <c r="I268" s="79"/>
    </row>
    <row r="269" ht="15.75" customHeight="1">
      <c r="F269" s="79"/>
      <c r="G269" s="79"/>
      <c r="H269" s="79"/>
      <c r="I269" s="79"/>
    </row>
    <row r="270" ht="15.75" customHeight="1">
      <c r="F270" s="79"/>
      <c r="G270" s="79"/>
      <c r="H270" s="79"/>
      <c r="I270" s="79"/>
    </row>
    <row r="271" ht="15.75" customHeight="1">
      <c r="F271" s="79"/>
      <c r="G271" s="79"/>
      <c r="H271" s="79"/>
      <c r="I271" s="79"/>
    </row>
    <row r="272" ht="15.75" customHeight="1">
      <c r="F272" s="79"/>
      <c r="G272" s="79"/>
      <c r="H272" s="79"/>
      <c r="I272" s="79"/>
    </row>
    <row r="273" ht="15.75" customHeight="1">
      <c r="F273" s="79"/>
      <c r="G273" s="79"/>
      <c r="H273" s="79"/>
      <c r="I273" s="79"/>
    </row>
    <row r="274" ht="15.75" customHeight="1">
      <c r="F274" s="79"/>
      <c r="G274" s="79"/>
      <c r="H274" s="79"/>
      <c r="I274" s="79"/>
    </row>
    <row r="275" ht="15.75" customHeight="1">
      <c r="F275" s="79"/>
      <c r="G275" s="79"/>
      <c r="H275" s="79"/>
      <c r="I275" s="79"/>
    </row>
    <row r="276" ht="15.75" customHeight="1">
      <c r="F276" s="79"/>
      <c r="G276" s="79"/>
      <c r="H276" s="79"/>
      <c r="I276" s="79"/>
    </row>
    <row r="277" ht="15.75" customHeight="1">
      <c r="F277" s="79"/>
      <c r="G277" s="79"/>
      <c r="H277" s="79"/>
      <c r="I277" s="79"/>
    </row>
    <row r="278" ht="15.75" customHeight="1">
      <c r="F278" s="79"/>
      <c r="G278" s="79"/>
      <c r="H278" s="79"/>
      <c r="I278" s="79"/>
    </row>
    <row r="279" ht="15.75" customHeight="1">
      <c r="F279" s="79"/>
      <c r="G279" s="79"/>
      <c r="H279" s="79"/>
      <c r="I279" s="79"/>
    </row>
    <row r="280" ht="15.75" customHeight="1">
      <c r="F280" s="79"/>
      <c r="G280" s="79"/>
      <c r="H280" s="79"/>
      <c r="I280" s="79"/>
    </row>
    <row r="281" ht="15.75" customHeight="1">
      <c r="F281" s="79"/>
      <c r="G281" s="79"/>
      <c r="H281" s="79"/>
      <c r="I281" s="79"/>
    </row>
    <row r="282" ht="15.75" customHeight="1">
      <c r="F282" s="79"/>
      <c r="G282" s="79"/>
      <c r="H282" s="79"/>
      <c r="I282" s="79"/>
    </row>
    <row r="283" ht="15.75" customHeight="1">
      <c r="F283" s="79"/>
      <c r="G283" s="79"/>
      <c r="H283" s="79"/>
      <c r="I283" s="79"/>
    </row>
    <row r="284" ht="15.75" customHeight="1">
      <c r="F284" s="79"/>
      <c r="G284" s="79"/>
      <c r="H284" s="79"/>
      <c r="I284" s="79"/>
    </row>
    <row r="285" ht="15.75" customHeight="1">
      <c r="F285" s="79"/>
      <c r="G285" s="79"/>
      <c r="H285" s="79"/>
      <c r="I285" s="79"/>
    </row>
    <row r="286" ht="15.75" customHeight="1">
      <c r="F286" s="79"/>
      <c r="G286" s="79"/>
      <c r="H286" s="79"/>
      <c r="I286" s="79"/>
    </row>
    <row r="287" ht="15.75" customHeight="1">
      <c r="F287" s="79"/>
      <c r="G287" s="79"/>
      <c r="H287" s="79"/>
      <c r="I287" s="79"/>
    </row>
    <row r="288" ht="15.75" customHeight="1">
      <c r="F288" s="79"/>
      <c r="G288" s="79"/>
      <c r="H288" s="79"/>
      <c r="I288" s="79"/>
    </row>
    <row r="289" ht="15.75" customHeight="1">
      <c r="F289" s="79"/>
      <c r="G289" s="79"/>
      <c r="H289" s="79"/>
      <c r="I289" s="79"/>
    </row>
    <row r="290" ht="15.75" customHeight="1">
      <c r="F290" s="79"/>
      <c r="G290" s="79"/>
      <c r="H290" s="79"/>
      <c r="I290" s="79"/>
    </row>
    <row r="291" ht="15.75" customHeight="1">
      <c r="F291" s="79"/>
      <c r="G291" s="79"/>
      <c r="H291" s="79"/>
      <c r="I291" s="79"/>
    </row>
    <row r="292" ht="15.75" customHeight="1">
      <c r="F292" s="79"/>
      <c r="G292" s="79"/>
      <c r="H292" s="79"/>
      <c r="I292" s="79"/>
    </row>
    <row r="293" ht="15.75" customHeight="1">
      <c r="F293" s="79"/>
      <c r="G293" s="79"/>
      <c r="H293" s="79"/>
      <c r="I293" s="79"/>
    </row>
    <row r="294" ht="15.75" customHeight="1">
      <c r="F294" s="79"/>
      <c r="G294" s="79"/>
      <c r="H294" s="79"/>
      <c r="I294" s="79"/>
    </row>
    <row r="295" ht="15.75" customHeight="1">
      <c r="F295" s="79"/>
      <c r="G295" s="79"/>
      <c r="H295" s="79"/>
      <c r="I295" s="79"/>
    </row>
    <row r="296" ht="15.75" customHeight="1">
      <c r="F296" s="79"/>
      <c r="G296" s="79"/>
      <c r="H296" s="79"/>
      <c r="I296" s="79"/>
    </row>
    <row r="297" ht="15.75" customHeight="1">
      <c r="F297" s="79"/>
      <c r="G297" s="79"/>
      <c r="H297" s="79"/>
      <c r="I297" s="79"/>
    </row>
    <row r="298" ht="15.75" customHeight="1">
      <c r="F298" s="79"/>
      <c r="G298" s="79"/>
      <c r="H298" s="79"/>
      <c r="I298" s="79"/>
    </row>
    <row r="299" ht="15.75" customHeight="1">
      <c r="F299" s="79"/>
      <c r="G299" s="79"/>
      <c r="H299" s="79"/>
      <c r="I299" s="79"/>
    </row>
    <row r="300" ht="15.75" customHeight="1">
      <c r="F300" s="79"/>
      <c r="G300" s="79"/>
      <c r="H300" s="79"/>
      <c r="I300" s="79"/>
    </row>
    <row r="301" ht="15.75" customHeight="1">
      <c r="F301" s="79"/>
      <c r="G301" s="79"/>
      <c r="H301" s="79"/>
      <c r="I301" s="79"/>
    </row>
    <row r="302" ht="15.75" customHeight="1">
      <c r="F302" s="79"/>
      <c r="G302" s="79"/>
      <c r="H302" s="79"/>
      <c r="I302" s="79"/>
    </row>
    <row r="303" ht="15.75" customHeight="1">
      <c r="F303" s="79"/>
      <c r="G303" s="79"/>
      <c r="H303" s="79"/>
      <c r="I303" s="79"/>
    </row>
    <row r="304" ht="15.75" customHeight="1">
      <c r="F304" s="79"/>
      <c r="G304" s="79"/>
      <c r="H304" s="79"/>
      <c r="I304" s="79"/>
    </row>
    <row r="305" ht="15.75" customHeight="1">
      <c r="F305" s="79"/>
      <c r="G305" s="79"/>
      <c r="H305" s="79"/>
      <c r="I305" s="79"/>
    </row>
    <row r="306" ht="15.75" customHeight="1">
      <c r="F306" s="79"/>
      <c r="G306" s="79"/>
      <c r="H306" s="79"/>
      <c r="I306" s="79"/>
    </row>
    <row r="307" ht="15.75" customHeight="1">
      <c r="F307" s="79"/>
      <c r="G307" s="79"/>
      <c r="H307" s="79"/>
      <c r="I307" s="79"/>
    </row>
    <row r="308" ht="15.75" customHeight="1">
      <c r="F308" s="79"/>
      <c r="G308" s="79"/>
      <c r="H308" s="79"/>
      <c r="I308" s="79"/>
    </row>
    <row r="309" ht="15.75" customHeight="1">
      <c r="F309" s="79"/>
      <c r="G309" s="79"/>
      <c r="H309" s="79"/>
      <c r="I309" s="79"/>
    </row>
    <row r="310" ht="15.75" customHeight="1">
      <c r="F310" s="79"/>
      <c r="G310" s="79"/>
      <c r="H310" s="79"/>
      <c r="I310" s="79"/>
    </row>
    <row r="311" ht="15.75" customHeight="1">
      <c r="F311" s="79"/>
      <c r="G311" s="79"/>
      <c r="H311" s="79"/>
      <c r="I311" s="79"/>
    </row>
    <row r="312" ht="15.75" customHeight="1">
      <c r="F312" s="79"/>
      <c r="G312" s="79"/>
      <c r="H312" s="79"/>
      <c r="I312" s="79"/>
    </row>
    <row r="313" ht="15.75" customHeight="1">
      <c r="F313" s="79"/>
      <c r="G313" s="79"/>
      <c r="H313" s="79"/>
      <c r="I313" s="79"/>
    </row>
    <row r="314" ht="15.75" customHeight="1">
      <c r="F314" s="79"/>
      <c r="G314" s="79"/>
      <c r="H314" s="79"/>
      <c r="I314" s="79"/>
    </row>
    <row r="315" ht="15.75" customHeight="1">
      <c r="F315" s="79"/>
      <c r="G315" s="79"/>
      <c r="H315" s="79"/>
      <c r="I315" s="79"/>
    </row>
    <row r="316" ht="15.75" customHeight="1">
      <c r="F316" s="79"/>
      <c r="G316" s="79"/>
      <c r="H316" s="79"/>
      <c r="I316" s="79"/>
    </row>
    <row r="317" ht="15.75" customHeight="1">
      <c r="F317" s="79"/>
      <c r="G317" s="79"/>
      <c r="H317" s="79"/>
      <c r="I317" s="79"/>
    </row>
    <row r="318" ht="15.75" customHeight="1">
      <c r="F318" s="79"/>
      <c r="G318" s="79"/>
      <c r="H318" s="79"/>
      <c r="I318" s="79"/>
    </row>
    <row r="319" ht="15.75" customHeight="1">
      <c r="F319" s="79"/>
      <c r="G319" s="79"/>
      <c r="H319" s="79"/>
      <c r="I319" s="79"/>
    </row>
    <row r="320" ht="15.75" customHeight="1">
      <c r="F320" s="79"/>
      <c r="G320" s="79"/>
      <c r="H320" s="79"/>
      <c r="I320" s="79"/>
    </row>
    <row r="321" ht="15.75" customHeight="1">
      <c r="F321" s="79"/>
      <c r="G321" s="79"/>
      <c r="H321" s="79"/>
      <c r="I321" s="79"/>
    </row>
    <row r="322" ht="15.75" customHeight="1">
      <c r="F322" s="79"/>
      <c r="G322" s="79"/>
      <c r="H322" s="79"/>
      <c r="I322" s="79"/>
    </row>
    <row r="323" ht="15.75" customHeight="1">
      <c r="F323" s="79"/>
      <c r="G323" s="79"/>
      <c r="H323" s="79"/>
      <c r="I323" s="79"/>
    </row>
    <row r="324" ht="15.75" customHeight="1">
      <c r="F324" s="79"/>
      <c r="G324" s="79"/>
      <c r="H324" s="79"/>
      <c r="I324" s="79"/>
    </row>
    <row r="325" ht="15.75" customHeight="1">
      <c r="F325" s="79"/>
      <c r="G325" s="79"/>
      <c r="H325" s="79"/>
      <c r="I325" s="79"/>
    </row>
    <row r="326" ht="15.75" customHeight="1">
      <c r="F326" s="79"/>
      <c r="G326" s="79"/>
      <c r="H326" s="79"/>
      <c r="I326" s="79"/>
    </row>
    <row r="327" ht="15.75" customHeight="1">
      <c r="F327" s="79"/>
      <c r="G327" s="79"/>
      <c r="H327" s="79"/>
      <c r="I327" s="79"/>
    </row>
    <row r="328" ht="15.75" customHeight="1">
      <c r="F328" s="79"/>
      <c r="G328" s="79"/>
      <c r="H328" s="79"/>
      <c r="I328" s="79"/>
    </row>
    <row r="329" ht="15.75" customHeight="1">
      <c r="F329" s="79"/>
      <c r="G329" s="79"/>
      <c r="H329" s="79"/>
      <c r="I329" s="79"/>
    </row>
    <row r="330" ht="15.75" customHeight="1">
      <c r="F330" s="79"/>
      <c r="G330" s="79"/>
      <c r="H330" s="79"/>
      <c r="I330" s="79"/>
    </row>
    <row r="331" ht="15.75" customHeight="1">
      <c r="F331" s="79"/>
      <c r="G331" s="79"/>
      <c r="H331" s="79"/>
      <c r="I331" s="79"/>
    </row>
    <row r="332" ht="15.75" customHeight="1">
      <c r="F332" s="79"/>
      <c r="G332" s="79"/>
      <c r="H332" s="79"/>
      <c r="I332" s="79"/>
    </row>
    <row r="333" ht="15.75" customHeight="1">
      <c r="F333" s="79"/>
      <c r="G333" s="79"/>
      <c r="H333" s="79"/>
      <c r="I333" s="79"/>
    </row>
    <row r="334" ht="15.75" customHeight="1">
      <c r="F334" s="79"/>
      <c r="G334" s="79"/>
      <c r="H334" s="79"/>
      <c r="I334" s="79"/>
    </row>
    <row r="335" ht="15.75" customHeight="1">
      <c r="F335" s="79"/>
      <c r="G335" s="79"/>
      <c r="H335" s="79"/>
      <c r="I335" s="79"/>
    </row>
    <row r="336" ht="15.75" customHeight="1">
      <c r="F336" s="79"/>
      <c r="G336" s="79"/>
      <c r="H336" s="79"/>
      <c r="I336" s="79"/>
    </row>
    <row r="337" ht="15.75" customHeight="1">
      <c r="F337" s="79"/>
      <c r="G337" s="79"/>
      <c r="H337" s="79"/>
      <c r="I337" s="79"/>
    </row>
    <row r="338" ht="15.75" customHeight="1">
      <c r="F338" s="79"/>
      <c r="G338" s="79"/>
      <c r="H338" s="79"/>
      <c r="I338" s="79"/>
    </row>
    <row r="339" ht="15.75" customHeight="1">
      <c r="F339" s="79"/>
      <c r="G339" s="79"/>
      <c r="H339" s="79"/>
      <c r="I339" s="79"/>
    </row>
    <row r="340" ht="15.75" customHeight="1">
      <c r="F340" s="79"/>
      <c r="G340" s="79"/>
      <c r="H340" s="79"/>
      <c r="I340" s="79"/>
    </row>
    <row r="341" ht="15.75" customHeight="1">
      <c r="F341" s="79"/>
      <c r="G341" s="79"/>
      <c r="H341" s="79"/>
      <c r="I341" s="79"/>
    </row>
    <row r="342" ht="15.75" customHeight="1">
      <c r="F342" s="79"/>
      <c r="G342" s="79"/>
      <c r="H342" s="79"/>
      <c r="I342" s="79"/>
    </row>
    <row r="343" ht="15.75" customHeight="1">
      <c r="F343" s="79"/>
      <c r="G343" s="79"/>
      <c r="H343" s="79"/>
      <c r="I343" s="79"/>
    </row>
    <row r="344" ht="15.75" customHeight="1">
      <c r="F344" s="79"/>
      <c r="G344" s="79"/>
      <c r="H344" s="79"/>
      <c r="I344" s="79"/>
    </row>
    <row r="345" ht="15.75" customHeight="1">
      <c r="F345" s="79"/>
      <c r="G345" s="79"/>
      <c r="H345" s="79"/>
      <c r="I345" s="79"/>
    </row>
    <row r="346" ht="15.75" customHeight="1">
      <c r="F346" s="79"/>
      <c r="G346" s="79"/>
      <c r="H346" s="79"/>
      <c r="I346" s="79"/>
    </row>
    <row r="347" ht="15.75" customHeight="1">
      <c r="F347" s="79"/>
      <c r="G347" s="79"/>
      <c r="H347" s="79"/>
      <c r="I347" s="79"/>
    </row>
    <row r="348" ht="15.75" customHeight="1">
      <c r="F348" s="79"/>
      <c r="G348" s="79"/>
      <c r="H348" s="79"/>
      <c r="I348" s="79"/>
    </row>
    <row r="349" ht="15.75" customHeight="1">
      <c r="F349" s="79"/>
      <c r="G349" s="79"/>
      <c r="H349" s="79"/>
      <c r="I349" s="79"/>
    </row>
    <row r="350" ht="15.75" customHeight="1">
      <c r="F350" s="79"/>
      <c r="G350" s="79"/>
      <c r="H350" s="79"/>
      <c r="I350" s="79"/>
    </row>
    <row r="351" ht="15.75" customHeight="1">
      <c r="F351" s="79"/>
      <c r="G351" s="79"/>
      <c r="H351" s="79"/>
      <c r="I351" s="79"/>
    </row>
    <row r="352" ht="15.75" customHeight="1">
      <c r="F352" s="79"/>
      <c r="G352" s="79"/>
      <c r="H352" s="79"/>
      <c r="I352" s="79"/>
    </row>
    <row r="353" ht="15.75" customHeight="1">
      <c r="F353" s="79"/>
      <c r="G353" s="79"/>
      <c r="H353" s="79"/>
      <c r="I353" s="79"/>
    </row>
    <row r="354" ht="15.75" customHeight="1">
      <c r="F354" s="79"/>
      <c r="G354" s="79"/>
      <c r="H354" s="79"/>
      <c r="I354" s="79"/>
    </row>
    <row r="355" ht="15.75" customHeight="1">
      <c r="F355" s="79"/>
      <c r="G355" s="79"/>
      <c r="H355" s="79"/>
      <c r="I355" s="79"/>
    </row>
    <row r="356" ht="15.75" customHeight="1">
      <c r="F356" s="79"/>
      <c r="G356" s="79"/>
      <c r="H356" s="79"/>
      <c r="I356" s="79"/>
    </row>
    <row r="357" ht="15.75" customHeight="1">
      <c r="F357" s="79"/>
      <c r="G357" s="79"/>
      <c r="H357" s="79"/>
      <c r="I357" s="79"/>
    </row>
    <row r="358" ht="15.75" customHeight="1">
      <c r="F358" s="79"/>
      <c r="G358" s="79"/>
      <c r="H358" s="79"/>
      <c r="I358" s="79"/>
    </row>
    <row r="359" ht="15.75" customHeight="1">
      <c r="F359" s="79"/>
      <c r="G359" s="79"/>
      <c r="H359" s="79"/>
      <c r="I359" s="79"/>
    </row>
    <row r="360" ht="15.75" customHeight="1">
      <c r="F360" s="79"/>
      <c r="G360" s="79"/>
      <c r="H360" s="79"/>
      <c r="I360" s="79"/>
    </row>
    <row r="361" ht="15.75" customHeight="1">
      <c r="F361" s="79"/>
      <c r="G361" s="79"/>
      <c r="H361" s="79"/>
      <c r="I361" s="79"/>
    </row>
    <row r="362" ht="15.75" customHeight="1">
      <c r="F362" s="79"/>
      <c r="G362" s="79"/>
      <c r="H362" s="79"/>
      <c r="I362" s="79"/>
    </row>
    <row r="363" ht="15.75" customHeight="1">
      <c r="F363" s="79"/>
      <c r="G363" s="79"/>
      <c r="H363" s="79"/>
      <c r="I363" s="79"/>
    </row>
    <row r="364" ht="15.75" customHeight="1">
      <c r="F364" s="79"/>
      <c r="G364" s="79"/>
      <c r="H364" s="79"/>
      <c r="I364" s="79"/>
    </row>
    <row r="365" ht="15.75" customHeight="1">
      <c r="F365" s="79"/>
      <c r="G365" s="79"/>
      <c r="H365" s="79"/>
      <c r="I365" s="79"/>
    </row>
    <row r="366" ht="15.75" customHeight="1">
      <c r="F366" s="79"/>
      <c r="G366" s="79"/>
      <c r="H366" s="79"/>
      <c r="I366" s="79"/>
    </row>
    <row r="367" ht="15.75" customHeight="1">
      <c r="F367" s="79"/>
      <c r="G367" s="79"/>
      <c r="H367" s="79"/>
      <c r="I367" s="79"/>
    </row>
    <row r="368" ht="15.75" customHeight="1">
      <c r="F368" s="79"/>
      <c r="G368" s="79"/>
      <c r="H368" s="79"/>
      <c r="I368" s="79"/>
    </row>
    <row r="369" ht="15.75" customHeight="1">
      <c r="F369" s="79"/>
      <c r="G369" s="79"/>
      <c r="H369" s="79"/>
      <c r="I369" s="79"/>
    </row>
    <row r="370" ht="15.75" customHeight="1">
      <c r="F370" s="79"/>
      <c r="G370" s="79"/>
      <c r="H370" s="79"/>
      <c r="I370" s="79"/>
    </row>
    <row r="371" ht="15.75" customHeight="1">
      <c r="F371" s="79"/>
      <c r="G371" s="79"/>
      <c r="H371" s="79"/>
      <c r="I371" s="79"/>
    </row>
    <row r="372" ht="15.75" customHeight="1">
      <c r="F372" s="79"/>
      <c r="G372" s="79"/>
      <c r="H372" s="79"/>
      <c r="I372" s="79"/>
    </row>
    <row r="373" ht="15.75" customHeight="1">
      <c r="F373" s="79"/>
      <c r="G373" s="79"/>
      <c r="H373" s="79"/>
      <c r="I373" s="79"/>
    </row>
    <row r="374" ht="15.75" customHeight="1">
      <c r="F374" s="79"/>
      <c r="G374" s="79"/>
      <c r="H374" s="79"/>
      <c r="I374" s="79"/>
    </row>
    <row r="375" ht="15.75" customHeight="1">
      <c r="F375" s="79"/>
      <c r="G375" s="79"/>
      <c r="H375" s="79"/>
      <c r="I375" s="79"/>
    </row>
    <row r="376" ht="15.75" customHeight="1">
      <c r="F376" s="79"/>
      <c r="G376" s="79"/>
      <c r="H376" s="79"/>
      <c r="I376" s="79"/>
    </row>
    <row r="377" ht="15.75" customHeight="1">
      <c r="F377" s="79"/>
      <c r="G377" s="79"/>
      <c r="H377" s="79"/>
      <c r="I377" s="79"/>
    </row>
    <row r="378" ht="15.75" customHeight="1">
      <c r="F378" s="79"/>
      <c r="G378" s="79"/>
      <c r="H378" s="79"/>
      <c r="I378" s="79"/>
    </row>
    <row r="379" ht="15.75" customHeight="1">
      <c r="F379" s="79"/>
      <c r="G379" s="79"/>
      <c r="H379" s="79"/>
      <c r="I379" s="79"/>
    </row>
    <row r="380" ht="15.75" customHeight="1">
      <c r="F380" s="79"/>
      <c r="G380" s="79"/>
      <c r="H380" s="79"/>
      <c r="I380" s="79"/>
    </row>
    <row r="381" ht="15.75" customHeight="1">
      <c r="F381" s="79"/>
      <c r="G381" s="79"/>
      <c r="H381" s="79"/>
      <c r="I381" s="79"/>
    </row>
    <row r="382" ht="15.75" customHeight="1">
      <c r="F382" s="79"/>
      <c r="G382" s="79"/>
      <c r="H382" s="79"/>
      <c r="I382" s="79"/>
    </row>
    <row r="383" ht="15.75" customHeight="1">
      <c r="F383" s="79"/>
      <c r="G383" s="79"/>
      <c r="H383" s="79"/>
      <c r="I383" s="79"/>
    </row>
    <row r="384" ht="15.75" customHeight="1">
      <c r="F384" s="79"/>
      <c r="G384" s="79"/>
      <c r="H384" s="79"/>
      <c r="I384" s="79"/>
    </row>
    <row r="385" ht="15.75" customHeight="1">
      <c r="F385" s="79"/>
      <c r="G385" s="79"/>
      <c r="H385" s="79"/>
      <c r="I385" s="79"/>
    </row>
    <row r="386" ht="15.75" customHeight="1">
      <c r="F386" s="79"/>
      <c r="G386" s="79"/>
      <c r="H386" s="79"/>
      <c r="I386" s="79"/>
    </row>
    <row r="387" ht="15.75" customHeight="1">
      <c r="F387" s="79"/>
      <c r="G387" s="79"/>
      <c r="H387" s="79"/>
      <c r="I387" s="79"/>
    </row>
    <row r="388" ht="15.75" customHeight="1">
      <c r="F388" s="79"/>
      <c r="G388" s="79"/>
      <c r="H388" s="79"/>
      <c r="I388" s="79"/>
    </row>
    <row r="389" ht="15.75" customHeight="1">
      <c r="F389" s="79"/>
      <c r="G389" s="79"/>
      <c r="H389" s="79"/>
      <c r="I389" s="79"/>
    </row>
    <row r="390" ht="15.75" customHeight="1">
      <c r="F390" s="79"/>
      <c r="G390" s="79"/>
      <c r="H390" s="79"/>
      <c r="I390" s="79"/>
    </row>
    <row r="391" ht="15.75" customHeight="1">
      <c r="F391" s="79"/>
      <c r="G391" s="79"/>
      <c r="H391" s="79"/>
      <c r="I391" s="79"/>
    </row>
    <row r="392" ht="15.75" customHeight="1">
      <c r="F392" s="79"/>
      <c r="G392" s="79"/>
      <c r="H392" s="79"/>
      <c r="I392" s="79"/>
    </row>
    <row r="393" ht="15.75" customHeight="1">
      <c r="F393" s="79"/>
      <c r="G393" s="79"/>
      <c r="H393" s="79"/>
      <c r="I393" s="79"/>
    </row>
    <row r="394" ht="15.75" customHeight="1">
      <c r="F394" s="79"/>
      <c r="G394" s="79"/>
      <c r="H394" s="79"/>
      <c r="I394" s="79"/>
    </row>
    <row r="395" ht="15.75" customHeight="1">
      <c r="F395" s="79"/>
      <c r="G395" s="79"/>
      <c r="H395" s="79"/>
      <c r="I395" s="79"/>
    </row>
    <row r="396" ht="15.75" customHeight="1">
      <c r="F396" s="79"/>
      <c r="G396" s="79"/>
      <c r="H396" s="79"/>
      <c r="I396" s="79"/>
    </row>
    <row r="397" ht="15.75" customHeight="1">
      <c r="F397" s="79"/>
      <c r="G397" s="79"/>
      <c r="H397" s="79"/>
      <c r="I397" s="79"/>
    </row>
    <row r="398" ht="15.75" customHeight="1">
      <c r="F398" s="79"/>
      <c r="G398" s="79"/>
      <c r="H398" s="79"/>
      <c r="I398" s="79"/>
    </row>
    <row r="399" ht="15.75" customHeight="1">
      <c r="F399" s="79"/>
      <c r="G399" s="79"/>
      <c r="H399" s="79"/>
      <c r="I399" s="79"/>
    </row>
    <row r="400" ht="15.75" customHeight="1">
      <c r="F400" s="79"/>
      <c r="G400" s="79"/>
      <c r="H400" s="79"/>
      <c r="I400" s="79"/>
    </row>
    <row r="401" ht="15.75" customHeight="1">
      <c r="F401" s="79"/>
      <c r="G401" s="79"/>
      <c r="H401" s="79"/>
      <c r="I401" s="79"/>
    </row>
    <row r="402" ht="15.75" customHeight="1">
      <c r="F402" s="79"/>
      <c r="G402" s="79"/>
      <c r="H402" s="79"/>
      <c r="I402" s="79"/>
    </row>
    <row r="403" ht="15.75" customHeight="1">
      <c r="F403" s="79"/>
      <c r="G403" s="79"/>
      <c r="H403" s="79"/>
      <c r="I403" s="79"/>
    </row>
    <row r="404" ht="15.75" customHeight="1">
      <c r="F404" s="79"/>
      <c r="G404" s="79"/>
      <c r="H404" s="79"/>
      <c r="I404" s="79"/>
    </row>
    <row r="405" ht="15.75" customHeight="1">
      <c r="F405" s="79"/>
      <c r="G405" s="79"/>
      <c r="H405" s="79"/>
      <c r="I405" s="79"/>
    </row>
    <row r="406" ht="15.75" customHeight="1">
      <c r="F406" s="79"/>
      <c r="G406" s="79"/>
      <c r="H406" s="79"/>
      <c r="I406" s="79"/>
    </row>
    <row r="407" ht="15.75" customHeight="1">
      <c r="F407" s="79"/>
      <c r="G407" s="79"/>
      <c r="H407" s="79"/>
      <c r="I407" s="79"/>
    </row>
    <row r="408" ht="15.75" customHeight="1">
      <c r="F408" s="79"/>
      <c r="G408" s="79"/>
      <c r="H408" s="79"/>
      <c r="I408" s="79"/>
    </row>
    <row r="409" ht="15.75" customHeight="1">
      <c r="F409" s="79"/>
      <c r="G409" s="79"/>
      <c r="H409" s="79"/>
      <c r="I409" s="79"/>
    </row>
    <row r="410" ht="15.75" customHeight="1">
      <c r="F410" s="79"/>
      <c r="G410" s="79"/>
      <c r="H410" s="79"/>
      <c r="I410" s="79"/>
    </row>
    <row r="411" ht="15.75" customHeight="1">
      <c r="F411" s="79"/>
      <c r="G411" s="79"/>
      <c r="H411" s="79"/>
      <c r="I411" s="79"/>
    </row>
    <row r="412" ht="15.75" customHeight="1">
      <c r="F412" s="79"/>
      <c r="G412" s="79"/>
      <c r="H412" s="79"/>
      <c r="I412" s="79"/>
    </row>
    <row r="413" ht="15.75" customHeight="1">
      <c r="F413" s="79"/>
      <c r="G413" s="79"/>
      <c r="H413" s="79"/>
      <c r="I413" s="79"/>
    </row>
    <row r="414" ht="15.75" customHeight="1">
      <c r="F414" s="79"/>
      <c r="G414" s="79"/>
      <c r="H414" s="79"/>
      <c r="I414" s="79"/>
    </row>
    <row r="415" ht="15.75" customHeight="1">
      <c r="F415" s="79"/>
      <c r="G415" s="79"/>
      <c r="H415" s="79"/>
      <c r="I415" s="79"/>
    </row>
    <row r="416" ht="15.75" customHeight="1">
      <c r="F416" s="79"/>
      <c r="G416" s="79"/>
      <c r="H416" s="79"/>
      <c r="I416" s="79"/>
    </row>
    <row r="417" ht="15.75" customHeight="1">
      <c r="F417" s="79"/>
      <c r="G417" s="79"/>
      <c r="H417" s="79"/>
      <c r="I417" s="79"/>
    </row>
    <row r="418" ht="15.75" customHeight="1">
      <c r="F418" s="79"/>
      <c r="G418" s="79"/>
      <c r="H418" s="79"/>
      <c r="I418" s="79"/>
    </row>
    <row r="419" ht="15.75" customHeight="1">
      <c r="F419" s="79"/>
      <c r="G419" s="79"/>
      <c r="H419" s="79"/>
      <c r="I419" s="79"/>
    </row>
    <row r="420" ht="15.75" customHeight="1">
      <c r="F420" s="79"/>
      <c r="G420" s="79"/>
      <c r="H420" s="79"/>
      <c r="I420" s="79"/>
    </row>
    <row r="421" ht="15.75" customHeight="1">
      <c r="F421" s="79"/>
      <c r="G421" s="79"/>
      <c r="H421" s="79"/>
      <c r="I421" s="79"/>
    </row>
    <row r="422" ht="15.75" customHeight="1">
      <c r="F422" s="79"/>
      <c r="G422" s="79"/>
      <c r="H422" s="79"/>
      <c r="I422" s="79"/>
    </row>
    <row r="423" ht="15.75" customHeight="1">
      <c r="F423" s="79"/>
      <c r="G423" s="79"/>
      <c r="H423" s="79"/>
      <c r="I423" s="79"/>
    </row>
    <row r="424" ht="15.75" customHeight="1">
      <c r="F424" s="79"/>
      <c r="G424" s="79"/>
      <c r="H424" s="79"/>
      <c r="I424" s="79"/>
    </row>
    <row r="425" ht="15.75" customHeight="1">
      <c r="F425" s="79"/>
      <c r="G425" s="79"/>
      <c r="H425" s="79"/>
      <c r="I425" s="79"/>
    </row>
    <row r="426" ht="15.75" customHeight="1">
      <c r="F426" s="79"/>
      <c r="G426" s="79"/>
      <c r="H426" s="79"/>
      <c r="I426" s="79"/>
    </row>
    <row r="427" ht="15.75" customHeight="1">
      <c r="F427" s="79"/>
      <c r="G427" s="79"/>
      <c r="H427" s="79"/>
      <c r="I427" s="79"/>
    </row>
    <row r="428" ht="15.75" customHeight="1">
      <c r="F428" s="79"/>
      <c r="G428" s="79"/>
      <c r="H428" s="79"/>
      <c r="I428" s="79"/>
    </row>
    <row r="429" ht="15.75" customHeight="1">
      <c r="F429" s="79"/>
      <c r="G429" s="79"/>
      <c r="H429" s="79"/>
      <c r="I429" s="79"/>
    </row>
    <row r="430" ht="15.75" customHeight="1">
      <c r="F430" s="79"/>
      <c r="G430" s="79"/>
      <c r="H430" s="79"/>
      <c r="I430" s="79"/>
    </row>
    <row r="431" ht="15.75" customHeight="1">
      <c r="F431" s="79"/>
      <c r="G431" s="79"/>
      <c r="H431" s="79"/>
      <c r="I431" s="79"/>
    </row>
    <row r="432" ht="15.75" customHeight="1">
      <c r="F432" s="79"/>
      <c r="G432" s="79"/>
      <c r="H432" s="79"/>
      <c r="I432" s="79"/>
    </row>
    <row r="433" ht="15.75" customHeight="1">
      <c r="F433" s="79"/>
      <c r="G433" s="79"/>
      <c r="H433" s="79"/>
      <c r="I433" s="79"/>
    </row>
    <row r="434" ht="15.75" customHeight="1">
      <c r="F434" s="79"/>
      <c r="G434" s="79"/>
      <c r="H434" s="79"/>
      <c r="I434" s="79"/>
    </row>
    <row r="435" ht="15.75" customHeight="1">
      <c r="F435" s="79"/>
      <c r="G435" s="79"/>
      <c r="H435" s="79"/>
      <c r="I435" s="79"/>
    </row>
    <row r="436" ht="15.75" customHeight="1">
      <c r="F436" s="79"/>
      <c r="G436" s="79"/>
      <c r="H436" s="79"/>
      <c r="I436" s="79"/>
    </row>
    <row r="437" ht="15.75" customHeight="1">
      <c r="F437" s="79"/>
      <c r="G437" s="79"/>
      <c r="H437" s="79"/>
      <c r="I437" s="79"/>
    </row>
    <row r="438" ht="15.75" customHeight="1">
      <c r="F438" s="79"/>
      <c r="G438" s="79"/>
      <c r="H438" s="79"/>
      <c r="I438" s="79"/>
    </row>
    <row r="439" ht="15.75" customHeight="1">
      <c r="F439" s="79"/>
      <c r="G439" s="79"/>
      <c r="H439" s="79"/>
      <c r="I439" s="79"/>
    </row>
    <row r="440" ht="15.75" customHeight="1">
      <c r="F440" s="79"/>
      <c r="G440" s="79"/>
      <c r="H440" s="79"/>
      <c r="I440" s="79"/>
    </row>
    <row r="441" ht="15.75" customHeight="1">
      <c r="F441" s="79"/>
      <c r="G441" s="79"/>
      <c r="H441" s="79"/>
      <c r="I441" s="79"/>
    </row>
    <row r="442" ht="15.75" customHeight="1">
      <c r="F442" s="79"/>
      <c r="G442" s="79"/>
      <c r="H442" s="79"/>
      <c r="I442" s="79"/>
    </row>
    <row r="443" ht="15.75" customHeight="1">
      <c r="F443" s="79"/>
      <c r="G443" s="79"/>
      <c r="H443" s="79"/>
      <c r="I443" s="79"/>
    </row>
    <row r="444" ht="15.75" customHeight="1">
      <c r="F444" s="79"/>
      <c r="G444" s="79"/>
      <c r="H444" s="79"/>
      <c r="I444" s="79"/>
    </row>
    <row r="445" ht="15.75" customHeight="1">
      <c r="F445" s="79"/>
      <c r="G445" s="79"/>
      <c r="H445" s="79"/>
      <c r="I445" s="79"/>
    </row>
    <row r="446" ht="15.75" customHeight="1">
      <c r="F446" s="79"/>
      <c r="G446" s="79"/>
      <c r="H446" s="79"/>
      <c r="I446" s="79"/>
    </row>
    <row r="447" ht="15.75" customHeight="1">
      <c r="F447" s="79"/>
      <c r="G447" s="79"/>
      <c r="H447" s="79"/>
      <c r="I447" s="79"/>
    </row>
    <row r="448" ht="15.75" customHeight="1">
      <c r="F448" s="79"/>
      <c r="G448" s="79"/>
      <c r="H448" s="79"/>
      <c r="I448" s="79"/>
    </row>
    <row r="449" ht="15.75" customHeight="1">
      <c r="F449" s="79"/>
      <c r="G449" s="79"/>
      <c r="H449" s="79"/>
      <c r="I449" s="79"/>
    </row>
    <row r="450" ht="15.75" customHeight="1">
      <c r="F450" s="79"/>
      <c r="G450" s="79"/>
      <c r="H450" s="79"/>
      <c r="I450" s="79"/>
    </row>
    <row r="451" ht="15.75" customHeight="1">
      <c r="F451" s="79"/>
      <c r="G451" s="79"/>
      <c r="H451" s="79"/>
      <c r="I451" s="79"/>
    </row>
    <row r="452" ht="15.75" customHeight="1">
      <c r="F452" s="79"/>
      <c r="G452" s="79"/>
      <c r="H452" s="79"/>
      <c r="I452" s="79"/>
    </row>
    <row r="453" ht="15.75" customHeight="1">
      <c r="F453" s="79"/>
      <c r="G453" s="79"/>
      <c r="H453" s="79"/>
      <c r="I453" s="79"/>
    </row>
    <row r="454" ht="15.75" customHeight="1">
      <c r="F454" s="79"/>
      <c r="G454" s="79"/>
      <c r="H454" s="79"/>
      <c r="I454" s="79"/>
    </row>
    <row r="455" ht="15.75" customHeight="1">
      <c r="F455" s="79"/>
      <c r="G455" s="79"/>
      <c r="H455" s="79"/>
      <c r="I455" s="79"/>
    </row>
    <row r="456" ht="15.75" customHeight="1">
      <c r="F456" s="79"/>
      <c r="G456" s="79"/>
      <c r="H456" s="79"/>
      <c r="I456" s="79"/>
    </row>
    <row r="457" ht="15.75" customHeight="1">
      <c r="F457" s="79"/>
      <c r="G457" s="79"/>
      <c r="H457" s="79"/>
      <c r="I457" s="79"/>
    </row>
    <row r="458" ht="15.75" customHeight="1">
      <c r="F458" s="79"/>
      <c r="G458" s="79"/>
      <c r="H458" s="79"/>
      <c r="I458" s="79"/>
    </row>
    <row r="459" ht="15.75" customHeight="1">
      <c r="F459" s="79"/>
      <c r="G459" s="79"/>
      <c r="H459" s="79"/>
      <c r="I459" s="79"/>
    </row>
    <row r="460" ht="15.75" customHeight="1">
      <c r="F460" s="79"/>
      <c r="G460" s="79"/>
      <c r="H460" s="79"/>
      <c r="I460" s="79"/>
    </row>
    <row r="461" ht="15.75" customHeight="1">
      <c r="F461" s="79"/>
      <c r="G461" s="79"/>
      <c r="H461" s="79"/>
      <c r="I461" s="79"/>
    </row>
    <row r="462" ht="15.75" customHeight="1">
      <c r="F462" s="79"/>
      <c r="G462" s="79"/>
      <c r="H462" s="79"/>
      <c r="I462" s="79"/>
    </row>
    <row r="463" ht="15.75" customHeight="1">
      <c r="F463" s="79"/>
      <c r="G463" s="79"/>
      <c r="H463" s="79"/>
      <c r="I463" s="79"/>
    </row>
    <row r="464" ht="15.75" customHeight="1">
      <c r="F464" s="79"/>
      <c r="G464" s="79"/>
      <c r="H464" s="79"/>
      <c r="I464" s="79"/>
    </row>
    <row r="465" ht="15.75" customHeight="1">
      <c r="F465" s="79"/>
      <c r="G465" s="79"/>
      <c r="H465" s="79"/>
      <c r="I465" s="79"/>
    </row>
    <row r="466" ht="15.75" customHeight="1">
      <c r="F466" s="79"/>
      <c r="G466" s="79"/>
      <c r="H466" s="79"/>
      <c r="I466" s="79"/>
    </row>
    <row r="467" ht="15.75" customHeight="1">
      <c r="F467" s="79"/>
      <c r="G467" s="79"/>
      <c r="H467" s="79"/>
      <c r="I467" s="79"/>
    </row>
    <row r="468" ht="15.75" customHeight="1">
      <c r="F468" s="79"/>
      <c r="G468" s="79"/>
      <c r="H468" s="79"/>
      <c r="I468" s="79"/>
    </row>
    <row r="469" ht="15.75" customHeight="1">
      <c r="F469" s="79"/>
      <c r="G469" s="79"/>
      <c r="H469" s="79"/>
      <c r="I469" s="79"/>
    </row>
    <row r="470" ht="15.75" customHeight="1">
      <c r="F470" s="79"/>
      <c r="G470" s="79"/>
      <c r="H470" s="79"/>
      <c r="I470" s="79"/>
    </row>
    <row r="471" ht="15.75" customHeight="1">
      <c r="F471" s="79"/>
      <c r="G471" s="79"/>
      <c r="H471" s="79"/>
      <c r="I471" s="79"/>
    </row>
    <row r="472" ht="15.75" customHeight="1">
      <c r="F472" s="79"/>
      <c r="G472" s="79"/>
      <c r="H472" s="79"/>
      <c r="I472" s="79"/>
    </row>
    <row r="473" ht="15.75" customHeight="1">
      <c r="F473" s="79"/>
      <c r="G473" s="79"/>
      <c r="H473" s="79"/>
      <c r="I473" s="79"/>
    </row>
    <row r="474" ht="15.75" customHeight="1">
      <c r="F474" s="79"/>
      <c r="G474" s="79"/>
      <c r="H474" s="79"/>
      <c r="I474" s="79"/>
    </row>
    <row r="475" ht="15.75" customHeight="1">
      <c r="F475" s="79"/>
      <c r="G475" s="79"/>
      <c r="H475" s="79"/>
      <c r="I475" s="79"/>
    </row>
    <row r="476" ht="15.75" customHeight="1">
      <c r="F476" s="79"/>
      <c r="G476" s="79"/>
      <c r="H476" s="79"/>
      <c r="I476" s="79"/>
    </row>
    <row r="477" ht="15.75" customHeight="1">
      <c r="F477" s="79"/>
      <c r="G477" s="79"/>
      <c r="H477" s="79"/>
      <c r="I477" s="79"/>
    </row>
    <row r="478" ht="15.75" customHeight="1">
      <c r="F478" s="79"/>
      <c r="G478" s="79"/>
      <c r="H478" s="79"/>
      <c r="I478" s="79"/>
    </row>
    <row r="479" ht="15.75" customHeight="1">
      <c r="F479" s="79"/>
      <c r="G479" s="79"/>
      <c r="H479" s="79"/>
      <c r="I479" s="79"/>
    </row>
    <row r="480" ht="15.75" customHeight="1">
      <c r="F480" s="79"/>
      <c r="G480" s="79"/>
      <c r="H480" s="79"/>
      <c r="I480" s="79"/>
    </row>
    <row r="481" ht="15.75" customHeight="1">
      <c r="F481" s="79"/>
      <c r="G481" s="79"/>
      <c r="H481" s="79"/>
      <c r="I481" s="79"/>
    </row>
    <row r="482" ht="15.75" customHeight="1">
      <c r="F482" s="79"/>
      <c r="G482" s="79"/>
      <c r="H482" s="79"/>
      <c r="I482" s="79"/>
    </row>
    <row r="483" ht="15.75" customHeight="1">
      <c r="F483" s="79"/>
      <c r="G483" s="79"/>
      <c r="H483" s="79"/>
      <c r="I483" s="79"/>
    </row>
    <row r="484" ht="15.75" customHeight="1">
      <c r="F484" s="79"/>
      <c r="G484" s="79"/>
      <c r="H484" s="79"/>
      <c r="I484" s="79"/>
    </row>
    <row r="485" ht="15.75" customHeight="1">
      <c r="F485" s="79"/>
      <c r="G485" s="79"/>
      <c r="H485" s="79"/>
      <c r="I485" s="79"/>
    </row>
    <row r="486" ht="15.75" customHeight="1">
      <c r="F486" s="79"/>
      <c r="G486" s="79"/>
      <c r="H486" s="79"/>
      <c r="I486" s="79"/>
    </row>
    <row r="487" ht="15.75" customHeight="1">
      <c r="F487" s="79"/>
      <c r="G487" s="79"/>
      <c r="H487" s="79"/>
      <c r="I487" s="79"/>
    </row>
    <row r="488" ht="15.75" customHeight="1">
      <c r="F488" s="79"/>
      <c r="G488" s="79"/>
      <c r="H488" s="79"/>
      <c r="I488" s="79"/>
    </row>
    <row r="489" ht="15.75" customHeight="1">
      <c r="F489" s="79"/>
      <c r="G489" s="79"/>
      <c r="H489" s="79"/>
      <c r="I489" s="79"/>
    </row>
    <row r="490" ht="15.75" customHeight="1">
      <c r="F490" s="79"/>
      <c r="G490" s="79"/>
      <c r="H490" s="79"/>
      <c r="I490" s="79"/>
    </row>
    <row r="491" ht="15.75" customHeight="1">
      <c r="F491" s="79"/>
      <c r="G491" s="79"/>
      <c r="H491" s="79"/>
      <c r="I491" s="79"/>
    </row>
    <row r="492" ht="15.75" customHeight="1">
      <c r="F492" s="79"/>
      <c r="G492" s="79"/>
      <c r="H492" s="79"/>
      <c r="I492" s="79"/>
    </row>
    <row r="493" ht="15.75" customHeight="1">
      <c r="F493" s="79"/>
      <c r="G493" s="79"/>
      <c r="H493" s="79"/>
      <c r="I493" s="79"/>
    </row>
    <row r="494" ht="15.75" customHeight="1">
      <c r="F494" s="79"/>
      <c r="G494" s="79"/>
      <c r="H494" s="79"/>
      <c r="I494" s="79"/>
    </row>
    <row r="495" ht="15.75" customHeight="1">
      <c r="F495" s="79"/>
      <c r="G495" s="79"/>
      <c r="H495" s="79"/>
      <c r="I495" s="79"/>
    </row>
    <row r="496" ht="15.75" customHeight="1">
      <c r="F496" s="79"/>
      <c r="G496" s="79"/>
      <c r="H496" s="79"/>
      <c r="I496" s="79"/>
    </row>
    <row r="497" ht="15.75" customHeight="1">
      <c r="F497" s="79"/>
      <c r="G497" s="79"/>
      <c r="H497" s="79"/>
      <c r="I497" s="79"/>
    </row>
    <row r="498" ht="15.75" customHeight="1">
      <c r="F498" s="79"/>
      <c r="G498" s="79"/>
      <c r="H498" s="79"/>
      <c r="I498" s="79"/>
    </row>
    <row r="499" ht="15.75" customHeight="1">
      <c r="F499" s="79"/>
      <c r="G499" s="79"/>
      <c r="H499" s="79"/>
      <c r="I499" s="79"/>
    </row>
    <row r="500" ht="15.75" customHeight="1">
      <c r="F500" s="79"/>
      <c r="G500" s="79"/>
      <c r="H500" s="79"/>
      <c r="I500" s="79"/>
    </row>
    <row r="501" ht="15.75" customHeight="1">
      <c r="F501" s="79"/>
      <c r="G501" s="79"/>
      <c r="H501" s="79"/>
      <c r="I501" s="79"/>
    </row>
    <row r="502" ht="15.75" customHeight="1">
      <c r="F502" s="79"/>
      <c r="G502" s="79"/>
      <c r="H502" s="79"/>
      <c r="I502" s="79"/>
    </row>
    <row r="503" ht="15.75" customHeight="1">
      <c r="F503" s="79"/>
      <c r="G503" s="79"/>
      <c r="H503" s="79"/>
      <c r="I503" s="79"/>
    </row>
    <row r="504" ht="15.75" customHeight="1">
      <c r="F504" s="79"/>
      <c r="G504" s="79"/>
      <c r="H504" s="79"/>
      <c r="I504" s="79"/>
    </row>
    <row r="505" ht="15.75" customHeight="1">
      <c r="F505" s="79"/>
      <c r="G505" s="79"/>
      <c r="H505" s="79"/>
      <c r="I505" s="79"/>
    </row>
    <row r="506" ht="15.75" customHeight="1">
      <c r="F506" s="79"/>
      <c r="G506" s="79"/>
      <c r="H506" s="79"/>
      <c r="I506" s="79"/>
    </row>
    <row r="507" ht="15.75" customHeight="1">
      <c r="F507" s="79"/>
      <c r="G507" s="79"/>
      <c r="H507" s="79"/>
      <c r="I507" s="79"/>
    </row>
    <row r="508" ht="15.75" customHeight="1">
      <c r="F508" s="79"/>
      <c r="G508" s="79"/>
      <c r="H508" s="79"/>
      <c r="I508" s="79"/>
    </row>
    <row r="509" ht="15.75" customHeight="1">
      <c r="F509" s="79"/>
      <c r="G509" s="79"/>
      <c r="H509" s="79"/>
      <c r="I509" s="79"/>
    </row>
    <row r="510" ht="15.75" customHeight="1">
      <c r="F510" s="79"/>
      <c r="G510" s="79"/>
      <c r="H510" s="79"/>
      <c r="I510" s="79"/>
    </row>
    <row r="511" ht="15.75" customHeight="1">
      <c r="F511" s="79"/>
      <c r="G511" s="79"/>
      <c r="H511" s="79"/>
      <c r="I511" s="79"/>
    </row>
    <row r="512" ht="15.75" customHeight="1">
      <c r="F512" s="79"/>
      <c r="G512" s="79"/>
      <c r="H512" s="79"/>
      <c r="I512" s="79"/>
    </row>
    <row r="513" ht="15.75" customHeight="1">
      <c r="F513" s="79"/>
      <c r="G513" s="79"/>
      <c r="H513" s="79"/>
      <c r="I513" s="79"/>
    </row>
    <row r="514" ht="15.75" customHeight="1">
      <c r="F514" s="79"/>
      <c r="G514" s="79"/>
      <c r="H514" s="79"/>
      <c r="I514" s="79"/>
    </row>
    <row r="515" ht="15.75" customHeight="1">
      <c r="F515" s="79"/>
      <c r="G515" s="79"/>
      <c r="H515" s="79"/>
      <c r="I515" s="79"/>
    </row>
    <row r="516" ht="15.75" customHeight="1">
      <c r="F516" s="79"/>
      <c r="G516" s="79"/>
      <c r="H516" s="79"/>
      <c r="I516" s="79"/>
    </row>
    <row r="517" ht="15.75" customHeight="1">
      <c r="F517" s="79"/>
      <c r="G517" s="79"/>
      <c r="H517" s="79"/>
      <c r="I517" s="79"/>
    </row>
    <row r="518" ht="15.75" customHeight="1">
      <c r="F518" s="79"/>
      <c r="G518" s="79"/>
      <c r="H518" s="79"/>
      <c r="I518" s="79"/>
    </row>
    <row r="519" ht="15.75" customHeight="1">
      <c r="F519" s="79"/>
      <c r="G519" s="79"/>
      <c r="H519" s="79"/>
      <c r="I519" s="79"/>
    </row>
    <row r="520" ht="15.75" customHeight="1">
      <c r="F520" s="79"/>
      <c r="G520" s="79"/>
      <c r="H520" s="79"/>
      <c r="I520" s="79"/>
    </row>
    <row r="521" ht="15.75" customHeight="1">
      <c r="F521" s="79"/>
      <c r="G521" s="79"/>
      <c r="H521" s="79"/>
      <c r="I521" s="79"/>
    </row>
    <row r="522" ht="15.75" customHeight="1">
      <c r="F522" s="79"/>
      <c r="G522" s="79"/>
      <c r="H522" s="79"/>
      <c r="I522" s="79"/>
    </row>
    <row r="523" ht="15.75" customHeight="1">
      <c r="F523" s="79"/>
      <c r="G523" s="79"/>
      <c r="H523" s="79"/>
      <c r="I523" s="79"/>
    </row>
    <row r="524" ht="15.75" customHeight="1">
      <c r="F524" s="79"/>
      <c r="G524" s="79"/>
      <c r="H524" s="79"/>
      <c r="I524" s="79"/>
    </row>
    <row r="525" ht="15.75" customHeight="1">
      <c r="F525" s="79"/>
      <c r="G525" s="79"/>
      <c r="H525" s="79"/>
      <c r="I525" s="79"/>
    </row>
    <row r="526" ht="15.75" customHeight="1">
      <c r="F526" s="79"/>
      <c r="G526" s="79"/>
      <c r="H526" s="79"/>
      <c r="I526" s="79"/>
    </row>
    <row r="527" ht="15.75" customHeight="1">
      <c r="F527" s="79"/>
      <c r="G527" s="79"/>
      <c r="H527" s="79"/>
      <c r="I527" s="79"/>
    </row>
    <row r="528" ht="15.75" customHeight="1">
      <c r="F528" s="79"/>
      <c r="G528" s="79"/>
      <c r="H528" s="79"/>
      <c r="I528" s="79"/>
    </row>
    <row r="529" ht="15.75" customHeight="1">
      <c r="F529" s="79"/>
      <c r="G529" s="79"/>
      <c r="H529" s="79"/>
      <c r="I529" s="79"/>
    </row>
    <row r="530" ht="15.75" customHeight="1">
      <c r="F530" s="79"/>
      <c r="G530" s="79"/>
      <c r="H530" s="79"/>
      <c r="I530" s="79"/>
    </row>
    <row r="531" ht="15.75" customHeight="1">
      <c r="F531" s="79"/>
      <c r="G531" s="79"/>
      <c r="H531" s="79"/>
      <c r="I531" s="79"/>
    </row>
    <row r="532" ht="15.75" customHeight="1">
      <c r="F532" s="79"/>
      <c r="G532" s="79"/>
      <c r="H532" s="79"/>
      <c r="I532" s="79"/>
    </row>
    <row r="533" ht="15.75" customHeight="1">
      <c r="F533" s="79"/>
      <c r="G533" s="79"/>
      <c r="H533" s="79"/>
      <c r="I533" s="79"/>
    </row>
    <row r="534" ht="15.75" customHeight="1">
      <c r="F534" s="79"/>
      <c r="G534" s="79"/>
      <c r="H534" s="79"/>
      <c r="I534" s="79"/>
    </row>
    <row r="535" ht="15.75" customHeight="1">
      <c r="F535" s="79"/>
      <c r="G535" s="79"/>
      <c r="H535" s="79"/>
      <c r="I535" s="79"/>
    </row>
    <row r="536" ht="15.75" customHeight="1">
      <c r="F536" s="79"/>
      <c r="G536" s="79"/>
      <c r="H536" s="79"/>
      <c r="I536" s="79"/>
    </row>
    <row r="537" ht="15.75" customHeight="1">
      <c r="F537" s="79"/>
      <c r="G537" s="79"/>
      <c r="H537" s="79"/>
      <c r="I537" s="79"/>
    </row>
    <row r="538" ht="15.75" customHeight="1">
      <c r="F538" s="79"/>
      <c r="G538" s="79"/>
      <c r="H538" s="79"/>
      <c r="I538" s="79"/>
    </row>
    <row r="539" ht="15.75" customHeight="1">
      <c r="F539" s="79"/>
      <c r="G539" s="79"/>
      <c r="H539" s="79"/>
      <c r="I539" s="79"/>
    </row>
    <row r="540" ht="15.75" customHeight="1">
      <c r="F540" s="79"/>
      <c r="G540" s="79"/>
      <c r="H540" s="79"/>
      <c r="I540" s="79"/>
    </row>
    <row r="541" ht="15.75" customHeight="1">
      <c r="F541" s="79"/>
      <c r="G541" s="79"/>
      <c r="H541" s="79"/>
      <c r="I541" s="79"/>
    </row>
    <row r="542" ht="15.75" customHeight="1">
      <c r="F542" s="79"/>
      <c r="G542" s="79"/>
      <c r="H542" s="79"/>
      <c r="I542" s="79"/>
    </row>
    <row r="543" ht="15.75" customHeight="1">
      <c r="F543" s="79"/>
      <c r="G543" s="79"/>
      <c r="H543" s="79"/>
      <c r="I543" s="79"/>
    </row>
    <row r="544" ht="15.75" customHeight="1">
      <c r="F544" s="79"/>
      <c r="G544" s="79"/>
      <c r="H544" s="79"/>
      <c r="I544" s="79"/>
    </row>
    <row r="545" ht="15.75" customHeight="1">
      <c r="F545" s="79"/>
      <c r="G545" s="79"/>
      <c r="H545" s="79"/>
      <c r="I545" s="79"/>
    </row>
    <row r="546" ht="15.75" customHeight="1">
      <c r="F546" s="79"/>
      <c r="G546" s="79"/>
      <c r="H546" s="79"/>
      <c r="I546" s="79"/>
    </row>
    <row r="547" ht="15.75" customHeight="1">
      <c r="F547" s="79"/>
      <c r="G547" s="79"/>
      <c r="H547" s="79"/>
      <c r="I547" s="79"/>
    </row>
    <row r="548" ht="15.75" customHeight="1">
      <c r="F548" s="79"/>
      <c r="G548" s="79"/>
      <c r="H548" s="79"/>
      <c r="I548" s="79"/>
    </row>
    <row r="549" ht="15.75" customHeight="1">
      <c r="F549" s="79"/>
      <c r="G549" s="79"/>
      <c r="H549" s="79"/>
      <c r="I549" s="79"/>
    </row>
    <row r="550" ht="15.75" customHeight="1">
      <c r="F550" s="79"/>
      <c r="G550" s="79"/>
      <c r="H550" s="79"/>
      <c r="I550" s="79"/>
    </row>
    <row r="551" ht="15.75" customHeight="1">
      <c r="F551" s="79"/>
      <c r="G551" s="79"/>
      <c r="H551" s="79"/>
      <c r="I551" s="79"/>
    </row>
    <row r="552" ht="15.75" customHeight="1">
      <c r="F552" s="79"/>
      <c r="G552" s="79"/>
      <c r="H552" s="79"/>
      <c r="I552" s="79"/>
    </row>
    <row r="553" ht="15.75" customHeight="1">
      <c r="F553" s="79"/>
      <c r="G553" s="79"/>
      <c r="H553" s="79"/>
      <c r="I553" s="79"/>
    </row>
    <row r="554" ht="15.75" customHeight="1">
      <c r="F554" s="79"/>
      <c r="G554" s="79"/>
      <c r="H554" s="79"/>
      <c r="I554" s="79"/>
    </row>
    <row r="555" ht="15.75" customHeight="1">
      <c r="F555" s="79"/>
      <c r="G555" s="79"/>
      <c r="H555" s="79"/>
      <c r="I555" s="79"/>
    </row>
    <row r="556" ht="15.75" customHeight="1">
      <c r="F556" s="79"/>
      <c r="G556" s="79"/>
      <c r="H556" s="79"/>
      <c r="I556" s="79"/>
    </row>
    <row r="557" ht="15.75" customHeight="1">
      <c r="F557" s="79"/>
      <c r="G557" s="79"/>
      <c r="H557" s="79"/>
      <c r="I557" s="79"/>
    </row>
    <row r="558" ht="15.75" customHeight="1">
      <c r="F558" s="79"/>
      <c r="G558" s="79"/>
      <c r="H558" s="79"/>
      <c r="I558" s="79"/>
    </row>
    <row r="559" ht="15.75" customHeight="1">
      <c r="F559" s="79"/>
      <c r="G559" s="79"/>
      <c r="H559" s="79"/>
      <c r="I559" s="79"/>
    </row>
    <row r="560" ht="15.75" customHeight="1">
      <c r="F560" s="79"/>
      <c r="G560" s="79"/>
      <c r="H560" s="79"/>
      <c r="I560" s="79"/>
    </row>
    <row r="561" ht="15.75" customHeight="1">
      <c r="F561" s="79"/>
      <c r="G561" s="79"/>
      <c r="H561" s="79"/>
      <c r="I561" s="79"/>
    </row>
    <row r="562" ht="15.75" customHeight="1">
      <c r="F562" s="79"/>
      <c r="G562" s="79"/>
      <c r="H562" s="79"/>
      <c r="I562" s="79"/>
    </row>
    <row r="563" ht="15.75" customHeight="1">
      <c r="F563" s="79"/>
      <c r="G563" s="79"/>
      <c r="H563" s="79"/>
      <c r="I563" s="79"/>
    </row>
    <row r="564" ht="15.75" customHeight="1">
      <c r="F564" s="79"/>
      <c r="G564" s="79"/>
      <c r="H564" s="79"/>
      <c r="I564" s="79"/>
    </row>
    <row r="565" ht="15.75" customHeight="1">
      <c r="F565" s="79"/>
      <c r="G565" s="79"/>
      <c r="H565" s="79"/>
      <c r="I565" s="79"/>
    </row>
    <row r="566" ht="15.75" customHeight="1">
      <c r="F566" s="79"/>
      <c r="G566" s="79"/>
      <c r="H566" s="79"/>
      <c r="I566" s="79"/>
    </row>
    <row r="567" ht="15.75" customHeight="1">
      <c r="F567" s="79"/>
      <c r="G567" s="79"/>
      <c r="H567" s="79"/>
      <c r="I567" s="79"/>
    </row>
    <row r="568" ht="15.75" customHeight="1">
      <c r="F568" s="79"/>
      <c r="G568" s="79"/>
      <c r="H568" s="79"/>
      <c r="I568" s="79"/>
    </row>
    <row r="569" ht="15.75" customHeight="1">
      <c r="F569" s="79"/>
      <c r="G569" s="79"/>
      <c r="H569" s="79"/>
      <c r="I569" s="79"/>
    </row>
    <row r="570" ht="15.75" customHeight="1">
      <c r="F570" s="79"/>
      <c r="G570" s="79"/>
      <c r="H570" s="79"/>
      <c r="I570" s="79"/>
    </row>
    <row r="571" ht="15.75" customHeight="1">
      <c r="F571" s="79"/>
      <c r="G571" s="79"/>
      <c r="H571" s="79"/>
      <c r="I571" s="79"/>
    </row>
    <row r="572" ht="15.75" customHeight="1">
      <c r="F572" s="79"/>
      <c r="G572" s="79"/>
      <c r="H572" s="79"/>
      <c r="I572" s="79"/>
    </row>
    <row r="573" ht="15.75" customHeight="1">
      <c r="F573" s="79"/>
      <c r="G573" s="79"/>
      <c r="H573" s="79"/>
      <c r="I573" s="79"/>
    </row>
    <row r="574" ht="15.75" customHeight="1">
      <c r="F574" s="79"/>
      <c r="G574" s="79"/>
      <c r="H574" s="79"/>
      <c r="I574" s="79"/>
    </row>
    <row r="575" ht="15.75" customHeight="1">
      <c r="F575" s="79"/>
      <c r="G575" s="79"/>
      <c r="H575" s="79"/>
      <c r="I575" s="79"/>
    </row>
    <row r="576" ht="15.75" customHeight="1">
      <c r="F576" s="79"/>
      <c r="G576" s="79"/>
      <c r="H576" s="79"/>
      <c r="I576" s="79"/>
    </row>
    <row r="577" ht="15.75" customHeight="1">
      <c r="F577" s="79"/>
      <c r="G577" s="79"/>
      <c r="H577" s="79"/>
      <c r="I577" s="79"/>
    </row>
    <row r="578" ht="15.75" customHeight="1">
      <c r="F578" s="79"/>
      <c r="G578" s="79"/>
      <c r="H578" s="79"/>
      <c r="I578" s="79"/>
    </row>
    <row r="579" ht="15.75" customHeight="1">
      <c r="F579" s="79"/>
      <c r="G579" s="79"/>
      <c r="H579" s="79"/>
      <c r="I579" s="79"/>
    </row>
    <row r="580" ht="15.75" customHeight="1">
      <c r="F580" s="79"/>
      <c r="G580" s="79"/>
      <c r="H580" s="79"/>
      <c r="I580" s="79"/>
    </row>
    <row r="581" ht="15.75" customHeight="1">
      <c r="F581" s="79"/>
      <c r="G581" s="79"/>
      <c r="H581" s="79"/>
      <c r="I581" s="79"/>
    </row>
    <row r="582" ht="15.75" customHeight="1">
      <c r="F582" s="79"/>
      <c r="G582" s="79"/>
      <c r="H582" s="79"/>
      <c r="I582" s="79"/>
    </row>
    <row r="583" ht="15.75" customHeight="1">
      <c r="F583" s="79"/>
      <c r="G583" s="79"/>
      <c r="H583" s="79"/>
      <c r="I583" s="79"/>
    </row>
    <row r="584" ht="15.75" customHeight="1">
      <c r="F584" s="79"/>
      <c r="G584" s="79"/>
      <c r="H584" s="79"/>
      <c r="I584" s="79"/>
    </row>
    <row r="585" ht="15.75" customHeight="1">
      <c r="F585" s="79"/>
      <c r="G585" s="79"/>
      <c r="H585" s="79"/>
      <c r="I585" s="79"/>
    </row>
    <row r="586" ht="15.75" customHeight="1">
      <c r="F586" s="79"/>
      <c r="G586" s="79"/>
      <c r="H586" s="79"/>
      <c r="I586" s="79"/>
    </row>
    <row r="587" ht="15.75" customHeight="1">
      <c r="F587" s="79"/>
      <c r="G587" s="79"/>
      <c r="H587" s="79"/>
      <c r="I587" s="79"/>
    </row>
    <row r="588" ht="15.75" customHeight="1">
      <c r="F588" s="79"/>
      <c r="G588" s="79"/>
      <c r="H588" s="79"/>
      <c r="I588" s="79"/>
    </row>
    <row r="589" ht="15.75" customHeight="1">
      <c r="F589" s="79"/>
      <c r="G589" s="79"/>
      <c r="H589" s="79"/>
      <c r="I589" s="79"/>
    </row>
    <row r="590" ht="15.75" customHeight="1">
      <c r="F590" s="79"/>
      <c r="G590" s="79"/>
      <c r="H590" s="79"/>
      <c r="I590" s="79"/>
    </row>
    <row r="591" ht="15.75" customHeight="1">
      <c r="F591" s="79"/>
      <c r="G591" s="79"/>
      <c r="H591" s="79"/>
      <c r="I591" s="79"/>
    </row>
    <row r="592" ht="15.75" customHeight="1">
      <c r="F592" s="79"/>
      <c r="G592" s="79"/>
      <c r="H592" s="79"/>
      <c r="I592" s="79"/>
    </row>
    <row r="593" ht="15.75" customHeight="1">
      <c r="F593" s="79"/>
      <c r="G593" s="79"/>
      <c r="H593" s="79"/>
      <c r="I593" s="79"/>
    </row>
    <row r="594" ht="15.75" customHeight="1">
      <c r="F594" s="79"/>
      <c r="G594" s="79"/>
      <c r="H594" s="79"/>
      <c r="I594" s="79"/>
    </row>
    <row r="595" ht="15.75" customHeight="1">
      <c r="F595" s="79"/>
      <c r="G595" s="79"/>
      <c r="H595" s="79"/>
      <c r="I595" s="79"/>
    </row>
    <row r="596" ht="15.75" customHeight="1">
      <c r="F596" s="79"/>
      <c r="G596" s="79"/>
      <c r="H596" s="79"/>
      <c r="I596" s="79"/>
    </row>
    <row r="597" ht="15.75" customHeight="1">
      <c r="F597" s="79"/>
      <c r="G597" s="79"/>
      <c r="H597" s="79"/>
      <c r="I597" s="79"/>
    </row>
    <row r="598" ht="15.75" customHeight="1">
      <c r="F598" s="79"/>
      <c r="G598" s="79"/>
      <c r="H598" s="79"/>
      <c r="I598" s="79"/>
    </row>
    <row r="599" ht="15.75" customHeight="1">
      <c r="F599" s="79"/>
      <c r="G599" s="79"/>
      <c r="H599" s="79"/>
      <c r="I599" s="79"/>
    </row>
    <row r="600" ht="15.75" customHeight="1">
      <c r="F600" s="79"/>
      <c r="G600" s="79"/>
      <c r="H600" s="79"/>
      <c r="I600" s="79"/>
    </row>
    <row r="601" ht="15.75" customHeight="1">
      <c r="F601" s="79"/>
      <c r="G601" s="79"/>
      <c r="H601" s="79"/>
      <c r="I601" s="79"/>
    </row>
    <row r="602" ht="15.75" customHeight="1">
      <c r="F602" s="79"/>
      <c r="G602" s="79"/>
      <c r="H602" s="79"/>
      <c r="I602" s="79"/>
    </row>
    <row r="603" ht="15.75" customHeight="1">
      <c r="F603" s="79"/>
      <c r="G603" s="79"/>
      <c r="H603" s="79"/>
      <c r="I603" s="79"/>
    </row>
    <row r="604" ht="15.75" customHeight="1">
      <c r="F604" s="79"/>
      <c r="G604" s="79"/>
      <c r="H604" s="79"/>
      <c r="I604" s="79"/>
    </row>
    <row r="605" ht="15.75" customHeight="1">
      <c r="F605" s="79"/>
      <c r="G605" s="79"/>
      <c r="H605" s="79"/>
      <c r="I605" s="79"/>
    </row>
    <row r="606" ht="15.75" customHeight="1">
      <c r="F606" s="79"/>
      <c r="G606" s="79"/>
      <c r="H606" s="79"/>
      <c r="I606" s="79"/>
    </row>
    <row r="607" ht="15.75" customHeight="1">
      <c r="F607" s="79"/>
      <c r="G607" s="79"/>
      <c r="H607" s="79"/>
      <c r="I607" s="79"/>
    </row>
    <row r="608" ht="15.75" customHeight="1">
      <c r="F608" s="79"/>
      <c r="G608" s="79"/>
      <c r="H608" s="79"/>
      <c r="I608" s="79"/>
    </row>
    <row r="609" ht="15.75" customHeight="1">
      <c r="F609" s="79"/>
      <c r="G609" s="79"/>
      <c r="H609" s="79"/>
      <c r="I609" s="79"/>
    </row>
    <row r="610" ht="15.75" customHeight="1">
      <c r="F610" s="79"/>
      <c r="G610" s="79"/>
      <c r="H610" s="79"/>
      <c r="I610" s="79"/>
    </row>
    <row r="611" ht="15.75" customHeight="1">
      <c r="F611" s="79"/>
      <c r="G611" s="79"/>
      <c r="H611" s="79"/>
      <c r="I611" s="79"/>
    </row>
    <row r="612" ht="15.75" customHeight="1">
      <c r="F612" s="79"/>
      <c r="G612" s="79"/>
      <c r="H612" s="79"/>
      <c r="I612" s="79"/>
    </row>
    <row r="613" ht="15.75" customHeight="1">
      <c r="F613" s="79"/>
      <c r="G613" s="79"/>
      <c r="H613" s="79"/>
      <c r="I613" s="79"/>
    </row>
    <row r="614" ht="15.75" customHeight="1">
      <c r="F614" s="79"/>
      <c r="G614" s="79"/>
      <c r="H614" s="79"/>
      <c r="I614" s="79"/>
    </row>
    <row r="615" ht="15.75" customHeight="1">
      <c r="F615" s="79"/>
      <c r="G615" s="79"/>
      <c r="H615" s="79"/>
      <c r="I615" s="79"/>
    </row>
    <row r="616" ht="15.75" customHeight="1">
      <c r="F616" s="79"/>
      <c r="G616" s="79"/>
      <c r="H616" s="79"/>
      <c r="I616" s="79"/>
    </row>
    <row r="617" ht="15.75" customHeight="1">
      <c r="F617" s="79"/>
      <c r="G617" s="79"/>
      <c r="H617" s="79"/>
      <c r="I617" s="79"/>
    </row>
    <row r="618" ht="15.75" customHeight="1">
      <c r="F618" s="79"/>
      <c r="G618" s="79"/>
      <c r="H618" s="79"/>
      <c r="I618" s="79"/>
    </row>
    <row r="619" ht="15.75" customHeight="1">
      <c r="F619" s="79"/>
      <c r="G619" s="79"/>
      <c r="H619" s="79"/>
      <c r="I619" s="79"/>
    </row>
    <row r="620" ht="15.75" customHeight="1">
      <c r="F620" s="79"/>
      <c r="G620" s="79"/>
      <c r="H620" s="79"/>
      <c r="I620" s="79"/>
    </row>
    <row r="621" ht="15.75" customHeight="1">
      <c r="F621" s="79"/>
      <c r="G621" s="79"/>
      <c r="H621" s="79"/>
      <c r="I621" s="79"/>
    </row>
    <row r="622" ht="15.75" customHeight="1">
      <c r="F622" s="79"/>
      <c r="G622" s="79"/>
      <c r="H622" s="79"/>
      <c r="I622" s="79"/>
    </row>
    <row r="623" ht="15.75" customHeight="1">
      <c r="F623" s="79"/>
      <c r="G623" s="79"/>
      <c r="H623" s="79"/>
      <c r="I623" s="79"/>
    </row>
    <row r="624" ht="15.75" customHeight="1">
      <c r="F624" s="79"/>
      <c r="G624" s="79"/>
      <c r="H624" s="79"/>
      <c r="I624" s="79"/>
    </row>
    <row r="625" ht="15.75" customHeight="1">
      <c r="F625" s="79"/>
      <c r="G625" s="79"/>
      <c r="H625" s="79"/>
      <c r="I625" s="79"/>
    </row>
    <row r="626" ht="15.75" customHeight="1">
      <c r="F626" s="79"/>
      <c r="G626" s="79"/>
      <c r="H626" s="79"/>
      <c r="I626" s="79"/>
    </row>
    <row r="627" ht="15.75" customHeight="1">
      <c r="F627" s="79"/>
      <c r="G627" s="79"/>
      <c r="H627" s="79"/>
      <c r="I627" s="79"/>
    </row>
    <row r="628" ht="15.75" customHeight="1">
      <c r="F628" s="79"/>
      <c r="G628" s="79"/>
      <c r="H628" s="79"/>
      <c r="I628" s="79"/>
    </row>
    <row r="629" ht="15.75" customHeight="1">
      <c r="F629" s="79"/>
      <c r="G629" s="79"/>
      <c r="H629" s="79"/>
      <c r="I629" s="79"/>
    </row>
    <row r="630" ht="15.75" customHeight="1">
      <c r="F630" s="79"/>
      <c r="G630" s="79"/>
      <c r="H630" s="79"/>
      <c r="I630" s="79"/>
    </row>
    <row r="631" ht="15.75" customHeight="1">
      <c r="F631" s="79"/>
      <c r="G631" s="79"/>
      <c r="H631" s="79"/>
      <c r="I631" s="79"/>
    </row>
    <row r="632" ht="15.75" customHeight="1">
      <c r="F632" s="79"/>
      <c r="G632" s="79"/>
      <c r="H632" s="79"/>
      <c r="I632" s="79"/>
    </row>
    <row r="633" ht="15.75" customHeight="1">
      <c r="F633" s="79"/>
      <c r="G633" s="79"/>
      <c r="H633" s="79"/>
      <c r="I633" s="79"/>
    </row>
    <row r="634" ht="15.75" customHeight="1">
      <c r="F634" s="79"/>
      <c r="G634" s="79"/>
      <c r="H634" s="79"/>
      <c r="I634" s="79"/>
    </row>
    <row r="635" ht="15.75" customHeight="1">
      <c r="F635" s="79"/>
      <c r="G635" s="79"/>
      <c r="H635" s="79"/>
      <c r="I635" s="79"/>
    </row>
    <row r="636" ht="15.75" customHeight="1">
      <c r="F636" s="79"/>
      <c r="G636" s="79"/>
      <c r="H636" s="79"/>
      <c r="I636" s="79"/>
    </row>
    <row r="637" ht="15.75" customHeight="1">
      <c r="F637" s="79"/>
      <c r="G637" s="79"/>
      <c r="H637" s="79"/>
      <c r="I637" s="79"/>
    </row>
    <row r="638" ht="15.75" customHeight="1">
      <c r="F638" s="79"/>
      <c r="G638" s="79"/>
      <c r="H638" s="79"/>
      <c r="I638" s="79"/>
    </row>
    <row r="639" ht="15.75" customHeight="1">
      <c r="F639" s="79"/>
      <c r="G639" s="79"/>
      <c r="H639" s="79"/>
      <c r="I639" s="79"/>
    </row>
    <row r="640" ht="15.75" customHeight="1">
      <c r="F640" s="79"/>
      <c r="G640" s="79"/>
      <c r="H640" s="79"/>
      <c r="I640" s="79"/>
    </row>
    <row r="641" ht="15.75" customHeight="1">
      <c r="F641" s="79"/>
      <c r="G641" s="79"/>
      <c r="H641" s="79"/>
      <c r="I641" s="79"/>
    </row>
    <row r="642" ht="15.75" customHeight="1">
      <c r="F642" s="79"/>
      <c r="G642" s="79"/>
      <c r="H642" s="79"/>
      <c r="I642" s="79"/>
    </row>
    <row r="643" ht="15.75" customHeight="1">
      <c r="F643" s="79"/>
      <c r="G643" s="79"/>
      <c r="H643" s="79"/>
      <c r="I643" s="79"/>
    </row>
    <row r="644" ht="15.75" customHeight="1">
      <c r="F644" s="79"/>
      <c r="G644" s="79"/>
      <c r="H644" s="79"/>
      <c r="I644" s="79"/>
    </row>
    <row r="645" ht="15.75" customHeight="1">
      <c r="F645" s="79"/>
      <c r="G645" s="79"/>
      <c r="H645" s="79"/>
      <c r="I645" s="79"/>
    </row>
    <row r="646" ht="15.75" customHeight="1">
      <c r="F646" s="79"/>
      <c r="G646" s="79"/>
      <c r="H646" s="79"/>
      <c r="I646" s="79"/>
    </row>
    <row r="647" ht="15.75" customHeight="1">
      <c r="F647" s="79"/>
      <c r="G647" s="79"/>
      <c r="H647" s="79"/>
      <c r="I647" s="79"/>
    </row>
    <row r="648" ht="15.75" customHeight="1">
      <c r="F648" s="79"/>
      <c r="G648" s="79"/>
      <c r="H648" s="79"/>
      <c r="I648" s="79"/>
    </row>
    <row r="649" ht="15.75" customHeight="1">
      <c r="F649" s="79"/>
      <c r="G649" s="79"/>
      <c r="H649" s="79"/>
      <c r="I649" s="79"/>
    </row>
    <row r="650" ht="15.75" customHeight="1">
      <c r="F650" s="79"/>
      <c r="G650" s="79"/>
      <c r="H650" s="79"/>
      <c r="I650" s="79"/>
    </row>
    <row r="651" ht="15.75" customHeight="1">
      <c r="F651" s="79"/>
      <c r="G651" s="79"/>
      <c r="H651" s="79"/>
      <c r="I651" s="79"/>
    </row>
    <row r="652" ht="15.75" customHeight="1">
      <c r="F652" s="79"/>
      <c r="G652" s="79"/>
      <c r="H652" s="79"/>
      <c r="I652" s="79"/>
    </row>
    <row r="653" ht="15.75" customHeight="1">
      <c r="F653" s="79"/>
      <c r="G653" s="79"/>
      <c r="H653" s="79"/>
      <c r="I653" s="79"/>
    </row>
    <row r="654" ht="15.75" customHeight="1">
      <c r="F654" s="79"/>
      <c r="G654" s="79"/>
      <c r="H654" s="79"/>
      <c r="I654" s="79"/>
    </row>
    <row r="655" ht="15.75" customHeight="1">
      <c r="F655" s="79"/>
      <c r="G655" s="79"/>
      <c r="H655" s="79"/>
      <c r="I655" s="79"/>
    </row>
    <row r="656" ht="15.75" customHeight="1">
      <c r="F656" s="79"/>
      <c r="G656" s="79"/>
      <c r="H656" s="79"/>
      <c r="I656" s="79"/>
    </row>
    <row r="657" ht="15.75" customHeight="1">
      <c r="F657" s="79"/>
      <c r="G657" s="79"/>
      <c r="H657" s="79"/>
      <c r="I657" s="79"/>
    </row>
    <row r="658" ht="15.75" customHeight="1">
      <c r="F658" s="79"/>
      <c r="G658" s="79"/>
      <c r="H658" s="79"/>
      <c r="I658" s="79"/>
    </row>
    <row r="659" ht="15.75" customHeight="1">
      <c r="F659" s="79"/>
      <c r="G659" s="79"/>
      <c r="H659" s="79"/>
      <c r="I659" s="79"/>
    </row>
    <row r="660" ht="15.75" customHeight="1">
      <c r="F660" s="79"/>
      <c r="G660" s="79"/>
      <c r="H660" s="79"/>
      <c r="I660" s="79"/>
    </row>
    <row r="661" ht="15.75" customHeight="1">
      <c r="F661" s="79"/>
      <c r="G661" s="79"/>
      <c r="H661" s="79"/>
      <c r="I661" s="79"/>
    </row>
    <row r="662" ht="15.75" customHeight="1">
      <c r="F662" s="79"/>
      <c r="G662" s="79"/>
      <c r="H662" s="79"/>
      <c r="I662" s="79"/>
    </row>
    <row r="663" ht="15.75" customHeight="1">
      <c r="F663" s="79"/>
      <c r="G663" s="79"/>
      <c r="H663" s="79"/>
      <c r="I663" s="79"/>
    </row>
    <row r="664" ht="15.75" customHeight="1">
      <c r="F664" s="79"/>
      <c r="G664" s="79"/>
      <c r="H664" s="79"/>
      <c r="I664" s="79"/>
    </row>
    <row r="665" ht="15.75" customHeight="1">
      <c r="F665" s="79"/>
      <c r="G665" s="79"/>
      <c r="H665" s="79"/>
      <c r="I665" s="79"/>
    </row>
    <row r="666" ht="15.75" customHeight="1">
      <c r="F666" s="79"/>
      <c r="G666" s="79"/>
      <c r="H666" s="79"/>
      <c r="I666" s="79"/>
    </row>
    <row r="667" ht="15.75" customHeight="1">
      <c r="F667" s="79"/>
      <c r="G667" s="79"/>
      <c r="H667" s="79"/>
      <c r="I667" s="79"/>
    </row>
    <row r="668" ht="15.75" customHeight="1">
      <c r="F668" s="79"/>
      <c r="G668" s="79"/>
      <c r="H668" s="79"/>
      <c r="I668" s="79"/>
    </row>
    <row r="669" ht="15.75" customHeight="1">
      <c r="F669" s="79"/>
      <c r="G669" s="79"/>
      <c r="H669" s="79"/>
      <c r="I669" s="79"/>
    </row>
    <row r="670" ht="15.75" customHeight="1">
      <c r="F670" s="79"/>
      <c r="G670" s="79"/>
      <c r="H670" s="79"/>
      <c r="I670" s="79"/>
    </row>
    <row r="671" ht="15.75" customHeight="1">
      <c r="F671" s="79"/>
      <c r="G671" s="79"/>
      <c r="H671" s="79"/>
      <c r="I671" s="79"/>
    </row>
    <row r="672" ht="15.75" customHeight="1">
      <c r="F672" s="79"/>
      <c r="G672" s="79"/>
      <c r="H672" s="79"/>
      <c r="I672" s="79"/>
    </row>
    <row r="673" ht="15.75" customHeight="1">
      <c r="F673" s="79"/>
      <c r="G673" s="79"/>
      <c r="H673" s="79"/>
      <c r="I673" s="79"/>
    </row>
    <row r="674" ht="15.75" customHeight="1">
      <c r="F674" s="79"/>
      <c r="G674" s="79"/>
      <c r="H674" s="79"/>
      <c r="I674" s="79"/>
    </row>
    <row r="675" ht="15.75" customHeight="1">
      <c r="F675" s="79"/>
      <c r="G675" s="79"/>
      <c r="H675" s="79"/>
      <c r="I675" s="79"/>
    </row>
    <row r="676" ht="15.75" customHeight="1">
      <c r="F676" s="79"/>
      <c r="G676" s="79"/>
      <c r="H676" s="79"/>
      <c r="I676" s="79"/>
    </row>
    <row r="677" ht="15.75" customHeight="1">
      <c r="F677" s="79"/>
      <c r="G677" s="79"/>
      <c r="H677" s="79"/>
      <c r="I677" s="79"/>
    </row>
    <row r="678" ht="15.75" customHeight="1">
      <c r="F678" s="79"/>
      <c r="G678" s="79"/>
      <c r="H678" s="79"/>
      <c r="I678" s="79"/>
    </row>
    <row r="679" ht="15.75" customHeight="1">
      <c r="F679" s="79"/>
      <c r="G679" s="79"/>
      <c r="H679" s="79"/>
      <c r="I679" s="79"/>
    </row>
    <row r="680" ht="15.75" customHeight="1">
      <c r="F680" s="79"/>
      <c r="G680" s="79"/>
      <c r="H680" s="79"/>
      <c r="I680" s="79"/>
    </row>
    <row r="681" ht="15.75" customHeight="1">
      <c r="F681" s="79"/>
      <c r="G681" s="79"/>
      <c r="H681" s="79"/>
      <c r="I681" s="79"/>
    </row>
    <row r="682" ht="15.75" customHeight="1">
      <c r="F682" s="79"/>
      <c r="G682" s="79"/>
      <c r="H682" s="79"/>
      <c r="I682" s="79"/>
    </row>
    <row r="683" ht="15.75" customHeight="1">
      <c r="F683" s="79"/>
      <c r="G683" s="79"/>
      <c r="H683" s="79"/>
      <c r="I683" s="79"/>
    </row>
    <row r="684" ht="15.75" customHeight="1">
      <c r="F684" s="79"/>
      <c r="G684" s="79"/>
      <c r="H684" s="79"/>
      <c r="I684" s="79"/>
    </row>
    <row r="685" ht="15.75" customHeight="1">
      <c r="F685" s="79"/>
      <c r="G685" s="79"/>
      <c r="H685" s="79"/>
      <c r="I685" s="79"/>
    </row>
    <row r="686" ht="15.75" customHeight="1">
      <c r="F686" s="79"/>
      <c r="G686" s="79"/>
      <c r="H686" s="79"/>
      <c r="I686" s="79"/>
    </row>
    <row r="687" ht="15.75" customHeight="1">
      <c r="F687" s="79"/>
      <c r="G687" s="79"/>
      <c r="H687" s="79"/>
      <c r="I687" s="79"/>
    </row>
    <row r="688" ht="15.75" customHeight="1">
      <c r="F688" s="79"/>
      <c r="G688" s="79"/>
      <c r="H688" s="79"/>
      <c r="I688" s="79"/>
    </row>
    <row r="689" ht="15.75" customHeight="1">
      <c r="F689" s="79"/>
      <c r="G689" s="79"/>
      <c r="H689" s="79"/>
      <c r="I689" s="79"/>
    </row>
    <row r="690" ht="15.75" customHeight="1">
      <c r="F690" s="79"/>
      <c r="G690" s="79"/>
      <c r="H690" s="79"/>
      <c r="I690" s="79"/>
    </row>
    <row r="691" ht="15.75" customHeight="1">
      <c r="F691" s="79"/>
      <c r="G691" s="79"/>
      <c r="H691" s="79"/>
      <c r="I691" s="79"/>
    </row>
    <row r="692" ht="15.75" customHeight="1">
      <c r="F692" s="79"/>
      <c r="G692" s="79"/>
      <c r="H692" s="79"/>
      <c r="I692" s="79"/>
    </row>
    <row r="693" ht="15.75" customHeight="1">
      <c r="F693" s="79"/>
      <c r="G693" s="79"/>
      <c r="H693" s="79"/>
      <c r="I693" s="79"/>
    </row>
    <row r="694" ht="15.75" customHeight="1">
      <c r="F694" s="79"/>
      <c r="G694" s="79"/>
      <c r="H694" s="79"/>
      <c r="I694" s="79"/>
    </row>
    <row r="695" ht="15.75" customHeight="1">
      <c r="F695" s="79"/>
      <c r="G695" s="79"/>
      <c r="H695" s="79"/>
      <c r="I695" s="79"/>
    </row>
    <row r="696" ht="15.75" customHeight="1">
      <c r="F696" s="79"/>
      <c r="G696" s="79"/>
      <c r="H696" s="79"/>
      <c r="I696" s="79"/>
    </row>
    <row r="697" ht="15.75" customHeight="1">
      <c r="F697" s="79"/>
      <c r="G697" s="79"/>
      <c r="H697" s="79"/>
      <c r="I697" s="79"/>
    </row>
    <row r="698" ht="15.75" customHeight="1">
      <c r="F698" s="79"/>
      <c r="G698" s="79"/>
      <c r="H698" s="79"/>
      <c r="I698" s="79"/>
    </row>
    <row r="699" ht="15.75" customHeight="1">
      <c r="F699" s="79"/>
      <c r="G699" s="79"/>
      <c r="H699" s="79"/>
      <c r="I699" s="79"/>
    </row>
    <row r="700" ht="15.75" customHeight="1">
      <c r="F700" s="79"/>
      <c r="G700" s="79"/>
      <c r="H700" s="79"/>
      <c r="I700" s="79"/>
    </row>
    <row r="701" ht="15.75" customHeight="1">
      <c r="F701" s="79"/>
      <c r="G701" s="79"/>
      <c r="H701" s="79"/>
      <c r="I701" s="79"/>
    </row>
    <row r="702" ht="15.75" customHeight="1">
      <c r="F702" s="79"/>
      <c r="G702" s="79"/>
      <c r="H702" s="79"/>
      <c r="I702" s="79"/>
    </row>
    <row r="703" ht="15.75" customHeight="1">
      <c r="F703" s="79"/>
      <c r="G703" s="79"/>
      <c r="H703" s="79"/>
      <c r="I703" s="79"/>
    </row>
    <row r="704" ht="15.75" customHeight="1">
      <c r="F704" s="79"/>
      <c r="G704" s="79"/>
      <c r="H704" s="79"/>
      <c r="I704" s="79"/>
    </row>
    <row r="705" ht="15.75" customHeight="1">
      <c r="F705" s="79"/>
      <c r="G705" s="79"/>
      <c r="H705" s="79"/>
      <c r="I705" s="79"/>
    </row>
    <row r="706" ht="15.75" customHeight="1">
      <c r="F706" s="79"/>
      <c r="G706" s="79"/>
      <c r="H706" s="79"/>
      <c r="I706" s="79"/>
    </row>
    <row r="707" ht="15.75" customHeight="1">
      <c r="F707" s="79"/>
      <c r="G707" s="79"/>
      <c r="H707" s="79"/>
      <c r="I707" s="79"/>
    </row>
    <row r="708" ht="15.75" customHeight="1">
      <c r="F708" s="79"/>
      <c r="G708" s="79"/>
      <c r="H708" s="79"/>
      <c r="I708" s="79"/>
    </row>
    <row r="709" ht="15.75" customHeight="1">
      <c r="F709" s="79"/>
      <c r="G709" s="79"/>
      <c r="H709" s="79"/>
      <c r="I709" s="79"/>
    </row>
    <row r="710" ht="15.75" customHeight="1">
      <c r="F710" s="79"/>
      <c r="G710" s="79"/>
      <c r="H710" s="79"/>
      <c r="I710" s="79"/>
    </row>
    <row r="711" ht="15.75" customHeight="1">
      <c r="F711" s="79"/>
      <c r="G711" s="79"/>
      <c r="H711" s="79"/>
      <c r="I711" s="79"/>
    </row>
    <row r="712" ht="15.75" customHeight="1">
      <c r="F712" s="79"/>
      <c r="G712" s="79"/>
      <c r="H712" s="79"/>
      <c r="I712" s="79"/>
    </row>
    <row r="713" ht="15.75" customHeight="1">
      <c r="F713" s="79"/>
      <c r="G713" s="79"/>
      <c r="H713" s="79"/>
      <c r="I713" s="79"/>
    </row>
    <row r="714" ht="15.75" customHeight="1">
      <c r="F714" s="79"/>
      <c r="G714" s="79"/>
      <c r="H714" s="79"/>
      <c r="I714" s="79"/>
    </row>
    <row r="715" ht="15.75" customHeight="1">
      <c r="F715" s="79"/>
      <c r="G715" s="79"/>
      <c r="H715" s="79"/>
      <c r="I715" s="79"/>
    </row>
    <row r="716" ht="15.75" customHeight="1">
      <c r="F716" s="79"/>
      <c r="G716" s="79"/>
      <c r="H716" s="79"/>
      <c r="I716" s="79"/>
    </row>
    <row r="717" ht="15.75" customHeight="1">
      <c r="F717" s="79"/>
      <c r="G717" s="79"/>
      <c r="H717" s="79"/>
      <c r="I717" s="79"/>
    </row>
    <row r="718" ht="15.75" customHeight="1">
      <c r="F718" s="79"/>
      <c r="G718" s="79"/>
      <c r="H718" s="79"/>
      <c r="I718" s="79"/>
    </row>
    <row r="719" ht="15.75" customHeight="1">
      <c r="F719" s="79"/>
      <c r="G719" s="79"/>
      <c r="H719" s="79"/>
      <c r="I719" s="79"/>
    </row>
    <row r="720" ht="15.75" customHeight="1">
      <c r="F720" s="79"/>
      <c r="G720" s="79"/>
      <c r="H720" s="79"/>
      <c r="I720" s="79"/>
    </row>
    <row r="721" ht="15.75" customHeight="1">
      <c r="F721" s="79"/>
      <c r="G721" s="79"/>
      <c r="H721" s="79"/>
      <c r="I721" s="79"/>
    </row>
    <row r="722" ht="15.75" customHeight="1">
      <c r="F722" s="79"/>
      <c r="G722" s="79"/>
      <c r="H722" s="79"/>
      <c r="I722" s="79"/>
    </row>
    <row r="723" ht="15.75" customHeight="1">
      <c r="F723" s="79"/>
      <c r="G723" s="79"/>
      <c r="H723" s="79"/>
      <c r="I723" s="79"/>
    </row>
    <row r="724" ht="15.75" customHeight="1">
      <c r="F724" s="79"/>
      <c r="G724" s="79"/>
      <c r="H724" s="79"/>
      <c r="I724" s="79"/>
    </row>
    <row r="725" ht="15.75" customHeight="1">
      <c r="F725" s="79"/>
      <c r="G725" s="79"/>
      <c r="H725" s="79"/>
      <c r="I725" s="79"/>
    </row>
    <row r="726" ht="15.75" customHeight="1">
      <c r="F726" s="79"/>
      <c r="G726" s="79"/>
      <c r="H726" s="79"/>
      <c r="I726" s="79"/>
    </row>
    <row r="727" ht="15.75" customHeight="1">
      <c r="F727" s="79"/>
      <c r="G727" s="79"/>
      <c r="H727" s="79"/>
      <c r="I727" s="79"/>
    </row>
    <row r="728" ht="15.75" customHeight="1">
      <c r="F728" s="79"/>
      <c r="G728" s="79"/>
      <c r="H728" s="79"/>
      <c r="I728" s="79"/>
    </row>
    <row r="729" ht="15.75" customHeight="1">
      <c r="F729" s="79"/>
      <c r="G729" s="79"/>
      <c r="H729" s="79"/>
      <c r="I729" s="79"/>
    </row>
    <row r="730" ht="15.75" customHeight="1">
      <c r="F730" s="79"/>
      <c r="G730" s="79"/>
      <c r="H730" s="79"/>
      <c r="I730" s="79"/>
    </row>
    <row r="731" ht="15.75" customHeight="1">
      <c r="F731" s="79"/>
      <c r="G731" s="79"/>
      <c r="H731" s="79"/>
      <c r="I731" s="79"/>
    </row>
    <row r="732" ht="15.75" customHeight="1">
      <c r="F732" s="79"/>
      <c r="G732" s="79"/>
      <c r="H732" s="79"/>
      <c r="I732" s="79"/>
    </row>
    <row r="733" ht="15.75" customHeight="1">
      <c r="F733" s="79"/>
      <c r="G733" s="79"/>
      <c r="H733" s="79"/>
      <c r="I733" s="79"/>
    </row>
    <row r="734" ht="15.75" customHeight="1">
      <c r="F734" s="79"/>
      <c r="G734" s="79"/>
      <c r="H734" s="79"/>
      <c r="I734" s="79"/>
    </row>
    <row r="735" ht="15.75" customHeight="1">
      <c r="F735" s="79"/>
      <c r="G735" s="79"/>
      <c r="H735" s="79"/>
      <c r="I735" s="79"/>
    </row>
    <row r="736" ht="15.75" customHeight="1">
      <c r="F736" s="79"/>
      <c r="G736" s="79"/>
      <c r="H736" s="79"/>
      <c r="I736" s="79"/>
    </row>
    <row r="737" ht="15.75" customHeight="1">
      <c r="F737" s="79"/>
      <c r="G737" s="79"/>
      <c r="H737" s="79"/>
      <c r="I737" s="79"/>
    </row>
    <row r="738" ht="15.75" customHeight="1">
      <c r="F738" s="79"/>
      <c r="G738" s="79"/>
      <c r="H738" s="79"/>
      <c r="I738" s="79"/>
    </row>
    <row r="739" ht="15.75" customHeight="1">
      <c r="F739" s="79"/>
      <c r="G739" s="79"/>
      <c r="H739" s="79"/>
      <c r="I739" s="79"/>
    </row>
    <row r="740" ht="15.75" customHeight="1">
      <c r="F740" s="79"/>
      <c r="G740" s="79"/>
      <c r="H740" s="79"/>
      <c r="I740" s="79"/>
    </row>
    <row r="741" ht="15.75" customHeight="1">
      <c r="F741" s="79"/>
      <c r="G741" s="79"/>
      <c r="H741" s="79"/>
      <c r="I741" s="79"/>
    </row>
    <row r="742" ht="15.75" customHeight="1">
      <c r="F742" s="79"/>
      <c r="G742" s="79"/>
      <c r="H742" s="79"/>
      <c r="I742" s="79"/>
    </row>
    <row r="743" ht="15.75" customHeight="1">
      <c r="F743" s="79"/>
      <c r="G743" s="79"/>
      <c r="H743" s="79"/>
      <c r="I743" s="79"/>
    </row>
    <row r="744" ht="15.75" customHeight="1">
      <c r="F744" s="79"/>
      <c r="G744" s="79"/>
      <c r="H744" s="79"/>
      <c r="I744" s="79"/>
    </row>
    <row r="745" ht="15.75" customHeight="1">
      <c r="F745" s="79"/>
      <c r="G745" s="79"/>
      <c r="H745" s="79"/>
      <c r="I745" s="79"/>
    </row>
    <row r="746" ht="15.75" customHeight="1">
      <c r="F746" s="79"/>
      <c r="G746" s="79"/>
      <c r="H746" s="79"/>
      <c r="I746" s="79"/>
    </row>
    <row r="747" ht="15.75" customHeight="1">
      <c r="F747" s="79"/>
      <c r="G747" s="79"/>
      <c r="H747" s="79"/>
      <c r="I747" s="79"/>
    </row>
    <row r="748" ht="15.75" customHeight="1">
      <c r="F748" s="79"/>
      <c r="G748" s="79"/>
      <c r="H748" s="79"/>
      <c r="I748" s="79"/>
    </row>
    <row r="749" ht="15.75" customHeight="1">
      <c r="F749" s="79"/>
      <c r="G749" s="79"/>
      <c r="H749" s="79"/>
      <c r="I749" s="79"/>
    </row>
    <row r="750" ht="15.75" customHeight="1">
      <c r="F750" s="79"/>
      <c r="G750" s="79"/>
      <c r="H750" s="79"/>
      <c r="I750" s="79"/>
    </row>
    <row r="751" ht="15.75" customHeight="1">
      <c r="F751" s="79"/>
      <c r="G751" s="79"/>
      <c r="H751" s="79"/>
      <c r="I751" s="79"/>
    </row>
    <row r="752" ht="15.75" customHeight="1">
      <c r="F752" s="79"/>
      <c r="G752" s="79"/>
      <c r="H752" s="79"/>
      <c r="I752" s="79"/>
    </row>
    <row r="753" ht="15.75" customHeight="1">
      <c r="F753" s="79"/>
      <c r="G753" s="79"/>
      <c r="H753" s="79"/>
      <c r="I753" s="79"/>
    </row>
    <row r="754" ht="15.75" customHeight="1">
      <c r="F754" s="79"/>
      <c r="G754" s="79"/>
      <c r="H754" s="79"/>
      <c r="I754" s="79"/>
    </row>
    <row r="755" ht="15.75" customHeight="1">
      <c r="F755" s="79"/>
      <c r="G755" s="79"/>
      <c r="H755" s="79"/>
      <c r="I755" s="79"/>
    </row>
    <row r="756" ht="15.75" customHeight="1">
      <c r="F756" s="79"/>
      <c r="G756" s="79"/>
      <c r="H756" s="79"/>
      <c r="I756" s="79"/>
    </row>
    <row r="757" ht="15.75" customHeight="1">
      <c r="F757" s="79"/>
      <c r="G757" s="79"/>
      <c r="H757" s="79"/>
      <c r="I757" s="79"/>
    </row>
    <row r="758" ht="15.75" customHeight="1">
      <c r="F758" s="79"/>
      <c r="G758" s="79"/>
      <c r="H758" s="79"/>
      <c r="I758" s="79"/>
    </row>
    <row r="759" ht="15.75" customHeight="1">
      <c r="F759" s="79"/>
      <c r="G759" s="79"/>
      <c r="H759" s="79"/>
      <c r="I759" s="79"/>
    </row>
    <row r="760" ht="15.75" customHeight="1">
      <c r="F760" s="79"/>
      <c r="G760" s="79"/>
      <c r="H760" s="79"/>
      <c r="I760" s="79"/>
    </row>
    <row r="761" ht="15.75" customHeight="1">
      <c r="F761" s="79"/>
      <c r="G761" s="79"/>
      <c r="H761" s="79"/>
      <c r="I761" s="79"/>
    </row>
    <row r="762" ht="15.75" customHeight="1">
      <c r="F762" s="79"/>
      <c r="G762" s="79"/>
      <c r="H762" s="79"/>
      <c r="I762" s="79"/>
    </row>
    <row r="763" ht="15.75" customHeight="1">
      <c r="F763" s="79"/>
      <c r="G763" s="79"/>
      <c r="H763" s="79"/>
      <c r="I763" s="79"/>
    </row>
    <row r="764" ht="15.75" customHeight="1">
      <c r="F764" s="79"/>
      <c r="G764" s="79"/>
      <c r="H764" s="79"/>
      <c r="I764" s="79"/>
    </row>
    <row r="765" ht="15.75" customHeight="1">
      <c r="F765" s="79"/>
      <c r="G765" s="79"/>
      <c r="H765" s="79"/>
      <c r="I765" s="79"/>
    </row>
    <row r="766" ht="15.75" customHeight="1">
      <c r="F766" s="79"/>
      <c r="G766" s="79"/>
      <c r="H766" s="79"/>
      <c r="I766" s="79"/>
    </row>
    <row r="767" ht="15.75" customHeight="1">
      <c r="F767" s="79"/>
      <c r="G767" s="79"/>
      <c r="H767" s="79"/>
      <c r="I767" s="79"/>
    </row>
    <row r="768" ht="15.75" customHeight="1">
      <c r="F768" s="79"/>
      <c r="G768" s="79"/>
      <c r="H768" s="79"/>
      <c r="I768" s="79"/>
    </row>
    <row r="769" ht="15.75" customHeight="1">
      <c r="F769" s="79"/>
      <c r="G769" s="79"/>
      <c r="H769" s="79"/>
      <c r="I769" s="79"/>
    </row>
    <row r="770" ht="15.75" customHeight="1">
      <c r="F770" s="79"/>
      <c r="G770" s="79"/>
      <c r="H770" s="79"/>
      <c r="I770" s="79"/>
    </row>
    <row r="771" ht="15.75" customHeight="1">
      <c r="F771" s="79"/>
      <c r="G771" s="79"/>
      <c r="H771" s="79"/>
      <c r="I771" s="79"/>
    </row>
    <row r="772" ht="15.75" customHeight="1">
      <c r="F772" s="79"/>
      <c r="G772" s="79"/>
      <c r="H772" s="79"/>
      <c r="I772" s="79"/>
    </row>
    <row r="773" ht="15.75" customHeight="1">
      <c r="F773" s="79"/>
      <c r="G773" s="79"/>
      <c r="H773" s="79"/>
      <c r="I773" s="79"/>
    </row>
    <row r="774" ht="15.75" customHeight="1">
      <c r="F774" s="79"/>
      <c r="G774" s="79"/>
      <c r="H774" s="79"/>
      <c r="I774" s="79"/>
    </row>
    <row r="775" ht="15.75" customHeight="1">
      <c r="F775" s="79"/>
      <c r="G775" s="79"/>
      <c r="H775" s="79"/>
      <c r="I775" s="79"/>
    </row>
    <row r="776" ht="15.75" customHeight="1">
      <c r="F776" s="79"/>
      <c r="G776" s="79"/>
      <c r="H776" s="79"/>
      <c r="I776" s="79"/>
    </row>
    <row r="777" ht="15.75" customHeight="1">
      <c r="F777" s="79"/>
      <c r="G777" s="79"/>
      <c r="H777" s="79"/>
      <c r="I777" s="79"/>
    </row>
    <row r="778" ht="15.75" customHeight="1">
      <c r="F778" s="79"/>
      <c r="G778" s="79"/>
      <c r="H778" s="79"/>
      <c r="I778" s="79"/>
    </row>
    <row r="779" ht="15.75" customHeight="1">
      <c r="F779" s="79"/>
      <c r="G779" s="79"/>
      <c r="H779" s="79"/>
      <c r="I779" s="79"/>
    </row>
    <row r="780" ht="15.75" customHeight="1">
      <c r="F780" s="79"/>
      <c r="G780" s="79"/>
      <c r="H780" s="79"/>
      <c r="I780" s="79"/>
    </row>
    <row r="781" ht="15.75" customHeight="1">
      <c r="F781" s="79"/>
      <c r="G781" s="79"/>
      <c r="H781" s="79"/>
      <c r="I781" s="79"/>
    </row>
    <row r="782" ht="15.75" customHeight="1">
      <c r="F782" s="79"/>
      <c r="G782" s="79"/>
      <c r="H782" s="79"/>
      <c r="I782" s="79"/>
    </row>
    <row r="783" ht="15.75" customHeight="1">
      <c r="F783" s="79"/>
      <c r="G783" s="79"/>
      <c r="H783" s="79"/>
      <c r="I783" s="79"/>
    </row>
    <row r="784" ht="15.75" customHeight="1">
      <c r="F784" s="79"/>
      <c r="G784" s="79"/>
      <c r="H784" s="79"/>
      <c r="I784" s="79"/>
    </row>
    <row r="785" ht="15.75" customHeight="1">
      <c r="F785" s="79"/>
      <c r="G785" s="79"/>
      <c r="H785" s="79"/>
      <c r="I785" s="79"/>
    </row>
    <row r="786" ht="15.75" customHeight="1">
      <c r="F786" s="79"/>
      <c r="G786" s="79"/>
      <c r="H786" s="79"/>
      <c r="I786" s="79"/>
    </row>
    <row r="787" ht="15.75" customHeight="1">
      <c r="F787" s="79"/>
      <c r="G787" s="79"/>
      <c r="H787" s="79"/>
      <c r="I787" s="79"/>
    </row>
    <row r="788" ht="15.75" customHeight="1">
      <c r="F788" s="79"/>
      <c r="G788" s="79"/>
      <c r="H788" s="79"/>
      <c r="I788" s="79"/>
    </row>
    <row r="789" ht="15.75" customHeight="1">
      <c r="F789" s="79"/>
      <c r="G789" s="79"/>
      <c r="H789" s="79"/>
      <c r="I789" s="79"/>
    </row>
    <row r="790" ht="15.75" customHeight="1">
      <c r="F790" s="79"/>
      <c r="G790" s="79"/>
      <c r="H790" s="79"/>
      <c r="I790" s="79"/>
    </row>
    <row r="791" ht="15.75" customHeight="1">
      <c r="F791" s="79"/>
      <c r="G791" s="79"/>
      <c r="H791" s="79"/>
      <c r="I791" s="79"/>
    </row>
    <row r="792" ht="15.75" customHeight="1">
      <c r="F792" s="79"/>
      <c r="G792" s="79"/>
      <c r="H792" s="79"/>
      <c r="I792" s="79"/>
    </row>
    <row r="793" ht="15.75" customHeight="1">
      <c r="F793" s="79"/>
      <c r="G793" s="79"/>
      <c r="H793" s="79"/>
      <c r="I793" s="79"/>
    </row>
    <row r="794" ht="15.75" customHeight="1">
      <c r="F794" s="79"/>
      <c r="G794" s="79"/>
      <c r="H794" s="79"/>
      <c r="I794" s="79"/>
    </row>
    <row r="795" ht="15.75" customHeight="1">
      <c r="F795" s="79"/>
      <c r="G795" s="79"/>
      <c r="H795" s="79"/>
      <c r="I795" s="79"/>
    </row>
    <row r="796" ht="15.75" customHeight="1">
      <c r="F796" s="79"/>
      <c r="G796" s="79"/>
      <c r="H796" s="79"/>
      <c r="I796" s="79"/>
    </row>
    <row r="797" ht="15.75" customHeight="1">
      <c r="F797" s="79"/>
      <c r="G797" s="79"/>
      <c r="H797" s="79"/>
      <c r="I797" s="79"/>
    </row>
    <row r="798" ht="15.75" customHeight="1">
      <c r="F798" s="79"/>
      <c r="G798" s="79"/>
      <c r="H798" s="79"/>
      <c r="I798" s="79"/>
    </row>
    <row r="799" ht="15.75" customHeight="1">
      <c r="F799" s="79"/>
      <c r="G799" s="79"/>
      <c r="H799" s="79"/>
      <c r="I799" s="79"/>
    </row>
    <row r="800" ht="15.75" customHeight="1">
      <c r="F800" s="79"/>
      <c r="G800" s="79"/>
      <c r="H800" s="79"/>
      <c r="I800" s="79"/>
    </row>
    <row r="801" ht="15.75" customHeight="1">
      <c r="F801" s="79"/>
      <c r="G801" s="79"/>
      <c r="H801" s="79"/>
      <c r="I801" s="79"/>
    </row>
    <row r="802" ht="15.75" customHeight="1">
      <c r="F802" s="79"/>
      <c r="G802" s="79"/>
      <c r="H802" s="79"/>
      <c r="I802" s="79"/>
    </row>
    <row r="803" ht="15.75" customHeight="1">
      <c r="F803" s="79"/>
      <c r="G803" s="79"/>
      <c r="H803" s="79"/>
      <c r="I803" s="79"/>
    </row>
    <row r="804" ht="15.75" customHeight="1">
      <c r="F804" s="79"/>
      <c r="G804" s="79"/>
      <c r="H804" s="79"/>
      <c r="I804" s="79"/>
    </row>
    <row r="805" ht="15.75" customHeight="1">
      <c r="F805" s="79"/>
      <c r="G805" s="79"/>
      <c r="H805" s="79"/>
      <c r="I805" s="79"/>
    </row>
    <row r="806" ht="15.75" customHeight="1">
      <c r="F806" s="79"/>
      <c r="G806" s="79"/>
      <c r="H806" s="79"/>
      <c r="I806" s="79"/>
    </row>
    <row r="807" ht="15.75" customHeight="1">
      <c r="F807" s="79"/>
      <c r="G807" s="79"/>
      <c r="H807" s="79"/>
      <c r="I807" s="79"/>
    </row>
    <row r="808" ht="15.75" customHeight="1">
      <c r="F808" s="79"/>
      <c r="G808" s="79"/>
      <c r="H808" s="79"/>
      <c r="I808" s="79"/>
    </row>
    <row r="809" ht="15.75" customHeight="1">
      <c r="F809" s="79"/>
      <c r="G809" s="79"/>
      <c r="H809" s="79"/>
      <c r="I809" s="79"/>
    </row>
    <row r="810" ht="15.75" customHeight="1">
      <c r="F810" s="79"/>
      <c r="G810" s="79"/>
      <c r="H810" s="79"/>
      <c r="I810" s="79"/>
    </row>
    <row r="811" ht="15.75" customHeight="1">
      <c r="F811" s="79"/>
      <c r="G811" s="79"/>
      <c r="H811" s="79"/>
      <c r="I811" s="79"/>
    </row>
    <row r="812" ht="15.75" customHeight="1">
      <c r="F812" s="79"/>
      <c r="G812" s="79"/>
      <c r="H812" s="79"/>
      <c r="I812" s="79"/>
    </row>
    <row r="813" ht="15.75" customHeight="1">
      <c r="F813" s="79"/>
      <c r="G813" s="79"/>
      <c r="H813" s="79"/>
      <c r="I813" s="79"/>
    </row>
    <row r="814" ht="15.75" customHeight="1">
      <c r="F814" s="79"/>
      <c r="G814" s="79"/>
      <c r="H814" s="79"/>
      <c r="I814" s="79"/>
    </row>
    <row r="815" ht="15.75" customHeight="1">
      <c r="F815" s="79"/>
      <c r="G815" s="79"/>
      <c r="H815" s="79"/>
      <c r="I815" s="79"/>
    </row>
    <row r="816" ht="15.75" customHeight="1">
      <c r="F816" s="79"/>
      <c r="G816" s="79"/>
      <c r="H816" s="79"/>
      <c r="I816" s="79"/>
    </row>
    <row r="817" ht="15.75" customHeight="1">
      <c r="F817" s="79"/>
      <c r="G817" s="79"/>
      <c r="H817" s="79"/>
      <c r="I817" s="79"/>
    </row>
    <row r="818" ht="15.75" customHeight="1">
      <c r="F818" s="79"/>
      <c r="G818" s="79"/>
      <c r="H818" s="79"/>
      <c r="I818" s="79"/>
    </row>
    <row r="819" ht="15.75" customHeight="1">
      <c r="F819" s="79"/>
      <c r="G819" s="79"/>
      <c r="H819" s="79"/>
      <c r="I819" s="79"/>
    </row>
    <row r="820" ht="15.75" customHeight="1">
      <c r="F820" s="79"/>
      <c r="G820" s="79"/>
      <c r="H820" s="79"/>
      <c r="I820" s="79"/>
    </row>
    <row r="821" ht="15.75" customHeight="1">
      <c r="F821" s="79"/>
      <c r="G821" s="79"/>
      <c r="H821" s="79"/>
      <c r="I821" s="79"/>
    </row>
    <row r="822" ht="15.75" customHeight="1">
      <c r="F822" s="79"/>
      <c r="G822" s="79"/>
      <c r="H822" s="79"/>
      <c r="I822" s="79"/>
    </row>
    <row r="823" ht="15.75" customHeight="1">
      <c r="F823" s="79"/>
      <c r="G823" s="79"/>
      <c r="H823" s="79"/>
      <c r="I823" s="79"/>
    </row>
    <row r="824" ht="15.75" customHeight="1">
      <c r="F824" s="79"/>
      <c r="G824" s="79"/>
      <c r="H824" s="79"/>
      <c r="I824" s="79"/>
    </row>
    <row r="825" ht="15.75" customHeight="1">
      <c r="F825" s="79"/>
      <c r="G825" s="79"/>
      <c r="H825" s="79"/>
      <c r="I825" s="79"/>
    </row>
    <row r="826" ht="15.75" customHeight="1">
      <c r="F826" s="79"/>
      <c r="G826" s="79"/>
      <c r="H826" s="79"/>
      <c r="I826" s="79"/>
    </row>
    <row r="827" ht="15.75" customHeight="1">
      <c r="F827" s="79"/>
      <c r="G827" s="79"/>
      <c r="H827" s="79"/>
      <c r="I827" s="79"/>
    </row>
    <row r="828" ht="15.75" customHeight="1">
      <c r="F828" s="79"/>
      <c r="G828" s="79"/>
      <c r="H828" s="79"/>
      <c r="I828" s="79"/>
    </row>
    <row r="829" ht="15.75" customHeight="1">
      <c r="F829" s="79"/>
      <c r="G829" s="79"/>
      <c r="H829" s="79"/>
      <c r="I829" s="79"/>
    </row>
    <row r="830" ht="15.75" customHeight="1">
      <c r="F830" s="79"/>
      <c r="G830" s="79"/>
      <c r="H830" s="79"/>
      <c r="I830" s="79"/>
    </row>
    <row r="831" ht="15.75" customHeight="1">
      <c r="F831" s="79"/>
      <c r="G831" s="79"/>
      <c r="H831" s="79"/>
      <c r="I831" s="79"/>
    </row>
    <row r="832" ht="15.75" customHeight="1">
      <c r="F832" s="79"/>
      <c r="G832" s="79"/>
      <c r="H832" s="79"/>
      <c r="I832" s="79"/>
    </row>
    <row r="833" ht="15.75" customHeight="1">
      <c r="F833" s="79"/>
      <c r="G833" s="79"/>
      <c r="H833" s="79"/>
      <c r="I833" s="79"/>
    </row>
    <row r="834" ht="15.75" customHeight="1">
      <c r="F834" s="79"/>
      <c r="G834" s="79"/>
      <c r="H834" s="79"/>
      <c r="I834" s="79"/>
    </row>
    <row r="835" ht="15.75" customHeight="1">
      <c r="F835" s="79"/>
      <c r="G835" s="79"/>
      <c r="H835" s="79"/>
      <c r="I835" s="79"/>
    </row>
    <row r="836" ht="15.75" customHeight="1">
      <c r="F836" s="79"/>
      <c r="G836" s="79"/>
      <c r="H836" s="79"/>
      <c r="I836" s="79"/>
    </row>
    <row r="837" ht="15.75" customHeight="1">
      <c r="F837" s="79"/>
      <c r="G837" s="79"/>
      <c r="H837" s="79"/>
      <c r="I837" s="79"/>
    </row>
    <row r="838" ht="15.75" customHeight="1">
      <c r="F838" s="79"/>
      <c r="G838" s="79"/>
      <c r="H838" s="79"/>
      <c r="I838" s="79"/>
    </row>
    <row r="839" ht="15.75" customHeight="1">
      <c r="F839" s="79"/>
      <c r="G839" s="79"/>
      <c r="H839" s="79"/>
      <c r="I839" s="79"/>
    </row>
    <row r="840" ht="15.75" customHeight="1">
      <c r="F840" s="79"/>
      <c r="G840" s="79"/>
      <c r="H840" s="79"/>
      <c r="I840" s="79"/>
    </row>
    <row r="841" ht="15.75" customHeight="1">
      <c r="F841" s="79"/>
      <c r="G841" s="79"/>
      <c r="H841" s="79"/>
      <c r="I841" s="79"/>
    </row>
    <row r="842" ht="15.75" customHeight="1">
      <c r="F842" s="79"/>
      <c r="G842" s="79"/>
      <c r="H842" s="79"/>
      <c r="I842" s="79"/>
    </row>
    <row r="843" ht="15.75" customHeight="1">
      <c r="F843" s="79"/>
      <c r="G843" s="79"/>
      <c r="H843" s="79"/>
      <c r="I843" s="79"/>
    </row>
    <row r="844" ht="15.75" customHeight="1">
      <c r="F844" s="79"/>
      <c r="G844" s="79"/>
      <c r="H844" s="79"/>
      <c r="I844" s="79"/>
    </row>
    <row r="845" ht="15.75" customHeight="1">
      <c r="F845" s="79"/>
      <c r="G845" s="79"/>
      <c r="H845" s="79"/>
      <c r="I845" s="79"/>
    </row>
    <row r="846" ht="15.75" customHeight="1">
      <c r="F846" s="79"/>
      <c r="G846" s="79"/>
      <c r="H846" s="79"/>
      <c r="I846" s="79"/>
    </row>
    <row r="847" ht="15.75" customHeight="1">
      <c r="F847" s="79"/>
      <c r="G847" s="79"/>
      <c r="H847" s="79"/>
      <c r="I847" s="79"/>
    </row>
    <row r="848" ht="15.75" customHeight="1">
      <c r="F848" s="79"/>
      <c r="G848" s="79"/>
      <c r="H848" s="79"/>
      <c r="I848" s="79"/>
    </row>
    <row r="849" ht="15.75" customHeight="1">
      <c r="F849" s="79"/>
      <c r="G849" s="79"/>
      <c r="H849" s="79"/>
      <c r="I849" s="79"/>
    </row>
    <row r="850" ht="15.75" customHeight="1">
      <c r="F850" s="79"/>
      <c r="G850" s="79"/>
      <c r="H850" s="79"/>
      <c r="I850" s="79"/>
    </row>
    <row r="851" ht="15.75" customHeight="1">
      <c r="F851" s="79"/>
      <c r="G851" s="79"/>
      <c r="H851" s="79"/>
      <c r="I851" s="79"/>
    </row>
    <row r="852" ht="15.75" customHeight="1">
      <c r="F852" s="79"/>
      <c r="G852" s="79"/>
      <c r="H852" s="79"/>
      <c r="I852" s="79"/>
    </row>
    <row r="853" ht="15.75" customHeight="1">
      <c r="F853" s="79"/>
      <c r="G853" s="79"/>
      <c r="H853" s="79"/>
      <c r="I853" s="79"/>
    </row>
    <row r="854" ht="15.75" customHeight="1">
      <c r="F854" s="79"/>
      <c r="G854" s="79"/>
      <c r="H854" s="79"/>
      <c r="I854" s="79"/>
    </row>
    <row r="855" ht="15.75" customHeight="1">
      <c r="F855" s="79"/>
      <c r="G855" s="79"/>
      <c r="H855" s="79"/>
      <c r="I855" s="79"/>
    </row>
    <row r="856" ht="15.75" customHeight="1">
      <c r="F856" s="79"/>
      <c r="G856" s="79"/>
      <c r="H856" s="79"/>
      <c r="I856" s="79"/>
    </row>
    <row r="857" ht="15.75" customHeight="1">
      <c r="F857" s="79"/>
      <c r="G857" s="79"/>
      <c r="H857" s="79"/>
      <c r="I857" s="79"/>
    </row>
    <row r="858" ht="15.75" customHeight="1">
      <c r="F858" s="79"/>
      <c r="G858" s="79"/>
      <c r="H858" s="79"/>
      <c r="I858" s="79"/>
    </row>
    <row r="859" ht="15.75" customHeight="1">
      <c r="F859" s="79"/>
      <c r="G859" s="79"/>
      <c r="H859" s="79"/>
      <c r="I859" s="79"/>
    </row>
    <row r="860" ht="15.75" customHeight="1">
      <c r="F860" s="79"/>
      <c r="G860" s="79"/>
      <c r="H860" s="79"/>
      <c r="I860" s="79"/>
    </row>
    <row r="861" ht="15.75" customHeight="1">
      <c r="F861" s="79"/>
      <c r="G861" s="79"/>
      <c r="H861" s="79"/>
      <c r="I861" s="79"/>
    </row>
    <row r="862" ht="15.75" customHeight="1">
      <c r="F862" s="79"/>
      <c r="G862" s="79"/>
      <c r="H862" s="79"/>
      <c r="I862" s="79"/>
    </row>
    <row r="863" ht="15.75" customHeight="1">
      <c r="F863" s="79"/>
      <c r="G863" s="79"/>
      <c r="H863" s="79"/>
      <c r="I863" s="79"/>
    </row>
    <row r="864" ht="15.75" customHeight="1">
      <c r="F864" s="79"/>
      <c r="G864" s="79"/>
      <c r="H864" s="79"/>
      <c r="I864" s="79"/>
    </row>
    <row r="865" ht="15.75" customHeight="1">
      <c r="F865" s="79"/>
      <c r="G865" s="79"/>
      <c r="H865" s="79"/>
      <c r="I865" s="79"/>
    </row>
    <row r="866" ht="15.75" customHeight="1">
      <c r="F866" s="79"/>
      <c r="G866" s="79"/>
      <c r="H866" s="79"/>
      <c r="I866" s="79"/>
    </row>
    <row r="867" ht="15.75" customHeight="1">
      <c r="F867" s="79"/>
      <c r="G867" s="79"/>
      <c r="H867" s="79"/>
      <c r="I867" s="79"/>
    </row>
    <row r="868" ht="15.75" customHeight="1">
      <c r="F868" s="79"/>
      <c r="G868" s="79"/>
      <c r="H868" s="79"/>
      <c r="I868" s="79"/>
    </row>
    <row r="869" ht="15.75" customHeight="1">
      <c r="F869" s="79"/>
      <c r="G869" s="79"/>
      <c r="H869" s="79"/>
      <c r="I869" s="79"/>
    </row>
    <row r="870" ht="15.75" customHeight="1">
      <c r="F870" s="79"/>
      <c r="G870" s="79"/>
      <c r="H870" s="79"/>
      <c r="I870" s="79"/>
    </row>
    <row r="871" ht="15.75" customHeight="1">
      <c r="F871" s="79"/>
      <c r="G871" s="79"/>
      <c r="H871" s="79"/>
      <c r="I871" s="79"/>
    </row>
    <row r="872" ht="15.75" customHeight="1">
      <c r="F872" s="79"/>
      <c r="G872" s="79"/>
      <c r="H872" s="79"/>
      <c r="I872" s="79"/>
    </row>
    <row r="873" ht="15.75" customHeight="1">
      <c r="F873" s="79"/>
      <c r="G873" s="79"/>
      <c r="H873" s="79"/>
      <c r="I873" s="79"/>
    </row>
    <row r="874" ht="15.75" customHeight="1">
      <c r="F874" s="79"/>
      <c r="G874" s="79"/>
      <c r="H874" s="79"/>
      <c r="I874" s="79"/>
    </row>
    <row r="875" ht="15.75" customHeight="1">
      <c r="F875" s="79"/>
      <c r="G875" s="79"/>
      <c r="H875" s="79"/>
      <c r="I875" s="79"/>
    </row>
    <row r="876" ht="15.75" customHeight="1">
      <c r="F876" s="79"/>
      <c r="G876" s="79"/>
      <c r="H876" s="79"/>
      <c r="I876" s="79"/>
    </row>
    <row r="877" ht="15.75" customHeight="1">
      <c r="F877" s="79"/>
      <c r="G877" s="79"/>
      <c r="H877" s="79"/>
      <c r="I877" s="79"/>
    </row>
    <row r="878" ht="15.75" customHeight="1">
      <c r="F878" s="79"/>
      <c r="G878" s="79"/>
      <c r="H878" s="79"/>
      <c r="I878" s="79"/>
    </row>
    <row r="879" ht="15.75" customHeight="1">
      <c r="F879" s="79"/>
      <c r="G879" s="79"/>
      <c r="H879" s="79"/>
      <c r="I879" s="79"/>
    </row>
    <row r="880" ht="15.75" customHeight="1">
      <c r="F880" s="79"/>
      <c r="G880" s="79"/>
      <c r="H880" s="79"/>
      <c r="I880" s="79"/>
    </row>
    <row r="881" ht="15.75" customHeight="1">
      <c r="F881" s="79"/>
      <c r="G881" s="79"/>
      <c r="H881" s="79"/>
      <c r="I881" s="79"/>
    </row>
    <row r="882" ht="15.75" customHeight="1">
      <c r="F882" s="79"/>
      <c r="G882" s="79"/>
      <c r="H882" s="79"/>
      <c r="I882" s="79"/>
    </row>
    <row r="883" ht="15.75" customHeight="1">
      <c r="F883" s="79"/>
      <c r="G883" s="79"/>
      <c r="H883" s="79"/>
      <c r="I883" s="79"/>
    </row>
    <row r="884" ht="15.75" customHeight="1">
      <c r="F884" s="79"/>
      <c r="G884" s="79"/>
      <c r="H884" s="79"/>
      <c r="I884" s="79"/>
    </row>
    <row r="885" ht="15.75" customHeight="1">
      <c r="F885" s="79"/>
      <c r="G885" s="79"/>
      <c r="H885" s="79"/>
      <c r="I885" s="79"/>
    </row>
    <row r="886" ht="15.75" customHeight="1">
      <c r="F886" s="79"/>
      <c r="G886" s="79"/>
      <c r="H886" s="79"/>
      <c r="I886" s="79"/>
    </row>
    <row r="887" ht="15.75" customHeight="1">
      <c r="F887" s="79"/>
      <c r="G887" s="79"/>
      <c r="H887" s="79"/>
      <c r="I887" s="79"/>
    </row>
    <row r="888" ht="15.75" customHeight="1">
      <c r="F888" s="79"/>
      <c r="G888" s="79"/>
      <c r="H888" s="79"/>
      <c r="I888" s="79"/>
    </row>
    <row r="889" ht="15.75" customHeight="1">
      <c r="F889" s="79"/>
      <c r="G889" s="79"/>
      <c r="H889" s="79"/>
      <c r="I889" s="79"/>
    </row>
    <row r="890" ht="15.75" customHeight="1">
      <c r="F890" s="79"/>
      <c r="G890" s="79"/>
      <c r="H890" s="79"/>
      <c r="I890" s="79"/>
    </row>
    <row r="891" ht="15.75" customHeight="1">
      <c r="F891" s="79"/>
      <c r="G891" s="79"/>
      <c r="H891" s="79"/>
      <c r="I891" s="79"/>
    </row>
    <row r="892" ht="15.75" customHeight="1">
      <c r="F892" s="79"/>
      <c r="G892" s="79"/>
      <c r="H892" s="79"/>
      <c r="I892" s="79"/>
    </row>
    <row r="893" ht="15.75" customHeight="1">
      <c r="F893" s="79"/>
      <c r="G893" s="79"/>
      <c r="H893" s="79"/>
      <c r="I893" s="79"/>
    </row>
    <row r="894" ht="15.75" customHeight="1">
      <c r="F894" s="79"/>
      <c r="G894" s="79"/>
      <c r="H894" s="79"/>
      <c r="I894" s="79"/>
    </row>
    <row r="895" ht="15.75" customHeight="1">
      <c r="F895" s="79"/>
      <c r="G895" s="79"/>
      <c r="H895" s="79"/>
      <c r="I895" s="79"/>
    </row>
    <row r="896" ht="15.75" customHeight="1">
      <c r="F896" s="79"/>
      <c r="G896" s="79"/>
      <c r="H896" s="79"/>
      <c r="I896" s="79"/>
    </row>
    <row r="897" ht="15.75" customHeight="1">
      <c r="F897" s="79"/>
      <c r="G897" s="79"/>
      <c r="H897" s="79"/>
      <c r="I897" s="79"/>
    </row>
    <row r="898" ht="15.75" customHeight="1">
      <c r="F898" s="79"/>
      <c r="G898" s="79"/>
      <c r="H898" s="79"/>
      <c r="I898" s="79"/>
    </row>
    <row r="899" ht="15.75" customHeight="1">
      <c r="F899" s="79"/>
      <c r="G899" s="79"/>
      <c r="H899" s="79"/>
      <c r="I899" s="79"/>
    </row>
    <row r="900" ht="15.75" customHeight="1">
      <c r="F900" s="79"/>
      <c r="G900" s="79"/>
      <c r="H900" s="79"/>
      <c r="I900" s="79"/>
    </row>
    <row r="901" ht="15.75" customHeight="1">
      <c r="F901" s="79"/>
      <c r="G901" s="79"/>
      <c r="H901" s="79"/>
      <c r="I901" s="79"/>
    </row>
    <row r="902" ht="15.75" customHeight="1">
      <c r="F902" s="79"/>
      <c r="G902" s="79"/>
      <c r="H902" s="79"/>
      <c r="I902" s="79"/>
    </row>
    <row r="903" ht="15.75" customHeight="1">
      <c r="F903" s="79"/>
      <c r="G903" s="79"/>
      <c r="H903" s="79"/>
      <c r="I903" s="79"/>
    </row>
    <row r="904" ht="15.75" customHeight="1">
      <c r="F904" s="79"/>
      <c r="G904" s="79"/>
      <c r="H904" s="79"/>
      <c r="I904" s="79"/>
    </row>
    <row r="905" ht="15.75" customHeight="1">
      <c r="F905" s="79"/>
      <c r="G905" s="79"/>
      <c r="H905" s="79"/>
      <c r="I905" s="79"/>
    </row>
    <row r="906" ht="15.75" customHeight="1">
      <c r="F906" s="79"/>
      <c r="G906" s="79"/>
      <c r="H906" s="79"/>
      <c r="I906" s="79"/>
    </row>
    <row r="907" ht="15.75" customHeight="1">
      <c r="F907" s="79"/>
      <c r="G907" s="79"/>
      <c r="H907" s="79"/>
      <c r="I907" s="79"/>
    </row>
    <row r="908" ht="15.75" customHeight="1">
      <c r="F908" s="79"/>
      <c r="G908" s="79"/>
      <c r="H908" s="79"/>
      <c r="I908" s="79"/>
    </row>
    <row r="909" ht="15.75" customHeight="1">
      <c r="F909" s="79"/>
      <c r="G909" s="79"/>
      <c r="H909" s="79"/>
      <c r="I909" s="79"/>
    </row>
    <row r="910" ht="15.75" customHeight="1">
      <c r="F910" s="79"/>
      <c r="G910" s="79"/>
      <c r="H910" s="79"/>
      <c r="I910" s="79"/>
    </row>
    <row r="911" ht="15.75" customHeight="1">
      <c r="F911" s="79"/>
      <c r="G911" s="79"/>
      <c r="H911" s="79"/>
      <c r="I911" s="79"/>
    </row>
    <row r="912" ht="15.75" customHeight="1">
      <c r="F912" s="79"/>
      <c r="G912" s="79"/>
      <c r="H912" s="79"/>
      <c r="I912" s="79"/>
    </row>
    <row r="913" ht="15.75" customHeight="1">
      <c r="F913" s="79"/>
      <c r="G913" s="79"/>
      <c r="H913" s="79"/>
      <c r="I913" s="79"/>
    </row>
    <row r="914" ht="15.75" customHeight="1">
      <c r="F914" s="79"/>
      <c r="G914" s="79"/>
      <c r="H914" s="79"/>
      <c r="I914" s="79"/>
    </row>
    <row r="915" ht="15.75" customHeight="1">
      <c r="F915" s="79"/>
      <c r="G915" s="79"/>
      <c r="H915" s="79"/>
      <c r="I915" s="79"/>
    </row>
    <row r="916" ht="15.75" customHeight="1">
      <c r="F916" s="79"/>
      <c r="G916" s="79"/>
      <c r="H916" s="79"/>
      <c r="I916" s="79"/>
    </row>
    <row r="917" ht="15.75" customHeight="1">
      <c r="F917" s="79"/>
      <c r="G917" s="79"/>
      <c r="H917" s="79"/>
      <c r="I917" s="79"/>
    </row>
    <row r="918" ht="15.75" customHeight="1">
      <c r="F918" s="79"/>
      <c r="G918" s="79"/>
      <c r="H918" s="79"/>
      <c r="I918" s="79"/>
    </row>
    <row r="919" ht="15.75" customHeight="1">
      <c r="F919" s="79"/>
      <c r="G919" s="79"/>
      <c r="H919" s="79"/>
      <c r="I919" s="79"/>
    </row>
    <row r="920" ht="15.75" customHeight="1">
      <c r="F920" s="79"/>
      <c r="G920" s="79"/>
      <c r="H920" s="79"/>
      <c r="I920" s="79"/>
    </row>
    <row r="921" ht="15.75" customHeight="1">
      <c r="F921" s="79"/>
      <c r="G921" s="79"/>
      <c r="H921" s="79"/>
      <c r="I921" s="79"/>
    </row>
    <row r="922" ht="15.75" customHeight="1">
      <c r="F922" s="79"/>
      <c r="G922" s="79"/>
      <c r="H922" s="79"/>
      <c r="I922" s="79"/>
    </row>
    <row r="923" ht="15.75" customHeight="1">
      <c r="F923" s="79"/>
      <c r="G923" s="79"/>
      <c r="H923" s="79"/>
      <c r="I923" s="79"/>
    </row>
    <row r="924" ht="15.75" customHeight="1">
      <c r="F924" s="79"/>
      <c r="G924" s="79"/>
      <c r="H924" s="79"/>
      <c r="I924" s="79"/>
    </row>
    <row r="925" ht="15.75" customHeight="1">
      <c r="F925" s="79"/>
      <c r="G925" s="79"/>
      <c r="H925" s="79"/>
      <c r="I925" s="79"/>
    </row>
    <row r="926" ht="15.75" customHeight="1">
      <c r="F926" s="79"/>
      <c r="G926" s="79"/>
      <c r="H926" s="79"/>
      <c r="I926" s="79"/>
    </row>
    <row r="927" ht="15.75" customHeight="1">
      <c r="F927" s="79"/>
      <c r="G927" s="79"/>
      <c r="H927" s="79"/>
      <c r="I927" s="79"/>
    </row>
    <row r="928" ht="15.75" customHeight="1">
      <c r="F928" s="79"/>
      <c r="G928" s="79"/>
      <c r="H928" s="79"/>
      <c r="I928" s="79"/>
    </row>
    <row r="929" ht="15.75" customHeight="1">
      <c r="F929" s="79"/>
      <c r="G929" s="79"/>
      <c r="H929" s="79"/>
      <c r="I929" s="79"/>
    </row>
    <row r="930" ht="15.75" customHeight="1">
      <c r="F930" s="79"/>
      <c r="G930" s="79"/>
      <c r="H930" s="79"/>
      <c r="I930" s="79"/>
    </row>
    <row r="931" ht="15.75" customHeight="1">
      <c r="F931" s="79"/>
      <c r="G931" s="79"/>
      <c r="H931" s="79"/>
      <c r="I931" s="79"/>
    </row>
    <row r="932" ht="15.75" customHeight="1">
      <c r="F932" s="79"/>
      <c r="G932" s="79"/>
      <c r="H932" s="79"/>
      <c r="I932" s="79"/>
    </row>
    <row r="933" ht="15.75" customHeight="1">
      <c r="F933" s="79"/>
      <c r="G933" s="79"/>
      <c r="H933" s="79"/>
      <c r="I933" s="79"/>
    </row>
    <row r="934" ht="15.75" customHeight="1">
      <c r="F934" s="79"/>
      <c r="G934" s="79"/>
      <c r="H934" s="79"/>
      <c r="I934" s="79"/>
    </row>
    <row r="935" ht="15.75" customHeight="1">
      <c r="F935" s="79"/>
      <c r="G935" s="79"/>
      <c r="H935" s="79"/>
      <c r="I935" s="79"/>
    </row>
    <row r="936" ht="15.75" customHeight="1">
      <c r="F936" s="79"/>
      <c r="G936" s="79"/>
      <c r="H936" s="79"/>
      <c r="I936" s="79"/>
    </row>
    <row r="937" ht="15.75" customHeight="1">
      <c r="F937" s="79"/>
      <c r="G937" s="79"/>
      <c r="H937" s="79"/>
      <c r="I937" s="79"/>
    </row>
    <row r="938" ht="15.75" customHeight="1">
      <c r="F938" s="79"/>
      <c r="G938" s="79"/>
      <c r="H938" s="79"/>
      <c r="I938" s="79"/>
    </row>
    <row r="939" ht="15.75" customHeight="1">
      <c r="F939" s="79"/>
      <c r="G939" s="79"/>
      <c r="H939" s="79"/>
      <c r="I939" s="79"/>
    </row>
    <row r="940" ht="15.75" customHeight="1">
      <c r="F940" s="79"/>
      <c r="G940" s="79"/>
      <c r="H940" s="79"/>
      <c r="I940" s="79"/>
    </row>
    <row r="941" ht="15.75" customHeight="1">
      <c r="F941" s="79"/>
      <c r="G941" s="79"/>
      <c r="H941" s="79"/>
      <c r="I941" s="79"/>
    </row>
    <row r="942" ht="15.75" customHeight="1">
      <c r="F942" s="79"/>
      <c r="G942" s="79"/>
      <c r="H942" s="79"/>
      <c r="I942" s="79"/>
    </row>
    <row r="943" ht="15.75" customHeight="1">
      <c r="F943" s="79"/>
      <c r="G943" s="79"/>
      <c r="H943" s="79"/>
      <c r="I943" s="79"/>
    </row>
    <row r="944" ht="15.75" customHeight="1">
      <c r="F944" s="79"/>
      <c r="G944" s="79"/>
      <c r="H944" s="79"/>
      <c r="I944" s="79"/>
    </row>
    <row r="945" ht="15.75" customHeight="1">
      <c r="F945" s="79"/>
      <c r="G945" s="79"/>
      <c r="H945" s="79"/>
      <c r="I945" s="79"/>
    </row>
    <row r="946" ht="15.75" customHeight="1">
      <c r="F946" s="79"/>
      <c r="G946" s="79"/>
      <c r="H946" s="79"/>
      <c r="I946" s="79"/>
    </row>
    <row r="947" ht="15.75" customHeight="1">
      <c r="F947" s="79"/>
      <c r="G947" s="79"/>
      <c r="H947" s="79"/>
      <c r="I947" s="79"/>
    </row>
    <row r="948" ht="15.75" customHeight="1">
      <c r="F948" s="79"/>
      <c r="G948" s="79"/>
      <c r="H948" s="79"/>
      <c r="I948" s="79"/>
    </row>
    <row r="949" ht="15.75" customHeight="1">
      <c r="F949" s="79"/>
      <c r="G949" s="79"/>
      <c r="H949" s="79"/>
      <c r="I949" s="79"/>
    </row>
    <row r="950" ht="15.75" customHeight="1">
      <c r="F950" s="79"/>
      <c r="G950" s="79"/>
      <c r="H950" s="79"/>
      <c r="I950" s="79"/>
    </row>
    <row r="951" ht="15.75" customHeight="1">
      <c r="F951" s="79"/>
      <c r="G951" s="79"/>
      <c r="H951" s="79"/>
      <c r="I951" s="79"/>
    </row>
    <row r="952" ht="15.75" customHeight="1">
      <c r="F952" s="79"/>
      <c r="G952" s="79"/>
      <c r="H952" s="79"/>
      <c r="I952" s="79"/>
    </row>
    <row r="953" ht="15.75" customHeight="1">
      <c r="F953" s="79"/>
      <c r="G953" s="79"/>
      <c r="H953" s="79"/>
      <c r="I953" s="79"/>
    </row>
    <row r="954" ht="15.75" customHeight="1">
      <c r="F954" s="79"/>
      <c r="G954" s="79"/>
      <c r="H954" s="79"/>
      <c r="I954" s="79"/>
    </row>
    <row r="955" ht="15.75" customHeight="1">
      <c r="F955" s="79"/>
      <c r="G955" s="79"/>
      <c r="H955" s="79"/>
      <c r="I955" s="79"/>
    </row>
    <row r="956" ht="15.75" customHeight="1">
      <c r="F956" s="79"/>
      <c r="G956" s="79"/>
      <c r="H956" s="79"/>
      <c r="I956" s="79"/>
    </row>
    <row r="957" ht="15.75" customHeight="1">
      <c r="F957" s="79"/>
      <c r="G957" s="79"/>
      <c r="H957" s="79"/>
      <c r="I957" s="79"/>
    </row>
    <row r="958" ht="15.75" customHeight="1">
      <c r="F958" s="79"/>
      <c r="G958" s="79"/>
      <c r="H958" s="79"/>
      <c r="I958" s="79"/>
    </row>
    <row r="959" ht="15.75" customHeight="1">
      <c r="F959" s="79"/>
      <c r="G959" s="79"/>
      <c r="H959" s="79"/>
      <c r="I959" s="79"/>
    </row>
    <row r="960" ht="15.75" customHeight="1">
      <c r="F960" s="79"/>
      <c r="G960" s="79"/>
      <c r="H960" s="79"/>
      <c r="I960" s="79"/>
    </row>
    <row r="961" ht="15.75" customHeight="1">
      <c r="F961" s="79"/>
      <c r="G961" s="79"/>
      <c r="H961" s="79"/>
      <c r="I961" s="79"/>
    </row>
    <row r="962" ht="15.75" customHeight="1">
      <c r="F962" s="79"/>
      <c r="G962" s="79"/>
      <c r="H962" s="79"/>
      <c r="I962" s="79"/>
    </row>
    <row r="963" ht="15.75" customHeight="1">
      <c r="F963" s="79"/>
      <c r="G963" s="79"/>
      <c r="H963" s="79"/>
      <c r="I963" s="79"/>
    </row>
    <row r="964" ht="15.75" customHeight="1">
      <c r="F964" s="79"/>
      <c r="G964" s="79"/>
      <c r="H964" s="79"/>
      <c r="I964" s="79"/>
    </row>
    <row r="965" ht="15.75" customHeight="1">
      <c r="F965" s="79"/>
      <c r="G965" s="79"/>
      <c r="H965" s="79"/>
      <c r="I965" s="79"/>
    </row>
    <row r="966" ht="15.75" customHeight="1">
      <c r="F966" s="79"/>
      <c r="G966" s="79"/>
      <c r="H966" s="79"/>
      <c r="I966" s="79"/>
    </row>
    <row r="967" ht="15.75" customHeight="1">
      <c r="F967" s="79"/>
      <c r="G967" s="79"/>
      <c r="H967" s="79"/>
      <c r="I967" s="79"/>
    </row>
    <row r="968" ht="15.75" customHeight="1">
      <c r="F968" s="79"/>
      <c r="G968" s="79"/>
      <c r="H968" s="79"/>
      <c r="I968" s="79"/>
    </row>
    <row r="969" ht="15.75" customHeight="1">
      <c r="F969" s="79"/>
      <c r="G969" s="79"/>
      <c r="H969" s="79"/>
      <c r="I969" s="79"/>
    </row>
    <row r="970" ht="15.75" customHeight="1">
      <c r="F970" s="79"/>
      <c r="G970" s="79"/>
      <c r="H970" s="79"/>
      <c r="I970" s="79"/>
    </row>
    <row r="971" ht="15.75" customHeight="1">
      <c r="F971" s="79"/>
      <c r="G971" s="79"/>
      <c r="H971" s="79"/>
      <c r="I971" s="79"/>
    </row>
    <row r="972" ht="15.75" customHeight="1">
      <c r="F972" s="79"/>
      <c r="G972" s="79"/>
      <c r="H972" s="79"/>
      <c r="I972" s="79"/>
    </row>
    <row r="973" ht="15.75" customHeight="1">
      <c r="F973" s="79"/>
      <c r="G973" s="79"/>
      <c r="H973" s="79"/>
      <c r="I973" s="79"/>
    </row>
    <row r="974" ht="15.75" customHeight="1">
      <c r="F974" s="79"/>
      <c r="G974" s="79"/>
      <c r="H974" s="79"/>
      <c r="I974" s="79"/>
    </row>
    <row r="975" ht="15.75" customHeight="1">
      <c r="F975" s="79"/>
      <c r="G975" s="79"/>
      <c r="H975" s="79"/>
      <c r="I975" s="79"/>
    </row>
    <row r="976" ht="15.75" customHeight="1">
      <c r="F976" s="79"/>
      <c r="G976" s="79"/>
      <c r="H976" s="79"/>
      <c r="I976" s="79"/>
    </row>
    <row r="977" ht="15.75" customHeight="1">
      <c r="F977" s="79"/>
      <c r="G977" s="79"/>
      <c r="H977" s="79"/>
      <c r="I977" s="79"/>
    </row>
    <row r="978" ht="15.75" customHeight="1">
      <c r="F978" s="79"/>
      <c r="G978" s="79"/>
      <c r="H978" s="79"/>
      <c r="I978" s="79"/>
    </row>
    <row r="979" ht="15.75" customHeight="1">
      <c r="F979" s="79"/>
      <c r="G979" s="79"/>
      <c r="H979" s="79"/>
      <c r="I979" s="79"/>
    </row>
    <row r="980" ht="15.75" customHeight="1">
      <c r="F980" s="79"/>
      <c r="G980" s="79"/>
      <c r="H980" s="79"/>
      <c r="I980" s="79"/>
    </row>
    <row r="981" ht="15.75" customHeight="1">
      <c r="F981" s="79"/>
      <c r="G981" s="79"/>
      <c r="H981" s="79"/>
      <c r="I981" s="79"/>
    </row>
    <row r="982" ht="15.75" customHeight="1">
      <c r="F982" s="79"/>
      <c r="G982" s="79"/>
      <c r="H982" s="79"/>
      <c r="I982" s="79"/>
    </row>
    <row r="983" ht="15.75" customHeight="1">
      <c r="F983" s="79"/>
      <c r="G983" s="79"/>
      <c r="H983" s="79"/>
      <c r="I983" s="79"/>
    </row>
    <row r="984" ht="15.75" customHeight="1">
      <c r="F984" s="79"/>
      <c r="G984" s="79"/>
      <c r="H984" s="79"/>
      <c r="I984" s="79"/>
    </row>
    <row r="985" ht="15.75" customHeight="1">
      <c r="F985" s="79"/>
      <c r="G985" s="79"/>
      <c r="H985" s="79"/>
      <c r="I985" s="79"/>
    </row>
    <row r="986" ht="15.75" customHeight="1">
      <c r="F986" s="79"/>
      <c r="G986" s="79"/>
      <c r="H986" s="79"/>
      <c r="I986" s="79"/>
    </row>
    <row r="987" ht="15.75" customHeight="1">
      <c r="F987" s="79"/>
      <c r="G987" s="79"/>
      <c r="H987" s="79"/>
      <c r="I987" s="79"/>
    </row>
    <row r="988" ht="15.75" customHeight="1">
      <c r="F988" s="79"/>
      <c r="G988" s="79"/>
      <c r="H988" s="79"/>
      <c r="I988" s="79"/>
    </row>
    <row r="989" ht="15.75" customHeight="1">
      <c r="F989" s="79"/>
      <c r="G989" s="79"/>
      <c r="H989" s="79"/>
      <c r="I989" s="79"/>
    </row>
    <row r="990" ht="15.75" customHeight="1">
      <c r="F990" s="79"/>
      <c r="G990" s="79"/>
      <c r="H990" s="79"/>
      <c r="I990" s="79"/>
    </row>
    <row r="991" ht="15.75" customHeight="1">
      <c r="F991" s="79"/>
      <c r="G991" s="79"/>
      <c r="H991" s="79"/>
      <c r="I991" s="79"/>
    </row>
    <row r="992" ht="15.75" customHeight="1">
      <c r="F992" s="79"/>
      <c r="G992" s="79"/>
      <c r="H992" s="79"/>
      <c r="I992" s="79"/>
    </row>
    <row r="993" ht="15.75" customHeight="1">
      <c r="F993" s="79"/>
      <c r="G993" s="79"/>
      <c r="H993" s="79"/>
      <c r="I993" s="79"/>
    </row>
    <row r="994" ht="15.75" customHeight="1">
      <c r="F994" s="79"/>
      <c r="G994" s="79"/>
      <c r="H994" s="79"/>
      <c r="I994" s="79"/>
    </row>
    <row r="995" ht="15.75" customHeight="1">
      <c r="F995" s="79"/>
      <c r="G995" s="79"/>
      <c r="H995" s="79"/>
      <c r="I995" s="79"/>
    </row>
    <row r="996" ht="15.75" customHeight="1">
      <c r="F996" s="79"/>
      <c r="G996" s="79"/>
      <c r="H996" s="79"/>
      <c r="I996" s="79"/>
    </row>
    <row r="997" ht="15.75" customHeight="1">
      <c r="F997" s="79"/>
      <c r="G997" s="79"/>
      <c r="H997" s="79"/>
      <c r="I997" s="79"/>
    </row>
    <row r="998" ht="15.75" customHeight="1">
      <c r="F998" s="79"/>
      <c r="G998" s="79"/>
      <c r="H998" s="79"/>
      <c r="I998" s="79"/>
    </row>
    <row r="999" ht="15.75" customHeight="1">
      <c r="F999" s="79"/>
      <c r="G999" s="79"/>
      <c r="H999" s="79"/>
      <c r="I999" s="79"/>
    </row>
    <row r="1000" ht="15.75" customHeight="1">
      <c r="F1000" s="79"/>
      <c r="G1000" s="79"/>
      <c r="H1000" s="79"/>
      <c r="I1000" s="79"/>
    </row>
  </sheetData>
  <mergeCells count="20">
    <mergeCell ref="F4:F5"/>
    <mergeCell ref="G4:G5"/>
    <mergeCell ref="B8:B16"/>
    <mergeCell ref="B17:B25"/>
    <mergeCell ref="B26:B34"/>
    <mergeCell ref="A36:C37"/>
    <mergeCell ref="A38:C39"/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2019-02-17T22:18:38Z</dcterms:created>
  <dc:creator>jreme</dc:creator>
</cp:coreProperties>
</file>