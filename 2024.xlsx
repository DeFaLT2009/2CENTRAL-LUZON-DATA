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LAO RIVER" sheetId="1" r:id="rId4"/>
    <sheet state="visible" name="MEYCAUAYAN RIVER" sheetId="2" r:id="rId5"/>
    <sheet state="visible" name="OBANDO RIVER" sheetId="3" r:id="rId6"/>
    <sheet state="visible" name="BOCAUE RIVER" sheetId="4" r:id="rId7"/>
    <sheet state="visible" name="STA. MARIA RIVER" sheetId="5" r:id="rId8"/>
    <sheet state="visible" name="PAMPANGA RIVER" sheetId="6" r:id="rId9"/>
    <sheet state="visible" name="GUAGUA RIVER" sheetId="7" r:id="rId10"/>
    <sheet state="visible" name="ANGAT RIVER" sheetId="8" r:id="rId11"/>
    <sheet state="visible" name="ATLAG RIVER" sheetId="9" r:id="rId12"/>
    <sheet state="visible" name="TALISAY RIVER" sheetId="10" r:id="rId13"/>
    <sheet state="visible" name="LUCONG RIVER" sheetId="11" r:id="rId14"/>
    <sheet state="visible" name="LABANGAN RIVER" sheetId="12" r:id="rId15"/>
    <sheet state="visible" name="HAGONOY RIVER" sheetId="13" r:id="rId16"/>
    <sheet state="visible" name="PAMPANGA RIVER (Nueva Ecija)" sheetId="14" r:id="rId17"/>
    <sheet state="visible" name="A-SF-M-S-WQMA" sheetId="15" r:id="rId18"/>
    <sheet state="visible" name="MOUTH OF OBANDO" sheetId="16" r:id="rId19"/>
    <sheet state="visible" name="MOUTH OF PAMPANGA" sheetId="17" r:id="rId20"/>
    <sheet state="visible" name="MOUTH OF TALISAY" sheetId="18" r:id="rId21"/>
    <sheet state="visible" name="COAST OF PAMPANGA" sheetId="19" r:id="rId22"/>
    <sheet state="visible" name="COAST OF BULACAN" sheetId="20" r:id="rId23"/>
    <sheet state="visible" name="COAST OF BATAAN" sheetId="21" r:id="rId24"/>
    <sheet state="visible" name="MARIVELES-LIMAY" sheetId="22" r:id="rId25"/>
    <sheet state="visible" name="SWIMMABLE BEACH (MARIVELES)" sheetId="23" r:id="rId26"/>
    <sheet state="visible" name="OFFSHORE SAMPLING" sheetId="24" r:id="rId27"/>
    <sheet state="hidden" name="MONTEMAR BAGAC" sheetId="25" r:id="rId28"/>
    <sheet state="hidden" name="JUNESS (MORONG BAY)" sheetId="26" r:id="rId29"/>
    <sheet state="hidden" name="BEACH MONITORING" sheetId="27" r:id="rId30"/>
    <sheet state="visible" name="WQG FOR CLASS C" sheetId="28" r:id="rId31"/>
    <sheet state="visible" name="WQG FOR CLASS SB" sheetId="29" r:id="rId32"/>
  </sheets>
  <definedNames/>
  <calcPr/>
  <extLst>
    <ext uri="GoogleSheetsCustomDataVersion2">
      <go:sheetsCustomData xmlns:go="http://customooxmlschemas.google.com/" r:id="rId33" roundtripDataChecksum="SykCFS0EUGk8heu0pt6BLaPTQDUulpiHEq4XF4999vw="/>
    </ext>
  </extLst>
</workbook>
</file>

<file path=xl/sharedStrings.xml><?xml version="1.0" encoding="utf-8"?>
<sst xmlns="http://schemas.openxmlformats.org/spreadsheetml/2006/main" count="5075" uniqueCount="324">
  <si>
    <t>SUMMARY REPORT OF WATER QUALITY MONITORING DATA</t>
  </si>
  <si>
    <t>SUBMITTED BY THE REGIONAL OFFICES</t>
  </si>
  <si>
    <t>CY 2024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</si>
  <si>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</si>
  <si>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</si>
  <si>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</si>
  <si>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</si>
  <si>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</si>
  <si>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</si>
  <si>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</si>
  <si>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</si>
  <si>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</si>
  <si>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</si>
  <si>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</si>
  <si>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</si>
  <si>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</si>
  <si>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</si>
  <si>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</si>
  <si>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</si>
  <si>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Average/Geomean</t>
  </si>
  <si>
    <t>WQG</t>
  </si>
  <si>
    <t>MARILAO RIVER</t>
  </si>
  <si>
    <t>CLASS C ( 5 STATIONS )</t>
  </si>
  <si>
    <t>III</t>
  </si>
  <si>
    <t>DO (mg/L)</t>
  </si>
  <si>
    <t>Ibayo Bridge</t>
  </si>
  <si>
    <t>Mc Arthur Bridge</t>
  </si>
  <si>
    <t>Expressway Bridge</t>
  </si>
  <si>
    <t>Prenza Dam</t>
  </si>
  <si>
    <t>Marilao-Caloocan Bridge</t>
  </si>
  <si>
    <t>BOD (mg/L)</t>
  </si>
  <si>
    <t>TSS (mg/L)</t>
  </si>
  <si>
    <t xml:space="preserve"> </t>
  </si>
  <si>
    <t>pH</t>
  </si>
  <si>
    <t>6.5-9.0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</si>
  <si>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</si>
  <si>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25-31</t>
  </si>
  <si>
    <t>Color (TCU)</t>
  </si>
  <si>
    <t>Fecal Coliform (MPN/100mL)</t>
  </si>
  <si>
    <t>marilao-Caloocan Bridge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</si>
  <si>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</si>
  <si>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</si>
  <si>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Cl- (mg/L)</t>
  </si>
  <si>
    <t>* Results to follow; Waiting for Lab results</t>
  </si>
  <si>
    <t>MEYCAUAYAN RIVER</t>
  </si>
  <si>
    <t>Meymart Bridge</t>
  </si>
  <si>
    <t>McArthur Highway</t>
  </si>
  <si>
    <t>Viente Reales Bridge</t>
  </si>
  <si>
    <t>Perez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</si>
  <si>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</si>
  <si>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</si>
  <si>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</si>
  <si>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OBANDO RIVER</t>
  </si>
  <si>
    <t>CLASS C ( 3 STATIONS )</t>
  </si>
  <si>
    <t>Tawiran Bridge</t>
  </si>
  <si>
    <t>Fishport Near Public Market</t>
  </si>
  <si>
    <t>Polo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</si>
  <si>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</si>
  <si>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</si>
  <si>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</si>
  <si>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BOCAUE RIVER</t>
  </si>
  <si>
    <t>Bridge near public Market (UBVAS)</t>
  </si>
  <si>
    <t>McArthur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</si>
  <si>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</si>
  <si>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</si>
  <si>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</si>
  <si>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January </t>
  </si>
  <si>
    <t>STA. MARIA RIVER</t>
  </si>
  <si>
    <t>CLASS C ( 3  STATIONS )</t>
  </si>
  <si>
    <t xml:space="preserve">Sta. Clara Bridge </t>
  </si>
  <si>
    <t>**</t>
  </si>
  <si>
    <t xml:space="preserve">Poblacion Bridge </t>
  </si>
  <si>
    <t xml:space="preserve">Catmon Bridge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</si>
  <si>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</si>
  <si>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</si>
  <si>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</si>
  <si>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**No sampling conducted; Monitored quarterly</t>
  </si>
  <si>
    <t>PAMPANGA RIVER</t>
  </si>
  <si>
    <t>Near Villa Lourdes Resort</t>
  </si>
  <si>
    <t>Near P. Mercado Res/Fish Pond</t>
  </si>
  <si>
    <t>Calumpit Bridge</t>
  </si>
  <si>
    <t>Sulipan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</si>
  <si>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</si>
  <si>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</si>
  <si>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</si>
  <si>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GUAGUA RIVER</t>
  </si>
  <si>
    <t>Plaza Burgos Bridge</t>
  </si>
  <si>
    <t>Foot Bridge</t>
  </si>
  <si>
    <t>San Pablo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</si>
  <si>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</si>
  <si>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</si>
  <si>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</si>
  <si>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ANGAT RIVER</t>
  </si>
  <si>
    <t xml:space="preserve">Pulilan-Plaridel Bridge  </t>
  </si>
  <si>
    <t>Baliwag-Bustos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</si>
  <si>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</si>
  <si>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Pulilan-Plaridel Bridge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</si>
  <si>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</si>
  <si>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</si>
  <si>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ATLAG RIVER</t>
  </si>
  <si>
    <t>Atlag Bridge</t>
  </si>
  <si>
    <t>Libo Bridge</t>
  </si>
  <si>
    <t>Bridge near Villa Santiago Compound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</si>
  <si>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</si>
  <si>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</si>
  <si>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</si>
  <si>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TALISAY RIVER</t>
  </si>
  <si>
    <t xml:space="preserve">Near Banzon Residence </t>
  </si>
  <si>
    <t xml:space="preserve">Camacho Bridge  </t>
  </si>
  <si>
    <t xml:space="preserve">Talisay Bridge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</si>
  <si>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</si>
  <si>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</si>
  <si>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</si>
  <si>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LUCONG RIVER</t>
  </si>
  <si>
    <t>Cut-Cut Bridge</t>
  </si>
  <si>
    <t>Santiago Bridge</t>
  </si>
  <si>
    <t>Near Green Village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</si>
  <si>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</si>
  <si>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</si>
  <si>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</si>
  <si>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***No water in the river to be sampled. River was dry.</t>
  </si>
  <si>
    <t>LABANGAN RIVER</t>
  </si>
  <si>
    <t>Iba Bridge</t>
  </si>
  <si>
    <t>Iba Hanging Bridge</t>
  </si>
  <si>
    <t>Labangan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</si>
  <si>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</si>
  <si>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</si>
  <si>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</si>
  <si>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HAGONOY  RIVER</t>
  </si>
  <si>
    <t>CLASS C ( 4 STATIONS )</t>
  </si>
  <si>
    <t>DO mg/L</t>
  </si>
  <si>
    <t>Kalsadang Putol Bridge</t>
  </si>
  <si>
    <t>San Juan Bridge</t>
  </si>
  <si>
    <t>San Miguel Bridge</t>
  </si>
  <si>
    <t>Bridge near San Agustin Market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</si>
  <si>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</si>
  <si>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</si>
  <si>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</si>
  <si>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PAMPANGA RIVER (UPSTREAM NUEVA ECIJA)</t>
  </si>
  <si>
    <t>Bongabon River Irrigation System</t>
  </si>
  <si>
    <t>Vergara Bridge</t>
  </si>
  <si>
    <t>Sta. Rosa Bridge</t>
  </si>
  <si>
    <t>***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</si>
  <si>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</si>
  <si>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</si>
  <si>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</si>
  <si>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***Sampling station is inaccessible</t>
  </si>
  <si>
    <t>A-SF-M-S WQMA</t>
  </si>
  <si>
    <t>CLASS C ( 7 STATIONS )</t>
  </si>
  <si>
    <t>Sasmuan River 2</t>
  </si>
  <si>
    <t>Sasmuan River 1</t>
  </si>
  <si>
    <t>Minalin River</t>
  </si>
  <si>
    <t>Sto. Tomas River</t>
  </si>
  <si>
    <t>San fernando River</t>
  </si>
  <si>
    <t xml:space="preserve">Mexico River </t>
  </si>
  <si>
    <t xml:space="preserve">Angeles River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</si>
  <si>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</si>
  <si>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</si>
  <si>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</si>
  <si>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MOUTH OF OBANDO  RIVER</t>
  </si>
  <si>
    <t>CLASS SB ( 3 STATIONS )</t>
  </si>
  <si>
    <t xml:space="preserve">Obando River   Mouth of Obando River  Brgy Salambao   Obando   Bulacan </t>
  </si>
  <si>
    <t xml:space="preserve">300 m away from Station 1   Brgy. Salambao   Obando   Bulacan </t>
  </si>
  <si>
    <t xml:space="preserve">300 m away from Station 2   Brgy. Salambao  Obando  Bulacan </t>
  </si>
  <si>
    <t>7.0-8.5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</si>
  <si>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</si>
  <si>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26-30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</si>
  <si>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</si>
  <si>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</si>
  <si>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</t>
  </si>
  <si>
    <t>0.152</t>
  </si>
  <si>
    <t>0.163</t>
  </si>
  <si>
    <t>0.169</t>
  </si>
  <si>
    <t>** inclement weather experienced throughout the month. unable to conduct water sampling due to high waves.</t>
  </si>
  <si>
    <t>MOUTH OF PAMPANGA  RIVER</t>
  </si>
  <si>
    <t xml:space="preserve">Near Armando Aguinaldo F.P.   Brgy. Consuelo  Macabebe   Pampanga </t>
  </si>
  <si>
    <t xml:space="preserve">300 meters away from Station 1   Brgy. Consuelo   Macabebe   Pampanga </t>
  </si>
  <si>
    <t xml:space="preserve">300 meters away from Station 2   Brgy. Consuelo   Macabebe  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</si>
  <si>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</si>
  <si>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</si>
  <si>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</si>
  <si>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MOUTH OF TALISAY  RIVER</t>
  </si>
  <si>
    <t xml:space="preserve">Talisay River </t>
  </si>
  <si>
    <t xml:space="preserve">300 m away from Sta. 1 </t>
  </si>
  <si>
    <t xml:space="preserve">300 m away from Sta. 2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</si>
  <si>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</si>
  <si>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</si>
  <si>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</si>
  <si>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COAST OF PAMPANGA </t>
  </si>
  <si>
    <t>Bangkung Malapad</t>
  </si>
  <si>
    <t>Macabebe Point</t>
  </si>
  <si>
    <t>Bancal Pugad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</si>
  <si>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</si>
  <si>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</si>
  <si>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</si>
  <si>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**No data</t>
  </si>
  <si>
    <r>
      <rPr>
        <rFont val="Times New Roman"/>
        <b/>
        <color theme="1"/>
        <sz val="11.0"/>
      </rPr>
      <t xml:space="preserve">COAST OF BULACAN </t>
    </r>
    <r>
      <rPr>
        <rFont val="Times New Roman"/>
        <b/>
        <color rgb="FFFF0000"/>
        <sz val="11.0"/>
      </rPr>
      <t xml:space="preserve"> </t>
    </r>
  </si>
  <si>
    <t>CLASS SB ( 6 STATIONS )</t>
  </si>
  <si>
    <t>Mouth of Capiz River</t>
  </si>
  <si>
    <t>Mouth of Sta. Cruz Creek</t>
  </si>
  <si>
    <t>Mouth of Tibuguin Creek</t>
  </si>
  <si>
    <t>Mouth of Pugad Creek</t>
  </si>
  <si>
    <t>Mouth of Dapdap Creek</t>
  </si>
  <si>
    <t>Mouth of San Roque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</si>
  <si>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</si>
  <si>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NO3-N (mg/L)</t>
  </si>
  <si>
    <t>PO4-P (mg/L)</t>
  </si>
  <si>
    <t>** Unable to conduct sampling due to closure of sampling station</t>
  </si>
  <si>
    <t>*** inclement weather experienced throughout the month. unable to conduct water sampling due to high waves.</t>
  </si>
  <si>
    <t xml:space="preserve">COAST OF BATAAN  </t>
  </si>
  <si>
    <t>CLASS SB ( 7 STATIONS )</t>
  </si>
  <si>
    <t>Mouth of Almacen River</t>
  </si>
  <si>
    <t>Mouth of Kaparangan River</t>
  </si>
  <si>
    <t>Mouth of Samal River</t>
  </si>
  <si>
    <t>Mouth of Calaguiman River</t>
  </si>
  <si>
    <t>Mouth of Wawa River</t>
  </si>
  <si>
    <t>Mouth of Alangan River</t>
  </si>
  <si>
    <t>Mouth of Lamao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</si>
  <si>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</si>
  <si>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 xml:space="preserve">                   </t>
  </si>
  <si>
    <t>MARIVELES &amp; LIMAY</t>
  </si>
  <si>
    <t>CLASS SB ( 4 STATIONS )</t>
  </si>
  <si>
    <t xml:space="preserve">Brgy. Wawa   Limay   Bataan </t>
  </si>
  <si>
    <t xml:space="preserve">Villa Leonor   Limay   Bataan </t>
  </si>
  <si>
    <t xml:space="preserve">Villa Carmen   Mariveles   Bataan </t>
  </si>
  <si>
    <t xml:space="preserve">Mattel   Mariveles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</si>
  <si>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</si>
  <si>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</si>
  <si>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</si>
  <si>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Villa Carmen   Marchiveles   Bataan </t>
  </si>
  <si>
    <t xml:space="preserve">Mattel   Marchiveles   Bataan </t>
  </si>
  <si>
    <t>**No data/sampling conducted due to closure of sampling station</t>
  </si>
  <si>
    <t xml:space="preserve">SWIMMABLE BEACH (MARIVELES </t>
  </si>
  <si>
    <t>CLASS SB (3 STATIONS )</t>
  </si>
  <si>
    <t>Sitio Babuyan</t>
  </si>
  <si>
    <t>Sitio Aguawan</t>
  </si>
  <si>
    <t>Villa Carmen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</si>
  <si>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</si>
  <si>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</si>
  <si>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</si>
  <si>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Near Yatch Club</t>
  </si>
  <si>
    <t>Near Pawikan Hatchery</t>
  </si>
  <si>
    <t>Near Trota Side Residence</t>
  </si>
  <si>
    <t>**inclement weather experienced throughout the month. unable to conduct water sampling due to high waves.</t>
  </si>
  <si>
    <t>Coordinates</t>
  </si>
  <si>
    <t>1st Quarter</t>
  </si>
  <si>
    <t>2nd Quarter</t>
  </si>
  <si>
    <t>3rd Quarter</t>
  </si>
  <si>
    <t>4th Quarter</t>
  </si>
  <si>
    <t>Average</t>
  </si>
  <si>
    <t>Hong Kong ISQV</t>
  </si>
  <si>
    <t>Latitude, °N</t>
  </si>
  <si>
    <t>Longitude, °E</t>
  </si>
  <si>
    <t>OFFSHORE SEDIMENTS SAMPLING</t>
  </si>
  <si>
    <t>(9 STATIONS )</t>
  </si>
  <si>
    <t>Cadmium
 (mg/Kg)</t>
  </si>
  <si>
    <t>&lt;3.73</t>
  </si>
  <si>
    <t>Chromium 
 (mg/Kg)</t>
  </si>
  <si>
    <t>ND</t>
  </si>
  <si>
    <t>Lead 
 (mg/Kg)</t>
  </si>
  <si>
    <t>&lt;1.86</t>
  </si>
  <si>
    <t>Mercury (mg/Kg)</t>
  </si>
  <si>
    <t>Arsenic (mg/Kg)</t>
  </si>
  <si>
    <t>Cobalt (mg/Kg)</t>
  </si>
  <si>
    <t>&lt;.3.18</t>
  </si>
  <si>
    <t>ns</t>
  </si>
  <si>
    <t>&lt;3.18</t>
  </si>
  <si>
    <t>Copper (mg/Kg)</t>
  </si>
  <si>
    <t>&lt;3.21</t>
  </si>
  <si>
    <t>Manganese (mg/Kg)</t>
  </si>
  <si>
    <t>Nickel (mg/Kg)</t>
  </si>
  <si>
    <t>&lt;2.15</t>
  </si>
  <si>
    <t>Zinc (mg/Kg)</t>
  </si>
  <si>
    <t>11.2.</t>
  </si>
  <si>
    <t>&lt;4.56</t>
  </si>
  <si>
    <t>Barium (mg/Kg)</t>
  </si>
  <si>
    <t>&lt;4.67</t>
  </si>
  <si>
    <t>Boron (mg/Kg)</t>
  </si>
  <si>
    <t>&lt;0.050</t>
  </si>
  <si>
    <t>*results to follow</t>
  </si>
  <si>
    <t>** results not yet available</t>
  </si>
  <si>
    <t>Standards are based on the Hong kong Interim Sediment Quality Values by Chapman et.al</t>
  </si>
  <si>
    <t>ns = not set</t>
  </si>
  <si>
    <t>ND = Not Detectable</t>
  </si>
  <si>
    <t>CY 2023</t>
  </si>
  <si>
    <t>MONTEMAR (BAGAC BAY)</t>
  </si>
  <si>
    <t>Near Yacht Club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</si>
  <si>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</si>
  <si>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</si>
  <si>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</si>
  <si>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0..031</t>
  </si>
  <si>
    <t>&lt;0.014</t>
  </si>
  <si>
    <t>JUNESS (MORONG BAY)</t>
  </si>
  <si>
    <t>Near Pavillion Main Area</t>
  </si>
  <si>
    <t>Near Open Hall</t>
  </si>
  <si>
    <t>Near Building Area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</si>
  <si>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</si>
  <si>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</si>
  <si>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</si>
  <si>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Near Pavillo Main Area</t>
  </si>
  <si>
    <t>BEACHES MONITORING</t>
  </si>
  <si>
    <t>CLASS SB (8 STATIONS )</t>
  </si>
  <si>
    <t xml:space="preserve">Bakasyunan Beach Resort </t>
  </si>
  <si>
    <t xml:space="preserve">Molino Robinson Resort </t>
  </si>
  <si>
    <t xml:space="preserve">La Playa del Norte </t>
  </si>
  <si>
    <t xml:space="preserve">LindaMarch By Sea Beach Resort </t>
  </si>
  <si>
    <t xml:space="preserve">White Sand Resort </t>
  </si>
  <si>
    <t xml:space="preserve">La Vista Hotel Beach Resort </t>
  </si>
  <si>
    <t xml:space="preserve">Sand Valley Resort </t>
  </si>
  <si>
    <t xml:space="preserve">Monte Carlo Beach Resort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</si>
  <si>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</si>
  <si>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</si>
  <si>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&lt;0.094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</si>
  <si>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</si>
  <si>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</si>
  <si>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</si>
  <si>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</si>
  <si>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WQG for Class C</t>
  </si>
  <si>
    <t>Lower Limit</t>
  </si>
  <si>
    <t>Upper Limit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</si>
  <si>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</si>
  <si>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</si>
  <si>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</si>
  <si>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WQG for Class SB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</si>
</sst>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0_);_(* \(#,##0.00\);_(* &quot;-&quot;??_);_(@_)"/>
    <numFmt numFmtId="165" formatCode="_-* #,##0_-;\-* #,##0_-;_-* &quot;-&quot;??_-;_-@"/>
    <numFmt numFmtId="166" formatCode="0.000"/>
    <numFmt numFmtId="167" formatCode="#,##0.000"/>
    <numFmt numFmtId="168" formatCode="#,##0_ ;\-#,##0\ "/>
    <numFmt numFmtId="169" formatCode="0.0"/>
    <numFmt numFmtId="170" formatCode="_-* #,##0.000_-;\-* #,##0.000_-;_-* &quot;-&quot;??_-;_-@"/>
    <numFmt numFmtId="171" formatCode="_-* #,##0.00_-;\-* #,##0.00_-;_-* &quot;-&quot;??_-;_-@"/>
    <numFmt numFmtId="172" formatCode="_(* #,##0.000_);_(* \(#,##0.000\);_(* &quot;-&quot;??_);_(@_)"/>
    <numFmt numFmtId="173" formatCode="_(* #,##0_);_(* \(#,##0\);_(* &quot;-&quot;??_);_(@_)"/>
  </numFmts>
  <fonts count="12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1.0"/>
      <color rgb="FF050505"/>
      <name val="Times New Roman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Times New Roman"/>
    </font>
    <font>
      <sz val="11.0"/>
      <color rgb="FFFF0000"/>
      <name val="Times New Roman"/>
    </font>
    <font>
      <b/>
      <sz val="11.0"/>
      <color rgb="FF000000"/>
      <name val="Times New Roman"/>
    </font>
    <font>
      <sz val="11.0"/>
      <color rgb="FF000000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</fills>
  <borders count="33">
    <border/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3" fontId="1" numFmtId="0" xfId="0" applyBorder="1" applyFill="1" applyFont="1"/>
    <xf borderId="5" fillId="3" fontId="1" numFmtId="0" xfId="0" applyAlignment="1" applyBorder="1" applyFont="1">
      <alignment horizontal="center" vertical="center"/>
    </xf>
    <xf borderId="5" fillId="3" fontId="1" numFmtId="2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6" fillId="0" fontId="1" numFmtId="0" xfId="0" applyAlignment="1" applyBorder="1" applyFont="1">
      <alignment horizontal="center"/>
    </xf>
    <xf borderId="5" fillId="4" fontId="3" numFmtId="0" xfId="0" applyAlignment="1" applyBorder="1" applyFill="1" applyFont="1">
      <alignment horizontal="left"/>
    </xf>
    <xf borderId="9" fillId="0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/>
    </xf>
    <xf borderId="10" fillId="4" fontId="3" numFmtId="0" xfId="0" applyBorder="1" applyFont="1"/>
    <xf borderId="10" fillId="4" fontId="3" numFmtId="2" xfId="0" applyAlignment="1" applyBorder="1" applyFont="1" applyNumberFormat="1">
      <alignment horizontal="right" shrinkToFit="0" wrapText="1"/>
    </xf>
    <xf borderId="5" fillId="4" fontId="3" numFmtId="2" xfId="0" applyAlignment="1" applyBorder="1" applyFont="1" applyNumberFormat="1">
      <alignment horizontal="right" readingOrder="1" shrinkToFit="0" wrapText="1"/>
    </xf>
    <xf borderId="5" fillId="4" fontId="3" numFmtId="2" xfId="0" applyAlignment="1" applyBorder="1" applyFont="1" applyNumberFormat="1">
      <alignment horizontal="right" shrinkToFit="0" vertical="center" wrapText="1"/>
    </xf>
    <xf borderId="5" fillId="4" fontId="3" numFmtId="2" xfId="0" applyBorder="1" applyFont="1" applyNumberFormat="1"/>
    <xf borderId="5" fillId="4" fontId="3" numFmtId="0" xfId="0" applyBorder="1" applyFont="1"/>
    <xf borderId="5" fillId="0" fontId="3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1" numFmtId="0" xfId="0" applyAlignment="1" applyBorder="1" applyFont="1">
      <alignment horizontal="center"/>
    </xf>
    <xf borderId="13" fillId="0" fontId="3" numFmtId="0" xfId="0" applyBorder="1" applyFont="1"/>
    <xf borderId="13" fillId="0" fontId="3" numFmtId="2" xfId="0" applyAlignment="1" applyBorder="1" applyFont="1" applyNumberFormat="1">
      <alignment horizontal="right" shrinkToFit="0" wrapText="1"/>
    </xf>
    <xf borderId="14" fillId="0" fontId="3" numFmtId="2" xfId="0" applyAlignment="1" applyBorder="1" applyFont="1" applyNumberFormat="1">
      <alignment horizontal="right" readingOrder="1" shrinkToFit="0" wrapText="1"/>
    </xf>
    <xf borderId="5" fillId="0" fontId="3" numFmtId="2" xfId="0" applyAlignment="1" applyBorder="1" applyFont="1" applyNumberFormat="1">
      <alignment horizontal="right" shrinkToFit="0" vertical="center" wrapText="1"/>
    </xf>
    <xf borderId="5" fillId="0" fontId="3" numFmtId="2" xfId="0" applyBorder="1" applyFont="1" applyNumberFormat="1"/>
    <xf borderId="5" fillId="0" fontId="3" numFmtId="0" xfId="0" applyBorder="1" applyFont="1"/>
    <xf borderId="12" fillId="0" fontId="2" numFmtId="0" xfId="0" applyBorder="1" applyFont="1"/>
    <xf borderId="15" fillId="4" fontId="1" numFmtId="0" xfId="0" applyAlignment="1" applyBorder="1" applyFont="1">
      <alignment horizontal="center"/>
    </xf>
    <xf borderId="16" fillId="4" fontId="3" numFmtId="0" xfId="0" applyBorder="1" applyFont="1"/>
    <xf borderId="16" fillId="4" fontId="3" numFmtId="1" xfId="0" applyAlignment="1" applyBorder="1" applyFont="1" applyNumberFormat="1">
      <alignment horizontal="right" shrinkToFit="0" wrapText="1"/>
    </xf>
    <xf borderId="14" fillId="4" fontId="3" numFmtId="0" xfId="0" applyAlignment="1" applyBorder="1" applyFont="1">
      <alignment horizontal="right" readingOrder="1" shrinkToFit="0" wrapText="1"/>
    </xf>
    <xf borderId="5" fillId="4" fontId="3" numFmtId="1" xfId="0" applyAlignment="1" applyBorder="1" applyFont="1" applyNumberFormat="1">
      <alignment horizontal="right" shrinkToFit="0" vertical="center" wrapText="1"/>
    </xf>
    <xf borderId="5" fillId="4" fontId="3" numFmtId="1" xfId="0" applyBorder="1" applyFont="1" applyNumberFormat="1"/>
    <xf borderId="13" fillId="0" fontId="3" numFmtId="1" xfId="0" applyAlignment="1" applyBorder="1" applyFont="1" applyNumberFormat="1">
      <alignment horizontal="right" shrinkToFit="0" wrapText="1"/>
    </xf>
    <xf borderId="14" fillId="0" fontId="3" numFmtId="0" xfId="0" applyAlignment="1" applyBorder="1" applyFont="1">
      <alignment horizontal="right" readingOrder="1" shrinkToFit="0" wrapText="1"/>
    </xf>
    <xf borderId="5" fillId="0" fontId="3" numFmtId="1" xfId="0" applyAlignment="1" applyBorder="1" applyFont="1" applyNumberFormat="1">
      <alignment horizontal="right" shrinkToFit="0" vertical="center" wrapText="1"/>
    </xf>
    <xf borderId="5" fillId="0" fontId="3" numFmtId="1" xfId="0" applyBorder="1" applyFont="1" applyNumberFormat="1"/>
    <xf borderId="16" fillId="4" fontId="3" numFmtId="2" xfId="0" applyAlignment="1" applyBorder="1" applyFont="1" applyNumberFormat="1">
      <alignment horizontal="right" shrinkToFit="0" wrapText="1"/>
    </xf>
    <xf borderId="14" fillId="4" fontId="3" numFmtId="2" xfId="0" applyAlignment="1" applyBorder="1" applyFont="1" applyNumberFormat="1">
      <alignment horizontal="right" readingOrder="1" shrinkToFit="0" wrapText="1"/>
    </xf>
    <xf borderId="14" fillId="4" fontId="3" numFmtId="164" xfId="0" applyAlignment="1" applyBorder="1" applyFont="1" applyNumberFormat="1">
      <alignment horizontal="right" readingOrder="1" shrinkToFit="0" wrapText="1"/>
    </xf>
    <xf borderId="14" fillId="0" fontId="3" numFmtId="164" xfId="0" applyAlignment="1" applyBorder="1" applyFont="1" applyNumberFormat="1">
      <alignment horizontal="right" readingOrder="1" shrinkToFit="0" wrapText="1"/>
    </xf>
    <xf borderId="16" fillId="4" fontId="3" numFmtId="3" xfId="0" applyAlignment="1" applyBorder="1" applyFont="1" applyNumberFormat="1">
      <alignment horizontal="right" shrinkToFit="0" wrapText="1"/>
    </xf>
    <xf borderId="14" fillId="4" fontId="3" numFmtId="3" xfId="0" applyAlignment="1" applyBorder="1" applyFont="1" applyNumberFormat="1">
      <alignment horizontal="right" readingOrder="1" shrinkToFit="0" wrapText="1"/>
    </xf>
    <xf borderId="5" fillId="4" fontId="3" numFmtId="3" xfId="0" applyAlignment="1" applyBorder="1" applyFont="1" applyNumberFormat="1">
      <alignment horizontal="right" shrinkToFit="0" vertical="center" wrapText="1"/>
    </xf>
    <xf borderId="17" fillId="4" fontId="4" numFmtId="3" xfId="0" applyAlignment="1" applyBorder="1" applyFont="1" applyNumberFormat="1">
      <alignment horizontal="right"/>
    </xf>
    <xf borderId="5" fillId="4" fontId="3" numFmtId="165" xfId="0" applyBorder="1" applyFont="1" applyNumberFormat="1"/>
    <xf borderId="0" fillId="0" fontId="5" numFmtId="165" xfId="0" applyFont="1" applyNumberFormat="1"/>
    <xf borderId="13" fillId="0" fontId="3" numFmtId="3" xfId="0" applyAlignment="1" applyBorder="1" applyFont="1" applyNumberFormat="1">
      <alignment horizontal="right" shrinkToFit="0" wrapText="1"/>
    </xf>
    <xf borderId="14" fillId="0" fontId="3" numFmtId="3" xfId="0" applyAlignment="1" applyBorder="1" applyFont="1" applyNumberFormat="1">
      <alignment horizontal="right" readingOrder="1" shrinkToFit="0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165" xfId="0" applyBorder="1" applyFont="1" applyNumberFormat="1"/>
    <xf borderId="15" fillId="4" fontId="1" numFmtId="1" xfId="0" applyAlignment="1" applyBorder="1" applyFont="1" applyNumberFormat="1">
      <alignment horizontal="center"/>
    </xf>
    <xf borderId="16" fillId="4" fontId="3" numFmtId="166" xfId="0" applyBorder="1" applyFont="1" applyNumberFormat="1"/>
    <xf borderId="16" fillId="4" fontId="3" numFmtId="166" xfId="0" applyAlignment="1" applyBorder="1" applyFont="1" applyNumberFormat="1">
      <alignment horizontal="right" shrinkToFit="0" wrapText="1"/>
    </xf>
    <xf borderId="14" fillId="4" fontId="3" numFmtId="166" xfId="0" applyAlignment="1" applyBorder="1" applyFont="1" applyNumberFormat="1">
      <alignment horizontal="right" readingOrder="1" shrinkToFit="0" wrapText="1"/>
    </xf>
    <xf borderId="5" fillId="4" fontId="3" numFmtId="166" xfId="0" applyAlignment="1" applyBorder="1" applyFont="1" applyNumberFormat="1">
      <alignment horizontal="right" shrinkToFit="0" vertical="center" wrapText="1"/>
    </xf>
    <xf borderId="5" fillId="4" fontId="3" numFmtId="166" xfId="0" applyBorder="1" applyFont="1" applyNumberFormat="1"/>
    <xf borderId="12" fillId="0" fontId="1" numFmtId="1" xfId="0" applyAlignment="1" applyBorder="1" applyFont="1" applyNumberFormat="1">
      <alignment horizontal="center"/>
    </xf>
    <xf borderId="13" fillId="0" fontId="3" numFmtId="166" xfId="0" applyBorder="1" applyFont="1" applyNumberFormat="1"/>
    <xf borderId="13" fillId="0" fontId="3" numFmtId="166" xfId="0" applyAlignment="1" applyBorder="1" applyFont="1" applyNumberFormat="1">
      <alignment horizontal="right" shrinkToFit="0" wrapText="1"/>
    </xf>
    <xf borderId="14" fillId="0" fontId="3" numFmtId="166" xfId="0" applyAlignment="1" applyBorder="1" applyFont="1" applyNumberFormat="1">
      <alignment horizontal="right" readingOrder="1" shrinkToFit="0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5" fontId="3" numFmtId="166" xfId="0" applyAlignment="1" applyBorder="1" applyFill="1" applyFont="1" applyNumberFormat="1">
      <alignment horizontal="right" shrinkToFit="0" vertical="center" wrapText="1"/>
    </xf>
    <xf borderId="5" fillId="0" fontId="3" numFmtId="166" xfId="0" applyBorder="1" applyFont="1" applyNumberFormat="1"/>
    <xf borderId="14" fillId="4" fontId="3" numFmtId="1" xfId="0" applyAlignment="1" applyBorder="1" applyFont="1" applyNumberFormat="1">
      <alignment horizontal="right" readingOrder="1" shrinkToFit="0" wrapText="1"/>
    </xf>
    <xf borderId="5" fillId="4" fontId="3" numFmtId="165" xfId="0" applyAlignment="1" applyBorder="1" applyFont="1" applyNumberFormat="1">
      <alignment horizontal="right" shrinkToFit="0" vertical="center" wrapText="1"/>
    </xf>
    <xf borderId="14" fillId="0" fontId="3" numFmtId="1" xfId="0" applyAlignment="1" applyBorder="1" applyFont="1" applyNumberFormat="1">
      <alignment horizontal="right" readingOrder="1" shrinkToFit="0" wrapText="1"/>
    </xf>
    <xf borderId="5" fillId="0" fontId="3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11" fillId="0" fontId="1" numFmtId="0" xfId="0" applyAlignment="1" applyBorder="1" applyFont="1">
      <alignment horizontal="center" shrinkToFit="0" vertical="center" wrapText="1"/>
    </xf>
    <xf borderId="10" fillId="4" fontId="3" numFmtId="2" xfId="0" applyAlignment="1" applyBorder="1" applyFont="1" applyNumberFormat="1">
      <alignment horizontal="right"/>
    </xf>
    <xf borderId="5" fillId="4" fontId="3" numFmtId="4" xfId="0" applyAlignment="1" applyBorder="1" applyFont="1" applyNumberFormat="1">
      <alignment horizontal="right" shrinkToFit="0" vertical="center" wrapText="1"/>
    </xf>
    <xf borderId="13" fillId="0" fontId="3" numFmtId="2" xfId="0" applyAlignment="1" applyBorder="1" applyFont="1" applyNumberFormat="1">
      <alignment horizontal="right"/>
    </xf>
    <xf borderId="5" fillId="0" fontId="3" numFmtId="4" xfId="0" applyAlignment="1" applyBorder="1" applyFont="1" applyNumberFormat="1">
      <alignment horizontal="right" shrinkToFit="0" vertical="center" wrapText="1"/>
    </xf>
    <xf borderId="16" fillId="4" fontId="3" numFmtId="1" xfId="0" applyAlignment="1" applyBorder="1" applyFont="1" applyNumberFormat="1">
      <alignment horizontal="right"/>
    </xf>
    <xf borderId="5" fillId="4" fontId="3" numFmtId="1" xfId="0" applyAlignment="1" applyBorder="1" applyFont="1" applyNumberFormat="1">
      <alignment horizontal="right" vertical="center"/>
    </xf>
    <xf borderId="13" fillId="0" fontId="3" numFmtId="1" xfId="0" applyAlignment="1" applyBorder="1" applyFont="1" applyNumberFormat="1">
      <alignment horizontal="right"/>
    </xf>
    <xf borderId="5" fillId="0" fontId="3" numFmtId="1" xfId="0" applyAlignment="1" applyBorder="1" applyFont="1" applyNumberFormat="1">
      <alignment horizontal="right" vertical="center"/>
    </xf>
    <xf borderId="16" fillId="4" fontId="3" numFmtId="2" xfId="0" applyAlignment="1" applyBorder="1" applyFont="1" applyNumberFormat="1">
      <alignment horizontal="right"/>
    </xf>
    <xf borderId="5" fillId="4" fontId="3" numFmtId="2" xfId="0" applyAlignment="1" applyBorder="1" applyFont="1" applyNumberFormat="1">
      <alignment horizontal="right" vertical="center"/>
    </xf>
    <xf borderId="5" fillId="0" fontId="3" numFmtId="2" xfId="0" applyAlignment="1" applyBorder="1" applyFont="1" applyNumberFormat="1">
      <alignment horizontal="right" vertical="center"/>
    </xf>
    <xf borderId="16" fillId="4" fontId="3" numFmtId="165" xfId="0" applyAlignment="1" applyBorder="1" applyFont="1" applyNumberFormat="1">
      <alignment horizontal="right"/>
    </xf>
    <xf borderId="14" fillId="4" fontId="3" numFmtId="165" xfId="0" applyAlignment="1" applyBorder="1" applyFont="1" applyNumberFormat="1">
      <alignment horizontal="right" readingOrder="1" shrinkToFit="0" wrapText="1"/>
    </xf>
    <xf borderId="5" fillId="4" fontId="3" numFmtId="165" xfId="0" applyAlignment="1" applyBorder="1" applyFont="1" applyNumberFormat="1">
      <alignment horizontal="right" vertical="center"/>
    </xf>
    <xf borderId="13" fillId="0" fontId="3" numFmtId="165" xfId="0" applyAlignment="1" applyBorder="1" applyFont="1" applyNumberFormat="1">
      <alignment horizontal="right"/>
    </xf>
    <xf borderId="14" fillId="0" fontId="3" numFmtId="165" xfId="0" applyAlignment="1" applyBorder="1" applyFont="1" applyNumberFormat="1">
      <alignment horizontal="right" readingOrder="1" shrinkToFit="0" wrapText="1"/>
    </xf>
    <xf borderId="5" fillId="0" fontId="3" numFmtId="165" xfId="0" applyAlignment="1" applyBorder="1" applyFont="1" applyNumberFormat="1">
      <alignment horizontal="right" vertical="center"/>
    </xf>
    <xf borderId="16" fillId="6" fontId="3" numFmtId="165" xfId="0" applyAlignment="1" applyBorder="1" applyFill="1" applyFont="1" applyNumberFormat="1">
      <alignment horizontal="right"/>
    </xf>
    <xf borderId="16" fillId="4" fontId="3" numFmtId="166" xfId="0" applyAlignment="1" applyBorder="1" applyFont="1" applyNumberFormat="1">
      <alignment horizontal="right"/>
    </xf>
    <xf borderId="5" fillId="4" fontId="3" numFmtId="166" xfId="0" applyAlignment="1" applyBorder="1" applyFont="1" applyNumberFormat="1">
      <alignment horizontal="right" vertical="center"/>
    </xf>
    <xf borderId="13" fillId="0" fontId="3" numFmtId="166" xfId="0" applyAlignment="1" applyBorder="1" applyFont="1" applyNumberFormat="1">
      <alignment horizontal="right"/>
    </xf>
    <xf borderId="5" fillId="0" fontId="3" numFmtId="166" xfId="0" applyAlignment="1" applyBorder="1" applyFont="1" applyNumberFormat="1">
      <alignment horizontal="right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left" vertical="center"/>
    </xf>
    <xf borderId="5" fillId="3" fontId="1" numFmtId="0" xfId="0" applyAlignment="1" applyBorder="1" applyFont="1">
      <alignment horizontal="center" shrinkToFit="0" vertical="center" wrapText="1"/>
    </xf>
    <xf borderId="15" fillId="4" fontId="3" numFmtId="0" xfId="0" applyAlignment="1" applyBorder="1" applyFont="1">
      <alignment horizontal="left"/>
    </xf>
    <xf borderId="15" fillId="4" fontId="3" numFmtId="2" xfId="0" applyAlignment="1" applyBorder="1" applyFont="1" applyNumberFormat="1">
      <alignment horizontal="right" shrinkToFit="0" vertical="center" wrapText="1"/>
    </xf>
    <xf borderId="5" fillId="4" fontId="3" numFmtId="2" xfId="0" applyAlignment="1" applyBorder="1" applyFont="1" applyNumberFormat="1">
      <alignment horizontal="right"/>
    </xf>
    <xf borderId="5" fillId="0" fontId="3" numFmtId="2" xfId="0" applyAlignment="1" applyBorder="1" applyFont="1" applyNumberFormat="1">
      <alignment horizontal="right"/>
    </xf>
    <xf borderId="15" fillId="4" fontId="3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horizontal="right" shrinkToFit="0" vertical="center" wrapText="1"/>
    </xf>
    <xf borderId="15" fillId="4" fontId="3" numFmtId="3" xfId="0" applyAlignment="1" applyBorder="1" applyFont="1" applyNumberFormat="1">
      <alignment horizontal="right" shrinkToFit="0" vertical="center" wrapText="1"/>
    </xf>
    <xf borderId="15" fillId="4" fontId="3" numFmtId="166" xfId="0" applyAlignment="1" applyBorder="1" applyFont="1" applyNumberFormat="1">
      <alignment horizontal="right" shrinkToFit="0" vertical="center" wrapText="1"/>
    </xf>
    <xf borderId="15" fillId="4" fontId="3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8" fillId="0" fontId="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1" numFmtId="0" xfId="0" applyAlignment="1" applyBorder="1" applyFont="1">
      <alignment horizontal="center"/>
    </xf>
    <xf borderId="21" fillId="0" fontId="2" numFmtId="0" xfId="0" applyBorder="1" applyFont="1"/>
    <xf borderId="14" fillId="0" fontId="5" numFmtId="0" xfId="0" applyAlignment="1" applyBorder="1" applyFont="1">
      <alignment horizontal="right" readingOrder="1"/>
    </xf>
    <xf borderId="0" fillId="0" fontId="6" numFmtId="0" xfId="0" applyFont="1"/>
    <xf borderId="22" fillId="3" fontId="1" numFmtId="0" xfId="0" applyBorder="1" applyFont="1"/>
    <xf borderId="15" fillId="3" fontId="1" numFmtId="0" xfId="0" applyAlignment="1" applyBorder="1" applyFont="1">
      <alignment horizontal="center" vertical="center"/>
    </xf>
    <xf borderId="5" fillId="4" fontId="3" numFmtId="2" xfId="0" applyAlignment="1" applyBorder="1" applyFont="1" applyNumberFormat="1">
      <alignment horizontal="right" shrinkToFit="0" wrapText="1"/>
    </xf>
    <xf borderId="15" fillId="4" fontId="3" numFmtId="2" xfId="0" applyAlignment="1" applyBorder="1" applyFont="1" applyNumberFormat="1">
      <alignment horizontal="right" shrinkToFit="0" wrapText="1"/>
    </xf>
    <xf borderId="12" fillId="0" fontId="3" numFmtId="2" xfId="0" applyAlignment="1" applyBorder="1" applyFont="1" applyNumberFormat="1">
      <alignment horizontal="right" shrinkToFit="0" wrapText="1"/>
    </xf>
    <xf borderId="5" fillId="0" fontId="3" numFmtId="2" xfId="0" applyAlignment="1" applyBorder="1" applyFont="1" applyNumberFormat="1">
      <alignment horizontal="right" shrinkToFit="0" wrapText="1"/>
    </xf>
    <xf borderId="15" fillId="4" fontId="3" numFmtId="1" xfId="0" applyAlignment="1" applyBorder="1" applyFont="1" applyNumberFormat="1">
      <alignment horizontal="right" shrinkToFit="0" vertical="center" wrapText="1"/>
    </xf>
    <xf borderId="15" fillId="4" fontId="3" numFmtId="1" xfId="0" applyAlignment="1" applyBorder="1" applyFont="1" applyNumberFormat="1">
      <alignment horizontal="right" shrinkToFit="0" wrapText="1"/>
    </xf>
    <xf borderId="12" fillId="0" fontId="3" numFmtId="1" xfId="0" applyAlignment="1" applyBorder="1" applyFont="1" applyNumberFormat="1">
      <alignment horizontal="right" shrinkToFit="0" wrapText="1"/>
    </xf>
    <xf borderId="5" fillId="0" fontId="3" numFmtId="1" xfId="0" applyAlignment="1" applyBorder="1" applyFont="1" applyNumberFormat="1">
      <alignment horizontal="right" shrinkToFit="0" wrapText="1"/>
    </xf>
    <xf borderId="15" fillId="4" fontId="3" numFmtId="3" xfId="0" applyAlignment="1" applyBorder="1" applyFont="1" applyNumberFormat="1">
      <alignment horizontal="right" shrinkToFit="0" wrapText="1"/>
    </xf>
    <xf borderId="0" fillId="0" fontId="5" numFmtId="3" xfId="0" applyFont="1" applyNumberFormat="1"/>
    <xf borderId="12" fillId="0" fontId="3" numFmtId="3" xfId="0" applyAlignment="1" applyBorder="1" applyFont="1" applyNumberFormat="1">
      <alignment horizontal="right" shrinkToFit="0" wrapText="1"/>
    </xf>
    <xf borderId="5" fillId="0" fontId="3" numFmtId="3" xfId="0" applyAlignment="1" applyBorder="1" applyFont="1" applyNumberFormat="1">
      <alignment horizontal="right" shrinkToFit="0" wrapText="1"/>
    </xf>
    <xf borderId="15" fillId="4" fontId="3" numFmtId="166" xfId="0" applyAlignment="1" applyBorder="1" applyFont="1" applyNumberFormat="1">
      <alignment horizontal="right" shrinkToFit="0" wrapText="1"/>
    </xf>
    <xf borderId="12" fillId="0" fontId="3" numFmtId="166" xfId="0" applyAlignment="1" applyBorder="1" applyFont="1" applyNumberFormat="1">
      <alignment horizontal="right" shrinkToFit="0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0" fillId="4" fontId="3" numFmtId="4" xfId="0" applyAlignment="1" applyBorder="1" applyFont="1" applyNumberFormat="1">
      <alignment horizontal="right" shrinkToFit="0" wrapText="1"/>
    </xf>
    <xf borderId="15" fillId="4" fontId="3" numFmtId="4" xfId="0" applyAlignment="1" applyBorder="1" applyFont="1" applyNumberFormat="1">
      <alignment horizontal="right" shrinkToFit="0" wrapText="1"/>
    </xf>
    <xf borderId="5" fillId="4" fontId="3" numFmtId="4" xfId="0" applyAlignment="1" applyBorder="1" applyFont="1" applyNumberFormat="1">
      <alignment horizontal="right" shrinkToFit="0" wrapText="1"/>
    </xf>
    <xf borderId="13" fillId="0" fontId="3" numFmtId="4" xfId="0" applyAlignment="1" applyBorder="1" applyFont="1" applyNumberFormat="1">
      <alignment horizontal="right" shrinkToFit="0" wrapText="1"/>
    </xf>
    <xf borderId="5" fillId="0" fontId="3" numFmtId="4" xfId="0" applyAlignment="1" applyBorder="1" applyFont="1" applyNumberFormat="1">
      <alignment horizontal="right" shrinkToFit="0" wrapText="1"/>
    </xf>
    <xf borderId="12" fillId="0" fontId="3" numFmtId="4" xfId="0" applyAlignment="1" applyBorder="1" applyFont="1" applyNumberFormat="1">
      <alignment horizontal="right" shrinkToFit="0" wrapText="1"/>
    </xf>
    <xf borderId="16" fillId="4" fontId="3" numFmtId="4" xfId="0" applyAlignment="1" applyBorder="1" applyFont="1" applyNumberFormat="1">
      <alignment horizontal="right" shrinkToFit="0" wrapText="1"/>
    </xf>
    <xf borderId="15" fillId="4" fontId="3" numFmtId="167" xfId="0" applyAlignment="1" applyBorder="1" applyFont="1" applyNumberFormat="1">
      <alignment horizontal="right" shrinkToFit="0" wrapText="1"/>
    </xf>
    <xf borderId="5" fillId="0" fontId="3" numFmtId="167" xfId="0" applyAlignment="1" applyBorder="1" applyFont="1" applyNumberFormat="1">
      <alignment horizontal="right" shrinkToFit="0" wrapText="1"/>
    </xf>
    <xf borderId="23" fillId="3" fontId="1" numFmtId="0" xfId="0" applyBorder="1" applyFont="1"/>
    <xf borderId="5" fillId="3" fontId="1" numFmtId="0" xfId="0" applyAlignment="1" applyBorder="1" applyFont="1">
      <alignment horizontal="center" shrinkToFit="0" wrapText="1"/>
    </xf>
    <xf borderId="5" fillId="5" fontId="3" numFmtId="165" xfId="0" applyAlignment="1" applyBorder="1" applyFont="1" applyNumberFormat="1">
      <alignment horizontal="right" shrinkToFit="0" vertical="center" wrapText="1"/>
    </xf>
    <xf borderId="0" fillId="0" fontId="3" numFmtId="2" xfId="0" applyFont="1" applyNumberFormat="1"/>
    <xf borderId="10" fillId="4" fontId="3" numFmtId="0" xfId="0" applyAlignment="1" applyBorder="1" applyFont="1">
      <alignment shrinkToFit="0" wrapText="1"/>
    </xf>
    <xf borderId="13" fillId="0" fontId="3" numFmtId="0" xfId="0" applyAlignment="1" applyBorder="1" applyFont="1">
      <alignment shrinkToFit="0" wrapText="1"/>
    </xf>
    <xf borderId="5" fillId="5" fontId="3" numFmtId="2" xfId="0" applyAlignment="1" applyBorder="1" applyFont="1" applyNumberFormat="1">
      <alignment horizontal="right" shrinkToFit="0" vertical="center" wrapText="1"/>
    </xf>
    <xf borderId="16" fillId="4" fontId="3" numFmtId="0" xfId="0" applyAlignment="1" applyBorder="1" applyFont="1">
      <alignment shrinkToFit="0" wrapText="1"/>
    </xf>
    <xf borderId="5" fillId="5" fontId="3" numFmtId="1" xfId="0" applyAlignment="1" applyBorder="1" applyFont="1" applyNumberFormat="1">
      <alignment horizontal="right" shrinkToFit="0" vertical="center" wrapText="1"/>
    </xf>
    <xf borderId="5" fillId="0" fontId="3" numFmtId="0" xfId="0" applyAlignment="1" applyBorder="1" applyFont="1">
      <alignment shrinkToFit="0" vertical="center" wrapText="1"/>
    </xf>
    <xf borderId="14" fillId="4" fontId="3" numFmtId="3" xfId="0" applyAlignment="1" applyBorder="1" applyFont="1" applyNumberFormat="1">
      <alignment horizontal="right" readingOrder="1" shrinkToFit="0" vertical="center" wrapText="1"/>
    </xf>
    <xf borderId="14" fillId="0" fontId="3" numFmtId="3" xfId="0" applyAlignment="1" applyBorder="1" applyFont="1" applyNumberFormat="1">
      <alignment horizontal="right" readingOrder="1" shrinkToFit="0" vertical="center" wrapText="1"/>
    </xf>
    <xf borderId="13" fillId="0" fontId="3" numFmtId="166" xfId="0" applyAlignment="1" applyBorder="1" applyFont="1" applyNumberFormat="1">
      <alignment shrinkToFit="0" wrapText="1"/>
    </xf>
    <xf borderId="0" fillId="0" fontId="3" numFmtId="0" xfId="0" applyAlignment="1" applyFont="1">
      <alignment vertical="center"/>
    </xf>
    <xf borderId="5" fillId="4" fontId="3" numFmtId="1" xfId="0" applyAlignment="1" applyBorder="1" applyFont="1" applyNumberFormat="1">
      <alignment horizontal="right" shrinkToFit="0" wrapText="1"/>
    </xf>
    <xf borderId="15" fillId="6" fontId="3" numFmtId="2" xfId="0" applyAlignment="1" applyBorder="1" applyFont="1" applyNumberFormat="1">
      <alignment horizontal="right" shrinkToFit="0" wrapText="1"/>
    </xf>
    <xf borderId="5" fillId="4" fontId="3" numFmtId="3" xfId="0" applyAlignment="1" applyBorder="1" applyFont="1" applyNumberFormat="1">
      <alignment horizontal="right" shrinkToFit="0" wrapText="1"/>
    </xf>
    <xf borderId="15" fillId="4" fontId="3" numFmtId="3" xfId="0" applyAlignment="1" applyBorder="1" applyFont="1" applyNumberFormat="1">
      <alignment horizontal="right"/>
    </xf>
    <xf borderId="14" fillId="4" fontId="5" numFmtId="3" xfId="0" applyAlignment="1" applyBorder="1" applyFont="1" applyNumberFormat="1">
      <alignment horizontal="right" readingOrder="1"/>
    </xf>
    <xf borderId="14" fillId="0" fontId="5" numFmtId="3" xfId="0" applyAlignment="1" applyBorder="1" applyFont="1" applyNumberFormat="1">
      <alignment horizontal="right" readingOrder="1"/>
    </xf>
    <xf borderId="5" fillId="4" fontId="3" numFmtId="166" xfId="0" applyAlignment="1" applyBorder="1" applyFont="1" applyNumberFormat="1">
      <alignment horizontal="right" shrinkToFit="0" wrapText="1"/>
    </xf>
    <xf borderId="5" fillId="0" fontId="3" numFmtId="166" xfId="0" applyAlignment="1" applyBorder="1" applyFont="1" applyNumberFormat="1">
      <alignment horizontal="right" shrinkToFit="0" wrapText="1"/>
    </xf>
    <xf borderId="5" fillId="4" fontId="3" numFmtId="165" xfId="0" applyAlignment="1" applyBorder="1" applyFont="1" applyNumberFormat="1">
      <alignment horizontal="right" shrinkToFit="0" wrapText="1"/>
    </xf>
    <xf borderId="5" fillId="0" fontId="3" numFmtId="165" xfId="0" applyAlignment="1" applyBorder="1" applyFont="1" applyNumberFormat="1">
      <alignment horizontal="right" shrinkToFit="0" wrapText="1"/>
    </xf>
    <xf borderId="16" fillId="6" fontId="3" numFmtId="2" xfId="0" applyAlignment="1" applyBorder="1" applyFont="1" applyNumberFormat="1">
      <alignment horizontal="right" shrinkToFit="0" wrapText="1"/>
    </xf>
    <xf borderId="5" fillId="5" fontId="3" numFmtId="4" xfId="0" applyAlignment="1" applyBorder="1" applyFont="1" applyNumberFormat="1">
      <alignment horizontal="right" shrinkToFit="0" vertical="center" wrapText="1"/>
    </xf>
    <xf borderId="16" fillId="6" fontId="3" numFmtId="1" xfId="0" applyAlignment="1" applyBorder="1" applyFont="1" applyNumberFormat="1">
      <alignment horizontal="right" shrinkToFit="0" wrapText="1"/>
    </xf>
    <xf borderId="5" fillId="5" fontId="3" numFmtId="3" xfId="0" applyAlignment="1" applyBorder="1" applyFont="1" applyNumberFormat="1">
      <alignment horizontal="right" shrinkToFit="0" vertical="center" wrapText="1"/>
    </xf>
    <xf borderId="16" fillId="6" fontId="3" numFmtId="1" xfId="0" applyAlignment="1" applyBorder="1" applyFont="1" applyNumberFormat="1">
      <alignment horizontal="right"/>
    </xf>
    <xf borderId="5" fillId="5" fontId="3" numFmtId="0" xfId="0" applyAlignment="1" applyBorder="1" applyFont="1">
      <alignment horizontal="right" shrinkToFit="0" vertical="center" wrapText="1"/>
    </xf>
    <xf borderId="5" fillId="4" fontId="3" numFmtId="0" xfId="0" applyAlignment="1" applyBorder="1" applyFont="1">
      <alignment horizontal="right" shrinkToFit="0" vertical="center" wrapText="1"/>
    </xf>
    <xf borderId="16" fillId="6" fontId="3" numFmtId="2" xfId="0" applyAlignment="1" applyBorder="1" applyFont="1" applyNumberFormat="1">
      <alignment horizontal="right"/>
    </xf>
    <xf borderId="0" fillId="0" fontId="3" numFmtId="0" xfId="0" applyAlignment="1" applyFont="1">
      <alignment horizontal="right"/>
    </xf>
    <xf borderId="5" fillId="5" fontId="3" numFmtId="1" xfId="0" applyBorder="1" applyFont="1" applyNumberFormat="1"/>
    <xf borderId="16" fillId="4" fontId="3" numFmtId="3" xfId="0" applyAlignment="1" applyBorder="1" applyFont="1" applyNumberFormat="1">
      <alignment horizontal="right"/>
    </xf>
    <xf borderId="5" fillId="4" fontId="3" numFmtId="168" xfId="0" applyBorder="1" applyFont="1" applyNumberFormat="1"/>
    <xf borderId="13" fillId="0" fontId="3" numFmtId="3" xfId="0" applyAlignment="1" applyBorder="1" applyFont="1" applyNumberFormat="1">
      <alignment horizontal="right"/>
    </xf>
    <xf borderId="5" fillId="0" fontId="3" numFmtId="168" xfId="0" applyBorder="1" applyFont="1" applyNumberFormat="1"/>
    <xf borderId="15" fillId="4" fontId="1" numFmtId="3" xfId="0" applyAlignment="1" applyBorder="1" applyFont="1" applyNumberFormat="1">
      <alignment horizontal="center"/>
    </xf>
    <xf borderId="16" fillId="4" fontId="3" numFmtId="167" xfId="0" applyAlignment="1" applyBorder="1" applyFont="1" applyNumberFormat="1">
      <alignment shrinkToFit="0" wrapText="1"/>
    </xf>
    <xf borderId="16" fillId="4" fontId="3" numFmtId="167" xfId="0" applyAlignment="1" applyBorder="1" applyFont="1" applyNumberFormat="1">
      <alignment horizontal="right" shrinkToFit="0" wrapText="1"/>
    </xf>
    <xf borderId="16" fillId="4" fontId="3" numFmtId="167" xfId="0" applyAlignment="1" applyBorder="1" applyFont="1" applyNumberFormat="1">
      <alignment horizontal="right"/>
    </xf>
    <xf borderId="5" fillId="4" fontId="3" numFmtId="167" xfId="0" applyAlignment="1" applyBorder="1" applyFont="1" applyNumberFormat="1">
      <alignment horizontal="right" shrinkToFit="0" vertical="center" wrapText="1"/>
    </xf>
    <xf borderId="12" fillId="0" fontId="1" numFmtId="3" xfId="0" applyAlignment="1" applyBorder="1" applyFont="1" applyNumberFormat="1">
      <alignment horizontal="center"/>
    </xf>
    <xf borderId="13" fillId="0" fontId="3" numFmtId="167" xfId="0" applyAlignment="1" applyBorder="1" applyFont="1" applyNumberFormat="1">
      <alignment shrinkToFit="0" wrapText="1"/>
    </xf>
    <xf borderId="13" fillId="0" fontId="3" numFmtId="167" xfId="0" applyAlignment="1" applyBorder="1" applyFont="1" applyNumberFormat="1">
      <alignment horizontal="right" shrinkToFit="0" wrapText="1"/>
    </xf>
    <xf borderId="16" fillId="6" fontId="3" numFmtId="167" xfId="0" applyAlignment="1" applyBorder="1" applyFont="1" applyNumberFormat="1">
      <alignment horizontal="right" shrinkToFit="0" wrapText="1"/>
    </xf>
    <xf borderId="13" fillId="0" fontId="3" numFmtId="167" xfId="0" applyAlignment="1" applyBorder="1" applyFont="1" applyNumberFormat="1">
      <alignment horizontal="right"/>
    </xf>
    <xf borderId="16" fillId="6" fontId="3" numFmtId="167" xfId="0" applyAlignment="1" applyBorder="1" applyFont="1" applyNumberFormat="1">
      <alignment horizontal="right"/>
    </xf>
    <xf borderId="5" fillId="5" fontId="3" numFmtId="167" xfId="0" applyAlignment="1" applyBorder="1" applyFont="1" applyNumberFormat="1">
      <alignment horizontal="right" shrinkToFit="0" vertical="center" wrapText="1"/>
    </xf>
    <xf borderId="6" fillId="0" fontId="3" numFmtId="0" xfId="0" applyAlignment="1" applyBorder="1" applyFont="1">
      <alignment horizontal="center" vertical="center"/>
    </xf>
    <xf borderId="19" fillId="0" fontId="3" numFmtId="0" xfId="0" applyBorder="1" applyFont="1"/>
    <xf borderId="0" fillId="0" fontId="3" numFmtId="4" xfId="0" applyFont="1" applyNumberFormat="1"/>
    <xf borderId="15" fillId="4" fontId="1" numFmtId="0" xfId="0" applyAlignment="1" applyBorder="1" applyFont="1">
      <alignment horizontal="center" vertical="center"/>
    </xf>
    <xf borderId="15" fillId="4" fontId="3" numFmtId="0" xfId="0" applyBorder="1" applyFont="1"/>
    <xf borderId="5" fillId="0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5" fillId="0" fontId="3" numFmtId="169" xfId="0" applyAlignment="1" applyBorder="1" applyFont="1" applyNumberFormat="1">
      <alignment horizontal="right" shrinkToFit="0" vertical="center" wrapText="1"/>
    </xf>
    <xf borderId="5" fillId="4" fontId="3" numFmtId="165" xfId="0" applyAlignment="1" applyBorder="1" applyFont="1" applyNumberFormat="1">
      <alignment horizontal="right"/>
    </xf>
    <xf borderId="5" fillId="0" fontId="3" numFmtId="165" xfId="0" applyAlignment="1" applyBorder="1" applyFont="1" applyNumberFormat="1">
      <alignment horizontal="right"/>
    </xf>
    <xf borderId="16" fillId="4" fontId="3" numFmtId="166" xfId="0" applyAlignment="1" applyBorder="1" applyFont="1" applyNumberFormat="1">
      <alignment shrinkToFit="0" wrapText="1"/>
    </xf>
    <xf borderId="5" fillId="4" fontId="3" numFmtId="0" xfId="0" applyAlignment="1" applyBorder="1" applyFont="1">
      <alignment shrinkToFit="0" vertical="center" wrapText="1"/>
    </xf>
    <xf borderId="5" fillId="4" fontId="3" numFmtId="0" xfId="0" applyAlignment="1" applyBorder="1" applyFont="1">
      <alignment horizontal="right"/>
    </xf>
    <xf borderId="12" fillId="0" fontId="3" numFmtId="0" xfId="0" applyAlignment="1" applyBorder="1" applyFont="1">
      <alignment horizontal="right"/>
    </xf>
    <xf borderId="12" fillId="0" fontId="3" numFmtId="2" xfId="0" applyAlignment="1" applyBorder="1" applyFont="1" applyNumberFormat="1">
      <alignment horizontal="right"/>
    </xf>
    <xf borderId="15" fillId="4" fontId="3" numFmtId="1" xfId="0" applyAlignment="1" applyBorder="1" applyFont="1" applyNumberFormat="1">
      <alignment horizontal="right"/>
    </xf>
    <xf borderId="12" fillId="0" fontId="3" numFmtId="1" xfId="0" applyAlignment="1" applyBorder="1" applyFont="1" applyNumberFormat="1">
      <alignment horizontal="right"/>
    </xf>
    <xf borderId="11" fillId="0" fontId="1" numFmtId="0" xfId="0" applyAlignment="1" applyBorder="1" applyFont="1">
      <alignment horizontal="center" vertical="center"/>
    </xf>
    <xf borderId="15" fillId="4" fontId="3" numFmtId="2" xfId="0" applyAlignment="1" applyBorder="1" applyFont="1" applyNumberFormat="1">
      <alignment horizontal="right"/>
    </xf>
    <xf borderId="12" fillId="0" fontId="3" numFmtId="3" xfId="0" applyAlignment="1" applyBorder="1" applyFont="1" applyNumberFormat="1">
      <alignment horizontal="right"/>
    </xf>
    <xf borderId="15" fillId="4" fontId="3" numFmtId="170" xfId="0" applyAlignment="1" applyBorder="1" applyFont="1" applyNumberFormat="1">
      <alignment horizontal="right"/>
    </xf>
    <xf borderId="5" fillId="4" fontId="3" numFmtId="170" xfId="0" applyAlignment="1" applyBorder="1" applyFont="1" applyNumberFormat="1">
      <alignment horizontal="right" shrinkToFit="0" vertical="center" wrapText="1"/>
    </xf>
    <xf borderId="12" fillId="0" fontId="3" numFmtId="170" xfId="0" applyAlignment="1" applyBorder="1" applyFont="1" applyNumberFormat="1">
      <alignment horizontal="right"/>
    </xf>
    <xf borderId="5" fillId="0" fontId="3" numFmtId="170" xfId="0" applyAlignment="1" applyBorder="1" applyFont="1" applyNumberFormat="1">
      <alignment horizontal="right" shrinkToFit="0" vertical="center" wrapText="1"/>
    </xf>
    <xf borderId="15" fillId="4" fontId="3" numFmtId="0" xfId="0" applyAlignment="1" applyBorder="1" applyFont="1">
      <alignment horizontal="right"/>
    </xf>
    <xf borderId="5" fillId="4" fontId="3" numFmtId="0" xfId="0" applyAlignment="1" applyBorder="1" applyFont="1">
      <alignment horizontal="left" shrinkToFit="0" vertical="center" wrapText="1"/>
    </xf>
    <xf borderId="5" fillId="4" fontId="3" numFmtId="171" xfId="0" applyAlignment="1" applyBorder="1" applyFont="1" applyNumberFormat="1">
      <alignment horizontal="righ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71" xfId="0" applyAlignment="1" applyBorder="1" applyFont="1" applyNumberFormat="1">
      <alignment horizontal="right" shrinkToFit="0" vertical="center" wrapText="1"/>
    </xf>
    <xf borderId="10" fillId="4" fontId="3" numFmtId="2" xfId="0" applyAlignment="1" applyBorder="1" applyFont="1" applyNumberFormat="1">
      <alignment horizontal="right" shrinkToFit="0" vertical="center" wrapText="1"/>
    </xf>
    <xf borderId="5" fillId="4" fontId="3" numFmtId="2" xfId="0" applyAlignment="1" applyBorder="1" applyFont="1" applyNumberFormat="1">
      <alignment horizontal="right" readingOrder="1"/>
    </xf>
    <xf borderId="5" fillId="5" fontId="3" numFmtId="0" xfId="0" applyAlignment="1" applyBorder="1" applyFont="1">
      <alignment horizontal="left"/>
    </xf>
    <xf borderId="5" fillId="5" fontId="1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left" shrinkToFit="0" vertical="center" wrapText="1"/>
    </xf>
    <xf borderId="10" fillId="5" fontId="3" numFmtId="2" xfId="0" applyAlignment="1" applyBorder="1" applyFont="1" applyNumberFormat="1">
      <alignment horizontal="right" shrinkToFit="0" vertical="center" wrapText="1"/>
    </xf>
    <xf borderId="14" fillId="0" fontId="3" numFmtId="2" xfId="0" applyAlignment="1" applyBorder="1" applyFont="1" applyNumberFormat="1">
      <alignment horizontal="right" readingOrder="1"/>
    </xf>
    <xf borderId="0" fillId="0" fontId="3" numFmtId="2" xfId="0" applyAlignment="1" applyFont="1" applyNumberFormat="1">
      <alignment horizontal="right"/>
    </xf>
    <xf borderId="10" fillId="4" fontId="3" numFmtId="0" xfId="0" applyAlignment="1" applyBorder="1" applyFont="1">
      <alignment horizontal="right" shrinkToFit="0" vertical="center" wrapText="1"/>
    </xf>
    <xf borderId="14" fillId="4" fontId="3" numFmtId="0" xfId="0" applyAlignment="1" applyBorder="1" applyFont="1">
      <alignment horizontal="right" readingOrder="1"/>
    </xf>
    <xf borderId="5" fillId="4" fontId="3" numFmtId="169" xfId="0" applyBorder="1" applyFont="1" applyNumberFormat="1"/>
    <xf borderId="5" fillId="0" fontId="7" numFmtId="0" xfId="0" applyAlignment="1" applyBorder="1" applyFont="1">
      <alignment horizontal="right"/>
    </xf>
    <xf borderId="10" fillId="5" fontId="3" numFmtId="1" xfId="0" applyAlignment="1" applyBorder="1" applyFont="1" applyNumberFormat="1">
      <alignment horizontal="right" shrinkToFit="0" vertical="center" wrapText="1"/>
    </xf>
    <xf borderId="14" fillId="0" fontId="3" numFmtId="0" xfId="0" applyAlignment="1" applyBorder="1" applyFont="1">
      <alignment horizontal="right" readingOrder="1"/>
    </xf>
    <xf borderId="10" fillId="5" fontId="3" numFmtId="0" xfId="0" applyAlignment="1" applyBorder="1" applyFont="1">
      <alignment horizontal="right" shrinkToFit="0" vertical="center" wrapText="1"/>
    </xf>
    <xf borderId="14" fillId="4" fontId="3" numFmtId="2" xfId="0" applyAlignment="1" applyBorder="1" applyFont="1" applyNumberFormat="1">
      <alignment horizontal="right" readingOrder="1"/>
    </xf>
    <xf borderId="5" fillId="0" fontId="3" numFmtId="0" xfId="0" applyAlignment="1" applyBorder="1" applyFont="1">
      <alignment horizontal="right"/>
    </xf>
    <xf borderId="5" fillId="0" fontId="7" numFmtId="2" xfId="0" applyAlignment="1" applyBorder="1" applyFont="1" applyNumberFormat="1">
      <alignment horizontal="right"/>
    </xf>
    <xf borderId="5" fillId="5" fontId="3" numFmtId="171" xfId="0" applyAlignment="1" applyBorder="1" applyFont="1" applyNumberFormat="1">
      <alignment horizontal="right" shrinkToFit="0" vertical="center" wrapText="1"/>
    </xf>
    <xf borderId="10" fillId="4" fontId="3" numFmtId="3" xfId="0" applyAlignment="1" applyBorder="1" applyFont="1" applyNumberFormat="1">
      <alignment horizontal="right" shrinkToFit="0" vertical="center" wrapText="1"/>
    </xf>
    <xf borderId="5" fillId="4" fontId="3" numFmtId="3" xfId="0" applyAlignment="1" applyBorder="1" applyFont="1" applyNumberFormat="1">
      <alignment horizontal="right"/>
    </xf>
    <xf borderId="14" fillId="4" fontId="3" numFmtId="3" xfId="0" applyAlignment="1" applyBorder="1" applyFont="1" applyNumberFormat="1">
      <alignment horizontal="right" readingOrder="1"/>
    </xf>
    <xf borderId="5" fillId="0" fontId="7" numFmtId="3" xfId="0" applyAlignment="1" applyBorder="1" applyFont="1" applyNumberFormat="1">
      <alignment horizontal="right"/>
    </xf>
    <xf borderId="10" fillId="5" fontId="3" numFmtId="3" xfId="0" applyAlignment="1" applyBorder="1" applyFont="1" applyNumberFormat="1">
      <alignment horizontal="right" shrinkToFit="0" vertical="center" wrapText="1"/>
    </xf>
    <xf borderId="14" fillId="0" fontId="3" numFmtId="3" xfId="0" applyAlignment="1" applyBorder="1" applyFont="1" applyNumberFormat="1">
      <alignment horizontal="right" readingOrder="1"/>
    </xf>
    <xf borderId="10" fillId="4" fontId="3" numFmtId="166" xfId="0" applyAlignment="1" applyBorder="1" applyFont="1" applyNumberFormat="1">
      <alignment horizontal="right" shrinkToFit="0" vertical="center" wrapText="1"/>
    </xf>
    <xf borderId="15" fillId="4" fontId="3" numFmtId="166" xfId="0" applyAlignment="1" applyBorder="1" applyFont="1" applyNumberFormat="1">
      <alignment horizontal="right"/>
    </xf>
    <xf borderId="5" fillId="4" fontId="3" numFmtId="0" xfId="0" applyAlignment="1" applyBorder="1" applyFont="1">
      <alignment horizontal="right" readingOrder="1"/>
    </xf>
    <xf borderId="5" fillId="0" fontId="7" numFmtId="166" xfId="0" applyAlignment="1" applyBorder="1" applyFont="1" applyNumberFormat="1">
      <alignment horizontal="right"/>
    </xf>
    <xf borderId="10" fillId="5" fontId="3" numFmtId="166" xfId="0" applyAlignment="1" applyBorder="1" applyFont="1" applyNumberFormat="1">
      <alignment horizontal="right" shrinkToFit="0" vertical="center" wrapText="1"/>
    </xf>
    <xf borderId="12" fillId="0" fontId="3" numFmtId="166" xfId="0" applyAlignment="1" applyBorder="1" applyFont="1" applyNumberFormat="1">
      <alignment horizontal="right"/>
    </xf>
    <xf borderId="14" fillId="0" fontId="3" numFmtId="166" xfId="0" applyAlignment="1" applyBorder="1" applyFont="1" applyNumberFormat="1">
      <alignment horizontal="right" readingOrder="1"/>
    </xf>
    <xf borderId="5" fillId="5" fontId="3" numFmtId="170" xfId="0" applyAlignment="1" applyBorder="1" applyFont="1" applyNumberFormat="1">
      <alignment horizontal="right" shrinkToFit="0" vertical="center" wrapText="1"/>
    </xf>
    <xf borderId="10" fillId="5" fontId="3" numFmtId="165" xfId="0" applyAlignment="1" applyBorder="1" applyFont="1" applyNumberFormat="1">
      <alignment horizontal="right" shrinkToFit="0" vertical="center" wrapText="1"/>
    </xf>
    <xf borderId="0" fillId="0" fontId="5" numFmtId="0" xfId="0" applyFont="1"/>
    <xf borderId="0" fillId="0" fontId="3" numFmtId="0" xfId="0" applyAlignment="1" applyFont="1">
      <alignment horizontal="left"/>
    </xf>
    <xf borderId="24" fillId="3" fontId="1" numFmtId="0" xfId="0" applyBorder="1" applyFont="1"/>
    <xf borderId="25" fillId="3" fontId="1" numFmtId="0" xfId="0" applyAlignment="1" applyBorder="1" applyFont="1">
      <alignment horizontal="center" vertical="center"/>
    </xf>
    <xf borderId="26" fillId="4" fontId="7" numFmtId="0" xfId="0" applyAlignment="1" applyBorder="1" applyFont="1">
      <alignment vertical="center"/>
    </xf>
    <xf borderId="15" fillId="7" fontId="7" numFmtId="2" xfId="0" applyAlignment="1" applyBorder="1" applyFill="1" applyFont="1" applyNumberFormat="1">
      <alignment horizontal="right"/>
    </xf>
    <xf borderId="15" fillId="4" fontId="3" numFmtId="2" xfId="0" applyBorder="1" applyFont="1" applyNumberFormat="1"/>
    <xf borderId="6" fillId="0" fontId="7" numFmtId="0" xfId="0" applyAlignment="1" applyBorder="1" applyFont="1">
      <alignment vertical="center"/>
    </xf>
    <xf borderId="12" fillId="0" fontId="7" numFmtId="2" xfId="0" applyAlignment="1" applyBorder="1" applyFont="1" applyNumberFormat="1">
      <alignment horizontal="right"/>
    </xf>
    <xf borderId="12" fillId="0" fontId="3" numFmtId="2" xfId="0" applyBorder="1" applyFont="1" applyNumberFormat="1"/>
    <xf borderId="27" fillId="4" fontId="7" numFmtId="0" xfId="0" applyAlignment="1" applyBorder="1" applyFont="1">
      <alignment vertical="center"/>
    </xf>
    <xf borderId="15" fillId="7" fontId="7" numFmtId="0" xfId="0" applyAlignment="1" applyBorder="1" applyFont="1">
      <alignment horizontal="right"/>
    </xf>
    <xf borderId="12" fillId="0" fontId="7" numFmtId="0" xfId="0" applyAlignment="1" applyBorder="1" applyFont="1">
      <alignment horizontal="right"/>
    </xf>
    <xf borderId="15" fillId="7" fontId="7" numFmtId="3" xfId="0" applyAlignment="1" applyBorder="1" applyFont="1" applyNumberFormat="1">
      <alignment horizontal="right"/>
    </xf>
    <xf borderId="15" fillId="4" fontId="3" numFmtId="1" xfId="0" applyBorder="1" applyFont="1" applyNumberFormat="1"/>
    <xf borderId="0" fillId="0" fontId="5" numFmtId="1" xfId="0" applyFont="1" applyNumberFormat="1"/>
    <xf borderId="12" fillId="0" fontId="7" numFmtId="3" xfId="0" applyAlignment="1" applyBorder="1" applyFont="1" applyNumberFormat="1">
      <alignment horizontal="right"/>
    </xf>
    <xf borderId="12" fillId="0" fontId="3" numFmtId="1" xfId="0" applyBorder="1" applyFont="1" applyNumberFormat="1"/>
    <xf borderId="15" fillId="7" fontId="7" numFmtId="166" xfId="0" applyAlignment="1" applyBorder="1" applyFont="1" applyNumberFormat="1">
      <alignment horizontal="right"/>
    </xf>
    <xf borderId="15" fillId="4" fontId="3" numFmtId="166" xfId="0" applyBorder="1" applyFont="1" applyNumberFormat="1"/>
    <xf borderId="12" fillId="0" fontId="7" numFmtId="166" xfId="0" applyAlignment="1" applyBorder="1" applyFont="1" applyNumberFormat="1">
      <alignment horizontal="right"/>
    </xf>
    <xf borderId="12" fillId="0" fontId="3" numFmtId="166" xfId="0" applyBorder="1" applyFont="1" applyNumberFormat="1"/>
    <xf borderId="5" fillId="4" fontId="3" numFmtId="0" xfId="0" applyAlignment="1" applyBorder="1" applyFont="1">
      <alignment horizontal="center" vertical="center"/>
    </xf>
    <xf borderId="5" fillId="4" fontId="3" numFmtId="49" xfId="0" applyAlignment="1" applyBorder="1" applyFont="1" applyNumberFormat="1">
      <alignment horizontal="right" shrinkToFit="0" vertical="center" wrapText="1"/>
    </xf>
    <xf borderId="5" fillId="4" fontId="3" numFmtId="0" xfId="0" applyAlignment="1" applyBorder="1" applyFont="1">
      <alignment horizontal="center"/>
    </xf>
    <xf borderId="5" fillId="0" fontId="3" numFmtId="49" xfId="0" applyAlignment="1" applyBorder="1" applyFont="1" applyNumberFormat="1">
      <alignment horizontal="right" shrinkToFit="0" vertical="center" wrapText="1"/>
    </xf>
    <xf borderId="5" fillId="0" fontId="3" numFmtId="0" xfId="0" applyAlignment="1" applyBorder="1" applyFont="1">
      <alignment horizontal="center"/>
    </xf>
    <xf borderId="25" fillId="3" fontId="1" numFmtId="0" xfId="0" applyAlignment="1" applyBorder="1" applyFont="1">
      <alignment horizontal="center" shrinkToFit="0" vertical="center" wrapText="1"/>
    </xf>
    <xf borderId="15" fillId="4" fontId="7" numFmtId="0" xfId="0" applyAlignment="1" applyBorder="1" applyFont="1">
      <alignment vertical="center"/>
    </xf>
    <xf borderId="15" fillId="7" fontId="3" numFmtId="2" xfId="0" applyAlignment="1" applyBorder="1" applyFont="1" applyNumberFormat="1">
      <alignment horizontal="right"/>
    </xf>
    <xf borderId="5" fillId="0" fontId="7" numFmtId="0" xfId="0" applyAlignment="1" applyBorder="1" applyFont="1">
      <alignment vertical="center"/>
    </xf>
    <xf borderId="5" fillId="4" fontId="7" numFmtId="0" xfId="0" applyAlignment="1" applyBorder="1" applyFont="1">
      <alignment vertical="center"/>
    </xf>
    <xf borderId="15" fillId="7" fontId="3" numFmtId="0" xfId="0" applyAlignment="1" applyBorder="1" applyFont="1">
      <alignment horizontal="right"/>
    </xf>
    <xf borderId="5" fillId="4" fontId="3" numFmtId="0" xfId="0" applyAlignment="1" applyBorder="1" applyFont="1">
      <alignment horizontal="right" shrinkToFit="0" wrapText="1"/>
    </xf>
    <xf borderId="5" fillId="0" fontId="3" numFmtId="0" xfId="0" applyAlignment="1" applyBorder="1" applyFont="1">
      <alignment horizontal="right" shrinkToFit="0" wrapText="1"/>
    </xf>
    <xf borderId="15" fillId="7" fontId="3" numFmtId="3" xfId="0" applyAlignment="1" applyBorder="1" applyFont="1" applyNumberFormat="1">
      <alignment horizontal="right"/>
    </xf>
    <xf borderId="15" fillId="4" fontId="3" numFmtId="165" xfId="0" applyBorder="1" applyFont="1" applyNumberFormat="1"/>
    <xf borderId="12" fillId="0" fontId="3" numFmtId="165" xfId="0" applyBorder="1" applyFont="1" applyNumberFormat="1"/>
    <xf borderId="15" fillId="4" fontId="3" numFmtId="167" xfId="0" applyAlignment="1" applyBorder="1" applyFont="1" applyNumberFormat="1">
      <alignment horizontal="right" shrinkToFit="0" vertical="center" wrapText="1"/>
    </xf>
    <xf borderId="5" fillId="0" fontId="3" numFmtId="167" xfId="0" applyAlignment="1" applyBorder="1" applyFont="1" applyNumberFormat="1">
      <alignment horizontal="right" shrinkToFit="0" vertical="center" wrapText="1"/>
    </xf>
    <xf borderId="15" fillId="7" fontId="3" numFmtId="166" xfId="0" applyAlignment="1" applyBorder="1" applyFont="1" applyNumberFormat="1">
      <alignment horizontal="right"/>
    </xf>
    <xf borderId="27" fillId="4" fontId="3" numFmtId="0" xfId="0" applyAlignment="1" applyBorder="1" applyFont="1">
      <alignment horizontal="right" shrinkToFit="0" vertical="center" wrapText="1"/>
    </xf>
    <xf borderId="6" fillId="0" fontId="3" numFmtId="0" xfId="0" applyAlignment="1" applyBorder="1" applyFont="1">
      <alignment horizontal="right" shrinkToFit="0" vertical="center" wrapText="1"/>
    </xf>
    <xf borderId="15" fillId="4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4" fontId="3" numFmtId="0" xfId="0" applyAlignment="1" applyBorder="1" applyFont="1">
      <alignment shrinkToFit="0" wrapText="1"/>
    </xf>
    <xf borderId="15" fillId="4" fontId="3" numFmtId="168" xfId="0" applyBorder="1" applyFont="1" applyNumberFormat="1"/>
    <xf borderId="0" fillId="0" fontId="5" numFmtId="168" xfId="0" applyFont="1" applyNumberFormat="1"/>
    <xf borderId="12" fillId="0" fontId="3" numFmtId="168" xfId="0" applyBorder="1" applyFont="1" applyNumberFormat="1"/>
    <xf borderId="5" fillId="4" fontId="7" numFmtId="0" xfId="0" applyAlignment="1" applyBorder="1" applyFont="1">
      <alignment shrinkToFit="0" vertical="center" wrapText="1"/>
    </xf>
    <xf borderId="27" fillId="4" fontId="7" numFmtId="166" xfId="0" applyAlignment="1" applyBorder="1" applyFont="1" applyNumberFormat="1">
      <alignment horizontal="right"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7" numFmtId="166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shrinkToFit="0" wrapText="1"/>
    </xf>
    <xf borderId="12" fillId="0" fontId="3" numFmtId="2" xfId="0" applyAlignment="1" applyBorder="1" applyFont="1" applyNumberFormat="1">
      <alignment horizontal="right" shrinkToFit="0" vertical="center" wrapText="1"/>
    </xf>
    <xf borderId="12" fillId="0" fontId="3" numFmtId="0" xfId="0" applyAlignment="1" applyBorder="1" applyFont="1">
      <alignment horizontal="right" shrinkToFit="0" vertical="center" wrapText="1"/>
    </xf>
    <xf borderId="12" fillId="0" fontId="3" numFmtId="3" xfId="0" applyAlignment="1" applyBorder="1" applyFont="1" applyNumberFormat="1">
      <alignment horizontal="right" shrinkToFit="0" vertical="center" wrapText="1"/>
    </xf>
    <xf borderId="15" fillId="5" fontId="3" numFmtId="3" xfId="0" applyAlignment="1" applyBorder="1" applyFont="1" applyNumberFormat="1">
      <alignment horizontal="right" shrinkToFit="0" vertical="center" wrapText="1"/>
    </xf>
    <xf borderId="15" fillId="4" fontId="3" numFmtId="172" xfId="0" applyAlignment="1" applyBorder="1" applyFont="1" applyNumberFormat="1">
      <alignment horizontal="right" shrinkToFit="0" vertical="center" wrapText="1"/>
    </xf>
    <xf borderId="12" fillId="0" fontId="3" numFmtId="166" xfId="0" applyAlignment="1" applyBorder="1" applyFont="1" applyNumberFormat="1">
      <alignment horizontal="right" shrinkToFit="0" vertical="center" wrapText="1"/>
    </xf>
    <xf borderId="12" fillId="0" fontId="3" numFmtId="172" xfId="0" applyAlignment="1" applyBorder="1" applyFont="1" applyNumberFormat="1">
      <alignment horizontal="right" shrinkToFit="0" vertical="center" wrapText="1"/>
    </xf>
    <xf borderId="11" fillId="0" fontId="3" numFmtId="0" xfId="0" applyAlignment="1" applyBorder="1" applyFont="1">
      <alignment horizontal="right" shrinkToFit="0" vertical="center" wrapText="1"/>
    </xf>
    <xf borderId="12" fillId="0" fontId="3" numFmtId="0" xfId="0" applyBorder="1" applyFont="1"/>
    <xf borderId="5" fillId="4" fontId="5" numFmtId="3" xfId="0" applyAlignment="1" applyBorder="1" applyFont="1" applyNumberFormat="1">
      <alignment horizontal="right"/>
    </xf>
    <xf borderId="5" fillId="0" fontId="5" numFmtId="3" xfId="0" applyAlignment="1" applyBorder="1" applyFont="1" applyNumberFormat="1">
      <alignment horizontal="right"/>
    </xf>
    <xf borderId="0" fillId="0" fontId="3" numFmtId="0" xfId="0" applyAlignment="1" applyFont="1">
      <alignment horizontal="left" shrinkToFit="0" wrapText="1"/>
    </xf>
    <xf borderId="15" fillId="7" fontId="7" numFmtId="1" xfId="0" applyAlignment="1" applyBorder="1" applyFont="1" applyNumberFormat="1">
      <alignment horizontal="right"/>
    </xf>
    <xf borderId="12" fillId="0" fontId="7" numFmtId="1" xfId="0" applyAlignment="1" applyBorder="1" applyFont="1" applyNumberFormat="1">
      <alignment horizontal="right"/>
    </xf>
    <xf borderId="5" fillId="0" fontId="3" numFmtId="3" xfId="0" applyAlignment="1" applyBorder="1" applyFont="1" applyNumberFormat="1">
      <alignment horizontal="right"/>
    </xf>
    <xf borderId="5" fillId="0" fontId="3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28" fillId="5" fontId="1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vertical="center"/>
    </xf>
    <xf borderId="15" fillId="4" fontId="7" numFmtId="0" xfId="0" applyAlignment="1" applyBorder="1" applyFont="1">
      <alignment horizontal="left" shrinkToFit="0" vertical="center" wrapText="1"/>
    </xf>
    <xf borderId="5" fillId="4" fontId="3" numFmtId="168" xfId="0" applyAlignment="1" applyBorder="1" applyFont="1" applyNumberFormat="1">
      <alignment horizontal="righ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15" fillId="6" fontId="7" numFmtId="2" xfId="0" applyAlignment="1" applyBorder="1" applyFont="1" applyNumberFormat="1">
      <alignment horizontal="right"/>
    </xf>
    <xf borderId="5" fillId="0" fontId="3" numFmtId="173" xfId="0" applyAlignment="1" applyBorder="1" applyFont="1" applyNumberFormat="1">
      <alignment horizontal="right" vertical="center"/>
    </xf>
    <xf borderId="5" fillId="4" fontId="7" numFmtId="0" xfId="0" applyAlignment="1" applyBorder="1" applyFont="1">
      <alignment horizontal="left" shrinkToFit="0" vertical="center" wrapText="1"/>
    </xf>
    <xf borderId="15" fillId="6" fontId="7" numFmtId="0" xfId="0" applyAlignment="1" applyBorder="1" applyFont="1">
      <alignment horizontal="right"/>
    </xf>
    <xf borderId="5" fillId="4" fontId="3" numFmtId="3" xfId="0" applyAlignment="1" applyBorder="1" applyFont="1" applyNumberFormat="1">
      <alignment horizontal="right" vertical="center"/>
    </xf>
    <xf borderId="5" fillId="0" fontId="3" numFmtId="3" xfId="0" applyAlignment="1" applyBorder="1" applyFont="1" applyNumberFormat="1">
      <alignment horizontal="right" vertical="center"/>
    </xf>
    <xf borderId="27" fillId="3" fontId="1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/>
    </xf>
    <xf borderId="15" fillId="4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right" shrinkToFit="0" wrapText="1"/>
    </xf>
    <xf borderId="12" fillId="0" fontId="7" numFmtId="0" xfId="0" applyAlignment="1" applyBorder="1" applyFont="1">
      <alignment horizontal="right" shrinkToFit="0" wrapText="1"/>
    </xf>
    <xf borderId="5" fillId="4" fontId="3" numFmtId="0" xfId="0" applyAlignment="1" applyBorder="1" applyFont="1">
      <alignment horizontal="left" vertical="center"/>
    </xf>
    <xf borderId="5" fillId="0" fontId="7" numFmtId="2" xfId="0" applyAlignment="1" applyBorder="1" applyFont="1" applyNumberFormat="1">
      <alignment horizontal="right" shrinkToFit="0" wrapText="1"/>
    </xf>
    <xf borderId="12" fillId="0" fontId="7" numFmtId="2" xfId="0" applyAlignment="1" applyBorder="1" applyFont="1" applyNumberFormat="1">
      <alignment horizontal="right" shrinkToFit="0" wrapText="1"/>
    </xf>
    <xf borderId="5" fillId="4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2" fontId="9" numFmtId="0" xfId="0" applyAlignment="1" applyBorder="1" applyFont="1">
      <alignment horizontal="center"/>
    </xf>
    <xf borderId="3" fillId="2" fontId="9" numFmtId="0" xfId="0" applyAlignment="1" applyBorder="1" applyFont="1">
      <alignment horizontal="center"/>
    </xf>
    <xf borderId="29" fillId="3" fontId="9" numFmtId="0" xfId="0" applyAlignment="1" applyBorder="1" applyFont="1">
      <alignment horizontal="center"/>
    </xf>
    <xf borderId="9" fillId="3" fontId="9" numFmtId="0" xfId="0" applyAlignment="1" applyBorder="1" applyFont="1">
      <alignment horizontal="center"/>
    </xf>
    <xf borderId="30" fillId="3" fontId="9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5" fillId="3" fontId="9" numFmtId="0" xfId="0" applyAlignment="1" applyBorder="1" applyFont="1">
      <alignment horizontal="center"/>
    </xf>
    <xf borderId="25" fillId="3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15" fillId="7" fontId="7" numFmtId="0" xfId="0" applyAlignment="1" applyBorder="1" applyFont="1">
      <alignment horizontal="left"/>
    </xf>
    <xf borderId="11" fillId="0" fontId="9" numFmtId="0" xfId="0" applyAlignment="1" applyBorder="1" applyFont="1">
      <alignment horizontal="center" vertical="center"/>
    </xf>
    <xf borderId="15" fillId="7" fontId="9" numFmtId="0" xfId="0" applyAlignment="1" applyBorder="1" applyFont="1">
      <alignment horizontal="center"/>
    </xf>
    <xf borderId="5" fillId="7" fontId="7" numFmtId="0" xfId="0" applyAlignment="1" applyBorder="1" applyFont="1">
      <alignment horizontal="center"/>
    </xf>
    <xf borderId="5" fillId="7" fontId="7" numFmtId="0" xfId="0" applyAlignment="1" applyBorder="1" applyFont="1">
      <alignment horizontal="right"/>
    </xf>
    <xf borderId="5" fillId="7" fontId="7" numFmtId="169" xfId="0" applyAlignment="1" applyBorder="1" applyFont="1" applyNumberFormat="1">
      <alignment horizontal="right"/>
    </xf>
    <xf borderId="5" fillId="0" fontId="7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0" fontId="7" numFmtId="169" xfId="0" applyAlignment="1" applyBorder="1" applyFont="1" applyNumberFormat="1">
      <alignment horizontal="right"/>
    </xf>
    <xf borderId="9" fillId="0" fontId="9" numFmtId="0" xfId="0" applyAlignment="1" applyBorder="1" applyFont="1">
      <alignment horizontal="center" vertical="center"/>
    </xf>
    <xf borderId="5" fillId="7" fontId="9" numFmtId="0" xfId="0" applyAlignment="1" applyBorder="1" applyFont="1">
      <alignment horizontal="center"/>
    </xf>
    <xf borderId="5" fillId="7" fontId="7" numFmtId="2" xfId="0" applyAlignment="1" applyBorder="1" applyFont="1" applyNumberFormat="1">
      <alignment horizontal="right"/>
    </xf>
    <xf borderId="5" fillId="6" fontId="7" numFmtId="0" xfId="0" applyAlignment="1" applyBorder="1" applyFont="1">
      <alignment horizontal="right"/>
    </xf>
    <xf borderId="0" fillId="0" fontId="10" numFmtId="0" xfId="0" applyFont="1"/>
    <xf borderId="0" fillId="0" fontId="11" numFmtId="0" xfId="0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vertical="top"/>
    </xf>
    <xf borderId="25" fillId="3" fontId="1" numFmtId="0" xfId="0" applyBorder="1" applyFont="1"/>
    <xf borderId="15" fillId="4" fontId="3" numFmtId="0" xfId="0" applyAlignment="1" applyBorder="1" applyFont="1">
      <alignment horizontal="left" shrinkToFit="0" vertical="center" wrapText="1"/>
    </xf>
    <xf borderId="15" fillId="4" fontId="3" numFmtId="49" xfId="0" applyAlignment="1" applyBorder="1" applyFont="1" applyNumberFormat="1">
      <alignment horizontal="right" shrinkToFit="0" vertical="center" wrapText="1"/>
    </xf>
    <xf borderId="5" fillId="0" fontId="3" numFmtId="168" xfId="0" applyAlignment="1" applyBorder="1" applyFont="1" applyNumberFormat="1">
      <alignment horizontal="right" shrinkToFit="0" vertical="center" wrapText="1"/>
    </xf>
    <xf borderId="15" fillId="5" fontId="3" numFmtId="166" xfId="0" applyAlignment="1" applyBorder="1" applyFont="1" applyNumberFormat="1">
      <alignment horizontal="right" shrinkToFit="0" vertical="center" wrapText="1"/>
    </xf>
    <xf borderId="27" fillId="4" fontId="3" numFmtId="166" xfId="0" applyAlignment="1" applyBorder="1" applyFont="1" applyNumberFormat="1">
      <alignment horizontal="right" shrinkToFit="0" vertical="center" wrapText="1"/>
    </xf>
    <xf borderId="6" fillId="0" fontId="3" numFmtId="166" xfId="0" applyAlignment="1" applyBorder="1" applyFont="1" applyNumberFormat="1">
      <alignment horizontal="right" shrinkToFit="0" vertical="center" wrapText="1"/>
    </xf>
    <xf borderId="15" fillId="4" fontId="7" numFmtId="0" xfId="0" applyAlignment="1" applyBorder="1" applyFont="1">
      <alignment shrinkToFit="0" vertical="center" wrapText="1"/>
    </xf>
    <xf borderId="15" fillId="4" fontId="3" numFmtId="169" xfId="0" applyAlignment="1" applyBorder="1" applyFont="1" applyNumberFormat="1">
      <alignment horizontal="right" shrinkToFit="0" vertical="center" wrapText="1"/>
    </xf>
    <xf borderId="12" fillId="0" fontId="3" numFmtId="169" xfId="0" applyAlignment="1" applyBorder="1" applyFont="1" applyNumberFormat="1">
      <alignment horizontal="right" shrinkToFit="0" vertical="center" wrapText="1"/>
    </xf>
    <xf borderId="12" fillId="0" fontId="3" numFmtId="165" xfId="0" applyAlignment="1" applyBorder="1" applyFont="1" applyNumberFormat="1">
      <alignment horizontal="right" shrinkToFit="0" vertical="center" wrapText="1"/>
    </xf>
    <xf borderId="15" fillId="5" fontId="3" numFmtId="0" xfId="0" applyAlignment="1" applyBorder="1" applyFont="1">
      <alignment horizontal="right" shrinkToFit="0" vertical="center" wrapText="1"/>
    </xf>
    <xf borderId="0" fillId="0" fontId="3" numFmtId="2" xfId="0" applyAlignment="1" applyFont="1" applyNumberFormat="1">
      <alignment horizontal="right" shrinkToFit="0" vertical="center" wrapText="1"/>
    </xf>
    <xf borderId="5" fillId="4" fontId="5" numFmtId="2" xfId="0" applyBorder="1" applyFont="1" applyNumberFormat="1"/>
    <xf borderId="5" fillId="0" fontId="5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1219200</xdr:colOff>
      <xdr:row>42</xdr:row>
      <xdr:rowOff>47625</xdr:rowOff>
    </xdr:from>
    <xdr:ext cx="38100" cy="0"/>
    <xdr:grpSp>
      <xdr:nvGrpSpPr>
        <xdr:cNvPr id="2" name="Shape 2"/>
        <xdr:cNvGrpSpPr/>
      </xdr:nvGrpSpPr>
      <xdr:grpSpPr>
        <a:xfrm>
          <a:off x="5326950" y="3780000"/>
          <a:ext cx="38100" cy="0"/>
          <a:chOff x="5326950" y="3780000"/>
          <a:chExt cx="38100" cy="0"/>
        </a:xfrm>
      </xdr:grpSpPr>
      <xdr:grpSp>
        <xdr:nvGrpSpPr>
          <xdr:cNvPr id="3" name="Shape 3"/>
          <xdr:cNvGrpSpPr/>
        </xdr:nvGrpSpPr>
        <xdr:grpSpPr>
          <a:xfrm>
            <a:off x="5326950" y="3780000"/>
            <a:ext cx="38100" cy="0"/>
            <a:chOff x="5326950" y="3780000"/>
            <a:chExt cx="38100" cy="0"/>
          </a:xfrm>
        </xdr:grpSpPr>
        <xdr:sp>
          <xdr:nvSpPr>
            <xdr:cNvPr id="4" name="Shape 4"/>
            <xdr:cNvSpPr/>
          </xdr:nvSpPr>
          <xdr:spPr>
            <a:xfrm>
              <a:off x="5326950" y="3780000"/>
              <a:ext cx="3810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5326950" y="3780000"/>
              <a:ext cx="38100" cy="0"/>
              <a:chOff x="5326950" y="3780000"/>
              <a:chExt cx="38100" cy="0"/>
            </a:xfrm>
          </xdr:grpSpPr>
          <xdr:sp>
            <xdr:nvSpPr>
              <xdr:cNvPr id="6" name="Shape 6"/>
              <xdr:cNvSpPr/>
            </xdr:nvSpPr>
            <xdr:spPr>
              <a:xfrm>
                <a:off x="5326950" y="3780000"/>
                <a:ext cx="38100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5326950" y="3780000"/>
                <a:ext cx="38100" cy="0"/>
                <a:chOff x="5326950" y="3780000"/>
                <a:chExt cx="38100" cy="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5326950" y="3780000"/>
                  <a:ext cx="38100" cy="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5326950" y="3780000"/>
                  <a:ext cx="38100" cy="0"/>
                  <a:chOff x="5331713" y="3780000"/>
                  <a:chExt cx="28575" cy="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5331713" y="3780000"/>
                    <a:ext cx="28575" cy="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cxnSp>
                <xdr:nvCxnSpPr>
                  <xdr:cNvPr id="11" name="Shape 11"/>
                  <xdr:cNvCxnSpPr/>
                </xdr:nvCxnSpPr>
                <xdr:spPr>
                  <a:xfrm>
                    <a:off x="5331713" y="3780000"/>
                    <a:ext cx="28575" cy="0"/>
                  </a:xfrm>
                  <a:prstGeom prst="straightConnector1">
                    <a:avLst/>
                  </a:prstGeom>
                  <a:noFill/>
                  <a:ln cap="flat" cmpd="sng" w="9525">
                    <a:solidFill>
                      <a:schemeClr val="accent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</xdr:grpSp>
          </xdr:grp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4.71"/>
    <col customWidth="1" min="3" max="3" width="8.71"/>
    <col customWidth="1" min="4" max="4" width="50.0"/>
    <col customWidth="1" min="5" max="5" width="16.14" outlineLevel="1"/>
    <col customWidth="1" min="6" max="6" width="11.71" outlineLevel="1"/>
    <col customWidth="1" min="7" max="7" width="14.29" outlineLevel="1"/>
    <col customWidth="1" min="8" max="8" width="12.71" outlineLevel="1"/>
    <col customWidth="1" min="9" max="9" width="14.14" outlineLevel="1"/>
    <col customWidth="1" min="10" max="10" width="12.86" outlineLevel="1"/>
    <col customWidth="1" min="11" max="11" width="13.29" outlineLevel="1"/>
    <col customWidth="1" min="12" max="12" width="11.29" outlineLevel="1"/>
    <col customWidth="1" min="13" max="13" width="10.86" outlineLevel="1"/>
    <col customWidth="1" min="14" max="14" width="10.29" outlineLevel="1"/>
    <col customWidth="1" min="15" max="15" width="9.86" outlineLevel="1"/>
    <col customWidth="1" min="16" max="16" width="10.43" outlineLevel="1"/>
    <col customWidth="1" min="17" max="17" width="18.71"/>
    <col customWidth="1" min="18" max="18" width="11.0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8" t="s">
        <v>21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22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4.25" customHeight="1">
      <c r="A7" s="12" t="s">
        <v>23</v>
      </c>
      <c r="B7" s="13" t="s">
        <v>24</v>
      </c>
      <c r="C7" s="14">
        <v>1.0</v>
      </c>
      <c r="D7" s="15" t="s">
        <v>25</v>
      </c>
      <c r="E7" s="16">
        <v>0.1</v>
      </c>
      <c r="F7" s="16">
        <v>0.1</v>
      </c>
      <c r="G7" s="16">
        <v>0.1</v>
      </c>
      <c r="H7" s="16">
        <v>0.1</v>
      </c>
      <c r="I7" s="16">
        <v>0.1</v>
      </c>
      <c r="J7" s="16">
        <v>0.4</v>
      </c>
      <c r="K7" s="17">
        <v>0.6</v>
      </c>
      <c r="L7" s="17">
        <v>1.2</v>
      </c>
      <c r="M7" s="18">
        <v>6.4</v>
      </c>
      <c r="N7" s="18">
        <v>0.1</v>
      </c>
      <c r="O7" s="18">
        <v>0.1</v>
      </c>
      <c r="P7" s="18">
        <v>0.1</v>
      </c>
      <c r="Q7" s="19">
        <f t="shared" ref="Q7:Q36" si="1">AVERAGE(E7:P7)</f>
        <v>0.7833333333</v>
      </c>
      <c r="R7" s="20">
        <v>5.0</v>
      </c>
    </row>
    <row r="8" ht="14.25" customHeight="1">
      <c r="A8" s="21"/>
      <c r="B8" s="22"/>
      <c r="C8" s="23">
        <v>2.0</v>
      </c>
      <c r="D8" s="24" t="s">
        <v>26</v>
      </c>
      <c r="E8" s="25">
        <v>0.1</v>
      </c>
      <c r="F8" s="25">
        <v>0.1</v>
      </c>
      <c r="G8" s="25">
        <v>0.1</v>
      </c>
      <c r="H8" s="25">
        <v>0.1</v>
      </c>
      <c r="I8" s="25">
        <v>0.1</v>
      </c>
      <c r="J8" s="25">
        <v>1.3</v>
      </c>
      <c r="K8" s="26">
        <v>1.5</v>
      </c>
      <c r="L8" s="26">
        <v>2.0</v>
      </c>
      <c r="M8" s="27">
        <v>6.4</v>
      </c>
      <c r="N8" s="27">
        <v>0.2</v>
      </c>
      <c r="O8" s="27">
        <v>0.1</v>
      </c>
      <c r="P8" s="27">
        <v>0.1</v>
      </c>
      <c r="Q8" s="28">
        <f t="shared" si="1"/>
        <v>1.008333333</v>
      </c>
      <c r="R8" s="29">
        <v>5.0</v>
      </c>
    </row>
    <row r="9" ht="14.25" customHeight="1">
      <c r="A9" s="21"/>
      <c r="B9" s="22"/>
      <c r="C9" s="23">
        <v>3.0</v>
      </c>
      <c r="D9" s="24" t="s">
        <v>27</v>
      </c>
      <c r="E9" s="25">
        <v>0.1</v>
      </c>
      <c r="F9" s="25">
        <v>0.1</v>
      </c>
      <c r="G9" s="25">
        <v>0.1</v>
      </c>
      <c r="H9" s="25">
        <v>0.1</v>
      </c>
      <c r="I9" s="25">
        <v>0.1</v>
      </c>
      <c r="J9" s="25">
        <v>0.4</v>
      </c>
      <c r="K9" s="26">
        <v>0.2</v>
      </c>
      <c r="L9" s="26">
        <v>2.0</v>
      </c>
      <c r="M9" s="27">
        <v>6.0</v>
      </c>
      <c r="N9" s="27">
        <v>0.3</v>
      </c>
      <c r="O9" s="27">
        <v>0.1</v>
      </c>
      <c r="P9" s="27">
        <v>0.1</v>
      </c>
      <c r="Q9" s="28">
        <f t="shared" si="1"/>
        <v>0.8</v>
      </c>
      <c r="R9" s="29">
        <v>5.0</v>
      </c>
    </row>
    <row r="10" ht="14.25" customHeight="1">
      <c r="A10" s="21"/>
      <c r="B10" s="22"/>
      <c r="C10" s="23">
        <v>4.0</v>
      </c>
      <c r="D10" s="24" t="s">
        <v>28</v>
      </c>
      <c r="E10" s="25">
        <v>1.0</v>
      </c>
      <c r="F10" s="25">
        <v>4.0</v>
      </c>
      <c r="G10" s="25">
        <v>2.3</v>
      </c>
      <c r="H10" s="25">
        <v>3.5</v>
      </c>
      <c r="I10" s="25">
        <v>0.1</v>
      </c>
      <c r="J10" s="25">
        <v>4.1</v>
      </c>
      <c r="K10" s="26">
        <v>0.7</v>
      </c>
      <c r="L10" s="26">
        <v>6.5</v>
      </c>
      <c r="M10" s="27">
        <v>7.3</v>
      </c>
      <c r="N10" s="27">
        <v>0.1</v>
      </c>
      <c r="O10" s="27">
        <v>0.1</v>
      </c>
      <c r="P10" s="27">
        <v>0.1</v>
      </c>
      <c r="Q10" s="28">
        <f t="shared" si="1"/>
        <v>2.483333333</v>
      </c>
      <c r="R10" s="29">
        <v>5.0</v>
      </c>
    </row>
    <row r="11" ht="14.25" customHeight="1">
      <c r="A11" s="21"/>
      <c r="B11" s="30"/>
      <c r="C11" s="23">
        <v>5.0</v>
      </c>
      <c r="D11" s="24" t="s">
        <v>29</v>
      </c>
      <c r="E11" s="25">
        <v>1.3</v>
      </c>
      <c r="F11" s="25">
        <v>3.4</v>
      </c>
      <c r="G11" s="25">
        <v>3.9</v>
      </c>
      <c r="H11" s="25">
        <v>5.5</v>
      </c>
      <c r="I11" s="25">
        <v>2.1</v>
      </c>
      <c r="J11" s="25">
        <v>4.3</v>
      </c>
      <c r="K11" s="26">
        <v>5.1</v>
      </c>
      <c r="L11" s="26">
        <v>5.8</v>
      </c>
      <c r="M11" s="27">
        <v>7.1</v>
      </c>
      <c r="N11" s="27">
        <v>3.1</v>
      </c>
      <c r="O11" s="27">
        <v>4.9</v>
      </c>
      <c r="P11" s="27">
        <v>0.1</v>
      </c>
      <c r="Q11" s="28">
        <f t="shared" si="1"/>
        <v>3.883333333</v>
      </c>
      <c r="R11" s="29">
        <v>5.0</v>
      </c>
    </row>
    <row r="12" ht="14.25" customHeight="1">
      <c r="A12" s="21"/>
      <c r="B12" s="13" t="s">
        <v>30</v>
      </c>
      <c r="C12" s="31">
        <v>1.0</v>
      </c>
      <c r="D12" s="32" t="s">
        <v>25</v>
      </c>
      <c r="E12" s="33">
        <v>64.0</v>
      </c>
      <c r="F12" s="33">
        <v>49.0</v>
      </c>
      <c r="G12" s="33">
        <v>46.0</v>
      </c>
      <c r="H12" s="33">
        <v>45.0</v>
      </c>
      <c r="I12" s="33">
        <v>57.0</v>
      </c>
      <c r="J12" s="33">
        <v>11.0</v>
      </c>
      <c r="K12" s="34">
        <v>27.0</v>
      </c>
      <c r="L12" s="34">
        <v>6.0</v>
      </c>
      <c r="M12" s="35">
        <v>3.0</v>
      </c>
      <c r="N12" s="35">
        <v>7.0</v>
      </c>
      <c r="O12" s="35">
        <v>46.0</v>
      </c>
      <c r="P12" s="35">
        <v>43.0</v>
      </c>
      <c r="Q12" s="36">
        <f t="shared" si="1"/>
        <v>33.66666667</v>
      </c>
      <c r="R12" s="20">
        <v>7.0</v>
      </c>
    </row>
    <row r="13" ht="14.25" customHeight="1">
      <c r="A13" s="21"/>
      <c r="B13" s="22"/>
      <c r="C13" s="23">
        <v>2.0</v>
      </c>
      <c r="D13" s="24" t="s">
        <v>26</v>
      </c>
      <c r="E13" s="37">
        <v>58.0</v>
      </c>
      <c r="F13" s="37">
        <v>40.0</v>
      </c>
      <c r="G13" s="37">
        <v>33.0</v>
      </c>
      <c r="H13" s="37">
        <v>47.0</v>
      </c>
      <c r="I13" s="37">
        <v>78.0</v>
      </c>
      <c r="J13" s="37">
        <v>17.0</v>
      </c>
      <c r="K13" s="38">
        <v>17.0</v>
      </c>
      <c r="L13" s="38">
        <v>6.0</v>
      </c>
      <c r="M13" s="39">
        <v>3.0</v>
      </c>
      <c r="N13" s="39">
        <v>9.0</v>
      </c>
      <c r="O13" s="39">
        <v>49.0</v>
      </c>
      <c r="P13" s="39">
        <v>42.0</v>
      </c>
      <c r="Q13" s="40">
        <f t="shared" si="1"/>
        <v>33.25</v>
      </c>
      <c r="R13" s="29">
        <v>7.0</v>
      </c>
    </row>
    <row r="14" ht="14.25" customHeight="1">
      <c r="A14" s="21"/>
      <c r="B14" s="22"/>
      <c r="C14" s="23">
        <v>3.0</v>
      </c>
      <c r="D14" s="24" t="s">
        <v>27</v>
      </c>
      <c r="E14" s="37">
        <v>65.0</v>
      </c>
      <c r="F14" s="37">
        <v>46.0</v>
      </c>
      <c r="G14" s="37">
        <v>33.0</v>
      </c>
      <c r="H14" s="37">
        <v>41.0</v>
      </c>
      <c r="I14" s="37">
        <v>92.0</v>
      </c>
      <c r="J14" s="37">
        <v>12.0</v>
      </c>
      <c r="K14" s="38">
        <v>12.0</v>
      </c>
      <c r="L14" s="38">
        <v>5.0</v>
      </c>
      <c r="M14" s="39">
        <v>2.0</v>
      </c>
      <c r="N14" s="39">
        <v>10.0</v>
      </c>
      <c r="O14" s="39">
        <v>28.0</v>
      </c>
      <c r="P14" s="39">
        <v>75.0</v>
      </c>
      <c r="Q14" s="40">
        <f t="shared" si="1"/>
        <v>35.08333333</v>
      </c>
      <c r="R14" s="29">
        <v>7.0</v>
      </c>
    </row>
    <row r="15" ht="14.25" customHeight="1">
      <c r="A15" s="21"/>
      <c r="B15" s="22"/>
      <c r="C15" s="23">
        <v>4.0</v>
      </c>
      <c r="D15" s="24" t="s">
        <v>28</v>
      </c>
      <c r="E15" s="37">
        <v>58.0</v>
      </c>
      <c r="F15" s="37">
        <v>26.0</v>
      </c>
      <c r="G15" s="37">
        <v>35.0</v>
      </c>
      <c r="H15" s="37">
        <v>35.0</v>
      </c>
      <c r="I15" s="37">
        <v>47.0</v>
      </c>
      <c r="J15" s="37">
        <v>11.0</v>
      </c>
      <c r="K15" s="38">
        <v>49.0</v>
      </c>
      <c r="L15" s="38">
        <v>5.0</v>
      </c>
      <c r="M15" s="39">
        <v>3.0</v>
      </c>
      <c r="N15" s="39">
        <v>37.0</v>
      </c>
      <c r="O15" s="39">
        <v>62.0</v>
      </c>
      <c r="P15" s="39">
        <v>24.0</v>
      </c>
      <c r="Q15" s="40">
        <f t="shared" si="1"/>
        <v>32.66666667</v>
      </c>
      <c r="R15" s="29">
        <v>7.0</v>
      </c>
    </row>
    <row r="16" ht="14.25" customHeight="1">
      <c r="A16" s="21"/>
      <c r="B16" s="30"/>
      <c r="C16" s="23">
        <v>5.0</v>
      </c>
      <c r="D16" s="24" t="s">
        <v>29</v>
      </c>
      <c r="E16" s="37">
        <v>59.0</v>
      </c>
      <c r="F16" s="37">
        <v>26.0</v>
      </c>
      <c r="G16" s="37">
        <v>26.0</v>
      </c>
      <c r="H16" s="37">
        <v>33.0</v>
      </c>
      <c r="I16" s="37">
        <v>28.0</v>
      </c>
      <c r="J16" s="37">
        <v>16.0</v>
      </c>
      <c r="K16" s="38">
        <v>12.0</v>
      </c>
      <c r="L16" s="38">
        <v>5.0</v>
      </c>
      <c r="M16" s="39">
        <v>3.0</v>
      </c>
      <c r="N16" s="39">
        <v>8.0</v>
      </c>
      <c r="O16" s="39">
        <v>14.0</v>
      </c>
      <c r="P16" s="39">
        <v>27.0</v>
      </c>
      <c r="Q16" s="40">
        <f t="shared" si="1"/>
        <v>21.41666667</v>
      </c>
      <c r="R16" s="29">
        <v>7.0</v>
      </c>
    </row>
    <row r="17" ht="14.25" customHeight="1">
      <c r="A17" s="21"/>
      <c r="B17" s="13" t="s">
        <v>31</v>
      </c>
      <c r="C17" s="31">
        <v>1.0</v>
      </c>
      <c r="D17" s="32" t="s">
        <v>25</v>
      </c>
      <c r="E17" s="33" t="s">
        <v>32</v>
      </c>
      <c r="F17" s="33">
        <v>9.0</v>
      </c>
      <c r="G17" s="33">
        <v>18.0</v>
      </c>
      <c r="H17" s="33">
        <v>11.0</v>
      </c>
      <c r="I17" s="33">
        <v>22.0</v>
      </c>
      <c r="J17" s="33">
        <v>44.0</v>
      </c>
      <c r="K17" s="34">
        <v>13.0</v>
      </c>
      <c r="L17" s="34">
        <v>49.0</v>
      </c>
      <c r="M17" s="35">
        <v>213.0</v>
      </c>
      <c r="N17" s="35">
        <v>60.0</v>
      </c>
      <c r="O17" s="35">
        <v>37.0</v>
      </c>
      <c r="P17" s="35">
        <v>20.0</v>
      </c>
      <c r="Q17" s="36">
        <f t="shared" si="1"/>
        <v>45.09090909</v>
      </c>
      <c r="R17" s="20">
        <v>80.0</v>
      </c>
    </row>
    <row r="18" ht="14.25" customHeight="1">
      <c r="A18" s="21"/>
      <c r="B18" s="22"/>
      <c r="C18" s="23">
        <v>2.0</v>
      </c>
      <c r="D18" s="24" t="s">
        <v>26</v>
      </c>
      <c r="E18" s="37">
        <v>33.0</v>
      </c>
      <c r="F18" s="37">
        <v>11.0</v>
      </c>
      <c r="G18" s="37">
        <v>18.0</v>
      </c>
      <c r="H18" s="37">
        <v>10.0</v>
      </c>
      <c r="I18" s="37">
        <v>30.0</v>
      </c>
      <c r="J18" s="37">
        <v>35.0</v>
      </c>
      <c r="K18" s="38">
        <v>16.0</v>
      </c>
      <c r="L18" s="38">
        <v>47.0</v>
      </c>
      <c r="M18" s="39">
        <v>577.0</v>
      </c>
      <c r="N18" s="39">
        <v>88.0</v>
      </c>
      <c r="O18" s="39">
        <v>32.0</v>
      </c>
      <c r="P18" s="39">
        <v>16.0</v>
      </c>
      <c r="Q18" s="40">
        <f t="shared" si="1"/>
        <v>76.08333333</v>
      </c>
      <c r="R18" s="29">
        <v>80.0</v>
      </c>
    </row>
    <row r="19" ht="14.25" customHeight="1">
      <c r="A19" s="21"/>
      <c r="B19" s="22"/>
      <c r="C19" s="23">
        <v>3.0</v>
      </c>
      <c r="D19" s="24" t="s">
        <v>27</v>
      </c>
      <c r="E19" s="37">
        <v>33.0</v>
      </c>
      <c r="F19" s="37">
        <v>11.0</v>
      </c>
      <c r="G19" s="37">
        <v>15.0</v>
      </c>
      <c r="H19" s="37">
        <v>10.0</v>
      </c>
      <c r="I19" s="37">
        <v>24.0</v>
      </c>
      <c r="J19" s="37">
        <v>34.0</v>
      </c>
      <c r="K19" s="38">
        <v>22.0</v>
      </c>
      <c r="L19" s="38">
        <v>47.0</v>
      </c>
      <c r="M19" s="39">
        <v>590.0</v>
      </c>
      <c r="N19" s="39">
        <v>68.0</v>
      </c>
      <c r="O19" s="39">
        <v>35.0</v>
      </c>
      <c r="P19" s="39">
        <v>19.0</v>
      </c>
      <c r="Q19" s="40">
        <f t="shared" si="1"/>
        <v>75.66666667</v>
      </c>
      <c r="R19" s="29">
        <v>80.0</v>
      </c>
    </row>
    <row r="20" ht="14.25" customHeight="1">
      <c r="A20" s="21"/>
      <c r="B20" s="22"/>
      <c r="C20" s="23">
        <v>4.0</v>
      </c>
      <c r="D20" s="24" t="s">
        <v>28</v>
      </c>
      <c r="E20" s="37">
        <v>30.0</v>
      </c>
      <c r="F20" s="37">
        <v>12.0</v>
      </c>
      <c r="G20" s="37">
        <v>21.0</v>
      </c>
      <c r="H20" s="37">
        <v>11.0</v>
      </c>
      <c r="I20" s="37">
        <v>27.0</v>
      </c>
      <c r="J20" s="37">
        <v>15.0</v>
      </c>
      <c r="K20" s="38">
        <v>33.0</v>
      </c>
      <c r="L20" s="38">
        <v>47.0</v>
      </c>
      <c r="M20" s="39">
        <v>418.0</v>
      </c>
      <c r="N20" s="39">
        <v>119.0</v>
      </c>
      <c r="O20" s="39">
        <v>40.0</v>
      </c>
      <c r="P20" s="39">
        <v>9.0</v>
      </c>
      <c r="Q20" s="40">
        <f t="shared" si="1"/>
        <v>65.16666667</v>
      </c>
      <c r="R20" s="29">
        <v>80.0</v>
      </c>
    </row>
    <row r="21" ht="14.25" customHeight="1">
      <c r="A21" s="21"/>
      <c r="B21" s="30"/>
      <c r="C21" s="23">
        <v>5.0</v>
      </c>
      <c r="D21" s="24" t="s">
        <v>29</v>
      </c>
      <c r="E21" s="37">
        <v>26.0</v>
      </c>
      <c r="F21" s="37">
        <v>16.0</v>
      </c>
      <c r="G21" s="37">
        <v>28.0</v>
      </c>
      <c r="H21" s="37">
        <v>34.0</v>
      </c>
      <c r="I21" s="37">
        <v>32.0</v>
      </c>
      <c r="J21" s="37">
        <v>13.0</v>
      </c>
      <c r="K21" s="38">
        <v>11.0</v>
      </c>
      <c r="L21" s="38">
        <v>47.0</v>
      </c>
      <c r="M21" s="39">
        <v>463.0</v>
      </c>
      <c r="N21" s="39">
        <v>91.0</v>
      </c>
      <c r="O21" s="39">
        <v>11.0</v>
      </c>
      <c r="P21" s="39">
        <v>8.0</v>
      </c>
      <c r="Q21" s="40">
        <f t="shared" si="1"/>
        <v>65</v>
      </c>
      <c r="R21" s="29">
        <v>80.0</v>
      </c>
    </row>
    <row r="22" ht="14.25" customHeight="1">
      <c r="A22" s="21"/>
      <c r="B22" s="13" t="s">
        <v>33</v>
      </c>
      <c r="C22" s="31">
        <v>1.0</v>
      </c>
      <c r="D22" s="32" t="s">
        <v>25</v>
      </c>
      <c r="E22" s="41">
        <v>7.0</v>
      </c>
      <c r="F22" s="41">
        <v>7.3</v>
      </c>
      <c r="G22" s="41">
        <v>7.0</v>
      </c>
      <c r="H22" s="41">
        <v>7.0</v>
      </c>
      <c r="I22" s="41">
        <v>7.1</v>
      </c>
      <c r="J22" s="41">
        <v>7.0</v>
      </c>
      <c r="K22" s="42">
        <v>7.0</v>
      </c>
      <c r="L22" s="42">
        <v>7.0</v>
      </c>
      <c r="M22" s="18">
        <v>7.0</v>
      </c>
      <c r="N22" s="18">
        <v>7.0</v>
      </c>
      <c r="O22" s="18">
        <v>7.0</v>
      </c>
      <c r="P22" s="18">
        <v>7.0</v>
      </c>
      <c r="Q22" s="19">
        <f t="shared" si="1"/>
        <v>7.033333333</v>
      </c>
      <c r="R22" s="18" t="s">
        <v>34</v>
      </c>
    </row>
    <row r="23" ht="14.25" customHeight="1">
      <c r="A23" s="21"/>
      <c r="B23" s="22"/>
      <c r="C23" s="23">
        <v>2.0</v>
      </c>
      <c r="D23" s="24" t="s">
        <v>26</v>
      </c>
      <c r="E23" s="25">
        <v>7.0</v>
      </c>
      <c r="F23" s="25">
        <v>7.3</v>
      </c>
      <c r="G23" s="25">
        <v>7.0</v>
      </c>
      <c r="H23" s="25">
        <v>6.9</v>
      </c>
      <c r="I23" s="25">
        <v>7.0</v>
      </c>
      <c r="J23" s="25">
        <v>7.0</v>
      </c>
      <c r="K23" s="26">
        <v>7.0</v>
      </c>
      <c r="L23" s="26">
        <v>7.0</v>
      </c>
      <c r="M23" s="27">
        <v>7.0</v>
      </c>
      <c r="N23" s="27">
        <v>7.0</v>
      </c>
      <c r="O23" s="27">
        <v>7.0</v>
      </c>
      <c r="P23" s="27">
        <v>7.0</v>
      </c>
      <c r="Q23" s="28">
        <f t="shared" si="1"/>
        <v>7.016666667</v>
      </c>
      <c r="R23" s="27" t="s">
        <v>34</v>
      </c>
    </row>
    <row r="24" ht="14.25" customHeight="1">
      <c r="A24" s="21"/>
      <c r="B24" s="22"/>
      <c r="C24" s="23">
        <v>3.0</v>
      </c>
      <c r="D24" s="24" t="s">
        <v>27</v>
      </c>
      <c r="E24" s="25">
        <v>7.0</v>
      </c>
      <c r="F24" s="25">
        <v>7.2</v>
      </c>
      <c r="G24" s="25">
        <v>7.1</v>
      </c>
      <c r="H24" s="25">
        <v>7.1</v>
      </c>
      <c r="I24" s="25">
        <v>7.0</v>
      </c>
      <c r="J24" s="25">
        <v>7.0</v>
      </c>
      <c r="K24" s="26">
        <v>7.0</v>
      </c>
      <c r="L24" s="26">
        <v>7.0</v>
      </c>
      <c r="M24" s="27">
        <v>7.0</v>
      </c>
      <c r="N24" s="27">
        <v>7.0</v>
      </c>
      <c r="O24" s="27">
        <v>7.0</v>
      </c>
      <c r="P24" s="27">
        <v>7.0</v>
      </c>
      <c r="Q24" s="28">
        <f t="shared" si="1"/>
        <v>7.033333333</v>
      </c>
      <c r="R24" s="27" t="s">
        <v>34</v>
      </c>
    </row>
    <row r="25" ht="14.25" customHeight="1">
      <c r="A25" s="21"/>
      <c r="B25" s="22"/>
      <c r="C25" s="23">
        <v>4.0</v>
      </c>
      <c r="D25" s="24" t="s">
        <v>28</v>
      </c>
      <c r="E25" s="25">
        <v>7.0</v>
      </c>
      <c r="F25" s="25">
        <v>7.3</v>
      </c>
      <c r="G25" s="25">
        <v>7.0</v>
      </c>
      <c r="H25" s="25">
        <v>7.0</v>
      </c>
      <c r="I25" s="25">
        <v>7.1</v>
      </c>
      <c r="J25" s="25">
        <v>7.0</v>
      </c>
      <c r="K25" s="26">
        <v>7.0</v>
      </c>
      <c r="L25" s="26">
        <v>7.0</v>
      </c>
      <c r="M25" s="27">
        <v>7.0</v>
      </c>
      <c r="N25" s="27">
        <v>7.0</v>
      </c>
      <c r="O25" s="27">
        <v>7.0</v>
      </c>
      <c r="P25" s="27">
        <v>7.0</v>
      </c>
      <c r="Q25" s="28">
        <f t="shared" si="1"/>
        <v>7.033333333</v>
      </c>
      <c r="R25" s="27" t="s">
        <v>34</v>
      </c>
    </row>
    <row r="26" ht="14.25" customHeight="1">
      <c r="A26" s="21"/>
      <c r="B26" s="30"/>
      <c r="C26" s="23">
        <v>5.0</v>
      </c>
      <c r="D26" s="24" t="s">
        <v>29</v>
      </c>
      <c r="E26" s="25">
        <v>7.0</v>
      </c>
      <c r="F26" s="25">
        <v>7.4</v>
      </c>
      <c r="G26" s="25">
        <v>7.1</v>
      </c>
      <c r="H26" s="25">
        <v>7.0</v>
      </c>
      <c r="I26" s="25">
        <v>7.1</v>
      </c>
      <c r="J26" s="25">
        <v>7.0</v>
      </c>
      <c r="K26" s="26">
        <v>7.0</v>
      </c>
      <c r="L26" s="26">
        <v>7.0</v>
      </c>
      <c r="M26" s="27">
        <v>7.0</v>
      </c>
      <c r="N26" s="27">
        <v>7.0</v>
      </c>
      <c r="O26" s="27">
        <v>7.0</v>
      </c>
      <c r="P26" s="27">
        <v>7.0</v>
      </c>
      <c r="Q26" s="28">
        <f t="shared" si="1"/>
        <v>7.05</v>
      </c>
      <c r="R26" s="27" t="s">
        <v>34</v>
      </c>
    </row>
    <row r="27" ht="14.25" customHeight="1">
      <c r="A27" s="21"/>
      <c r="B27" s="13" t="s">
        <v>35</v>
      </c>
      <c r="C27" s="31">
        <v>1.0</v>
      </c>
      <c r="D27" s="32" t="s">
        <v>25</v>
      </c>
      <c r="E27" s="41">
        <v>26.1</v>
      </c>
      <c r="F27" s="41">
        <v>25.8</v>
      </c>
      <c r="G27" s="41">
        <v>25.56</v>
      </c>
      <c r="H27" s="41">
        <v>29.7</v>
      </c>
      <c r="I27" s="41">
        <v>28.3</v>
      </c>
      <c r="J27" s="41">
        <v>26.3</v>
      </c>
      <c r="K27" s="43">
        <v>26.5</v>
      </c>
      <c r="L27" s="42">
        <v>25.5</v>
      </c>
      <c r="M27" s="18">
        <v>27.5</v>
      </c>
      <c r="N27" s="18">
        <v>26.5</v>
      </c>
      <c r="O27" s="18">
        <v>26.5</v>
      </c>
      <c r="P27" s="18">
        <v>29.3</v>
      </c>
      <c r="Q27" s="19">
        <f t="shared" si="1"/>
        <v>26.96333333</v>
      </c>
      <c r="R27" s="18" t="s">
        <v>36</v>
      </c>
    </row>
    <row r="28" ht="14.25" customHeight="1">
      <c r="A28" s="21"/>
      <c r="B28" s="22"/>
      <c r="C28" s="23">
        <v>2.0</v>
      </c>
      <c r="D28" s="24" t="s">
        <v>26</v>
      </c>
      <c r="E28" s="25">
        <v>26.1</v>
      </c>
      <c r="F28" s="25">
        <v>26.0</v>
      </c>
      <c r="G28" s="25">
        <v>25.7</v>
      </c>
      <c r="H28" s="25">
        <v>29.7</v>
      </c>
      <c r="I28" s="25">
        <v>28.5</v>
      </c>
      <c r="J28" s="25">
        <v>26.5</v>
      </c>
      <c r="K28" s="44">
        <v>26.5</v>
      </c>
      <c r="L28" s="26">
        <v>26.0</v>
      </c>
      <c r="M28" s="27">
        <v>27.5</v>
      </c>
      <c r="N28" s="27">
        <v>27.0</v>
      </c>
      <c r="O28" s="27">
        <v>26.5</v>
      </c>
      <c r="P28" s="27">
        <v>29.0</v>
      </c>
      <c r="Q28" s="28">
        <f t="shared" si="1"/>
        <v>27.08333333</v>
      </c>
      <c r="R28" s="27" t="s">
        <v>36</v>
      </c>
    </row>
    <row r="29" ht="14.25" customHeight="1">
      <c r="A29" s="21"/>
      <c r="B29" s="22"/>
      <c r="C29" s="23">
        <v>3.0</v>
      </c>
      <c r="D29" s="24" t="s">
        <v>27</v>
      </c>
      <c r="E29" s="25">
        <v>26.0</v>
      </c>
      <c r="F29" s="25">
        <v>25.9</v>
      </c>
      <c r="G29" s="25">
        <v>25.7</v>
      </c>
      <c r="H29" s="25">
        <v>29.8</v>
      </c>
      <c r="I29" s="25">
        <v>28.8</v>
      </c>
      <c r="J29" s="25">
        <v>26.4</v>
      </c>
      <c r="K29" s="44">
        <v>26.8</v>
      </c>
      <c r="L29" s="26">
        <v>26.0</v>
      </c>
      <c r="M29" s="27">
        <v>27.7</v>
      </c>
      <c r="N29" s="27">
        <v>27.0</v>
      </c>
      <c r="O29" s="27">
        <v>26.9</v>
      </c>
      <c r="P29" s="27">
        <v>30.01</v>
      </c>
      <c r="Q29" s="28">
        <f t="shared" si="1"/>
        <v>27.25083333</v>
      </c>
      <c r="R29" s="27" t="s">
        <v>36</v>
      </c>
    </row>
    <row r="30" ht="14.25" customHeight="1">
      <c r="A30" s="21"/>
      <c r="B30" s="22"/>
      <c r="C30" s="23">
        <v>4.0</v>
      </c>
      <c r="D30" s="24" t="s">
        <v>28</v>
      </c>
      <c r="E30" s="25">
        <v>26.2</v>
      </c>
      <c r="F30" s="25">
        <v>26.1</v>
      </c>
      <c r="G30" s="25">
        <v>25.8</v>
      </c>
      <c r="H30" s="25">
        <v>29.9</v>
      </c>
      <c r="I30" s="25">
        <v>28.8</v>
      </c>
      <c r="J30" s="25">
        <v>26.7</v>
      </c>
      <c r="K30" s="44">
        <v>26.5</v>
      </c>
      <c r="L30" s="26">
        <v>25.5</v>
      </c>
      <c r="M30" s="27">
        <v>27.6</v>
      </c>
      <c r="N30" s="27">
        <v>27.3</v>
      </c>
      <c r="O30" s="27">
        <v>27.0</v>
      </c>
      <c r="P30" s="27">
        <v>30.0</v>
      </c>
      <c r="Q30" s="28">
        <f t="shared" si="1"/>
        <v>27.28333333</v>
      </c>
      <c r="R30" s="27" t="s">
        <v>36</v>
      </c>
    </row>
    <row r="31" ht="14.25" customHeight="1">
      <c r="A31" s="21"/>
      <c r="B31" s="30"/>
      <c r="C31" s="23">
        <v>5.0</v>
      </c>
      <c r="D31" s="24" t="s">
        <v>29</v>
      </c>
      <c r="E31" s="25">
        <v>26.1</v>
      </c>
      <c r="F31" s="25">
        <v>26.1</v>
      </c>
      <c r="G31" s="25">
        <v>26.0</v>
      </c>
      <c r="H31" s="25">
        <v>29.9</v>
      </c>
      <c r="I31" s="25">
        <v>29.0</v>
      </c>
      <c r="J31" s="25">
        <v>26.7</v>
      </c>
      <c r="K31" s="44">
        <v>26.6</v>
      </c>
      <c r="L31" s="26">
        <v>25.8</v>
      </c>
      <c r="M31" s="27">
        <v>27.6</v>
      </c>
      <c r="N31" s="27">
        <v>27.0</v>
      </c>
      <c r="O31" s="27">
        <v>27.0</v>
      </c>
      <c r="P31" s="27">
        <v>29.4</v>
      </c>
      <c r="Q31" s="28">
        <f t="shared" si="1"/>
        <v>27.26666667</v>
      </c>
      <c r="R31" s="27" t="s">
        <v>36</v>
      </c>
    </row>
    <row r="32" ht="14.25" customHeight="1">
      <c r="A32" s="21"/>
      <c r="B32" s="13" t="s">
        <v>37</v>
      </c>
      <c r="C32" s="31">
        <v>1.0</v>
      </c>
      <c r="D32" s="32" t="s">
        <v>25</v>
      </c>
      <c r="E32" s="33">
        <v>30.0</v>
      </c>
      <c r="F32" s="33">
        <v>30.0</v>
      </c>
      <c r="G32" s="33">
        <v>30.0</v>
      </c>
      <c r="H32" s="33">
        <v>30.0</v>
      </c>
      <c r="I32" s="33">
        <v>30.0</v>
      </c>
      <c r="J32" s="33">
        <v>35.0</v>
      </c>
      <c r="K32" s="34">
        <v>25.0</v>
      </c>
      <c r="L32" s="34">
        <v>5.0</v>
      </c>
      <c r="M32" s="35">
        <v>10.0</v>
      </c>
      <c r="N32" s="35">
        <v>15.0</v>
      </c>
      <c r="O32" s="35">
        <v>40.0</v>
      </c>
      <c r="P32" s="35">
        <v>20.0</v>
      </c>
      <c r="Q32" s="36">
        <f t="shared" si="1"/>
        <v>25</v>
      </c>
      <c r="R32" s="20">
        <v>75.0</v>
      </c>
    </row>
    <row r="33" ht="14.25" customHeight="1">
      <c r="A33" s="21"/>
      <c r="B33" s="22"/>
      <c r="C33" s="23">
        <v>2.0</v>
      </c>
      <c r="D33" s="24" t="s">
        <v>26</v>
      </c>
      <c r="E33" s="37">
        <v>40.0</v>
      </c>
      <c r="F33" s="37">
        <v>30.0</v>
      </c>
      <c r="G33" s="37">
        <v>30.0</v>
      </c>
      <c r="H33" s="37">
        <v>30.0</v>
      </c>
      <c r="I33" s="37">
        <v>50.0</v>
      </c>
      <c r="J33" s="37">
        <v>35.0</v>
      </c>
      <c r="K33" s="38">
        <v>25.0</v>
      </c>
      <c r="L33" s="38">
        <v>15.0</v>
      </c>
      <c r="M33" s="39">
        <v>10.0</v>
      </c>
      <c r="N33" s="39">
        <v>15.0</v>
      </c>
      <c r="O33" s="39">
        <v>40.0</v>
      </c>
      <c r="P33" s="39">
        <v>20.0</v>
      </c>
      <c r="Q33" s="40">
        <f t="shared" si="1"/>
        <v>28.33333333</v>
      </c>
      <c r="R33" s="29">
        <v>75.0</v>
      </c>
    </row>
    <row r="34" ht="14.25" customHeight="1">
      <c r="A34" s="21"/>
      <c r="B34" s="22"/>
      <c r="C34" s="23">
        <v>3.0</v>
      </c>
      <c r="D34" s="24" t="s">
        <v>27</v>
      </c>
      <c r="E34" s="37">
        <v>40.0</v>
      </c>
      <c r="F34" s="37">
        <v>30.0</v>
      </c>
      <c r="G34" s="37">
        <v>30.0</v>
      </c>
      <c r="H34" s="37">
        <v>30.0</v>
      </c>
      <c r="I34" s="37">
        <v>50.0</v>
      </c>
      <c r="J34" s="37">
        <v>35.0</v>
      </c>
      <c r="K34" s="38">
        <v>25.0</v>
      </c>
      <c r="L34" s="38">
        <v>15.0</v>
      </c>
      <c r="M34" s="39">
        <v>10.0</v>
      </c>
      <c r="N34" s="39">
        <v>15.0</v>
      </c>
      <c r="O34" s="39">
        <v>30.0</v>
      </c>
      <c r="P34" s="39">
        <v>25.0</v>
      </c>
      <c r="Q34" s="40">
        <f t="shared" si="1"/>
        <v>27.91666667</v>
      </c>
      <c r="R34" s="29">
        <v>75.0</v>
      </c>
    </row>
    <row r="35" ht="14.25" customHeight="1">
      <c r="A35" s="21"/>
      <c r="B35" s="22"/>
      <c r="C35" s="23">
        <v>4.0</v>
      </c>
      <c r="D35" s="24" t="s">
        <v>28</v>
      </c>
      <c r="E35" s="37">
        <v>25.0</v>
      </c>
      <c r="F35" s="37">
        <v>20.0</v>
      </c>
      <c r="G35" s="37">
        <v>25.0</v>
      </c>
      <c r="H35" s="37">
        <v>25.0</v>
      </c>
      <c r="I35" s="37">
        <v>25.0</v>
      </c>
      <c r="J35" s="37">
        <v>20.0</v>
      </c>
      <c r="K35" s="38">
        <v>15.0</v>
      </c>
      <c r="L35" s="38">
        <v>20.0</v>
      </c>
      <c r="M35" s="39">
        <v>10.0</v>
      </c>
      <c r="N35" s="39">
        <v>15.0</v>
      </c>
      <c r="O35" s="39">
        <v>40.0</v>
      </c>
      <c r="P35" s="39">
        <v>20.0</v>
      </c>
      <c r="Q35" s="40">
        <f t="shared" si="1"/>
        <v>21.66666667</v>
      </c>
      <c r="R35" s="29">
        <v>75.0</v>
      </c>
    </row>
    <row r="36" ht="14.25" customHeight="1">
      <c r="A36" s="21"/>
      <c r="B36" s="30"/>
      <c r="C36" s="23">
        <v>5.0</v>
      </c>
      <c r="D36" s="24" t="s">
        <v>29</v>
      </c>
      <c r="E36" s="37">
        <v>30.0</v>
      </c>
      <c r="F36" s="37">
        <v>15.0</v>
      </c>
      <c r="G36" s="37">
        <v>25.0</v>
      </c>
      <c r="H36" s="37">
        <v>25.0</v>
      </c>
      <c r="I36" s="37">
        <v>25.0</v>
      </c>
      <c r="J36" s="37">
        <v>20.0</v>
      </c>
      <c r="K36" s="38">
        <v>15.0</v>
      </c>
      <c r="L36" s="38">
        <v>15.0</v>
      </c>
      <c r="M36" s="39">
        <v>10.0</v>
      </c>
      <c r="N36" s="39">
        <v>15.0</v>
      </c>
      <c r="O36" s="39">
        <v>30.0</v>
      </c>
      <c r="P36" s="39">
        <v>20.0</v>
      </c>
      <c r="Q36" s="40">
        <f t="shared" si="1"/>
        <v>20.41666667</v>
      </c>
      <c r="R36" s="29">
        <v>75.0</v>
      </c>
    </row>
    <row r="37" ht="14.25" customHeight="1">
      <c r="A37" s="21"/>
      <c r="B37" s="13" t="s">
        <v>38</v>
      </c>
      <c r="C37" s="31">
        <v>1.0</v>
      </c>
      <c r="D37" s="32" t="s">
        <v>25</v>
      </c>
      <c r="E37" s="45" t="s">
        <v>32</v>
      </c>
      <c r="F37" s="45">
        <v>9200000.0</v>
      </c>
      <c r="G37" s="45">
        <v>9200000.0</v>
      </c>
      <c r="H37" s="45">
        <v>4900000.0</v>
      </c>
      <c r="I37" s="45">
        <v>3500000.0</v>
      </c>
      <c r="J37" s="45">
        <v>1300000.0</v>
      </c>
      <c r="K37" s="46">
        <v>5400000.0</v>
      </c>
      <c r="L37" s="46">
        <v>700000.0</v>
      </c>
      <c r="M37" s="47">
        <v>1300000.0</v>
      </c>
      <c r="N37" s="47">
        <v>2400000.0</v>
      </c>
      <c r="O37" s="48">
        <v>3500000.0</v>
      </c>
      <c r="P37" s="47">
        <v>3.5E7</v>
      </c>
      <c r="Q37" s="49">
        <f t="shared" ref="Q37:Q41" si="2">GEOMEAN(E37:P37)</f>
        <v>3846373.195</v>
      </c>
      <c r="R37" s="20">
        <v>200.0</v>
      </c>
      <c r="S37" s="50"/>
    </row>
    <row r="38" ht="14.25" customHeight="1">
      <c r="A38" s="21"/>
      <c r="B38" s="22"/>
      <c r="C38" s="23">
        <v>2.0</v>
      </c>
      <c r="D38" s="24" t="s">
        <v>26</v>
      </c>
      <c r="E38" s="51">
        <v>9200000.0</v>
      </c>
      <c r="F38" s="51">
        <v>9200000.0</v>
      </c>
      <c r="G38" s="51">
        <v>9200000.0</v>
      </c>
      <c r="H38" s="51">
        <v>9200000.0</v>
      </c>
      <c r="I38" s="51">
        <v>7000000.0</v>
      </c>
      <c r="J38" s="51">
        <v>330000.0</v>
      </c>
      <c r="K38" s="52">
        <v>9200000.0</v>
      </c>
      <c r="L38" s="52">
        <v>1700000.0</v>
      </c>
      <c r="M38" s="53">
        <v>790000.0</v>
      </c>
      <c r="N38" s="53">
        <v>2200000.0</v>
      </c>
      <c r="O38" s="53">
        <v>5400000.0</v>
      </c>
      <c r="P38" s="53">
        <v>3.5E7</v>
      </c>
      <c r="Q38" s="54">
        <f t="shared" si="2"/>
        <v>4579231.869</v>
      </c>
      <c r="R38" s="29">
        <v>200.0</v>
      </c>
    </row>
    <row r="39" ht="14.25" customHeight="1">
      <c r="A39" s="21"/>
      <c r="B39" s="22"/>
      <c r="C39" s="23">
        <v>3.0</v>
      </c>
      <c r="D39" s="24" t="s">
        <v>27</v>
      </c>
      <c r="E39" s="51">
        <v>1.6E7</v>
      </c>
      <c r="F39" s="51">
        <v>5400000.0</v>
      </c>
      <c r="G39" s="51">
        <v>1.6E7</v>
      </c>
      <c r="H39" s="51">
        <v>1.6E7</v>
      </c>
      <c r="I39" s="51">
        <v>4600000.0</v>
      </c>
      <c r="J39" s="51">
        <v>490000.0</v>
      </c>
      <c r="K39" s="52">
        <v>1700000.0</v>
      </c>
      <c r="L39" s="52">
        <v>700000.0</v>
      </c>
      <c r="M39" s="53">
        <v>940000.0</v>
      </c>
      <c r="N39" s="53">
        <v>490000.0</v>
      </c>
      <c r="O39" s="53">
        <v>3500000.0</v>
      </c>
      <c r="P39" s="53">
        <v>3.5E7</v>
      </c>
      <c r="Q39" s="54">
        <f t="shared" si="2"/>
        <v>3497246.28</v>
      </c>
      <c r="R39" s="29">
        <v>200.0</v>
      </c>
    </row>
    <row r="40" ht="14.25" customHeight="1">
      <c r="A40" s="21"/>
      <c r="B40" s="22"/>
      <c r="C40" s="23">
        <v>4.0</v>
      </c>
      <c r="D40" s="24" t="s">
        <v>28</v>
      </c>
      <c r="E40" s="51">
        <v>2.2E7</v>
      </c>
      <c r="F40" s="51">
        <v>2200000.0</v>
      </c>
      <c r="G40" s="51">
        <v>5400000.0</v>
      </c>
      <c r="H40" s="51">
        <v>1.6E7</v>
      </c>
      <c r="I40" s="51">
        <v>5.4E7</v>
      </c>
      <c r="J40" s="51">
        <v>2400000.0</v>
      </c>
      <c r="K40" s="52">
        <v>680000.0</v>
      </c>
      <c r="L40" s="52">
        <v>1100000.0</v>
      </c>
      <c r="M40" s="53">
        <v>1100000.0</v>
      </c>
      <c r="N40" s="53">
        <v>1700000.0</v>
      </c>
      <c r="O40" s="53">
        <v>2.4E7</v>
      </c>
      <c r="P40" s="53">
        <v>3.5E7</v>
      </c>
      <c r="Q40" s="54">
        <f t="shared" si="2"/>
        <v>5415836.56</v>
      </c>
      <c r="R40" s="29">
        <v>200.0</v>
      </c>
    </row>
    <row r="41" ht="14.25" customHeight="1">
      <c r="A41" s="21"/>
      <c r="B41" s="30"/>
      <c r="C41" s="23">
        <v>5.0</v>
      </c>
      <c r="D41" s="24" t="s">
        <v>39</v>
      </c>
      <c r="E41" s="51">
        <v>7000000.0</v>
      </c>
      <c r="F41" s="51">
        <v>3500000.0</v>
      </c>
      <c r="G41" s="51">
        <v>3500000.0</v>
      </c>
      <c r="H41" s="51">
        <v>5400000.0</v>
      </c>
      <c r="I41" s="51">
        <v>3.5E7</v>
      </c>
      <c r="J41" s="51">
        <v>490000.0</v>
      </c>
      <c r="K41" s="52">
        <v>1300000.0</v>
      </c>
      <c r="L41" s="52">
        <v>1100000.0</v>
      </c>
      <c r="M41" s="53">
        <v>790000.0</v>
      </c>
      <c r="N41" s="53">
        <v>5400000.0</v>
      </c>
      <c r="O41" s="53">
        <v>1700000.0</v>
      </c>
      <c r="P41" s="53">
        <v>4600000.0</v>
      </c>
      <c r="Q41" s="54">
        <f t="shared" si="2"/>
        <v>2916562.614</v>
      </c>
      <c r="R41" s="29">
        <v>200.0</v>
      </c>
    </row>
    <row r="42" ht="14.25" customHeight="1">
      <c r="A42" s="21"/>
      <c r="B42" s="13" t="s">
        <v>40</v>
      </c>
      <c r="C42" s="55">
        <v>1.0</v>
      </c>
      <c r="D42" s="56" t="s">
        <v>25</v>
      </c>
      <c r="E42" s="57">
        <v>0.761</v>
      </c>
      <c r="F42" s="57">
        <v>0.201</v>
      </c>
      <c r="G42" s="57">
        <v>0.058</v>
      </c>
      <c r="H42" s="57">
        <v>0.221</v>
      </c>
      <c r="I42" s="57">
        <v>0.267</v>
      </c>
      <c r="J42" s="57">
        <v>0.263</v>
      </c>
      <c r="K42" s="34">
        <v>0.953</v>
      </c>
      <c r="L42" s="58">
        <v>0.593</v>
      </c>
      <c r="M42" s="59">
        <v>1.331</v>
      </c>
      <c r="N42" s="59">
        <v>0.5</v>
      </c>
      <c r="O42" s="59">
        <v>0.691</v>
      </c>
      <c r="P42" s="59">
        <v>0.298</v>
      </c>
      <c r="Q42" s="60">
        <f t="shared" ref="Q42:Q56" si="3">AVERAGE(E42:P42)</f>
        <v>0.5114166667</v>
      </c>
      <c r="R42" s="20">
        <v>7.0</v>
      </c>
    </row>
    <row r="43" ht="14.25" customHeight="1">
      <c r="A43" s="21"/>
      <c r="B43" s="22"/>
      <c r="C43" s="61">
        <v>2.0</v>
      </c>
      <c r="D43" s="62" t="s">
        <v>26</v>
      </c>
      <c r="E43" s="63">
        <v>0.609</v>
      </c>
      <c r="F43" s="63">
        <v>0.201</v>
      </c>
      <c r="G43" s="63">
        <v>0.218</v>
      </c>
      <c r="H43" s="63">
        <v>0.213</v>
      </c>
      <c r="I43" s="63">
        <v>0.142</v>
      </c>
      <c r="J43" s="63">
        <v>0.263</v>
      </c>
      <c r="K43" s="38">
        <v>1.005</v>
      </c>
      <c r="L43" s="64">
        <v>0.517</v>
      </c>
      <c r="M43" s="65">
        <v>1.291</v>
      </c>
      <c r="N43" s="65">
        <v>0.72</v>
      </c>
      <c r="O43" s="65">
        <v>0.842</v>
      </c>
      <c r="P43" s="66">
        <v>0.305</v>
      </c>
      <c r="Q43" s="67">
        <f t="shared" si="3"/>
        <v>0.5271666667</v>
      </c>
      <c r="R43" s="29">
        <v>7.0</v>
      </c>
    </row>
    <row r="44" ht="14.25" customHeight="1">
      <c r="A44" s="21"/>
      <c r="B44" s="22"/>
      <c r="C44" s="61">
        <v>3.0</v>
      </c>
      <c r="D44" s="62" t="s">
        <v>27</v>
      </c>
      <c r="E44" s="63">
        <v>0.605</v>
      </c>
      <c r="F44" s="63">
        <v>0.413</v>
      </c>
      <c r="G44" s="63">
        <v>0.197</v>
      </c>
      <c r="H44" s="63">
        <v>0.316</v>
      </c>
      <c r="I44" s="63">
        <v>0.277</v>
      </c>
      <c r="J44" s="63">
        <v>0.764</v>
      </c>
      <c r="K44" s="38">
        <v>0.966</v>
      </c>
      <c r="L44" s="64">
        <v>0.229</v>
      </c>
      <c r="M44" s="65">
        <v>1.125</v>
      </c>
      <c r="N44" s="65">
        <v>0.681</v>
      </c>
      <c r="O44" s="65">
        <v>0.048</v>
      </c>
      <c r="P44" s="66">
        <v>0.41</v>
      </c>
      <c r="Q44" s="67">
        <f t="shared" si="3"/>
        <v>0.5025833333</v>
      </c>
      <c r="R44" s="29">
        <v>7.0</v>
      </c>
    </row>
    <row r="45" ht="14.25" customHeight="1">
      <c r="A45" s="21"/>
      <c r="B45" s="22"/>
      <c r="C45" s="61">
        <v>4.0</v>
      </c>
      <c r="D45" s="62" t="s">
        <v>28</v>
      </c>
      <c r="E45" s="63">
        <v>0.449</v>
      </c>
      <c r="F45" s="63">
        <v>0.356</v>
      </c>
      <c r="G45" s="63">
        <v>0.229</v>
      </c>
      <c r="H45" s="63">
        <v>0.223</v>
      </c>
      <c r="I45" s="63">
        <v>0.197</v>
      </c>
      <c r="J45" s="63">
        <v>0.263</v>
      </c>
      <c r="K45" s="38">
        <v>0.885</v>
      </c>
      <c r="L45" s="64">
        <v>0.37</v>
      </c>
      <c r="M45" s="65">
        <v>1.336</v>
      </c>
      <c r="N45" s="65">
        <v>0.707</v>
      </c>
      <c r="O45" s="65">
        <v>0.413</v>
      </c>
      <c r="P45" s="66">
        <v>0.389</v>
      </c>
      <c r="Q45" s="67">
        <f t="shared" si="3"/>
        <v>0.48475</v>
      </c>
      <c r="R45" s="29">
        <v>7.0</v>
      </c>
    </row>
    <row r="46" ht="14.25" customHeight="1">
      <c r="A46" s="21"/>
      <c r="B46" s="30"/>
      <c r="C46" s="61">
        <v>5.0</v>
      </c>
      <c r="D46" s="62" t="s">
        <v>29</v>
      </c>
      <c r="E46" s="63">
        <v>0.272</v>
      </c>
      <c r="F46" s="63">
        <v>0.34</v>
      </c>
      <c r="G46" s="63">
        <v>0.138</v>
      </c>
      <c r="H46" s="63">
        <v>0.218</v>
      </c>
      <c r="I46" s="63">
        <v>0.309</v>
      </c>
      <c r="J46" s="63">
        <v>0.588</v>
      </c>
      <c r="K46" s="38">
        <v>0.362</v>
      </c>
      <c r="L46" s="64">
        <v>0.22</v>
      </c>
      <c r="M46" s="65">
        <v>1.303</v>
      </c>
      <c r="N46" s="65">
        <v>0.658</v>
      </c>
      <c r="O46" s="65">
        <v>0.624</v>
      </c>
      <c r="P46" s="66">
        <v>0.42</v>
      </c>
      <c r="Q46" s="67">
        <f t="shared" si="3"/>
        <v>0.4543333333</v>
      </c>
      <c r="R46" s="29">
        <v>7.0</v>
      </c>
    </row>
    <row r="47" ht="14.25" customHeight="1">
      <c r="A47" s="21"/>
      <c r="B47" s="13" t="s">
        <v>41</v>
      </c>
      <c r="C47" s="55">
        <v>1.0</v>
      </c>
      <c r="D47" s="56" t="s">
        <v>25</v>
      </c>
      <c r="E47" s="57">
        <v>2.06</v>
      </c>
      <c r="F47" s="57">
        <v>0.727</v>
      </c>
      <c r="G47" s="57">
        <v>2.439</v>
      </c>
      <c r="H47" s="57">
        <v>2.419</v>
      </c>
      <c r="I47" s="57">
        <v>2.247</v>
      </c>
      <c r="J47" s="57">
        <v>1.334</v>
      </c>
      <c r="K47" s="34">
        <v>1.122</v>
      </c>
      <c r="L47" s="34">
        <v>0.355</v>
      </c>
      <c r="M47" s="59">
        <v>1.602</v>
      </c>
      <c r="N47" s="59">
        <v>0.656</v>
      </c>
      <c r="O47" s="59">
        <v>0.902</v>
      </c>
      <c r="P47" s="59">
        <v>1.251</v>
      </c>
      <c r="Q47" s="60">
        <f t="shared" si="3"/>
        <v>1.426166667</v>
      </c>
      <c r="R47" s="20">
        <v>0.5</v>
      </c>
    </row>
    <row r="48" ht="14.25" customHeight="1">
      <c r="A48" s="21"/>
      <c r="B48" s="22"/>
      <c r="C48" s="61">
        <v>2.0</v>
      </c>
      <c r="D48" s="62" t="s">
        <v>26</v>
      </c>
      <c r="E48" s="63">
        <v>1.947</v>
      </c>
      <c r="F48" s="63">
        <v>0.754</v>
      </c>
      <c r="G48" s="63">
        <v>2.402</v>
      </c>
      <c r="H48" s="63">
        <v>2.381</v>
      </c>
      <c r="I48" s="63">
        <v>2.139</v>
      </c>
      <c r="J48" s="63">
        <v>0.953</v>
      </c>
      <c r="K48" s="38">
        <v>1.127</v>
      </c>
      <c r="L48" s="64">
        <v>0.38</v>
      </c>
      <c r="M48" s="65">
        <v>1.983</v>
      </c>
      <c r="N48" s="65">
        <v>0.738</v>
      </c>
      <c r="O48" s="65">
        <v>1.074</v>
      </c>
      <c r="P48" s="65">
        <v>1.236</v>
      </c>
      <c r="Q48" s="67">
        <f t="shared" si="3"/>
        <v>1.426166667</v>
      </c>
      <c r="R48" s="29">
        <v>0.5</v>
      </c>
    </row>
    <row r="49" ht="14.25" customHeight="1">
      <c r="A49" s="21"/>
      <c r="B49" s="22"/>
      <c r="C49" s="61">
        <v>3.0</v>
      </c>
      <c r="D49" s="62" t="s">
        <v>27</v>
      </c>
      <c r="E49" s="63">
        <v>1.889</v>
      </c>
      <c r="F49" s="63">
        <v>0.741</v>
      </c>
      <c r="G49" s="63">
        <v>2.374</v>
      </c>
      <c r="H49" s="63">
        <v>2.159</v>
      </c>
      <c r="I49" s="63">
        <v>2.292</v>
      </c>
      <c r="J49" s="63">
        <v>1.016</v>
      </c>
      <c r="K49" s="64">
        <v>0.99</v>
      </c>
      <c r="L49" s="38">
        <v>0.391</v>
      </c>
      <c r="M49" s="65">
        <v>1.629</v>
      </c>
      <c r="N49" s="65">
        <v>0.799</v>
      </c>
      <c r="O49" s="65">
        <v>0.083</v>
      </c>
      <c r="P49" s="65">
        <v>1.621</v>
      </c>
      <c r="Q49" s="67">
        <f t="shared" si="3"/>
        <v>1.332</v>
      </c>
      <c r="R49" s="29">
        <v>0.5</v>
      </c>
    </row>
    <row r="50" ht="14.25" customHeight="1">
      <c r="A50" s="21"/>
      <c r="B50" s="22"/>
      <c r="C50" s="61">
        <v>4.0</v>
      </c>
      <c r="D50" s="62" t="s">
        <v>28</v>
      </c>
      <c r="E50" s="63">
        <v>1.979</v>
      </c>
      <c r="F50" s="63">
        <v>0.662</v>
      </c>
      <c r="G50" s="63">
        <v>2.218</v>
      </c>
      <c r="H50" s="63">
        <v>1.798</v>
      </c>
      <c r="I50" s="63">
        <v>2.103</v>
      </c>
      <c r="J50" s="63">
        <v>1.15</v>
      </c>
      <c r="K50" s="38">
        <v>1.815</v>
      </c>
      <c r="L50" s="38">
        <v>0.766</v>
      </c>
      <c r="M50" s="65">
        <v>0.938</v>
      </c>
      <c r="N50" s="65">
        <v>0.722</v>
      </c>
      <c r="O50" s="65">
        <v>0.585</v>
      </c>
      <c r="P50" s="65">
        <v>1.302</v>
      </c>
      <c r="Q50" s="67">
        <f t="shared" si="3"/>
        <v>1.3365</v>
      </c>
      <c r="R50" s="29">
        <v>0.5</v>
      </c>
    </row>
    <row r="51" ht="14.25" customHeight="1">
      <c r="A51" s="21"/>
      <c r="B51" s="30"/>
      <c r="C51" s="61">
        <v>5.0</v>
      </c>
      <c r="D51" s="62" t="s">
        <v>29</v>
      </c>
      <c r="E51" s="63">
        <v>0.676</v>
      </c>
      <c r="F51" s="63">
        <v>0.539</v>
      </c>
      <c r="G51" s="63">
        <v>1.988</v>
      </c>
      <c r="H51" s="63">
        <v>1.677</v>
      </c>
      <c r="I51" s="63">
        <v>1.99</v>
      </c>
      <c r="J51" s="63">
        <v>1.114</v>
      </c>
      <c r="K51" s="38">
        <v>1.555</v>
      </c>
      <c r="L51" s="38">
        <v>0.915</v>
      </c>
      <c r="M51" s="65">
        <v>0.83</v>
      </c>
      <c r="N51" s="65">
        <v>0.671</v>
      </c>
      <c r="O51" s="65">
        <v>0.825</v>
      </c>
      <c r="P51" s="65">
        <v>1.24</v>
      </c>
      <c r="Q51" s="67">
        <f t="shared" si="3"/>
        <v>1.168333333</v>
      </c>
      <c r="R51" s="29">
        <v>0.5</v>
      </c>
    </row>
    <row r="52" ht="14.25" customHeight="1">
      <c r="A52" s="21"/>
      <c r="B52" s="13" t="s">
        <v>42</v>
      </c>
      <c r="C52" s="31">
        <v>1.0</v>
      </c>
      <c r="D52" s="32" t="s">
        <v>25</v>
      </c>
      <c r="E52" s="33">
        <v>360.0</v>
      </c>
      <c r="F52" s="33">
        <v>475.0</v>
      </c>
      <c r="G52" s="33">
        <v>583.0</v>
      </c>
      <c r="H52" s="33">
        <v>564.0</v>
      </c>
      <c r="I52" s="33">
        <v>344.0</v>
      </c>
      <c r="J52" s="33">
        <v>36.0</v>
      </c>
      <c r="K52" s="68">
        <v>60.0</v>
      </c>
      <c r="L52" s="34">
        <v>167.0</v>
      </c>
      <c r="M52" s="35">
        <v>10.0</v>
      </c>
      <c r="N52" s="35">
        <v>71.0</v>
      </c>
      <c r="O52" s="35">
        <v>185.0</v>
      </c>
      <c r="P52" s="69">
        <v>293.0</v>
      </c>
      <c r="Q52" s="49">
        <f t="shared" si="3"/>
        <v>262.3333333</v>
      </c>
      <c r="R52" s="20">
        <v>350.0</v>
      </c>
    </row>
    <row r="53" ht="14.25" customHeight="1">
      <c r="A53" s="21"/>
      <c r="B53" s="22"/>
      <c r="C53" s="23">
        <v>2.0</v>
      </c>
      <c r="D53" s="24" t="s">
        <v>26</v>
      </c>
      <c r="E53" s="37">
        <v>418.0</v>
      </c>
      <c r="F53" s="37">
        <v>255.0</v>
      </c>
      <c r="G53" s="37">
        <v>385.0</v>
      </c>
      <c r="H53" s="37">
        <v>54.0</v>
      </c>
      <c r="I53" s="37">
        <v>334.0</v>
      </c>
      <c r="J53" s="37">
        <v>36.0</v>
      </c>
      <c r="K53" s="70">
        <v>70.0</v>
      </c>
      <c r="L53" s="38">
        <v>167.0</v>
      </c>
      <c r="M53" s="39">
        <v>5.0</v>
      </c>
      <c r="N53" s="39">
        <v>81.0</v>
      </c>
      <c r="O53" s="39">
        <v>136.0</v>
      </c>
      <c r="P53" s="71">
        <v>343.0</v>
      </c>
      <c r="Q53" s="54">
        <f t="shared" si="3"/>
        <v>190.3333333</v>
      </c>
      <c r="R53" s="29">
        <v>350.0</v>
      </c>
    </row>
    <row r="54" ht="14.25" customHeight="1">
      <c r="A54" s="21"/>
      <c r="B54" s="22"/>
      <c r="C54" s="23">
        <v>3.0</v>
      </c>
      <c r="D54" s="24" t="s">
        <v>27</v>
      </c>
      <c r="E54" s="37">
        <v>58.0</v>
      </c>
      <c r="F54" s="37">
        <v>157.0</v>
      </c>
      <c r="G54" s="37">
        <v>360.0</v>
      </c>
      <c r="H54" s="37">
        <v>64.0</v>
      </c>
      <c r="I54" s="37">
        <v>407.0</v>
      </c>
      <c r="J54" s="37">
        <v>40.0</v>
      </c>
      <c r="K54" s="70">
        <v>55.0</v>
      </c>
      <c r="L54" s="38">
        <v>170.0</v>
      </c>
      <c r="M54" s="39">
        <v>5.0</v>
      </c>
      <c r="N54" s="39">
        <v>45.0</v>
      </c>
      <c r="O54" s="39">
        <v>49.0</v>
      </c>
      <c r="P54" s="71">
        <v>293.0</v>
      </c>
      <c r="Q54" s="54">
        <f t="shared" si="3"/>
        <v>141.9166667</v>
      </c>
      <c r="R54" s="29">
        <v>350.0</v>
      </c>
    </row>
    <row r="55" ht="14.25" customHeight="1">
      <c r="A55" s="21"/>
      <c r="B55" s="22"/>
      <c r="C55" s="23">
        <v>4.0</v>
      </c>
      <c r="D55" s="24" t="s">
        <v>28</v>
      </c>
      <c r="E55" s="37">
        <v>48.0</v>
      </c>
      <c r="F55" s="37">
        <v>113.0</v>
      </c>
      <c r="G55" s="37">
        <v>59.0</v>
      </c>
      <c r="H55" s="37">
        <v>346.0</v>
      </c>
      <c r="I55" s="37">
        <v>50.0</v>
      </c>
      <c r="J55" s="37">
        <v>46.0</v>
      </c>
      <c r="K55" s="70">
        <v>55.0</v>
      </c>
      <c r="L55" s="38">
        <v>157.0</v>
      </c>
      <c r="M55" s="39">
        <v>10.0</v>
      </c>
      <c r="N55" s="39">
        <v>81.0</v>
      </c>
      <c r="O55" s="39">
        <v>49.0</v>
      </c>
      <c r="P55" s="71">
        <v>242.0</v>
      </c>
      <c r="Q55" s="54">
        <f t="shared" si="3"/>
        <v>104.6666667</v>
      </c>
      <c r="R55" s="29">
        <v>350.0</v>
      </c>
    </row>
    <row r="56" ht="14.25" customHeight="1">
      <c r="A56" s="21"/>
      <c r="B56" s="30"/>
      <c r="C56" s="23">
        <v>5.0</v>
      </c>
      <c r="D56" s="24" t="s">
        <v>29</v>
      </c>
      <c r="E56" s="37">
        <v>58.0</v>
      </c>
      <c r="F56" s="37">
        <v>113.0</v>
      </c>
      <c r="G56" s="37">
        <v>54.0</v>
      </c>
      <c r="H56" s="37">
        <v>346.0</v>
      </c>
      <c r="I56" s="37">
        <v>50.0</v>
      </c>
      <c r="J56" s="37">
        <v>40.0</v>
      </c>
      <c r="K56" s="70">
        <v>60.0</v>
      </c>
      <c r="L56" s="38">
        <v>154.0</v>
      </c>
      <c r="M56" s="39">
        <v>10.0</v>
      </c>
      <c r="N56" s="39">
        <v>45.0</v>
      </c>
      <c r="O56" s="39">
        <v>53.0</v>
      </c>
      <c r="P56" s="71">
        <v>288.0</v>
      </c>
      <c r="Q56" s="54">
        <f t="shared" si="3"/>
        <v>105.9166667</v>
      </c>
      <c r="R56" s="29">
        <v>350.0</v>
      </c>
    </row>
    <row r="57" ht="14.25" customHeight="1"/>
    <row r="58" ht="14.25" customHeight="1">
      <c r="A58" s="72" t="s">
        <v>43</v>
      </c>
    </row>
    <row r="59" ht="21.75" customHeight="1"/>
    <row r="60" ht="14.25" customHeight="1">
      <c r="A60" s="73"/>
    </row>
    <row r="61" ht="14.25" customHeight="1"/>
  </sheetData>
  <mergeCells count="17">
    <mergeCell ref="A2:R2"/>
    <mergeCell ref="A3:R3"/>
    <mergeCell ref="A5:R5"/>
    <mergeCell ref="A6:R6"/>
    <mergeCell ref="B7:B11"/>
    <mergeCell ref="B12:B16"/>
    <mergeCell ref="A1:R1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11811023622047245" footer="0.0" header="0.0" left="0.15748031496062992" right="0.11811023622047245" top="0.3543307086614173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 outlineLevelCol="1"/>
  <cols>
    <col customWidth="1" min="1" max="3" width="8.71"/>
    <col customWidth="1" min="4" max="4" width="64.86"/>
    <col customWidth="1" min="5" max="5" width="14.71" outlineLevel="1"/>
    <col customWidth="1" min="6" max="6" width="13.0" outlineLevel="1"/>
    <col customWidth="1" min="7" max="7" width="11.71" outlineLevel="1"/>
    <col customWidth="1" min="8" max="11" width="12.71" outlineLevel="1"/>
    <col customWidth="1" min="12" max="12" width="13.0" outlineLevel="1"/>
    <col customWidth="1" min="13" max="13" width="13.86" outlineLevel="1"/>
    <col customWidth="1" min="14" max="14" width="11.71" outlineLevel="1"/>
    <col customWidth="1" min="15" max="15" width="13.86" outlineLevel="1"/>
    <col customWidth="1" min="16" max="16" width="14.29" outlineLevel="1"/>
    <col customWidth="1" min="17" max="17" width="26.71"/>
    <col customWidth="1" min="18" max="18" width="11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8" t="s">
        <v>44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22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4.25" customHeight="1">
      <c r="A7" s="12" t="s">
        <v>23</v>
      </c>
      <c r="B7" s="74" t="s">
        <v>24</v>
      </c>
      <c r="C7" s="14">
        <v>1.0</v>
      </c>
      <c r="D7" s="15" t="s">
        <v>45</v>
      </c>
      <c r="E7" s="75">
        <v>0.1</v>
      </c>
      <c r="F7" s="75">
        <v>0.1</v>
      </c>
      <c r="G7" s="75">
        <v>0.1</v>
      </c>
      <c r="H7" s="75">
        <v>0.1</v>
      </c>
      <c r="I7" s="75">
        <v>0.1</v>
      </c>
      <c r="J7" s="75">
        <v>0.1</v>
      </c>
      <c r="K7" s="17">
        <v>0.1</v>
      </c>
      <c r="L7" s="17">
        <v>0.1</v>
      </c>
      <c r="M7" s="76">
        <v>0.1</v>
      </c>
      <c r="N7" s="18">
        <v>0.1</v>
      </c>
      <c r="O7" s="18">
        <v>0.1</v>
      </c>
      <c r="P7" s="18">
        <v>0.1</v>
      </c>
      <c r="Q7" s="19">
        <f t="shared" ref="Q7:Q36" si="1">AVERAGE(E7:P7)</f>
        <v>0.1</v>
      </c>
      <c r="R7" s="20">
        <v>5.0</v>
      </c>
    </row>
    <row r="8" ht="14.25" customHeight="1">
      <c r="A8" s="21"/>
      <c r="B8" s="22"/>
      <c r="C8" s="23">
        <v>2.0</v>
      </c>
      <c r="D8" s="24" t="s">
        <v>46</v>
      </c>
      <c r="E8" s="77">
        <v>0.1</v>
      </c>
      <c r="F8" s="77">
        <v>0.1</v>
      </c>
      <c r="G8" s="77">
        <v>0.1</v>
      </c>
      <c r="H8" s="77">
        <v>0.1</v>
      </c>
      <c r="I8" s="77">
        <v>0.1</v>
      </c>
      <c r="J8" s="77">
        <v>0.1</v>
      </c>
      <c r="K8" s="26">
        <v>0.1</v>
      </c>
      <c r="L8" s="26">
        <v>0.1</v>
      </c>
      <c r="M8" s="78">
        <v>0.1</v>
      </c>
      <c r="N8" s="27">
        <v>0.1</v>
      </c>
      <c r="O8" s="27">
        <v>0.1</v>
      </c>
      <c r="P8" s="27">
        <v>0.1</v>
      </c>
      <c r="Q8" s="28">
        <f t="shared" si="1"/>
        <v>0.1</v>
      </c>
      <c r="R8" s="29">
        <v>5.0</v>
      </c>
    </row>
    <row r="9" ht="14.25" customHeight="1">
      <c r="A9" s="21"/>
      <c r="B9" s="22"/>
      <c r="C9" s="23">
        <v>3.0</v>
      </c>
      <c r="D9" s="24" t="s">
        <v>47</v>
      </c>
      <c r="E9" s="77">
        <v>5.1</v>
      </c>
      <c r="F9" s="77">
        <v>0.1</v>
      </c>
      <c r="G9" s="77">
        <v>1.0</v>
      </c>
      <c r="H9" s="77">
        <v>0.1</v>
      </c>
      <c r="I9" s="77">
        <v>0.1</v>
      </c>
      <c r="J9" s="77">
        <v>0.1</v>
      </c>
      <c r="K9" s="26">
        <v>0.8</v>
      </c>
      <c r="L9" s="26">
        <v>1.9</v>
      </c>
      <c r="M9" s="78">
        <v>0.1</v>
      </c>
      <c r="N9" s="27">
        <v>0.1</v>
      </c>
      <c r="O9" s="27">
        <v>0.2</v>
      </c>
      <c r="P9" s="27">
        <v>0.1</v>
      </c>
      <c r="Q9" s="28">
        <f t="shared" si="1"/>
        <v>0.8083333333</v>
      </c>
      <c r="R9" s="29">
        <v>5.0</v>
      </c>
    </row>
    <row r="10" ht="14.25" customHeight="1">
      <c r="A10" s="21"/>
      <c r="B10" s="22"/>
      <c r="C10" s="23">
        <v>4.0</v>
      </c>
      <c r="D10" s="24" t="s">
        <v>27</v>
      </c>
      <c r="E10" s="77">
        <v>0.1</v>
      </c>
      <c r="F10" s="77">
        <v>0.1</v>
      </c>
      <c r="G10" s="77">
        <v>0.1</v>
      </c>
      <c r="H10" s="77">
        <v>0.1</v>
      </c>
      <c r="I10" s="77">
        <v>0.1</v>
      </c>
      <c r="J10" s="77">
        <v>0.4</v>
      </c>
      <c r="K10" s="26">
        <v>0.3</v>
      </c>
      <c r="L10" s="26">
        <v>0.1</v>
      </c>
      <c r="M10" s="78">
        <v>0.2</v>
      </c>
      <c r="N10" s="27">
        <v>0.1</v>
      </c>
      <c r="O10" s="27">
        <v>0.2</v>
      </c>
      <c r="P10" s="27">
        <v>0.1</v>
      </c>
      <c r="Q10" s="28">
        <f t="shared" si="1"/>
        <v>0.1583333333</v>
      </c>
      <c r="R10" s="29">
        <v>5.0</v>
      </c>
    </row>
    <row r="11" ht="14.25" customHeight="1">
      <c r="A11" s="21"/>
      <c r="B11" s="30"/>
      <c r="C11" s="23">
        <v>5.0</v>
      </c>
      <c r="D11" s="24" t="s">
        <v>48</v>
      </c>
      <c r="E11" s="77">
        <v>3.8</v>
      </c>
      <c r="F11" s="77">
        <v>3.2</v>
      </c>
      <c r="G11" s="77">
        <v>4.0</v>
      </c>
      <c r="H11" s="77">
        <v>4.5</v>
      </c>
      <c r="I11" s="77">
        <v>0.1</v>
      </c>
      <c r="J11" s="77">
        <v>6.1</v>
      </c>
      <c r="K11" s="26">
        <v>0.3</v>
      </c>
      <c r="L11" s="26">
        <v>3.1</v>
      </c>
      <c r="M11" s="78">
        <v>2.9</v>
      </c>
      <c r="N11" s="27">
        <v>2.6</v>
      </c>
      <c r="O11" s="27">
        <v>2.9</v>
      </c>
      <c r="P11" s="27">
        <v>1.3</v>
      </c>
      <c r="Q11" s="28">
        <f t="shared" si="1"/>
        <v>2.9</v>
      </c>
      <c r="R11" s="29">
        <v>5.0</v>
      </c>
    </row>
    <row r="12" ht="14.25" customHeight="1">
      <c r="A12" s="21"/>
      <c r="B12" s="13" t="s">
        <v>30</v>
      </c>
      <c r="C12" s="31">
        <v>1.0</v>
      </c>
      <c r="D12" s="32" t="s">
        <v>45</v>
      </c>
      <c r="E12" s="79">
        <v>66.0</v>
      </c>
      <c r="F12" s="79">
        <v>49.0</v>
      </c>
      <c r="G12" s="79">
        <v>61.0</v>
      </c>
      <c r="H12" s="79">
        <v>42.0</v>
      </c>
      <c r="I12" s="79">
        <v>35.0</v>
      </c>
      <c r="J12" s="79">
        <v>53.0</v>
      </c>
      <c r="K12" s="68">
        <v>17.0</v>
      </c>
      <c r="L12" s="34">
        <v>15.0</v>
      </c>
      <c r="M12" s="80">
        <v>14.0</v>
      </c>
      <c r="N12" s="35">
        <v>16.0</v>
      </c>
      <c r="O12" s="80">
        <v>46.0</v>
      </c>
      <c r="P12" s="80">
        <v>44.0</v>
      </c>
      <c r="Q12" s="36">
        <f t="shared" si="1"/>
        <v>38.16666667</v>
      </c>
      <c r="R12" s="20">
        <v>7.0</v>
      </c>
    </row>
    <row r="13" ht="14.25" customHeight="1">
      <c r="A13" s="21"/>
      <c r="B13" s="22"/>
      <c r="C13" s="23">
        <v>2.0</v>
      </c>
      <c r="D13" s="24" t="s">
        <v>46</v>
      </c>
      <c r="E13" s="81">
        <v>60.0</v>
      </c>
      <c r="F13" s="81">
        <v>58.0</v>
      </c>
      <c r="G13" s="81">
        <v>68.0</v>
      </c>
      <c r="H13" s="81">
        <v>40.0</v>
      </c>
      <c r="I13" s="81">
        <v>34.0</v>
      </c>
      <c r="J13" s="81">
        <v>33.0</v>
      </c>
      <c r="K13" s="70">
        <v>20.0</v>
      </c>
      <c r="L13" s="38">
        <v>26.0</v>
      </c>
      <c r="M13" s="82">
        <v>28.0</v>
      </c>
      <c r="N13" s="39">
        <v>26.0</v>
      </c>
      <c r="O13" s="82">
        <v>49.0</v>
      </c>
      <c r="P13" s="82">
        <v>52.0</v>
      </c>
      <c r="Q13" s="40">
        <f t="shared" si="1"/>
        <v>41.16666667</v>
      </c>
      <c r="R13" s="29">
        <v>7.0</v>
      </c>
    </row>
    <row r="14" ht="14.25" customHeight="1">
      <c r="A14" s="21"/>
      <c r="B14" s="22"/>
      <c r="C14" s="23">
        <v>3.0</v>
      </c>
      <c r="D14" s="24" t="s">
        <v>47</v>
      </c>
      <c r="E14" s="81">
        <v>9.0</v>
      </c>
      <c r="F14" s="81">
        <v>64.0</v>
      </c>
      <c r="G14" s="81">
        <v>51.0</v>
      </c>
      <c r="H14" s="81">
        <v>82.0</v>
      </c>
      <c r="I14" s="81">
        <v>53.0</v>
      </c>
      <c r="J14" s="81">
        <v>57.0</v>
      </c>
      <c r="K14" s="70">
        <v>26.0</v>
      </c>
      <c r="L14" s="38">
        <v>62.0</v>
      </c>
      <c r="M14" s="82">
        <v>16.0</v>
      </c>
      <c r="N14" s="39">
        <v>8.0</v>
      </c>
      <c r="O14" s="82">
        <v>28.0</v>
      </c>
      <c r="P14" s="82">
        <v>60.0</v>
      </c>
      <c r="Q14" s="40">
        <f t="shared" si="1"/>
        <v>43</v>
      </c>
      <c r="R14" s="29">
        <v>7.0</v>
      </c>
    </row>
    <row r="15" ht="14.25" customHeight="1">
      <c r="A15" s="21"/>
      <c r="B15" s="22"/>
      <c r="C15" s="23">
        <v>4.0</v>
      </c>
      <c r="D15" s="24" t="s">
        <v>27</v>
      </c>
      <c r="E15" s="81">
        <v>63.0</v>
      </c>
      <c r="F15" s="81">
        <v>44.0</v>
      </c>
      <c r="G15" s="81">
        <v>92.0</v>
      </c>
      <c r="H15" s="81">
        <v>22.0</v>
      </c>
      <c r="I15" s="81">
        <v>53.0</v>
      </c>
      <c r="J15" s="81">
        <v>99.0</v>
      </c>
      <c r="K15" s="70">
        <v>28.0</v>
      </c>
      <c r="L15" s="38">
        <v>56.0</v>
      </c>
      <c r="M15" s="82">
        <v>10.0</v>
      </c>
      <c r="N15" s="39">
        <v>23.0</v>
      </c>
      <c r="O15" s="82">
        <v>62.0</v>
      </c>
      <c r="P15" s="82">
        <v>64.0</v>
      </c>
      <c r="Q15" s="40">
        <f t="shared" si="1"/>
        <v>51.33333333</v>
      </c>
      <c r="R15" s="29">
        <v>7.0</v>
      </c>
    </row>
    <row r="16" ht="14.25" customHeight="1">
      <c r="A16" s="21"/>
      <c r="B16" s="30"/>
      <c r="C16" s="23">
        <v>5.0</v>
      </c>
      <c r="D16" s="24" t="s">
        <v>48</v>
      </c>
      <c r="E16" s="81">
        <v>9.0</v>
      </c>
      <c r="F16" s="81">
        <v>57.0</v>
      </c>
      <c r="G16" s="81">
        <v>36.0</v>
      </c>
      <c r="H16" s="81">
        <v>40.0</v>
      </c>
      <c r="I16" s="81">
        <v>71.0</v>
      </c>
      <c r="J16" s="81">
        <v>5.0</v>
      </c>
      <c r="K16" s="70">
        <v>25.0</v>
      </c>
      <c r="L16" s="38">
        <v>12.0</v>
      </c>
      <c r="M16" s="82">
        <v>11.0</v>
      </c>
      <c r="N16" s="39">
        <v>11.0</v>
      </c>
      <c r="O16" s="82">
        <v>14.0</v>
      </c>
      <c r="P16" s="82">
        <v>13.0</v>
      </c>
      <c r="Q16" s="40">
        <f t="shared" si="1"/>
        <v>25.33333333</v>
      </c>
      <c r="R16" s="29">
        <v>7.0</v>
      </c>
    </row>
    <row r="17" ht="14.25" customHeight="1">
      <c r="A17" s="21"/>
      <c r="B17" s="13" t="s">
        <v>31</v>
      </c>
      <c r="C17" s="31">
        <v>1.0</v>
      </c>
      <c r="D17" s="32" t="s">
        <v>45</v>
      </c>
      <c r="E17" s="79">
        <v>50.0</v>
      </c>
      <c r="F17" s="79">
        <v>20.0</v>
      </c>
      <c r="G17" s="79">
        <v>16.0</v>
      </c>
      <c r="H17" s="79">
        <v>29.0</v>
      </c>
      <c r="I17" s="79">
        <v>21.0</v>
      </c>
      <c r="J17" s="79">
        <v>66.0</v>
      </c>
      <c r="K17" s="68">
        <v>45.0</v>
      </c>
      <c r="L17" s="34">
        <v>17.0</v>
      </c>
      <c r="M17" s="80">
        <v>18.0</v>
      </c>
      <c r="N17" s="35">
        <v>21.0</v>
      </c>
      <c r="O17" s="80">
        <v>37.0</v>
      </c>
      <c r="P17" s="80">
        <v>29.0</v>
      </c>
      <c r="Q17" s="36">
        <f t="shared" si="1"/>
        <v>30.75</v>
      </c>
      <c r="R17" s="20">
        <v>80.0</v>
      </c>
    </row>
    <row r="18" ht="14.25" customHeight="1">
      <c r="A18" s="21"/>
      <c r="B18" s="22"/>
      <c r="C18" s="23">
        <v>2.0</v>
      </c>
      <c r="D18" s="24" t="s">
        <v>46</v>
      </c>
      <c r="E18" s="81">
        <v>38.0</v>
      </c>
      <c r="F18" s="81">
        <v>23.0</v>
      </c>
      <c r="G18" s="81">
        <v>18.0</v>
      </c>
      <c r="H18" s="81">
        <v>73.0</v>
      </c>
      <c r="I18" s="81">
        <v>59.0</v>
      </c>
      <c r="J18" s="81">
        <v>20.0</v>
      </c>
      <c r="K18" s="70">
        <v>17.0</v>
      </c>
      <c r="L18" s="38">
        <v>18.0</v>
      </c>
      <c r="M18" s="82">
        <v>23.0</v>
      </c>
      <c r="N18" s="39">
        <v>17.0</v>
      </c>
      <c r="O18" s="82">
        <v>32.0</v>
      </c>
      <c r="P18" s="82">
        <v>24.0</v>
      </c>
      <c r="Q18" s="40">
        <f t="shared" si="1"/>
        <v>30.16666667</v>
      </c>
      <c r="R18" s="29">
        <v>80.0</v>
      </c>
    </row>
    <row r="19" ht="14.25" customHeight="1">
      <c r="A19" s="21"/>
      <c r="B19" s="22"/>
      <c r="C19" s="23">
        <v>3.0</v>
      </c>
      <c r="D19" s="24" t="s">
        <v>47</v>
      </c>
      <c r="E19" s="81">
        <v>9.0</v>
      </c>
      <c r="F19" s="81">
        <v>79.0</v>
      </c>
      <c r="G19" s="81">
        <v>26.0</v>
      </c>
      <c r="H19" s="81">
        <v>39.0</v>
      </c>
      <c r="I19" s="81">
        <v>98.0</v>
      </c>
      <c r="J19" s="81">
        <v>28.0</v>
      </c>
      <c r="K19" s="70">
        <v>17.0</v>
      </c>
      <c r="L19" s="38">
        <v>19.0</v>
      </c>
      <c r="M19" s="82">
        <v>15.0</v>
      </c>
      <c r="N19" s="39">
        <v>10.0</v>
      </c>
      <c r="O19" s="82">
        <v>35.0</v>
      </c>
      <c r="P19" s="82">
        <v>46.0</v>
      </c>
      <c r="Q19" s="40">
        <f t="shared" si="1"/>
        <v>35.08333333</v>
      </c>
      <c r="R19" s="29">
        <v>80.0</v>
      </c>
    </row>
    <row r="20" ht="14.25" customHeight="1">
      <c r="A20" s="21"/>
      <c r="B20" s="22"/>
      <c r="C20" s="23">
        <v>4.0</v>
      </c>
      <c r="D20" s="24" t="s">
        <v>27</v>
      </c>
      <c r="E20" s="81">
        <v>100.0</v>
      </c>
      <c r="F20" s="81">
        <v>63.0</v>
      </c>
      <c r="G20" s="81">
        <v>36.0</v>
      </c>
      <c r="H20" s="81">
        <v>28.0</v>
      </c>
      <c r="I20" s="81">
        <v>43.0</v>
      </c>
      <c r="J20" s="81">
        <v>65.0</v>
      </c>
      <c r="K20" s="70">
        <v>30.0</v>
      </c>
      <c r="L20" s="38">
        <v>26.0</v>
      </c>
      <c r="M20" s="82">
        <v>14.0</v>
      </c>
      <c r="N20" s="39">
        <v>22.0</v>
      </c>
      <c r="O20" s="82">
        <v>40.0</v>
      </c>
      <c r="P20" s="82">
        <v>28.0</v>
      </c>
      <c r="Q20" s="40">
        <f t="shared" si="1"/>
        <v>41.25</v>
      </c>
      <c r="R20" s="29">
        <v>80.0</v>
      </c>
    </row>
    <row r="21" ht="14.25" customHeight="1">
      <c r="A21" s="21"/>
      <c r="B21" s="30"/>
      <c r="C21" s="23">
        <v>5.0</v>
      </c>
      <c r="D21" s="24" t="s">
        <v>48</v>
      </c>
      <c r="E21" s="81">
        <v>11.0</v>
      </c>
      <c r="F21" s="81">
        <v>25.0</v>
      </c>
      <c r="G21" s="81">
        <v>11.0</v>
      </c>
      <c r="H21" s="81">
        <v>25.0</v>
      </c>
      <c r="I21" s="81">
        <v>78.0</v>
      </c>
      <c r="J21" s="81">
        <v>7.0</v>
      </c>
      <c r="K21" s="70">
        <v>27.0</v>
      </c>
      <c r="L21" s="38">
        <v>7.0</v>
      </c>
      <c r="M21" s="82">
        <v>16.0</v>
      </c>
      <c r="N21" s="39">
        <v>7.0</v>
      </c>
      <c r="O21" s="82">
        <v>11.0</v>
      </c>
      <c r="P21" s="82">
        <v>10.0</v>
      </c>
      <c r="Q21" s="40">
        <f t="shared" si="1"/>
        <v>19.58333333</v>
      </c>
      <c r="R21" s="29">
        <v>80.0</v>
      </c>
    </row>
    <row r="22" ht="14.25" customHeight="1">
      <c r="A22" s="21"/>
      <c r="B22" s="13" t="s">
        <v>33</v>
      </c>
      <c r="C22" s="31">
        <v>1.0</v>
      </c>
      <c r="D22" s="32" t="s">
        <v>45</v>
      </c>
      <c r="E22" s="83">
        <v>7.0</v>
      </c>
      <c r="F22" s="83">
        <v>7.3</v>
      </c>
      <c r="G22" s="83">
        <v>7.0</v>
      </c>
      <c r="H22" s="83">
        <v>7.2</v>
      </c>
      <c r="I22" s="83">
        <v>7.0</v>
      </c>
      <c r="J22" s="83">
        <v>7.0</v>
      </c>
      <c r="K22" s="42">
        <v>7.0</v>
      </c>
      <c r="L22" s="42">
        <v>7.0</v>
      </c>
      <c r="M22" s="84">
        <v>7.0</v>
      </c>
      <c r="N22" s="18">
        <v>7.0</v>
      </c>
      <c r="O22" s="18">
        <v>6.9</v>
      </c>
      <c r="P22" s="18">
        <v>6.8</v>
      </c>
      <c r="Q22" s="19">
        <f t="shared" si="1"/>
        <v>7.016666667</v>
      </c>
      <c r="R22" s="18" t="s">
        <v>34</v>
      </c>
    </row>
    <row r="23" ht="14.25" customHeight="1">
      <c r="A23" s="21"/>
      <c r="B23" s="22"/>
      <c r="C23" s="23">
        <v>2.0</v>
      </c>
      <c r="D23" s="24" t="s">
        <v>46</v>
      </c>
      <c r="E23" s="77">
        <v>7.0</v>
      </c>
      <c r="F23" s="77">
        <v>7.2</v>
      </c>
      <c r="G23" s="77">
        <v>7.0</v>
      </c>
      <c r="H23" s="77">
        <v>7.1</v>
      </c>
      <c r="I23" s="77">
        <v>7.0</v>
      </c>
      <c r="J23" s="77">
        <v>7.0</v>
      </c>
      <c r="K23" s="26">
        <v>7.0</v>
      </c>
      <c r="L23" s="26">
        <v>7.0</v>
      </c>
      <c r="M23" s="85">
        <v>7.0</v>
      </c>
      <c r="N23" s="27">
        <v>7.0</v>
      </c>
      <c r="O23" s="27">
        <v>7.0</v>
      </c>
      <c r="P23" s="27">
        <v>7.0</v>
      </c>
      <c r="Q23" s="28">
        <f t="shared" si="1"/>
        <v>7.025</v>
      </c>
      <c r="R23" s="27" t="s">
        <v>34</v>
      </c>
    </row>
    <row r="24" ht="14.25" customHeight="1">
      <c r="A24" s="21"/>
      <c r="B24" s="22"/>
      <c r="C24" s="23">
        <v>3.0</v>
      </c>
      <c r="D24" s="24" t="s">
        <v>47</v>
      </c>
      <c r="E24" s="77">
        <v>7.0</v>
      </c>
      <c r="F24" s="77">
        <v>7.3</v>
      </c>
      <c r="G24" s="77">
        <v>7.0</v>
      </c>
      <c r="H24" s="77">
        <v>7.2</v>
      </c>
      <c r="I24" s="77">
        <v>7.0</v>
      </c>
      <c r="J24" s="77">
        <v>7.0</v>
      </c>
      <c r="K24" s="26">
        <v>7.0</v>
      </c>
      <c r="L24" s="26">
        <v>7.0</v>
      </c>
      <c r="M24" s="85">
        <v>7.0</v>
      </c>
      <c r="N24" s="27">
        <v>7.0</v>
      </c>
      <c r="O24" s="27">
        <v>7.0</v>
      </c>
      <c r="P24" s="27">
        <v>6.7</v>
      </c>
      <c r="Q24" s="28">
        <f t="shared" si="1"/>
        <v>7.016666667</v>
      </c>
      <c r="R24" s="27" t="s">
        <v>34</v>
      </c>
    </row>
    <row r="25" ht="14.25" customHeight="1">
      <c r="A25" s="21"/>
      <c r="B25" s="22"/>
      <c r="C25" s="23">
        <v>4.0</v>
      </c>
      <c r="D25" s="24" t="s">
        <v>27</v>
      </c>
      <c r="E25" s="77">
        <v>7.0</v>
      </c>
      <c r="F25" s="77">
        <v>7.0</v>
      </c>
      <c r="G25" s="77">
        <v>7.0</v>
      </c>
      <c r="H25" s="77">
        <v>7.1</v>
      </c>
      <c r="I25" s="77">
        <v>7.0</v>
      </c>
      <c r="J25" s="77">
        <v>7.0</v>
      </c>
      <c r="K25" s="26">
        <v>7.0</v>
      </c>
      <c r="L25" s="26">
        <v>7.0</v>
      </c>
      <c r="M25" s="85">
        <v>7.0</v>
      </c>
      <c r="N25" s="27">
        <v>7.0</v>
      </c>
      <c r="O25" s="27">
        <v>6.9</v>
      </c>
      <c r="P25" s="27">
        <v>6.7</v>
      </c>
      <c r="Q25" s="28">
        <f t="shared" si="1"/>
        <v>6.975</v>
      </c>
      <c r="R25" s="27" t="s">
        <v>34</v>
      </c>
    </row>
    <row r="26" ht="14.25" customHeight="1">
      <c r="A26" s="21"/>
      <c r="B26" s="30"/>
      <c r="C26" s="23">
        <v>5.0</v>
      </c>
      <c r="D26" s="24" t="s">
        <v>48</v>
      </c>
      <c r="E26" s="77">
        <v>7.0</v>
      </c>
      <c r="F26" s="77">
        <v>7.1</v>
      </c>
      <c r="G26" s="77">
        <v>7.0</v>
      </c>
      <c r="H26" s="77">
        <v>7.2</v>
      </c>
      <c r="I26" s="77">
        <v>7.0</v>
      </c>
      <c r="J26" s="77">
        <v>7.0</v>
      </c>
      <c r="K26" s="26">
        <v>7.0</v>
      </c>
      <c r="L26" s="26">
        <v>7.0</v>
      </c>
      <c r="M26" s="85">
        <v>7.0</v>
      </c>
      <c r="N26" s="27">
        <v>7.0</v>
      </c>
      <c r="O26" s="27">
        <v>7.0</v>
      </c>
      <c r="P26" s="27">
        <v>7.0</v>
      </c>
      <c r="Q26" s="28">
        <f t="shared" si="1"/>
        <v>7.025</v>
      </c>
      <c r="R26" s="27" t="s">
        <v>34</v>
      </c>
    </row>
    <row r="27" ht="14.25" customHeight="1">
      <c r="A27" s="21"/>
      <c r="B27" s="13" t="s">
        <v>49</v>
      </c>
      <c r="C27" s="31">
        <v>1.0</v>
      </c>
      <c r="D27" s="32" t="s">
        <v>45</v>
      </c>
      <c r="E27" s="83">
        <v>25.8</v>
      </c>
      <c r="F27" s="83">
        <v>25.3</v>
      </c>
      <c r="G27" s="83">
        <v>26.3</v>
      </c>
      <c r="H27" s="83">
        <v>30.3</v>
      </c>
      <c r="I27" s="83">
        <v>28.9</v>
      </c>
      <c r="J27" s="83">
        <v>27.6</v>
      </c>
      <c r="K27" s="42">
        <v>26.7</v>
      </c>
      <c r="L27" s="42">
        <v>26.8</v>
      </c>
      <c r="M27" s="84">
        <v>27.0</v>
      </c>
      <c r="N27" s="18">
        <v>26.8</v>
      </c>
      <c r="O27" s="18">
        <v>26.0</v>
      </c>
      <c r="P27" s="18">
        <v>27.0</v>
      </c>
      <c r="Q27" s="19">
        <f t="shared" si="1"/>
        <v>27.04166667</v>
      </c>
      <c r="R27" s="18" t="s">
        <v>36</v>
      </c>
    </row>
    <row r="28" ht="14.25" customHeight="1">
      <c r="A28" s="21"/>
      <c r="B28" s="22"/>
      <c r="C28" s="23">
        <v>2.0</v>
      </c>
      <c r="D28" s="24" t="s">
        <v>46</v>
      </c>
      <c r="E28" s="77">
        <v>26.0</v>
      </c>
      <c r="F28" s="77">
        <v>25.5</v>
      </c>
      <c r="G28" s="77">
        <v>26.4</v>
      </c>
      <c r="H28" s="77">
        <v>30.2</v>
      </c>
      <c r="I28" s="77">
        <v>29.1</v>
      </c>
      <c r="J28" s="77">
        <v>27.6</v>
      </c>
      <c r="K28" s="26">
        <v>26.8</v>
      </c>
      <c r="L28" s="26">
        <v>27.0</v>
      </c>
      <c r="M28" s="85">
        <v>27.3</v>
      </c>
      <c r="N28" s="27">
        <v>26.8</v>
      </c>
      <c r="O28" s="27">
        <v>26.3</v>
      </c>
      <c r="P28" s="27">
        <v>27.1</v>
      </c>
      <c r="Q28" s="28">
        <f t="shared" si="1"/>
        <v>27.175</v>
      </c>
      <c r="R28" s="27" t="s">
        <v>36</v>
      </c>
    </row>
    <row r="29" ht="14.25" customHeight="1">
      <c r="A29" s="21"/>
      <c r="B29" s="22"/>
      <c r="C29" s="23">
        <v>3.0</v>
      </c>
      <c r="D29" s="24" t="s">
        <v>47</v>
      </c>
      <c r="E29" s="77">
        <v>26.2</v>
      </c>
      <c r="F29" s="77">
        <v>25.5</v>
      </c>
      <c r="G29" s="77">
        <v>26.8</v>
      </c>
      <c r="H29" s="77">
        <v>30.1</v>
      </c>
      <c r="I29" s="77">
        <v>27.9</v>
      </c>
      <c r="J29" s="77">
        <v>27.8</v>
      </c>
      <c r="K29" s="26">
        <v>26.5</v>
      </c>
      <c r="L29" s="26">
        <v>27.0</v>
      </c>
      <c r="M29" s="85">
        <v>27.3</v>
      </c>
      <c r="N29" s="27">
        <v>26.5</v>
      </c>
      <c r="O29" s="27">
        <v>26.3</v>
      </c>
      <c r="P29" s="27">
        <v>27.1</v>
      </c>
      <c r="Q29" s="28">
        <f t="shared" si="1"/>
        <v>27.08333333</v>
      </c>
      <c r="R29" s="27" t="s">
        <v>36</v>
      </c>
    </row>
    <row r="30" ht="14.25" customHeight="1">
      <c r="A30" s="21"/>
      <c r="B30" s="22"/>
      <c r="C30" s="23">
        <v>4.0</v>
      </c>
      <c r="D30" s="24" t="s">
        <v>27</v>
      </c>
      <c r="E30" s="77">
        <v>26.3</v>
      </c>
      <c r="F30" s="77">
        <v>25.8</v>
      </c>
      <c r="G30" s="77">
        <v>26.8</v>
      </c>
      <c r="H30" s="77">
        <v>30.2</v>
      </c>
      <c r="I30" s="77">
        <v>27.6</v>
      </c>
      <c r="J30" s="77">
        <v>27.9</v>
      </c>
      <c r="K30" s="26">
        <v>26.6</v>
      </c>
      <c r="L30" s="26">
        <v>27.5</v>
      </c>
      <c r="M30" s="85">
        <v>27.4</v>
      </c>
      <c r="N30" s="27">
        <v>26.5</v>
      </c>
      <c r="O30" s="27">
        <v>26.5</v>
      </c>
      <c r="P30" s="27">
        <v>27.2</v>
      </c>
      <c r="Q30" s="28">
        <f t="shared" si="1"/>
        <v>27.19166667</v>
      </c>
      <c r="R30" s="27" t="s">
        <v>36</v>
      </c>
    </row>
    <row r="31" ht="14.25" customHeight="1">
      <c r="A31" s="21"/>
      <c r="B31" s="30"/>
      <c r="C31" s="23">
        <v>5.0</v>
      </c>
      <c r="D31" s="24" t="s">
        <v>48</v>
      </c>
      <c r="E31" s="77">
        <v>26.4</v>
      </c>
      <c r="F31" s="77">
        <v>25.8</v>
      </c>
      <c r="G31" s="77">
        <v>27.0</v>
      </c>
      <c r="H31" s="77">
        <v>30.3</v>
      </c>
      <c r="I31" s="77">
        <v>27.9</v>
      </c>
      <c r="J31" s="77">
        <v>28.1</v>
      </c>
      <c r="K31" s="26">
        <v>26.5</v>
      </c>
      <c r="L31" s="26">
        <v>23.1</v>
      </c>
      <c r="M31" s="85">
        <v>27.5</v>
      </c>
      <c r="N31" s="27">
        <v>26.8</v>
      </c>
      <c r="O31" s="27">
        <v>26.5</v>
      </c>
      <c r="P31" s="27">
        <v>27.0</v>
      </c>
      <c r="Q31" s="28">
        <f t="shared" si="1"/>
        <v>26.90833333</v>
      </c>
      <c r="R31" s="27" t="s">
        <v>36</v>
      </c>
    </row>
    <row r="32" ht="14.25" customHeight="1">
      <c r="A32" s="21"/>
      <c r="B32" s="13" t="s">
        <v>37</v>
      </c>
      <c r="C32" s="31">
        <v>1.0</v>
      </c>
      <c r="D32" s="32" t="s">
        <v>45</v>
      </c>
      <c r="E32" s="79">
        <v>50.0</v>
      </c>
      <c r="F32" s="79">
        <v>50.0</v>
      </c>
      <c r="G32" s="79">
        <v>25.0</v>
      </c>
      <c r="H32" s="79">
        <v>25.0</v>
      </c>
      <c r="I32" s="79">
        <v>40.0</v>
      </c>
      <c r="J32" s="79">
        <v>30.0</v>
      </c>
      <c r="K32" s="34">
        <v>25.0</v>
      </c>
      <c r="L32" s="34">
        <v>20.0</v>
      </c>
      <c r="M32" s="80">
        <v>25.0</v>
      </c>
      <c r="N32" s="35">
        <v>20.0</v>
      </c>
      <c r="O32" s="80">
        <v>40.0</v>
      </c>
      <c r="P32" s="80">
        <v>40.0</v>
      </c>
      <c r="Q32" s="36">
        <f t="shared" si="1"/>
        <v>32.5</v>
      </c>
      <c r="R32" s="20">
        <v>75.0</v>
      </c>
    </row>
    <row r="33" ht="14.25" customHeight="1">
      <c r="A33" s="21"/>
      <c r="B33" s="22"/>
      <c r="C33" s="23">
        <v>2.0</v>
      </c>
      <c r="D33" s="24" t="s">
        <v>46</v>
      </c>
      <c r="E33" s="81">
        <v>25.0</v>
      </c>
      <c r="F33" s="81">
        <v>50.0</v>
      </c>
      <c r="G33" s="81">
        <v>75.0</v>
      </c>
      <c r="H33" s="81">
        <v>30.0</v>
      </c>
      <c r="I33" s="81">
        <v>40.0</v>
      </c>
      <c r="J33" s="81">
        <v>30.0</v>
      </c>
      <c r="K33" s="38">
        <v>30.0</v>
      </c>
      <c r="L33" s="38">
        <v>20.0</v>
      </c>
      <c r="M33" s="82">
        <v>25.0</v>
      </c>
      <c r="N33" s="39">
        <v>20.0</v>
      </c>
      <c r="O33" s="82">
        <v>40.0</v>
      </c>
      <c r="P33" s="82">
        <v>30.0</v>
      </c>
      <c r="Q33" s="40">
        <f t="shared" si="1"/>
        <v>34.58333333</v>
      </c>
      <c r="R33" s="29">
        <v>75.0</v>
      </c>
    </row>
    <row r="34" ht="14.25" customHeight="1">
      <c r="A34" s="21"/>
      <c r="B34" s="22"/>
      <c r="C34" s="23">
        <v>3.0</v>
      </c>
      <c r="D34" s="24" t="s">
        <v>47</v>
      </c>
      <c r="E34" s="81">
        <v>5.0</v>
      </c>
      <c r="F34" s="81">
        <v>20.0</v>
      </c>
      <c r="G34" s="81">
        <v>15.0</v>
      </c>
      <c r="H34" s="81">
        <v>20.0</v>
      </c>
      <c r="I34" s="81">
        <v>30.0</v>
      </c>
      <c r="J34" s="81">
        <v>20.0</v>
      </c>
      <c r="K34" s="38">
        <v>20.0</v>
      </c>
      <c r="L34" s="38">
        <v>10.0</v>
      </c>
      <c r="M34" s="82">
        <v>15.0</v>
      </c>
      <c r="N34" s="39">
        <v>10.0</v>
      </c>
      <c r="O34" s="82">
        <v>30.0</v>
      </c>
      <c r="P34" s="82">
        <v>30.0</v>
      </c>
      <c r="Q34" s="40">
        <f t="shared" si="1"/>
        <v>18.75</v>
      </c>
      <c r="R34" s="29">
        <v>75.0</v>
      </c>
    </row>
    <row r="35" ht="14.25" customHeight="1">
      <c r="A35" s="21"/>
      <c r="B35" s="22"/>
      <c r="C35" s="23">
        <v>4.0</v>
      </c>
      <c r="D35" s="24" t="s">
        <v>27</v>
      </c>
      <c r="E35" s="81">
        <v>50.0</v>
      </c>
      <c r="F35" s="81">
        <v>40.0</v>
      </c>
      <c r="G35" s="81">
        <v>25.0</v>
      </c>
      <c r="H35" s="81">
        <v>25.0</v>
      </c>
      <c r="I35" s="81">
        <v>30.0</v>
      </c>
      <c r="J35" s="81">
        <v>25.0</v>
      </c>
      <c r="K35" s="38">
        <v>15.0</v>
      </c>
      <c r="L35" s="38">
        <v>20.0</v>
      </c>
      <c r="M35" s="82">
        <v>15.0</v>
      </c>
      <c r="N35" s="39">
        <v>20.0</v>
      </c>
      <c r="O35" s="82">
        <v>40.0</v>
      </c>
      <c r="P35" s="82">
        <v>40.0</v>
      </c>
      <c r="Q35" s="40">
        <f t="shared" si="1"/>
        <v>28.75</v>
      </c>
      <c r="R35" s="29">
        <v>75.0</v>
      </c>
    </row>
    <row r="36" ht="14.25" customHeight="1">
      <c r="A36" s="21"/>
      <c r="B36" s="30"/>
      <c r="C36" s="23">
        <v>5.0</v>
      </c>
      <c r="D36" s="24" t="s">
        <v>48</v>
      </c>
      <c r="E36" s="81">
        <v>25.0</v>
      </c>
      <c r="F36" s="81">
        <v>40.0</v>
      </c>
      <c r="G36" s="81">
        <v>25.0</v>
      </c>
      <c r="H36" s="81">
        <v>50.0</v>
      </c>
      <c r="I36" s="81">
        <v>50.0</v>
      </c>
      <c r="J36" s="81">
        <v>30.0</v>
      </c>
      <c r="K36" s="38">
        <v>15.0</v>
      </c>
      <c r="L36" s="38">
        <v>25.0</v>
      </c>
      <c r="M36" s="82">
        <v>20.0</v>
      </c>
      <c r="N36" s="39">
        <v>20.0</v>
      </c>
      <c r="O36" s="82">
        <v>30.0</v>
      </c>
      <c r="P36" s="82">
        <v>20.0</v>
      </c>
      <c r="Q36" s="40">
        <f t="shared" si="1"/>
        <v>29.16666667</v>
      </c>
      <c r="R36" s="29">
        <v>75.0</v>
      </c>
    </row>
    <row r="37" ht="14.25" customHeight="1">
      <c r="A37" s="21"/>
      <c r="B37" s="13" t="s">
        <v>38</v>
      </c>
      <c r="C37" s="31">
        <v>1.0</v>
      </c>
      <c r="D37" s="32" t="s">
        <v>45</v>
      </c>
      <c r="E37" s="86">
        <v>3500000.0</v>
      </c>
      <c r="F37" s="86">
        <v>790000.0</v>
      </c>
      <c r="G37" s="86">
        <v>2400000.0</v>
      </c>
      <c r="H37" s="86">
        <v>230000.0</v>
      </c>
      <c r="I37" s="86">
        <v>330000.0</v>
      </c>
      <c r="J37" s="86">
        <v>1.6E7</v>
      </c>
      <c r="K37" s="87">
        <v>4600000.0</v>
      </c>
      <c r="L37" s="46">
        <v>790000.0</v>
      </c>
      <c r="M37" s="88">
        <v>2400000.0</v>
      </c>
      <c r="N37" s="69">
        <v>9200000.0</v>
      </c>
      <c r="O37" s="88">
        <v>1.6E7</v>
      </c>
      <c r="P37" s="88">
        <v>3500000.0</v>
      </c>
      <c r="Q37" s="49">
        <f t="shared" ref="Q37:Q41" si="2">GEOMEAN(E37:P37)</f>
        <v>2398299.11</v>
      </c>
      <c r="R37" s="20">
        <v>200.0</v>
      </c>
      <c r="S37" s="50">
        <f>GEOMEAN(Q37:Q41)</f>
        <v>5003038.366</v>
      </c>
    </row>
    <row r="38" ht="14.25" customHeight="1">
      <c r="A38" s="21"/>
      <c r="B38" s="22"/>
      <c r="C38" s="23">
        <v>2.0</v>
      </c>
      <c r="D38" s="24" t="s">
        <v>46</v>
      </c>
      <c r="E38" s="89">
        <v>5400000.0</v>
      </c>
      <c r="F38" s="89">
        <v>490000.0</v>
      </c>
      <c r="G38" s="89">
        <v>3500000.0</v>
      </c>
      <c r="H38" s="89">
        <v>490000.0</v>
      </c>
      <c r="I38" s="89">
        <v>790000.0</v>
      </c>
      <c r="J38" s="89">
        <v>9200000.0</v>
      </c>
      <c r="K38" s="90">
        <v>3500000.0</v>
      </c>
      <c r="L38" s="52">
        <v>1700000.0</v>
      </c>
      <c r="M38" s="91">
        <v>3500000.0</v>
      </c>
      <c r="N38" s="71">
        <v>1.6E7</v>
      </c>
      <c r="O38" s="91">
        <v>5400000.0</v>
      </c>
      <c r="P38" s="91">
        <v>9200000.0</v>
      </c>
      <c r="Q38" s="54">
        <f t="shared" si="2"/>
        <v>3006742.862</v>
      </c>
      <c r="R38" s="29">
        <v>200.0</v>
      </c>
    </row>
    <row r="39" ht="14.25" customHeight="1">
      <c r="A39" s="21"/>
      <c r="B39" s="22"/>
      <c r="C39" s="23">
        <v>3.0</v>
      </c>
      <c r="D39" s="24" t="s">
        <v>47</v>
      </c>
      <c r="E39" s="89">
        <v>3500000.0</v>
      </c>
      <c r="F39" s="89">
        <v>3500000.0</v>
      </c>
      <c r="G39" s="89">
        <v>3500000.0</v>
      </c>
      <c r="H39" s="89">
        <v>9200000.0</v>
      </c>
      <c r="I39" s="89">
        <v>2200000.0</v>
      </c>
      <c r="J39" s="89">
        <v>1.6E7</v>
      </c>
      <c r="K39" s="90">
        <v>1.6E7</v>
      </c>
      <c r="L39" s="52">
        <v>700000.0</v>
      </c>
      <c r="M39" s="91">
        <v>9200000.0</v>
      </c>
      <c r="N39" s="71">
        <v>1.1E7</v>
      </c>
      <c r="O39" s="91">
        <v>1.7E7</v>
      </c>
      <c r="P39" s="91">
        <v>3.5E7</v>
      </c>
      <c r="Q39" s="54">
        <f t="shared" si="2"/>
        <v>6775700.126</v>
      </c>
      <c r="R39" s="29">
        <v>200.0</v>
      </c>
    </row>
    <row r="40" ht="14.25" customHeight="1">
      <c r="A40" s="21"/>
      <c r="B40" s="22"/>
      <c r="C40" s="23">
        <v>4.0</v>
      </c>
      <c r="D40" s="24" t="s">
        <v>27</v>
      </c>
      <c r="E40" s="89">
        <v>1.6E7</v>
      </c>
      <c r="F40" s="89">
        <v>1.7E7</v>
      </c>
      <c r="G40" s="89">
        <v>9200000.0</v>
      </c>
      <c r="H40" s="89">
        <v>130000.0</v>
      </c>
      <c r="I40" s="89">
        <v>1.6E7</v>
      </c>
      <c r="J40" s="89">
        <v>1.7E7</v>
      </c>
      <c r="K40" s="90">
        <v>3.5E7</v>
      </c>
      <c r="L40" s="52">
        <v>2400000.0</v>
      </c>
      <c r="M40" s="91">
        <v>490000.0</v>
      </c>
      <c r="N40" s="71">
        <v>2.2E7</v>
      </c>
      <c r="O40" s="91">
        <v>1.1E7</v>
      </c>
      <c r="P40" s="91">
        <v>5.4E7</v>
      </c>
      <c r="Q40" s="54">
        <f t="shared" si="2"/>
        <v>7758827.98</v>
      </c>
      <c r="R40" s="29">
        <v>200.0</v>
      </c>
    </row>
    <row r="41" ht="14.25" customHeight="1">
      <c r="A41" s="21"/>
      <c r="B41" s="30"/>
      <c r="C41" s="23">
        <v>5.0</v>
      </c>
      <c r="D41" s="24" t="s">
        <v>48</v>
      </c>
      <c r="E41" s="92">
        <v>9200000.0</v>
      </c>
      <c r="F41" s="92">
        <v>4600000.0</v>
      </c>
      <c r="G41" s="92">
        <v>5400000.0</v>
      </c>
      <c r="H41" s="92">
        <v>1.6E7</v>
      </c>
      <c r="I41" s="92">
        <v>2.4E7</v>
      </c>
      <c r="J41" s="92">
        <v>3.5E7</v>
      </c>
      <c r="K41" s="90">
        <v>2.2E7</v>
      </c>
      <c r="L41" s="52">
        <v>3500000.0</v>
      </c>
      <c r="M41" s="91">
        <v>1100000.0</v>
      </c>
      <c r="N41" s="71">
        <v>790000.0</v>
      </c>
      <c r="O41" s="91">
        <v>5400000.0</v>
      </c>
      <c r="P41" s="91">
        <v>9.2E7</v>
      </c>
      <c r="Q41" s="54">
        <f t="shared" si="2"/>
        <v>8268357.221</v>
      </c>
      <c r="R41" s="29">
        <v>200.0</v>
      </c>
    </row>
    <row r="42" ht="14.25" customHeight="1">
      <c r="A42" s="21"/>
      <c r="B42" s="13" t="s">
        <v>50</v>
      </c>
      <c r="C42" s="55">
        <v>1.0</v>
      </c>
      <c r="D42" s="56" t="s">
        <v>45</v>
      </c>
      <c r="E42" s="93">
        <v>0.52</v>
      </c>
      <c r="F42" s="93">
        <v>0.0334</v>
      </c>
      <c r="G42" s="93">
        <v>0.079</v>
      </c>
      <c r="H42" s="93">
        <v>0.187</v>
      </c>
      <c r="I42" s="93">
        <v>0.117</v>
      </c>
      <c r="J42" s="93">
        <v>0.263</v>
      </c>
      <c r="K42" s="34">
        <v>0.518</v>
      </c>
      <c r="L42" s="58">
        <v>0.11</v>
      </c>
      <c r="M42" s="94">
        <v>0.441</v>
      </c>
      <c r="N42" s="59">
        <v>0.191</v>
      </c>
      <c r="O42" s="94">
        <v>0.691</v>
      </c>
      <c r="P42" s="94">
        <v>0.549</v>
      </c>
      <c r="Q42" s="60">
        <f t="shared" ref="Q42:Q56" si="3">AVERAGE(E42:P42)</f>
        <v>0.3082833333</v>
      </c>
      <c r="R42" s="20">
        <v>7.0</v>
      </c>
    </row>
    <row r="43" ht="14.25" customHeight="1">
      <c r="A43" s="21"/>
      <c r="B43" s="22"/>
      <c r="C43" s="61">
        <v>2.0</v>
      </c>
      <c r="D43" s="62" t="s">
        <v>46</v>
      </c>
      <c r="E43" s="95">
        <v>0.482</v>
      </c>
      <c r="F43" s="95">
        <v>0.304</v>
      </c>
      <c r="G43" s="95">
        <v>0.124</v>
      </c>
      <c r="H43" s="95">
        <v>0.149</v>
      </c>
      <c r="I43" s="95">
        <v>0.427</v>
      </c>
      <c r="J43" s="95">
        <v>0.263</v>
      </c>
      <c r="K43" s="38">
        <v>0.082</v>
      </c>
      <c r="L43" s="64">
        <v>0.08</v>
      </c>
      <c r="M43" s="96">
        <v>0.436</v>
      </c>
      <c r="N43" s="65">
        <v>0.225</v>
      </c>
      <c r="O43" s="96">
        <v>0.842</v>
      </c>
      <c r="P43" s="96">
        <v>0.66</v>
      </c>
      <c r="Q43" s="67">
        <f t="shared" si="3"/>
        <v>0.3395</v>
      </c>
      <c r="R43" s="29">
        <v>7.0</v>
      </c>
    </row>
    <row r="44" ht="14.25" customHeight="1">
      <c r="A44" s="21"/>
      <c r="B44" s="22"/>
      <c r="C44" s="61">
        <v>3.0</v>
      </c>
      <c r="D44" s="62" t="s">
        <v>47</v>
      </c>
      <c r="E44" s="95">
        <v>0.495</v>
      </c>
      <c r="F44" s="95">
        <v>0.258</v>
      </c>
      <c r="G44" s="95">
        <v>0.103</v>
      </c>
      <c r="H44" s="95">
        <v>0.082</v>
      </c>
      <c r="I44" s="95">
        <v>0.085</v>
      </c>
      <c r="J44" s="95">
        <v>0.29</v>
      </c>
      <c r="K44" s="38">
        <v>0.092</v>
      </c>
      <c r="L44" s="38">
        <v>0.097</v>
      </c>
      <c r="M44" s="96">
        <v>0.449</v>
      </c>
      <c r="N44" s="65">
        <v>0.265</v>
      </c>
      <c r="O44" s="96">
        <v>0.048</v>
      </c>
      <c r="P44" s="96">
        <v>0.643</v>
      </c>
      <c r="Q44" s="67">
        <f t="shared" si="3"/>
        <v>0.24225</v>
      </c>
      <c r="R44" s="29">
        <v>7.0</v>
      </c>
    </row>
    <row r="45" ht="14.25" customHeight="1">
      <c r="A45" s="21"/>
      <c r="B45" s="22"/>
      <c r="C45" s="61">
        <v>4.0</v>
      </c>
      <c r="D45" s="62" t="s">
        <v>27</v>
      </c>
      <c r="E45" s="95">
        <v>0.435</v>
      </c>
      <c r="F45" s="95">
        <v>0.048</v>
      </c>
      <c r="G45" s="95">
        <v>0.048</v>
      </c>
      <c r="H45" s="95">
        <v>0.239</v>
      </c>
      <c r="I45" s="95">
        <v>0.424</v>
      </c>
      <c r="J45" s="95">
        <v>0.263</v>
      </c>
      <c r="K45" s="38">
        <v>0.048</v>
      </c>
      <c r="L45" s="38">
        <v>0.048</v>
      </c>
      <c r="M45" s="96">
        <v>0.508</v>
      </c>
      <c r="N45" s="65">
        <v>0.258</v>
      </c>
      <c r="O45" s="96">
        <v>0.413</v>
      </c>
      <c r="P45" s="96">
        <v>0.636</v>
      </c>
      <c r="Q45" s="67">
        <f t="shared" si="3"/>
        <v>0.2806666667</v>
      </c>
      <c r="R45" s="29">
        <v>7.0</v>
      </c>
    </row>
    <row r="46" ht="14.25" customHeight="1">
      <c r="A46" s="21"/>
      <c r="B46" s="30"/>
      <c r="C46" s="61">
        <v>5.0</v>
      </c>
      <c r="D46" s="62" t="s">
        <v>48</v>
      </c>
      <c r="E46" s="95">
        <v>0.422</v>
      </c>
      <c r="F46" s="95">
        <v>0.404</v>
      </c>
      <c r="G46" s="95">
        <v>0.065</v>
      </c>
      <c r="H46" s="95">
        <v>0.218</v>
      </c>
      <c r="I46" s="95">
        <v>0.235</v>
      </c>
      <c r="J46" s="95">
        <v>0.146</v>
      </c>
      <c r="K46" s="38">
        <v>0.323</v>
      </c>
      <c r="L46" s="38">
        <v>0.085</v>
      </c>
      <c r="M46" s="96">
        <v>0.511</v>
      </c>
      <c r="N46" s="65">
        <v>0.125</v>
      </c>
      <c r="O46" s="96">
        <v>0.624</v>
      </c>
      <c r="P46" s="96">
        <v>0.511</v>
      </c>
      <c r="Q46" s="67">
        <f t="shared" si="3"/>
        <v>0.30575</v>
      </c>
      <c r="R46" s="29">
        <v>7.0</v>
      </c>
    </row>
    <row r="47" ht="14.25" customHeight="1">
      <c r="A47" s="21"/>
      <c r="B47" s="13" t="s">
        <v>51</v>
      </c>
      <c r="C47" s="55">
        <v>1.0</v>
      </c>
      <c r="D47" s="56" t="s">
        <v>45</v>
      </c>
      <c r="E47" s="93">
        <v>1.875</v>
      </c>
      <c r="F47" s="93">
        <v>1.789</v>
      </c>
      <c r="G47" s="93">
        <v>1.934</v>
      </c>
      <c r="H47" s="93">
        <v>1.576</v>
      </c>
      <c r="I47" s="93">
        <v>4.963</v>
      </c>
      <c r="J47" s="93">
        <v>0.708</v>
      </c>
      <c r="K47" s="58">
        <v>0.68</v>
      </c>
      <c r="L47" s="34">
        <v>0.594</v>
      </c>
      <c r="M47" s="94">
        <v>0.761</v>
      </c>
      <c r="N47" s="59">
        <v>0.702</v>
      </c>
      <c r="O47" s="94">
        <v>0.902</v>
      </c>
      <c r="P47" s="94">
        <v>1.441</v>
      </c>
      <c r="Q47" s="60">
        <f t="shared" si="3"/>
        <v>1.49375</v>
      </c>
      <c r="R47" s="20">
        <v>0.5</v>
      </c>
    </row>
    <row r="48" ht="14.25" customHeight="1">
      <c r="A48" s="21"/>
      <c r="B48" s="22"/>
      <c r="C48" s="61">
        <v>2.0</v>
      </c>
      <c r="D48" s="62" t="s">
        <v>46</v>
      </c>
      <c r="E48" s="95">
        <v>1.893</v>
      </c>
      <c r="F48" s="95">
        <v>1.327</v>
      </c>
      <c r="G48" s="95">
        <v>2.234</v>
      </c>
      <c r="H48" s="95">
        <v>1.6</v>
      </c>
      <c r="I48" s="95">
        <v>2.003</v>
      </c>
      <c r="J48" s="95">
        <v>0.954</v>
      </c>
      <c r="K48" s="64">
        <v>0.858</v>
      </c>
      <c r="L48" s="38">
        <v>0.824</v>
      </c>
      <c r="M48" s="96">
        <v>0.814</v>
      </c>
      <c r="N48" s="65">
        <v>0.926</v>
      </c>
      <c r="O48" s="96">
        <v>1.074</v>
      </c>
      <c r="P48" s="96">
        <v>1.291</v>
      </c>
      <c r="Q48" s="67">
        <f t="shared" si="3"/>
        <v>1.3165</v>
      </c>
      <c r="R48" s="29">
        <v>0.5</v>
      </c>
    </row>
    <row r="49" ht="14.25" customHeight="1">
      <c r="A49" s="21"/>
      <c r="B49" s="22"/>
      <c r="C49" s="61">
        <v>3.0</v>
      </c>
      <c r="D49" s="62" t="s">
        <v>47</v>
      </c>
      <c r="E49" s="95">
        <v>0.221</v>
      </c>
      <c r="F49" s="95">
        <v>1.357</v>
      </c>
      <c r="G49" s="95">
        <v>0.686</v>
      </c>
      <c r="H49" s="95">
        <v>1.075</v>
      </c>
      <c r="I49" s="95">
        <v>0.634</v>
      </c>
      <c r="J49" s="95">
        <v>0.585</v>
      </c>
      <c r="K49" s="64">
        <v>0.27</v>
      </c>
      <c r="L49" s="38">
        <v>1.644</v>
      </c>
      <c r="M49" s="96">
        <v>0.46</v>
      </c>
      <c r="N49" s="65">
        <v>0.88</v>
      </c>
      <c r="O49" s="96">
        <v>0.083</v>
      </c>
      <c r="P49" s="96">
        <v>1.742</v>
      </c>
      <c r="Q49" s="67">
        <f t="shared" si="3"/>
        <v>0.8030833333</v>
      </c>
      <c r="R49" s="29">
        <v>0.5</v>
      </c>
    </row>
    <row r="50" ht="14.25" customHeight="1">
      <c r="A50" s="21"/>
      <c r="B50" s="22"/>
      <c r="C50" s="61">
        <v>4.0</v>
      </c>
      <c r="D50" s="62" t="s">
        <v>27</v>
      </c>
      <c r="E50" s="95">
        <v>1.442</v>
      </c>
      <c r="F50" s="95">
        <v>1.164</v>
      </c>
      <c r="G50" s="95">
        <v>2.358</v>
      </c>
      <c r="H50" s="95">
        <v>1.537</v>
      </c>
      <c r="I50" s="95">
        <v>0.424</v>
      </c>
      <c r="J50" s="95">
        <v>0.549</v>
      </c>
      <c r="K50" s="64">
        <v>0.38</v>
      </c>
      <c r="L50" s="38">
        <v>1.357</v>
      </c>
      <c r="M50" s="96">
        <v>0.46</v>
      </c>
      <c r="N50" s="65">
        <v>0.727</v>
      </c>
      <c r="O50" s="96">
        <v>0.585</v>
      </c>
      <c r="P50" s="96">
        <v>1.812</v>
      </c>
      <c r="Q50" s="67">
        <f t="shared" si="3"/>
        <v>1.06625</v>
      </c>
      <c r="R50" s="29">
        <v>0.5</v>
      </c>
    </row>
    <row r="51" ht="14.25" customHeight="1">
      <c r="A51" s="21"/>
      <c r="B51" s="30"/>
      <c r="C51" s="61">
        <v>5.0</v>
      </c>
      <c r="D51" s="62" t="s">
        <v>48</v>
      </c>
      <c r="E51" s="95">
        <v>1.505</v>
      </c>
      <c r="F51" s="95">
        <v>1.957</v>
      </c>
      <c r="G51" s="95">
        <v>2.436</v>
      </c>
      <c r="H51" s="95">
        <v>2.371</v>
      </c>
      <c r="I51" s="95">
        <v>0.235</v>
      </c>
      <c r="J51" s="95">
        <v>1.54</v>
      </c>
      <c r="K51" s="64">
        <v>0.025</v>
      </c>
      <c r="L51" s="38">
        <v>1.403</v>
      </c>
      <c r="M51" s="96">
        <v>0.541</v>
      </c>
      <c r="N51" s="65">
        <v>1.374</v>
      </c>
      <c r="O51" s="96">
        <v>0.825</v>
      </c>
      <c r="P51" s="96">
        <v>1.225</v>
      </c>
      <c r="Q51" s="67">
        <f t="shared" si="3"/>
        <v>1.286416667</v>
      </c>
      <c r="R51" s="29">
        <v>0.5</v>
      </c>
    </row>
    <row r="52" ht="14.25" customHeight="1">
      <c r="A52" s="21"/>
      <c r="B52" s="13" t="s">
        <v>42</v>
      </c>
      <c r="C52" s="31">
        <v>1.0</v>
      </c>
      <c r="D52" s="32" t="s">
        <v>45</v>
      </c>
      <c r="E52" s="79">
        <v>686.0</v>
      </c>
      <c r="F52" s="86">
        <v>68.0</v>
      </c>
      <c r="G52" s="79">
        <v>757.0</v>
      </c>
      <c r="H52" s="79">
        <v>619.0</v>
      </c>
      <c r="I52" s="86">
        <v>589.0</v>
      </c>
      <c r="J52" s="86">
        <v>673.0</v>
      </c>
      <c r="K52" s="34">
        <v>898.0</v>
      </c>
      <c r="L52" s="34">
        <v>187.0</v>
      </c>
      <c r="M52" s="80">
        <v>157.0</v>
      </c>
      <c r="N52" s="35">
        <v>692.0</v>
      </c>
      <c r="O52" s="88">
        <v>165.0</v>
      </c>
      <c r="P52" s="88">
        <v>374.0</v>
      </c>
      <c r="Q52" s="49">
        <f t="shared" si="3"/>
        <v>488.75</v>
      </c>
      <c r="R52" s="20">
        <v>350.0</v>
      </c>
    </row>
    <row r="53" ht="14.25" customHeight="1">
      <c r="A53" s="21"/>
      <c r="B53" s="22"/>
      <c r="C53" s="23">
        <v>2.0</v>
      </c>
      <c r="D53" s="24" t="s">
        <v>46</v>
      </c>
      <c r="E53" s="81">
        <v>593.0</v>
      </c>
      <c r="F53" s="89">
        <v>191.0</v>
      </c>
      <c r="G53" s="81">
        <v>781.0</v>
      </c>
      <c r="H53" s="81">
        <v>878.0</v>
      </c>
      <c r="I53" s="89">
        <v>411.0</v>
      </c>
      <c r="J53" s="89">
        <v>490.0</v>
      </c>
      <c r="K53" s="38">
        <v>689.0</v>
      </c>
      <c r="L53" s="38">
        <v>209.0</v>
      </c>
      <c r="M53" s="91">
        <v>86.0</v>
      </c>
      <c r="N53" s="39">
        <v>126.0</v>
      </c>
      <c r="O53" s="91">
        <v>136.0</v>
      </c>
      <c r="P53" s="91">
        <v>343.0</v>
      </c>
      <c r="Q53" s="54">
        <f t="shared" si="3"/>
        <v>411.0833333</v>
      </c>
      <c r="R53" s="29">
        <v>350.0</v>
      </c>
    </row>
    <row r="54" ht="14.25" customHeight="1">
      <c r="A54" s="21"/>
      <c r="B54" s="22"/>
      <c r="C54" s="23">
        <v>3.0</v>
      </c>
      <c r="D54" s="24" t="s">
        <v>47</v>
      </c>
      <c r="E54" s="81">
        <v>39.0</v>
      </c>
      <c r="F54" s="89">
        <v>97.0</v>
      </c>
      <c r="G54" s="81">
        <v>49.0</v>
      </c>
      <c r="H54" s="81">
        <v>49.0</v>
      </c>
      <c r="I54" s="89">
        <v>69.0</v>
      </c>
      <c r="J54" s="89">
        <v>49.0</v>
      </c>
      <c r="K54" s="38">
        <v>39.0</v>
      </c>
      <c r="L54" s="38">
        <v>56.0</v>
      </c>
      <c r="M54" s="91">
        <v>71.0</v>
      </c>
      <c r="N54" s="39">
        <v>45.0</v>
      </c>
      <c r="O54" s="91">
        <v>49.0</v>
      </c>
      <c r="P54" s="91">
        <v>288.0</v>
      </c>
      <c r="Q54" s="54">
        <f t="shared" si="3"/>
        <v>75</v>
      </c>
      <c r="R54" s="29">
        <v>350.0</v>
      </c>
    </row>
    <row r="55" ht="14.25" customHeight="1">
      <c r="A55" s="21"/>
      <c r="B55" s="22"/>
      <c r="C55" s="23">
        <v>4.0</v>
      </c>
      <c r="D55" s="24" t="s">
        <v>27</v>
      </c>
      <c r="E55" s="81">
        <v>211.0</v>
      </c>
      <c r="F55" s="89">
        <v>514.0</v>
      </c>
      <c r="G55" s="81">
        <v>141.0</v>
      </c>
      <c r="H55" s="81">
        <v>82.0</v>
      </c>
      <c r="I55" s="89">
        <v>262.0</v>
      </c>
      <c r="J55" s="89">
        <v>59.0</v>
      </c>
      <c r="K55" s="38">
        <v>112.0</v>
      </c>
      <c r="L55" s="38">
        <v>68.0</v>
      </c>
      <c r="M55" s="91">
        <v>66.0</v>
      </c>
      <c r="N55" s="39">
        <v>91.0</v>
      </c>
      <c r="O55" s="91">
        <v>49.0</v>
      </c>
      <c r="P55" s="91">
        <v>187.0</v>
      </c>
      <c r="Q55" s="54">
        <f t="shared" si="3"/>
        <v>153.5</v>
      </c>
      <c r="R55" s="29">
        <v>350.0</v>
      </c>
    </row>
    <row r="56" ht="14.25" customHeight="1">
      <c r="A56" s="21"/>
      <c r="B56" s="30"/>
      <c r="C56" s="23">
        <v>5.0</v>
      </c>
      <c r="D56" s="24" t="s">
        <v>48</v>
      </c>
      <c r="E56" s="81">
        <v>74.0</v>
      </c>
      <c r="F56" s="89">
        <v>592.0</v>
      </c>
      <c r="G56" s="81">
        <v>68.0</v>
      </c>
      <c r="H56" s="81">
        <v>82.0</v>
      </c>
      <c r="I56" s="89">
        <v>69.0</v>
      </c>
      <c r="J56" s="89">
        <v>114.0</v>
      </c>
      <c r="K56" s="38">
        <v>112.0</v>
      </c>
      <c r="L56" s="38">
        <v>46.0</v>
      </c>
      <c r="M56" s="91">
        <v>66.0</v>
      </c>
      <c r="N56" s="39">
        <v>91.0</v>
      </c>
      <c r="O56" s="91">
        <v>53.0</v>
      </c>
      <c r="P56" s="91">
        <v>192.0</v>
      </c>
      <c r="Q56" s="54">
        <f t="shared" si="3"/>
        <v>129.9166667</v>
      </c>
      <c r="R56" s="29">
        <v>350.0</v>
      </c>
    </row>
    <row r="57" ht="14.25" customHeight="1">
      <c r="F57" s="97"/>
      <c r="G57" s="97"/>
      <c r="I57" s="97"/>
      <c r="K57" s="98"/>
    </row>
    <row r="58" ht="14.25" customHeight="1">
      <c r="A58" s="72" t="s">
        <v>43</v>
      </c>
      <c r="F58" s="97"/>
      <c r="G58" s="97"/>
      <c r="I58" s="97"/>
      <c r="K58" s="98"/>
    </row>
    <row r="59" ht="14.25" customHeight="1">
      <c r="F59" s="97"/>
      <c r="G59" s="97"/>
      <c r="I59" s="97"/>
      <c r="K59" s="98"/>
    </row>
    <row r="60" ht="14.25" customHeight="1">
      <c r="A60" s="99"/>
      <c r="K60" s="98"/>
    </row>
    <row r="61" ht="14.25" customHeight="1">
      <c r="K61" s="98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4.29"/>
    <col customWidth="1" min="3" max="3" width="8.71"/>
    <col customWidth="1" min="4" max="4" width="46.14"/>
    <col customWidth="1" min="5" max="5" width="11.0" outlineLevel="1"/>
    <col customWidth="1" min="6" max="6" width="12.29" outlineLevel="1"/>
    <col customWidth="1" min="7" max="7" width="9.43" outlineLevel="1"/>
    <col customWidth="1" min="8" max="8" width="9.86" outlineLevel="1"/>
    <col customWidth="1" min="9" max="10" width="12.71" outlineLevel="1"/>
    <col customWidth="1" min="11" max="11" width="9.57" outlineLevel="1"/>
    <col customWidth="1" min="12" max="12" width="11.14" outlineLevel="1"/>
    <col customWidth="1" min="13" max="13" width="12.29" outlineLevel="1"/>
    <col customWidth="1" min="14" max="14" width="11.14" outlineLevel="1"/>
    <col customWidth="1" min="15" max="15" width="11.0" outlineLevel="1"/>
    <col customWidth="1" min="16" max="16" width="9.57" outlineLevel="1"/>
    <col customWidth="1" min="17" max="17" width="25.57"/>
    <col customWidth="1" min="18" max="18" width="6.86"/>
    <col customWidth="1" min="19" max="19" width="17.0"/>
    <col customWidth="1" min="20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100" t="s">
        <v>15</v>
      </c>
      <c r="N4" s="6" t="s">
        <v>16</v>
      </c>
      <c r="O4" s="6" t="s">
        <v>17</v>
      </c>
      <c r="P4" s="6" t="s">
        <v>18</v>
      </c>
      <c r="Q4" s="100" t="s">
        <v>19</v>
      </c>
      <c r="R4" s="6" t="s">
        <v>20</v>
      </c>
    </row>
    <row r="5" ht="14.25" customHeight="1">
      <c r="A5" s="8" t="s">
        <v>52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53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4.25" customHeight="1">
      <c r="A7" s="101" t="s">
        <v>23</v>
      </c>
      <c r="B7" s="74" t="s">
        <v>24</v>
      </c>
      <c r="C7" s="14">
        <v>1.0</v>
      </c>
      <c r="D7" s="15" t="s">
        <v>54</v>
      </c>
      <c r="E7" s="16">
        <v>0.1</v>
      </c>
      <c r="F7" s="16">
        <v>2.0</v>
      </c>
      <c r="G7" s="16">
        <v>3.2</v>
      </c>
      <c r="H7" s="16">
        <v>2.8</v>
      </c>
      <c r="I7" s="16">
        <v>15.4</v>
      </c>
      <c r="J7" s="16">
        <v>5.5</v>
      </c>
      <c r="K7" s="17">
        <v>5.0</v>
      </c>
      <c r="L7" s="17">
        <v>3.8</v>
      </c>
      <c r="M7" s="102">
        <v>3.4</v>
      </c>
      <c r="N7" s="102">
        <v>4.4</v>
      </c>
      <c r="O7" s="18">
        <v>0.1</v>
      </c>
      <c r="P7" s="18">
        <v>0.1</v>
      </c>
      <c r="Q7" s="103">
        <f t="shared" ref="Q7:Q24" si="1">AVERAGE(E7:P7)</f>
        <v>3.816666667</v>
      </c>
      <c r="R7" s="20">
        <v>5.0</v>
      </c>
    </row>
    <row r="8" ht="14.25" customHeight="1">
      <c r="A8" s="21"/>
      <c r="B8" s="22"/>
      <c r="C8" s="23">
        <v>2.0</v>
      </c>
      <c r="D8" s="24" t="s">
        <v>55</v>
      </c>
      <c r="E8" s="25">
        <v>0.1</v>
      </c>
      <c r="F8" s="25">
        <v>0.1</v>
      </c>
      <c r="G8" s="25">
        <v>0.1</v>
      </c>
      <c r="H8" s="25">
        <v>0.1</v>
      </c>
      <c r="I8" s="25">
        <v>0.1</v>
      </c>
      <c r="J8" s="25">
        <v>0.1</v>
      </c>
      <c r="K8" s="26">
        <v>0.1</v>
      </c>
      <c r="L8" s="26">
        <v>3.3</v>
      </c>
      <c r="M8" s="27">
        <v>2.5</v>
      </c>
      <c r="N8" s="27">
        <v>0.1</v>
      </c>
      <c r="O8" s="27">
        <v>0.1</v>
      </c>
      <c r="P8" s="27">
        <v>1.8</v>
      </c>
      <c r="Q8" s="104">
        <f t="shared" si="1"/>
        <v>0.7083333333</v>
      </c>
      <c r="R8" s="29">
        <v>5.0</v>
      </c>
    </row>
    <row r="9" ht="14.25" customHeight="1">
      <c r="A9" s="21"/>
      <c r="B9" s="30"/>
      <c r="C9" s="23">
        <v>3.0</v>
      </c>
      <c r="D9" s="24" t="s">
        <v>56</v>
      </c>
      <c r="E9" s="25">
        <v>4.1</v>
      </c>
      <c r="F9" s="25">
        <v>4.8</v>
      </c>
      <c r="G9" s="25">
        <v>6.4</v>
      </c>
      <c r="H9" s="25">
        <v>15.2</v>
      </c>
      <c r="I9" s="25">
        <v>22.7</v>
      </c>
      <c r="J9" s="25">
        <v>5.7</v>
      </c>
      <c r="K9" s="26">
        <v>6.1</v>
      </c>
      <c r="L9" s="26">
        <v>6.0</v>
      </c>
      <c r="M9" s="27">
        <v>0.9</v>
      </c>
      <c r="N9" s="27">
        <v>3.1</v>
      </c>
      <c r="O9" s="27">
        <v>5.8</v>
      </c>
      <c r="P9" s="27">
        <v>0.1</v>
      </c>
      <c r="Q9" s="104">
        <f t="shared" si="1"/>
        <v>6.741666667</v>
      </c>
      <c r="R9" s="29">
        <v>5.0</v>
      </c>
    </row>
    <row r="10" ht="14.25" customHeight="1">
      <c r="A10" s="21"/>
      <c r="B10" s="13" t="s">
        <v>30</v>
      </c>
      <c r="C10" s="31">
        <v>1.0</v>
      </c>
      <c r="D10" s="32" t="s">
        <v>54</v>
      </c>
      <c r="E10" s="33">
        <v>44.0</v>
      </c>
      <c r="F10" s="33">
        <v>9.0</v>
      </c>
      <c r="G10" s="33">
        <v>22.0</v>
      </c>
      <c r="H10" s="33">
        <v>34.0</v>
      </c>
      <c r="I10" s="33">
        <v>20.0</v>
      </c>
      <c r="J10" s="33">
        <v>12.0</v>
      </c>
      <c r="K10" s="68">
        <v>16.0</v>
      </c>
      <c r="L10" s="34">
        <v>6.0</v>
      </c>
      <c r="M10" s="105">
        <v>4.0</v>
      </c>
      <c r="N10" s="105">
        <v>5.0</v>
      </c>
      <c r="O10" s="105">
        <v>16.0</v>
      </c>
      <c r="P10" s="105">
        <v>12.0</v>
      </c>
      <c r="Q10" s="36">
        <f t="shared" si="1"/>
        <v>16.66666667</v>
      </c>
      <c r="R10" s="20">
        <v>7.0</v>
      </c>
    </row>
    <row r="11" ht="14.25" customHeight="1">
      <c r="A11" s="21"/>
      <c r="B11" s="22"/>
      <c r="C11" s="23">
        <v>2.0</v>
      </c>
      <c r="D11" s="24" t="s">
        <v>55</v>
      </c>
      <c r="E11" s="37">
        <v>46.0</v>
      </c>
      <c r="F11" s="37">
        <v>20.0</v>
      </c>
      <c r="G11" s="37">
        <v>41.0</v>
      </c>
      <c r="H11" s="37">
        <v>84.0</v>
      </c>
      <c r="I11" s="37">
        <v>54.0</v>
      </c>
      <c r="J11" s="37">
        <v>30.0</v>
      </c>
      <c r="K11" s="70">
        <v>41.0</v>
      </c>
      <c r="L11" s="38">
        <v>9.0</v>
      </c>
      <c r="M11" s="39">
        <v>8.0</v>
      </c>
      <c r="N11" s="39">
        <v>33.0</v>
      </c>
      <c r="O11" s="39">
        <v>6.0</v>
      </c>
      <c r="P11" s="39">
        <v>27.0</v>
      </c>
      <c r="Q11" s="40">
        <f t="shared" si="1"/>
        <v>33.25</v>
      </c>
      <c r="R11" s="29">
        <v>7.0</v>
      </c>
    </row>
    <row r="12" ht="14.25" customHeight="1">
      <c r="A12" s="21"/>
      <c r="B12" s="30"/>
      <c r="C12" s="23">
        <v>3.0</v>
      </c>
      <c r="D12" s="24" t="s">
        <v>56</v>
      </c>
      <c r="E12" s="37">
        <v>13.0</v>
      </c>
      <c r="F12" s="37">
        <v>12.0</v>
      </c>
      <c r="G12" s="37">
        <v>13.0</v>
      </c>
      <c r="H12" s="37">
        <v>10.0</v>
      </c>
      <c r="I12" s="37">
        <v>28.0</v>
      </c>
      <c r="J12" s="37">
        <v>23.0</v>
      </c>
      <c r="K12" s="70">
        <v>15.0</v>
      </c>
      <c r="L12" s="38">
        <v>14.0</v>
      </c>
      <c r="M12" s="106">
        <v>4.0</v>
      </c>
      <c r="N12" s="106">
        <v>27.0</v>
      </c>
      <c r="O12" s="106">
        <v>12.0</v>
      </c>
      <c r="P12" s="106">
        <v>11.0</v>
      </c>
      <c r="Q12" s="40">
        <f t="shared" si="1"/>
        <v>15.16666667</v>
      </c>
      <c r="R12" s="29">
        <v>7.0</v>
      </c>
    </row>
    <row r="13" ht="14.25" customHeight="1">
      <c r="A13" s="21"/>
      <c r="B13" s="13" t="s">
        <v>31</v>
      </c>
      <c r="C13" s="31">
        <v>1.0</v>
      </c>
      <c r="D13" s="32" t="s">
        <v>54</v>
      </c>
      <c r="E13" s="33">
        <v>43.0</v>
      </c>
      <c r="F13" s="33">
        <v>28.0</v>
      </c>
      <c r="G13" s="33">
        <v>24.0</v>
      </c>
      <c r="H13" s="33">
        <v>58.0</v>
      </c>
      <c r="I13" s="33">
        <v>22.0</v>
      </c>
      <c r="J13" s="33">
        <v>30.0</v>
      </c>
      <c r="K13" s="68">
        <v>15.0</v>
      </c>
      <c r="L13" s="34">
        <v>29.0</v>
      </c>
      <c r="M13" s="105">
        <v>56.0</v>
      </c>
      <c r="N13" s="105">
        <v>9.0</v>
      </c>
      <c r="O13" s="105">
        <v>29.0</v>
      </c>
      <c r="P13" s="105">
        <v>12.0</v>
      </c>
      <c r="Q13" s="36">
        <f t="shared" si="1"/>
        <v>29.58333333</v>
      </c>
      <c r="R13" s="20">
        <v>80.0</v>
      </c>
    </row>
    <row r="14" ht="14.25" customHeight="1">
      <c r="A14" s="21"/>
      <c r="B14" s="22"/>
      <c r="C14" s="23">
        <v>2.0</v>
      </c>
      <c r="D14" s="24" t="s">
        <v>55</v>
      </c>
      <c r="E14" s="37">
        <v>68.0</v>
      </c>
      <c r="F14" s="37">
        <v>34.0</v>
      </c>
      <c r="G14" s="37">
        <v>10.0</v>
      </c>
      <c r="H14" s="37">
        <v>68.0</v>
      </c>
      <c r="I14" s="37">
        <v>33.0</v>
      </c>
      <c r="J14" s="37">
        <v>20.0</v>
      </c>
      <c r="K14" s="70">
        <v>9.0</v>
      </c>
      <c r="L14" s="38">
        <v>13.0</v>
      </c>
      <c r="M14" s="39">
        <v>6.0</v>
      </c>
      <c r="N14" s="39">
        <v>8.0</v>
      </c>
      <c r="O14" s="39">
        <v>11.0</v>
      </c>
      <c r="P14" s="39">
        <v>11.0</v>
      </c>
      <c r="Q14" s="40">
        <f t="shared" si="1"/>
        <v>24.25</v>
      </c>
      <c r="R14" s="29">
        <v>80.0</v>
      </c>
    </row>
    <row r="15" ht="14.25" customHeight="1">
      <c r="A15" s="21"/>
      <c r="B15" s="30"/>
      <c r="C15" s="23">
        <v>3.0</v>
      </c>
      <c r="D15" s="24" t="s">
        <v>56</v>
      </c>
      <c r="E15" s="37">
        <v>25.0</v>
      </c>
      <c r="F15" s="37">
        <v>31.0</v>
      </c>
      <c r="G15" s="37">
        <v>9.0</v>
      </c>
      <c r="H15" s="37">
        <v>17.0</v>
      </c>
      <c r="I15" s="37">
        <v>22.0</v>
      </c>
      <c r="J15" s="37">
        <v>18.0</v>
      </c>
      <c r="K15" s="70">
        <v>10.0</v>
      </c>
      <c r="L15" s="38">
        <v>16.0</v>
      </c>
      <c r="M15" s="106">
        <v>4.0</v>
      </c>
      <c r="N15" s="106">
        <v>10.0</v>
      </c>
      <c r="O15" s="106">
        <v>13.0</v>
      </c>
      <c r="P15" s="106">
        <v>10.0</v>
      </c>
      <c r="Q15" s="40">
        <f t="shared" si="1"/>
        <v>15.41666667</v>
      </c>
      <c r="R15" s="29">
        <v>80.0</v>
      </c>
    </row>
    <row r="16" ht="16.5" customHeight="1">
      <c r="A16" s="21"/>
      <c r="B16" s="13" t="s">
        <v>33</v>
      </c>
      <c r="C16" s="31">
        <v>1.0</v>
      </c>
      <c r="D16" s="32" t="s">
        <v>54</v>
      </c>
      <c r="E16" s="41">
        <v>7.0</v>
      </c>
      <c r="F16" s="41">
        <v>7.3</v>
      </c>
      <c r="G16" s="41">
        <v>7.0</v>
      </c>
      <c r="H16" s="41">
        <v>7.0</v>
      </c>
      <c r="I16" s="41">
        <v>7.0</v>
      </c>
      <c r="J16" s="41">
        <v>7.0</v>
      </c>
      <c r="K16" s="42">
        <v>7.0</v>
      </c>
      <c r="L16" s="42">
        <v>7.0</v>
      </c>
      <c r="M16" s="102">
        <v>7.0</v>
      </c>
      <c r="N16" s="102">
        <v>7.0</v>
      </c>
      <c r="O16" s="18">
        <v>7.0</v>
      </c>
      <c r="P16" s="18">
        <v>7.0</v>
      </c>
      <c r="Q16" s="103">
        <f t="shared" si="1"/>
        <v>7.025</v>
      </c>
      <c r="R16" s="18" t="s">
        <v>34</v>
      </c>
    </row>
    <row r="17" ht="16.5" customHeight="1">
      <c r="A17" s="21"/>
      <c r="B17" s="22"/>
      <c r="C17" s="23">
        <v>2.0</v>
      </c>
      <c r="D17" s="24" t="s">
        <v>55</v>
      </c>
      <c r="E17" s="25">
        <v>7.0</v>
      </c>
      <c r="F17" s="25">
        <v>7.2</v>
      </c>
      <c r="G17" s="25">
        <v>7.1</v>
      </c>
      <c r="H17" s="25">
        <v>7.0</v>
      </c>
      <c r="I17" s="25">
        <v>7.0</v>
      </c>
      <c r="J17" s="25">
        <v>7.0</v>
      </c>
      <c r="K17" s="26">
        <v>7.0</v>
      </c>
      <c r="L17" s="26">
        <v>7.0</v>
      </c>
      <c r="M17" s="27">
        <v>7.0</v>
      </c>
      <c r="N17" s="27">
        <v>7.0</v>
      </c>
      <c r="O17" s="27">
        <v>7.0</v>
      </c>
      <c r="P17" s="27">
        <v>7.0</v>
      </c>
      <c r="Q17" s="104">
        <f t="shared" si="1"/>
        <v>7.025</v>
      </c>
      <c r="R17" s="27" t="s">
        <v>34</v>
      </c>
    </row>
    <row r="18" ht="17.25" customHeight="1">
      <c r="A18" s="21"/>
      <c r="B18" s="30"/>
      <c r="C18" s="23">
        <v>3.0</v>
      </c>
      <c r="D18" s="24" t="s">
        <v>56</v>
      </c>
      <c r="E18" s="25">
        <v>7.0</v>
      </c>
      <c r="F18" s="25">
        <v>7.3</v>
      </c>
      <c r="G18" s="25">
        <v>7.2</v>
      </c>
      <c r="H18" s="25">
        <v>7.0</v>
      </c>
      <c r="I18" s="25">
        <v>7.0</v>
      </c>
      <c r="J18" s="25">
        <v>7.0</v>
      </c>
      <c r="K18" s="26">
        <v>7.0</v>
      </c>
      <c r="L18" s="26">
        <v>7.0</v>
      </c>
      <c r="M18" s="27">
        <v>7.0</v>
      </c>
      <c r="N18" s="27">
        <v>7.0</v>
      </c>
      <c r="O18" s="27">
        <v>7.0</v>
      </c>
      <c r="P18" s="27">
        <v>7.0</v>
      </c>
      <c r="Q18" s="104">
        <f t="shared" si="1"/>
        <v>7.041666667</v>
      </c>
      <c r="R18" s="27" t="s">
        <v>34</v>
      </c>
    </row>
    <row r="19" ht="14.25" customHeight="1">
      <c r="A19" s="21"/>
      <c r="B19" s="13" t="s">
        <v>57</v>
      </c>
      <c r="C19" s="31">
        <v>1.0</v>
      </c>
      <c r="D19" s="32" t="s">
        <v>54</v>
      </c>
      <c r="E19" s="41">
        <v>26.5</v>
      </c>
      <c r="F19" s="41">
        <v>26.1</v>
      </c>
      <c r="G19" s="41">
        <v>25.7</v>
      </c>
      <c r="H19" s="41">
        <v>29.3</v>
      </c>
      <c r="I19" s="41">
        <v>29.1</v>
      </c>
      <c r="J19" s="41">
        <v>28.5</v>
      </c>
      <c r="K19" s="42">
        <v>26.5</v>
      </c>
      <c r="L19" s="42">
        <v>26.0</v>
      </c>
      <c r="M19" s="102">
        <v>27.5</v>
      </c>
      <c r="N19" s="102">
        <v>26.5</v>
      </c>
      <c r="O19" s="18">
        <v>26.8</v>
      </c>
      <c r="P19" s="18">
        <v>28.5</v>
      </c>
      <c r="Q19" s="103">
        <f t="shared" si="1"/>
        <v>27.25</v>
      </c>
      <c r="R19" s="18" t="s">
        <v>36</v>
      </c>
    </row>
    <row r="20" ht="14.25" customHeight="1">
      <c r="A20" s="21"/>
      <c r="B20" s="22"/>
      <c r="C20" s="23">
        <v>2.0</v>
      </c>
      <c r="D20" s="24" t="s">
        <v>55</v>
      </c>
      <c r="E20" s="25">
        <v>26.8</v>
      </c>
      <c r="F20" s="25">
        <v>26.3</v>
      </c>
      <c r="G20" s="25">
        <v>25.9</v>
      </c>
      <c r="H20" s="25">
        <v>29.5</v>
      </c>
      <c r="I20" s="25">
        <v>29.4</v>
      </c>
      <c r="J20" s="25">
        <v>28.7</v>
      </c>
      <c r="K20" s="26">
        <v>26.8</v>
      </c>
      <c r="L20" s="26">
        <v>26.5</v>
      </c>
      <c r="M20" s="27">
        <v>27.2</v>
      </c>
      <c r="N20" s="27">
        <v>27.0</v>
      </c>
      <c r="O20" s="27">
        <v>27.0</v>
      </c>
      <c r="P20" s="27">
        <v>28.54</v>
      </c>
      <c r="Q20" s="104">
        <f t="shared" si="1"/>
        <v>27.47</v>
      </c>
      <c r="R20" s="27" t="s">
        <v>36</v>
      </c>
    </row>
    <row r="21" ht="14.25" customHeight="1">
      <c r="A21" s="21"/>
      <c r="B21" s="30"/>
      <c r="C21" s="23">
        <v>3.0</v>
      </c>
      <c r="D21" s="24" t="s">
        <v>56</v>
      </c>
      <c r="E21" s="25">
        <v>26.8</v>
      </c>
      <c r="F21" s="25">
        <v>26.2</v>
      </c>
      <c r="G21" s="25">
        <v>25.8</v>
      </c>
      <c r="H21" s="25">
        <v>29.8</v>
      </c>
      <c r="I21" s="25">
        <v>29.5</v>
      </c>
      <c r="J21" s="25">
        <v>28.7</v>
      </c>
      <c r="K21" s="26">
        <v>27.0</v>
      </c>
      <c r="L21" s="26">
        <v>27.0</v>
      </c>
      <c r="M21" s="27">
        <v>28.0</v>
      </c>
      <c r="N21" s="27">
        <v>27.0</v>
      </c>
      <c r="O21" s="27">
        <v>27.1</v>
      </c>
      <c r="P21" s="27">
        <v>28.6</v>
      </c>
      <c r="Q21" s="104">
        <f t="shared" si="1"/>
        <v>27.625</v>
      </c>
      <c r="R21" s="27" t="s">
        <v>36</v>
      </c>
    </row>
    <row r="22" ht="14.25" customHeight="1">
      <c r="A22" s="21"/>
      <c r="B22" s="13" t="s">
        <v>37</v>
      </c>
      <c r="C22" s="31">
        <v>1.0</v>
      </c>
      <c r="D22" s="32" t="s">
        <v>54</v>
      </c>
      <c r="E22" s="33">
        <v>15.0</v>
      </c>
      <c r="F22" s="33">
        <v>15.0</v>
      </c>
      <c r="G22" s="33">
        <v>20.0</v>
      </c>
      <c r="H22" s="33">
        <v>20.0</v>
      </c>
      <c r="I22" s="33">
        <v>10.0</v>
      </c>
      <c r="J22" s="33">
        <v>15.0</v>
      </c>
      <c r="K22" s="68">
        <v>15.0</v>
      </c>
      <c r="L22" s="34">
        <v>20.0</v>
      </c>
      <c r="M22" s="105">
        <v>10.0</v>
      </c>
      <c r="N22" s="105">
        <v>15.0</v>
      </c>
      <c r="O22" s="105">
        <v>15.0</v>
      </c>
      <c r="P22" s="105">
        <v>15.0</v>
      </c>
      <c r="Q22" s="36">
        <f t="shared" si="1"/>
        <v>15.41666667</v>
      </c>
      <c r="R22" s="20">
        <v>75.0</v>
      </c>
    </row>
    <row r="23" ht="14.25" customHeight="1">
      <c r="A23" s="21"/>
      <c r="B23" s="22"/>
      <c r="C23" s="23">
        <v>2.0</v>
      </c>
      <c r="D23" s="24" t="s">
        <v>55</v>
      </c>
      <c r="E23" s="37">
        <v>20.0</v>
      </c>
      <c r="F23" s="37">
        <v>20.0</v>
      </c>
      <c r="G23" s="37">
        <v>25.0</v>
      </c>
      <c r="H23" s="37">
        <v>20.0</v>
      </c>
      <c r="I23" s="37">
        <v>20.0</v>
      </c>
      <c r="J23" s="37">
        <v>15.0</v>
      </c>
      <c r="K23" s="70">
        <v>10.0</v>
      </c>
      <c r="L23" s="38">
        <v>15.0</v>
      </c>
      <c r="M23" s="39">
        <v>10.0</v>
      </c>
      <c r="N23" s="39">
        <v>15.0</v>
      </c>
      <c r="O23" s="39">
        <v>15.0</v>
      </c>
      <c r="P23" s="39">
        <v>15.0</v>
      </c>
      <c r="Q23" s="40">
        <f t="shared" si="1"/>
        <v>16.66666667</v>
      </c>
      <c r="R23" s="29">
        <v>75.0</v>
      </c>
    </row>
    <row r="24" ht="14.25" customHeight="1">
      <c r="A24" s="21"/>
      <c r="B24" s="30"/>
      <c r="C24" s="23">
        <v>3.0</v>
      </c>
      <c r="D24" s="24" t="s">
        <v>56</v>
      </c>
      <c r="E24" s="37">
        <v>20.0</v>
      </c>
      <c r="F24" s="37">
        <v>20.0</v>
      </c>
      <c r="G24" s="37">
        <v>30.0</v>
      </c>
      <c r="H24" s="37">
        <v>25.0</v>
      </c>
      <c r="I24" s="37">
        <v>20.0</v>
      </c>
      <c r="J24" s="37">
        <v>20.0</v>
      </c>
      <c r="K24" s="70">
        <v>30.0</v>
      </c>
      <c r="L24" s="38">
        <v>25.0</v>
      </c>
      <c r="M24" s="106">
        <v>20.0</v>
      </c>
      <c r="N24" s="106">
        <v>25.0</v>
      </c>
      <c r="O24" s="106">
        <v>25.0</v>
      </c>
      <c r="P24" s="106">
        <v>20.0</v>
      </c>
      <c r="Q24" s="40">
        <f t="shared" si="1"/>
        <v>23.33333333</v>
      </c>
      <c r="R24" s="29">
        <v>75.0</v>
      </c>
    </row>
    <row r="25" ht="14.25" customHeight="1">
      <c r="A25" s="21"/>
      <c r="B25" s="13" t="s">
        <v>38</v>
      </c>
      <c r="C25" s="31">
        <v>1.0</v>
      </c>
      <c r="D25" s="32" t="s">
        <v>54</v>
      </c>
      <c r="E25" s="45">
        <v>920000.0</v>
      </c>
      <c r="F25" s="45">
        <v>79000.0</v>
      </c>
      <c r="G25" s="45">
        <v>17000.0</v>
      </c>
      <c r="H25" s="45">
        <v>4900.0</v>
      </c>
      <c r="I25" s="45">
        <v>460.0</v>
      </c>
      <c r="J25" s="45">
        <v>3300.0</v>
      </c>
      <c r="K25" s="46">
        <v>11000.0</v>
      </c>
      <c r="L25" s="46">
        <v>33000.0</v>
      </c>
      <c r="M25" s="107">
        <v>350000.0</v>
      </c>
      <c r="N25" s="107">
        <v>7900.0</v>
      </c>
      <c r="O25" s="107">
        <v>2400000.0</v>
      </c>
      <c r="P25" s="107">
        <v>7000.0</v>
      </c>
      <c r="Q25" s="49">
        <f t="shared" ref="Q25:Q27" si="2">GEOMEAN(E25:P25)</f>
        <v>27071.99292</v>
      </c>
      <c r="R25" s="20">
        <v>200.0</v>
      </c>
      <c r="S25" s="50">
        <f>GEOMEAN(Q25:Q27)</f>
        <v>100912.6907</v>
      </c>
    </row>
    <row r="26" ht="14.25" customHeight="1">
      <c r="A26" s="21"/>
      <c r="B26" s="22"/>
      <c r="C26" s="23">
        <v>2.0</v>
      </c>
      <c r="D26" s="24" t="s">
        <v>55</v>
      </c>
      <c r="E26" s="51">
        <v>1600000.0</v>
      </c>
      <c r="F26" s="51">
        <v>350000.0</v>
      </c>
      <c r="G26" s="51">
        <v>540000.0</v>
      </c>
      <c r="H26" s="51">
        <v>170000.0</v>
      </c>
      <c r="I26" s="51">
        <v>350000.0</v>
      </c>
      <c r="J26" s="51">
        <v>1700000.0</v>
      </c>
      <c r="K26" s="52">
        <v>170000.0</v>
      </c>
      <c r="L26" s="52">
        <v>79000.0</v>
      </c>
      <c r="M26" s="53">
        <v>920000.0</v>
      </c>
      <c r="N26" s="53">
        <v>350000.0</v>
      </c>
      <c r="O26" s="53">
        <v>3500000.0</v>
      </c>
      <c r="P26" s="53">
        <v>11000.0</v>
      </c>
      <c r="Q26" s="54">
        <f t="shared" si="2"/>
        <v>362169.3475</v>
      </c>
      <c r="R26" s="29">
        <v>200.0</v>
      </c>
    </row>
    <row r="27" ht="14.25" customHeight="1">
      <c r="A27" s="21"/>
      <c r="B27" s="30"/>
      <c r="C27" s="23">
        <v>3.0</v>
      </c>
      <c r="D27" s="24" t="s">
        <v>56</v>
      </c>
      <c r="E27" s="51">
        <v>130000.0</v>
      </c>
      <c r="F27" s="51">
        <v>49000.0</v>
      </c>
      <c r="G27" s="51">
        <v>33000.0</v>
      </c>
      <c r="H27" s="51">
        <v>22000.0</v>
      </c>
      <c r="I27" s="51">
        <v>4900.0</v>
      </c>
      <c r="J27" s="51">
        <v>120000.0</v>
      </c>
      <c r="K27" s="52">
        <v>49000.0</v>
      </c>
      <c r="L27" s="52">
        <v>1600000.0</v>
      </c>
      <c r="M27" s="53">
        <v>1600000.0</v>
      </c>
      <c r="N27" s="53">
        <v>350000.0</v>
      </c>
      <c r="O27" s="53">
        <v>92000.0</v>
      </c>
      <c r="P27" s="53">
        <v>160000.0</v>
      </c>
      <c r="Q27" s="54">
        <f t="shared" si="2"/>
        <v>104810.6562</v>
      </c>
      <c r="R27" s="29">
        <v>200.0</v>
      </c>
    </row>
    <row r="28" ht="14.25" customHeight="1">
      <c r="A28" s="21"/>
      <c r="B28" s="13" t="s">
        <v>58</v>
      </c>
      <c r="C28" s="55">
        <v>1.0</v>
      </c>
      <c r="D28" s="56" t="s">
        <v>54</v>
      </c>
      <c r="E28" s="57">
        <v>0.159</v>
      </c>
      <c r="F28" s="57">
        <v>0.316</v>
      </c>
      <c r="G28" s="57">
        <v>0.096</v>
      </c>
      <c r="H28" s="57">
        <v>0.326</v>
      </c>
      <c r="I28" s="57">
        <v>0.2</v>
      </c>
      <c r="J28" s="57">
        <v>0.263</v>
      </c>
      <c r="K28" s="34">
        <v>0.245</v>
      </c>
      <c r="L28" s="58">
        <v>0.14</v>
      </c>
      <c r="M28" s="108">
        <v>0.885</v>
      </c>
      <c r="N28" s="108">
        <v>0.332</v>
      </c>
      <c r="O28" s="105">
        <v>0.854</v>
      </c>
      <c r="P28" s="108">
        <v>0.845</v>
      </c>
      <c r="Q28" s="60">
        <f t="shared" ref="Q28:Q36" si="3">AVERAGE(E28:P28)</f>
        <v>0.3884166667</v>
      </c>
      <c r="R28" s="20">
        <v>7.0</v>
      </c>
    </row>
    <row r="29" ht="14.25" customHeight="1">
      <c r="A29" s="21"/>
      <c r="B29" s="22"/>
      <c r="C29" s="61">
        <v>2.0</v>
      </c>
      <c r="D29" s="62" t="s">
        <v>55</v>
      </c>
      <c r="E29" s="63">
        <v>0.221</v>
      </c>
      <c r="F29" s="63">
        <v>0.35</v>
      </c>
      <c r="G29" s="63">
        <v>0.069</v>
      </c>
      <c r="H29" s="63">
        <v>0.591</v>
      </c>
      <c r="I29" s="63">
        <v>0.344</v>
      </c>
      <c r="J29" s="63">
        <v>0.297</v>
      </c>
      <c r="K29" s="38">
        <v>0.303</v>
      </c>
      <c r="L29" s="64">
        <v>0.05</v>
      </c>
      <c r="M29" s="65">
        <v>1.125</v>
      </c>
      <c r="N29" s="65">
        <v>0.24</v>
      </c>
      <c r="O29" s="65">
        <v>0.878</v>
      </c>
      <c r="P29" s="65">
        <v>0.622</v>
      </c>
      <c r="Q29" s="67">
        <f t="shared" si="3"/>
        <v>0.4241666667</v>
      </c>
      <c r="R29" s="29">
        <v>7.0</v>
      </c>
    </row>
    <row r="30" ht="14.25" customHeight="1">
      <c r="A30" s="21"/>
      <c r="B30" s="30"/>
      <c r="C30" s="61">
        <v>3.0</v>
      </c>
      <c r="D30" s="62" t="s">
        <v>56</v>
      </c>
      <c r="E30" s="63">
        <v>0.056</v>
      </c>
      <c r="F30" s="63">
        <v>0.362</v>
      </c>
      <c r="G30" s="63">
        <v>0.297</v>
      </c>
      <c r="H30" s="63">
        <v>0.493</v>
      </c>
      <c r="I30" s="63">
        <v>0.184</v>
      </c>
      <c r="J30" s="63">
        <v>0.563</v>
      </c>
      <c r="K30" s="38">
        <v>0.423</v>
      </c>
      <c r="L30" s="64">
        <v>0.15</v>
      </c>
      <c r="M30" s="65">
        <v>1.056</v>
      </c>
      <c r="N30" s="65">
        <v>0.309</v>
      </c>
      <c r="O30" s="106">
        <v>0.965</v>
      </c>
      <c r="P30" s="65">
        <v>0.6</v>
      </c>
      <c r="Q30" s="67">
        <f t="shared" si="3"/>
        <v>0.4548333333</v>
      </c>
      <c r="R30" s="29">
        <v>7.0</v>
      </c>
    </row>
    <row r="31" ht="14.25" customHeight="1">
      <c r="A31" s="21"/>
      <c r="B31" s="13" t="s">
        <v>59</v>
      </c>
      <c r="C31" s="55">
        <v>1.0</v>
      </c>
      <c r="D31" s="56" t="s">
        <v>54</v>
      </c>
      <c r="E31" s="57">
        <v>1.068</v>
      </c>
      <c r="F31" s="57">
        <v>0.544</v>
      </c>
      <c r="G31" s="57">
        <v>0.332</v>
      </c>
      <c r="H31" s="57">
        <v>0.554</v>
      </c>
      <c r="I31" s="57">
        <v>0.349</v>
      </c>
      <c r="J31" s="57">
        <v>0.177</v>
      </c>
      <c r="K31" s="34">
        <v>0.238</v>
      </c>
      <c r="L31" s="58">
        <v>0.238</v>
      </c>
      <c r="M31" s="108">
        <v>0.502</v>
      </c>
      <c r="N31" s="108">
        <v>0.472</v>
      </c>
      <c r="O31" s="105">
        <v>0.18</v>
      </c>
      <c r="P31" s="105">
        <v>0.154</v>
      </c>
      <c r="Q31" s="60">
        <f t="shared" si="3"/>
        <v>0.4006666667</v>
      </c>
      <c r="R31" s="20">
        <v>0.5</v>
      </c>
    </row>
    <row r="32" ht="14.25" customHeight="1">
      <c r="A32" s="21"/>
      <c r="B32" s="22"/>
      <c r="C32" s="61">
        <v>2.0</v>
      </c>
      <c r="D32" s="62" t="s">
        <v>55</v>
      </c>
      <c r="E32" s="63">
        <v>0.563</v>
      </c>
      <c r="F32" s="63">
        <v>0.86</v>
      </c>
      <c r="G32" s="63">
        <v>1.178</v>
      </c>
      <c r="H32" s="63">
        <v>1.272</v>
      </c>
      <c r="I32" s="63">
        <v>1.389</v>
      </c>
      <c r="J32" s="63">
        <v>0.318</v>
      </c>
      <c r="K32" s="38">
        <v>0.392</v>
      </c>
      <c r="L32" s="64">
        <v>0.249</v>
      </c>
      <c r="M32" s="65">
        <v>0.411</v>
      </c>
      <c r="N32" s="65">
        <v>0.883</v>
      </c>
      <c r="O32" s="65">
        <v>0.272</v>
      </c>
      <c r="P32" s="65">
        <v>0.09</v>
      </c>
      <c r="Q32" s="67">
        <f t="shared" si="3"/>
        <v>0.6564166667</v>
      </c>
      <c r="R32" s="29">
        <v>0.5</v>
      </c>
    </row>
    <row r="33" ht="14.25" customHeight="1">
      <c r="A33" s="21"/>
      <c r="B33" s="30"/>
      <c r="C33" s="61">
        <v>3.0</v>
      </c>
      <c r="D33" s="62" t="s">
        <v>56</v>
      </c>
      <c r="E33" s="63">
        <v>2.182</v>
      </c>
      <c r="F33" s="63">
        <v>0.476</v>
      </c>
      <c r="G33" s="63">
        <v>0.916</v>
      </c>
      <c r="H33" s="63">
        <v>0.53</v>
      </c>
      <c r="I33" s="63">
        <v>0.237</v>
      </c>
      <c r="J33" s="63">
        <v>0.268</v>
      </c>
      <c r="K33" s="38">
        <v>0.239</v>
      </c>
      <c r="L33" s="64">
        <v>0.24</v>
      </c>
      <c r="M33" s="65">
        <v>0.131</v>
      </c>
      <c r="N33" s="65">
        <v>1.017</v>
      </c>
      <c r="O33" s="106">
        <v>0.211</v>
      </c>
      <c r="P33" s="106">
        <v>0.103</v>
      </c>
      <c r="Q33" s="67">
        <f t="shared" si="3"/>
        <v>0.5458333333</v>
      </c>
      <c r="R33" s="29">
        <v>0.5</v>
      </c>
    </row>
    <row r="34" ht="14.25" customHeight="1">
      <c r="A34" s="21"/>
      <c r="B34" s="13" t="s">
        <v>42</v>
      </c>
      <c r="C34" s="31">
        <v>1.0</v>
      </c>
      <c r="D34" s="32" t="s">
        <v>54</v>
      </c>
      <c r="E34" s="33">
        <v>759.0</v>
      </c>
      <c r="F34" s="33">
        <v>382.0</v>
      </c>
      <c r="G34" s="33">
        <v>127.0</v>
      </c>
      <c r="H34" s="33">
        <v>277.0</v>
      </c>
      <c r="I34" s="33">
        <v>141.0</v>
      </c>
      <c r="J34" s="33">
        <v>388.0</v>
      </c>
      <c r="K34" s="34">
        <v>155.0</v>
      </c>
      <c r="L34" s="34">
        <v>240.0</v>
      </c>
      <c r="M34" s="109">
        <v>1031.0</v>
      </c>
      <c r="N34" s="105">
        <v>470.0</v>
      </c>
      <c r="O34" s="107">
        <v>104.0</v>
      </c>
      <c r="P34" s="107">
        <v>189.0</v>
      </c>
      <c r="Q34" s="49">
        <f t="shared" si="3"/>
        <v>355.25</v>
      </c>
      <c r="R34" s="20">
        <v>350.0</v>
      </c>
    </row>
    <row r="35" ht="14.25" customHeight="1">
      <c r="A35" s="21"/>
      <c r="B35" s="22"/>
      <c r="C35" s="23">
        <v>2.0</v>
      </c>
      <c r="D35" s="24" t="s">
        <v>55</v>
      </c>
      <c r="E35" s="37">
        <v>601.0</v>
      </c>
      <c r="F35" s="37">
        <v>480.0</v>
      </c>
      <c r="G35" s="37">
        <v>294.0</v>
      </c>
      <c r="H35" s="37">
        <v>173.0</v>
      </c>
      <c r="I35" s="37">
        <v>354.0</v>
      </c>
      <c r="J35" s="37">
        <v>218.0</v>
      </c>
      <c r="K35" s="38">
        <v>200.0</v>
      </c>
      <c r="L35" s="38">
        <v>93.0</v>
      </c>
      <c r="M35" s="71">
        <v>1125.0</v>
      </c>
      <c r="N35" s="71">
        <v>240.0</v>
      </c>
      <c r="O35" s="71">
        <v>134.0</v>
      </c>
      <c r="P35" s="53">
        <v>175.0</v>
      </c>
      <c r="Q35" s="54">
        <f t="shared" si="3"/>
        <v>340.5833333</v>
      </c>
      <c r="R35" s="29">
        <v>350.0</v>
      </c>
    </row>
    <row r="36" ht="14.25" customHeight="1">
      <c r="A36" s="21"/>
      <c r="B36" s="30"/>
      <c r="C36" s="23">
        <v>3.0</v>
      </c>
      <c r="D36" s="24" t="s">
        <v>56</v>
      </c>
      <c r="E36" s="37">
        <v>125.0</v>
      </c>
      <c r="F36" s="37">
        <v>297.0</v>
      </c>
      <c r="G36" s="37">
        <v>319.0</v>
      </c>
      <c r="H36" s="37">
        <v>163.0</v>
      </c>
      <c r="I36" s="37">
        <v>277.0</v>
      </c>
      <c r="J36" s="37">
        <v>214.0</v>
      </c>
      <c r="K36" s="38">
        <v>110.0</v>
      </c>
      <c r="L36" s="38">
        <v>250.0</v>
      </c>
      <c r="M36" s="71">
        <v>1056.0</v>
      </c>
      <c r="N36" s="71">
        <v>115.0</v>
      </c>
      <c r="O36" s="71">
        <v>144.0</v>
      </c>
      <c r="P36" s="53">
        <v>187.0</v>
      </c>
      <c r="Q36" s="54">
        <f t="shared" si="3"/>
        <v>271.4166667</v>
      </c>
      <c r="R36" s="29">
        <v>350.0</v>
      </c>
    </row>
    <row r="37" ht="14.25" customHeight="1">
      <c r="J37" s="50"/>
    </row>
    <row r="38" ht="14.25" customHeight="1">
      <c r="A38" s="110" t="s">
        <v>43</v>
      </c>
      <c r="D38" s="111"/>
    </row>
    <row r="39" ht="14.2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8.29"/>
    <col customWidth="1" min="3" max="3" width="8.71"/>
    <col customWidth="1" min="4" max="4" width="64.29"/>
    <col customWidth="1" min="5" max="7" width="11.71" outlineLevel="1"/>
    <col customWidth="1" min="8" max="8" width="11.29" outlineLevel="1"/>
    <col customWidth="1" min="9" max="9" width="11.71" outlineLevel="1"/>
    <col customWidth="1" min="10" max="10" width="13.0" outlineLevel="1"/>
    <col customWidth="1" min="11" max="11" width="10.0" outlineLevel="1"/>
    <col customWidth="1" min="12" max="12" width="11.71" outlineLevel="1"/>
    <col customWidth="1" min="13" max="13" width="13.86" outlineLevel="1"/>
    <col customWidth="1" min="14" max="14" width="11.71" outlineLevel="1"/>
    <col customWidth="1" min="15" max="15" width="12.86" outlineLevel="1"/>
    <col customWidth="1" min="16" max="16" width="13.0" outlineLevel="1"/>
    <col customWidth="1" min="17" max="17" width="18.71"/>
    <col customWidth="1" min="18" max="18" width="9.0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60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53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4.25" customHeight="1">
      <c r="A7" s="101"/>
      <c r="B7" s="74" t="s">
        <v>24</v>
      </c>
      <c r="C7" s="14">
        <v>1.0</v>
      </c>
      <c r="D7" s="15" t="s">
        <v>61</v>
      </c>
      <c r="E7" s="16">
        <v>2.7</v>
      </c>
      <c r="F7" s="16">
        <v>0.5</v>
      </c>
      <c r="G7" s="16">
        <v>0.1</v>
      </c>
      <c r="H7" s="16">
        <v>9.5</v>
      </c>
      <c r="I7" s="16">
        <v>2.2</v>
      </c>
      <c r="J7" s="16">
        <v>1.5</v>
      </c>
      <c r="K7" s="17">
        <v>1.6</v>
      </c>
      <c r="L7" s="17">
        <v>0.7</v>
      </c>
      <c r="M7" s="18">
        <v>6.6</v>
      </c>
      <c r="N7" s="18">
        <v>1.1</v>
      </c>
      <c r="O7" s="18">
        <v>2.0</v>
      </c>
      <c r="P7" s="18">
        <v>1.3</v>
      </c>
      <c r="Q7" s="18">
        <f t="shared" ref="Q7:Q24" si="1">AVERAGE(E7:P7)</f>
        <v>2.483333333</v>
      </c>
      <c r="R7" s="20">
        <v>5.0</v>
      </c>
    </row>
    <row r="8" ht="14.25" customHeight="1">
      <c r="A8" s="21"/>
      <c r="B8" s="22"/>
      <c r="C8" s="23">
        <v>2.0</v>
      </c>
      <c r="D8" s="24" t="s">
        <v>62</v>
      </c>
      <c r="E8" s="25">
        <v>3.0</v>
      </c>
      <c r="F8" s="25">
        <v>0.5</v>
      </c>
      <c r="G8" s="25">
        <v>0.1</v>
      </c>
      <c r="H8" s="25">
        <v>8.6</v>
      </c>
      <c r="I8" s="25">
        <v>2.4</v>
      </c>
      <c r="J8" s="25">
        <v>1.8</v>
      </c>
      <c r="K8" s="26">
        <v>2.0</v>
      </c>
      <c r="L8" s="26">
        <v>1.4</v>
      </c>
      <c r="M8" s="27">
        <v>6.1</v>
      </c>
      <c r="N8" s="27">
        <v>1.4</v>
      </c>
      <c r="O8" s="27">
        <v>3.0</v>
      </c>
      <c r="P8" s="27">
        <v>1.9</v>
      </c>
      <c r="Q8" s="27">
        <f t="shared" si="1"/>
        <v>2.683333333</v>
      </c>
      <c r="R8" s="29">
        <v>5.0</v>
      </c>
    </row>
    <row r="9" ht="14.25" customHeight="1">
      <c r="A9" s="21"/>
      <c r="B9" s="30"/>
      <c r="C9" s="23">
        <v>3.0</v>
      </c>
      <c r="D9" s="24" t="s">
        <v>27</v>
      </c>
      <c r="E9" s="25">
        <v>2.4</v>
      </c>
      <c r="F9" s="25">
        <v>1.0</v>
      </c>
      <c r="G9" s="25">
        <v>0.1</v>
      </c>
      <c r="H9" s="25">
        <v>8.4</v>
      </c>
      <c r="I9" s="25">
        <v>1.2</v>
      </c>
      <c r="J9" s="25">
        <v>2.0</v>
      </c>
      <c r="K9" s="26">
        <v>1.7</v>
      </c>
      <c r="L9" s="26">
        <v>1.9</v>
      </c>
      <c r="M9" s="27">
        <v>6.0</v>
      </c>
      <c r="N9" s="27">
        <v>2.4</v>
      </c>
      <c r="O9" s="27">
        <v>1.3</v>
      </c>
      <c r="P9" s="27">
        <v>0.5</v>
      </c>
      <c r="Q9" s="27">
        <f t="shared" si="1"/>
        <v>2.408333333</v>
      </c>
      <c r="R9" s="29">
        <v>5.0</v>
      </c>
    </row>
    <row r="10" ht="14.25" customHeight="1">
      <c r="A10" s="21"/>
      <c r="B10" s="13" t="s">
        <v>30</v>
      </c>
      <c r="C10" s="31">
        <v>1.0</v>
      </c>
      <c r="D10" s="32" t="s">
        <v>61</v>
      </c>
      <c r="E10" s="33">
        <v>11.0</v>
      </c>
      <c r="F10" s="33">
        <v>17.0</v>
      </c>
      <c r="G10" s="33">
        <v>30.0</v>
      </c>
      <c r="H10" s="33">
        <v>13.0</v>
      </c>
      <c r="I10" s="33">
        <v>18.0</v>
      </c>
      <c r="J10" s="33">
        <v>7.0</v>
      </c>
      <c r="K10" s="68">
        <v>5.0</v>
      </c>
      <c r="L10" s="34">
        <v>4.0</v>
      </c>
      <c r="M10" s="35">
        <v>4.0</v>
      </c>
      <c r="N10" s="35">
        <v>8.0</v>
      </c>
      <c r="O10" s="35">
        <v>9.0</v>
      </c>
      <c r="P10" s="35">
        <v>8.0</v>
      </c>
      <c r="Q10" s="18">
        <f t="shared" si="1"/>
        <v>11.16666667</v>
      </c>
      <c r="R10" s="20">
        <v>7.0</v>
      </c>
    </row>
    <row r="11" ht="14.25" customHeight="1">
      <c r="A11" s="21"/>
      <c r="B11" s="22"/>
      <c r="C11" s="23">
        <v>2.0</v>
      </c>
      <c r="D11" s="24" t="s">
        <v>62</v>
      </c>
      <c r="E11" s="37">
        <v>11.0</v>
      </c>
      <c r="F11" s="37">
        <v>14.0</v>
      </c>
      <c r="G11" s="37">
        <v>31.0</v>
      </c>
      <c r="H11" s="37">
        <v>10.0</v>
      </c>
      <c r="I11" s="37">
        <v>10.0</v>
      </c>
      <c r="J11" s="37">
        <v>12.0</v>
      </c>
      <c r="K11" s="70">
        <v>14.0</v>
      </c>
      <c r="L11" s="116">
        <v>3.0</v>
      </c>
      <c r="M11" s="39">
        <v>3.0</v>
      </c>
      <c r="N11" s="39">
        <v>5.0</v>
      </c>
      <c r="O11" s="39">
        <v>8.0</v>
      </c>
      <c r="P11" s="39">
        <v>10.0</v>
      </c>
      <c r="Q11" s="27">
        <f t="shared" si="1"/>
        <v>10.91666667</v>
      </c>
      <c r="R11" s="29">
        <v>7.0</v>
      </c>
    </row>
    <row r="12" ht="14.25" customHeight="1">
      <c r="A12" s="21"/>
      <c r="B12" s="30"/>
      <c r="C12" s="23">
        <v>3.0</v>
      </c>
      <c r="D12" s="24" t="s">
        <v>27</v>
      </c>
      <c r="E12" s="37">
        <v>11.0</v>
      </c>
      <c r="F12" s="37">
        <v>15.0</v>
      </c>
      <c r="G12" s="37">
        <v>19.0</v>
      </c>
      <c r="H12" s="37">
        <v>10.0</v>
      </c>
      <c r="I12" s="37">
        <v>15.0</v>
      </c>
      <c r="J12" s="37">
        <v>12.0</v>
      </c>
      <c r="K12" s="70">
        <v>17.0</v>
      </c>
      <c r="L12" s="38">
        <v>4.0</v>
      </c>
      <c r="M12" s="39">
        <v>4.0</v>
      </c>
      <c r="N12" s="39">
        <v>4.0</v>
      </c>
      <c r="O12" s="39">
        <v>7.0</v>
      </c>
      <c r="P12" s="39">
        <v>9.0</v>
      </c>
      <c r="Q12" s="27">
        <f t="shared" si="1"/>
        <v>10.58333333</v>
      </c>
      <c r="R12" s="29">
        <v>7.0</v>
      </c>
    </row>
    <row r="13" ht="14.25" customHeight="1">
      <c r="A13" s="21"/>
      <c r="B13" s="13" t="s">
        <v>31</v>
      </c>
      <c r="C13" s="31">
        <v>1.0</v>
      </c>
      <c r="D13" s="32" t="s">
        <v>61</v>
      </c>
      <c r="E13" s="33">
        <v>12.0</v>
      </c>
      <c r="F13" s="33">
        <v>13.0</v>
      </c>
      <c r="G13" s="33">
        <v>8.0</v>
      </c>
      <c r="H13" s="33">
        <v>22.0</v>
      </c>
      <c r="I13" s="33">
        <v>13.0</v>
      </c>
      <c r="J13" s="33">
        <v>8.0</v>
      </c>
      <c r="K13" s="68">
        <v>13.0</v>
      </c>
      <c r="L13" s="34">
        <v>19.0</v>
      </c>
      <c r="M13" s="35">
        <v>82.0</v>
      </c>
      <c r="N13" s="35">
        <v>9.0</v>
      </c>
      <c r="O13" s="35">
        <v>11.0</v>
      </c>
      <c r="P13" s="35">
        <v>12.0</v>
      </c>
      <c r="Q13" s="18">
        <f t="shared" si="1"/>
        <v>18.5</v>
      </c>
      <c r="R13" s="20">
        <v>80.0</v>
      </c>
    </row>
    <row r="14" ht="14.25" customHeight="1">
      <c r="A14" s="21"/>
      <c r="B14" s="22"/>
      <c r="C14" s="23">
        <v>2.0</v>
      </c>
      <c r="D14" s="24" t="s">
        <v>62</v>
      </c>
      <c r="E14" s="37">
        <v>14.0</v>
      </c>
      <c r="F14" s="37">
        <v>14.0</v>
      </c>
      <c r="G14" s="37">
        <v>8.0</v>
      </c>
      <c r="H14" s="37">
        <v>16.0</v>
      </c>
      <c r="I14" s="37">
        <v>10.0</v>
      </c>
      <c r="J14" s="37">
        <v>8.0</v>
      </c>
      <c r="K14" s="70">
        <v>9.0</v>
      </c>
      <c r="L14" s="38">
        <v>27.0</v>
      </c>
      <c r="M14" s="39">
        <v>84.0</v>
      </c>
      <c r="N14" s="39">
        <v>11.0</v>
      </c>
      <c r="O14" s="39">
        <v>17.0</v>
      </c>
      <c r="P14" s="39">
        <v>10.0</v>
      </c>
      <c r="Q14" s="27">
        <f t="shared" si="1"/>
        <v>19</v>
      </c>
      <c r="R14" s="29">
        <v>80.0</v>
      </c>
    </row>
    <row r="15" ht="14.25" customHeight="1">
      <c r="A15" s="21"/>
      <c r="B15" s="30"/>
      <c r="C15" s="23">
        <v>3.0</v>
      </c>
      <c r="D15" s="24" t="s">
        <v>27</v>
      </c>
      <c r="E15" s="37">
        <v>12.0</v>
      </c>
      <c r="F15" s="37">
        <v>11.0</v>
      </c>
      <c r="G15" s="37">
        <v>9.0</v>
      </c>
      <c r="H15" s="37">
        <v>18.0</v>
      </c>
      <c r="I15" s="37">
        <v>8.0</v>
      </c>
      <c r="J15" s="37">
        <v>7.0</v>
      </c>
      <c r="K15" s="70">
        <v>13.0</v>
      </c>
      <c r="L15" s="38">
        <v>24.0</v>
      </c>
      <c r="M15" s="39">
        <v>90.0</v>
      </c>
      <c r="N15" s="39">
        <v>10.0</v>
      </c>
      <c r="O15" s="39">
        <v>13.0</v>
      </c>
      <c r="P15" s="39">
        <v>6.0</v>
      </c>
      <c r="Q15" s="27">
        <f t="shared" si="1"/>
        <v>18.41666667</v>
      </c>
      <c r="R15" s="29">
        <v>80.0</v>
      </c>
    </row>
    <row r="16" ht="14.25" customHeight="1">
      <c r="A16" s="21"/>
      <c r="B16" s="13" t="s">
        <v>33</v>
      </c>
      <c r="C16" s="31">
        <v>1.0</v>
      </c>
      <c r="D16" s="32" t="s">
        <v>61</v>
      </c>
      <c r="E16" s="41">
        <v>7.0</v>
      </c>
      <c r="F16" s="41">
        <v>7.0</v>
      </c>
      <c r="G16" s="41">
        <v>7.0</v>
      </c>
      <c r="H16" s="41">
        <v>7.0</v>
      </c>
      <c r="I16" s="41">
        <v>7.0</v>
      </c>
      <c r="J16" s="41">
        <v>7.0</v>
      </c>
      <c r="K16" s="42">
        <v>7.0</v>
      </c>
      <c r="L16" s="42">
        <v>7.0</v>
      </c>
      <c r="M16" s="18">
        <v>7.0</v>
      </c>
      <c r="N16" s="18">
        <v>7.0</v>
      </c>
      <c r="O16" s="18">
        <v>7.2</v>
      </c>
      <c r="P16" s="18">
        <v>7.2</v>
      </c>
      <c r="Q16" s="18">
        <f t="shared" si="1"/>
        <v>7.033333333</v>
      </c>
      <c r="R16" s="18" t="s">
        <v>34</v>
      </c>
    </row>
    <row r="17" ht="14.25" customHeight="1">
      <c r="A17" s="21"/>
      <c r="B17" s="22"/>
      <c r="C17" s="23">
        <v>2.0</v>
      </c>
      <c r="D17" s="24" t="s">
        <v>62</v>
      </c>
      <c r="E17" s="25">
        <v>7.0</v>
      </c>
      <c r="F17" s="25">
        <v>7.0</v>
      </c>
      <c r="G17" s="25">
        <v>7.0</v>
      </c>
      <c r="H17" s="25">
        <v>7.0</v>
      </c>
      <c r="I17" s="25">
        <v>7.0</v>
      </c>
      <c r="J17" s="25">
        <v>7.0</v>
      </c>
      <c r="K17" s="26">
        <v>7.0</v>
      </c>
      <c r="L17" s="26">
        <v>7.0</v>
      </c>
      <c r="M17" s="27">
        <v>7.0</v>
      </c>
      <c r="N17" s="27">
        <v>7.0</v>
      </c>
      <c r="O17" s="27">
        <v>7.0</v>
      </c>
      <c r="P17" s="27">
        <v>7.1</v>
      </c>
      <c r="Q17" s="27">
        <f t="shared" si="1"/>
        <v>7.008333333</v>
      </c>
      <c r="R17" s="27" t="s">
        <v>34</v>
      </c>
    </row>
    <row r="18" ht="14.25" customHeight="1">
      <c r="A18" s="21"/>
      <c r="B18" s="30"/>
      <c r="C18" s="23">
        <v>3.0</v>
      </c>
      <c r="D18" s="24" t="s">
        <v>27</v>
      </c>
      <c r="E18" s="25">
        <v>7.0</v>
      </c>
      <c r="F18" s="25">
        <v>7.0</v>
      </c>
      <c r="G18" s="25">
        <v>7.0</v>
      </c>
      <c r="H18" s="25">
        <v>7.0</v>
      </c>
      <c r="I18" s="25">
        <v>7.0</v>
      </c>
      <c r="J18" s="25">
        <v>7.0</v>
      </c>
      <c r="K18" s="26">
        <v>7.0</v>
      </c>
      <c r="L18" s="26">
        <v>7.0</v>
      </c>
      <c r="M18" s="27">
        <v>7.0</v>
      </c>
      <c r="N18" s="27">
        <v>7.0</v>
      </c>
      <c r="O18" s="27">
        <v>7.0</v>
      </c>
      <c r="P18" s="27">
        <v>7.1</v>
      </c>
      <c r="Q18" s="27">
        <f t="shared" si="1"/>
        <v>7.008333333</v>
      </c>
      <c r="R18" s="27" t="s">
        <v>34</v>
      </c>
    </row>
    <row r="19" ht="14.25" customHeight="1">
      <c r="A19" s="21"/>
      <c r="B19" s="13" t="s">
        <v>63</v>
      </c>
      <c r="C19" s="31">
        <v>1.0</v>
      </c>
      <c r="D19" s="32" t="s">
        <v>61</v>
      </c>
      <c r="E19" s="41">
        <v>26.1</v>
      </c>
      <c r="F19" s="41">
        <v>25.4</v>
      </c>
      <c r="G19" s="41">
        <v>25.8</v>
      </c>
      <c r="H19" s="41">
        <v>29.1</v>
      </c>
      <c r="I19" s="41">
        <v>28.1</v>
      </c>
      <c r="J19" s="41">
        <v>27.8</v>
      </c>
      <c r="K19" s="42">
        <v>26.3</v>
      </c>
      <c r="L19" s="42">
        <v>26.0</v>
      </c>
      <c r="M19" s="18">
        <v>28.1</v>
      </c>
      <c r="N19" s="18">
        <v>26.0</v>
      </c>
      <c r="O19" s="18">
        <v>27.0</v>
      </c>
      <c r="P19" s="18">
        <v>26.8</v>
      </c>
      <c r="Q19" s="18">
        <f t="shared" si="1"/>
        <v>26.875</v>
      </c>
      <c r="R19" s="18" t="s">
        <v>36</v>
      </c>
    </row>
    <row r="20" ht="14.25" customHeight="1">
      <c r="A20" s="21"/>
      <c r="B20" s="22"/>
      <c r="C20" s="23">
        <v>2.0</v>
      </c>
      <c r="D20" s="24" t="s">
        <v>62</v>
      </c>
      <c r="E20" s="25">
        <v>26.3</v>
      </c>
      <c r="F20" s="25">
        <v>25.5</v>
      </c>
      <c r="G20" s="25">
        <v>25.9</v>
      </c>
      <c r="H20" s="25">
        <v>29.3</v>
      </c>
      <c r="I20" s="25">
        <v>28.3</v>
      </c>
      <c r="J20" s="25">
        <v>28.0</v>
      </c>
      <c r="K20" s="26">
        <v>26.5</v>
      </c>
      <c r="L20" s="26">
        <v>26.3</v>
      </c>
      <c r="M20" s="27">
        <v>28.2</v>
      </c>
      <c r="N20" s="27">
        <v>26.3</v>
      </c>
      <c r="O20" s="27">
        <v>27.1</v>
      </c>
      <c r="P20" s="27">
        <v>26.7</v>
      </c>
      <c r="Q20" s="27">
        <f t="shared" si="1"/>
        <v>27.03333333</v>
      </c>
      <c r="R20" s="27" t="s">
        <v>36</v>
      </c>
    </row>
    <row r="21" ht="14.25" customHeight="1">
      <c r="A21" s="21"/>
      <c r="B21" s="30"/>
      <c r="C21" s="23">
        <v>3.0</v>
      </c>
      <c r="D21" s="24" t="s">
        <v>27</v>
      </c>
      <c r="E21" s="25">
        <v>26.3</v>
      </c>
      <c r="F21" s="25">
        <v>25.5</v>
      </c>
      <c r="G21" s="25">
        <v>26.0</v>
      </c>
      <c r="H21" s="25">
        <v>29.4</v>
      </c>
      <c r="I21" s="25">
        <v>28.3</v>
      </c>
      <c r="J21" s="25">
        <v>28.0</v>
      </c>
      <c r="K21" s="26">
        <v>26.5</v>
      </c>
      <c r="L21" s="26">
        <v>26.2</v>
      </c>
      <c r="M21" s="27">
        <v>28.1</v>
      </c>
      <c r="N21" s="27">
        <v>26.4</v>
      </c>
      <c r="O21" s="27">
        <v>27.1</v>
      </c>
      <c r="P21" s="27">
        <v>26.8</v>
      </c>
      <c r="Q21" s="27">
        <f t="shared" si="1"/>
        <v>27.05</v>
      </c>
      <c r="R21" s="27" t="s">
        <v>36</v>
      </c>
    </row>
    <row r="22" ht="14.25" customHeight="1">
      <c r="A22" s="21"/>
      <c r="B22" s="13" t="s">
        <v>37</v>
      </c>
      <c r="C22" s="31">
        <v>1.0</v>
      </c>
      <c r="D22" s="32" t="s">
        <v>61</v>
      </c>
      <c r="E22" s="33">
        <v>15.0</v>
      </c>
      <c r="F22" s="33">
        <v>30.0</v>
      </c>
      <c r="G22" s="33">
        <v>30.0</v>
      </c>
      <c r="H22" s="33">
        <v>30.0</v>
      </c>
      <c r="I22" s="33">
        <v>30.0</v>
      </c>
      <c r="J22" s="33">
        <v>30.0</v>
      </c>
      <c r="K22" s="68">
        <v>30.0</v>
      </c>
      <c r="L22" s="34">
        <v>25.0</v>
      </c>
      <c r="M22" s="35">
        <v>20.0</v>
      </c>
      <c r="N22" s="35">
        <v>15.0</v>
      </c>
      <c r="O22" s="35">
        <v>20.0</v>
      </c>
      <c r="P22" s="35">
        <v>25.0</v>
      </c>
      <c r="Q22" s="18">
        <f t="shared" si="1"/>
        <v>25</v>
      </c>
      <c r="R22" s="20">
        <v>75.0</v>
      </c>
    </row>
    <row r="23" ht="14.25" customHeight="1">
      <c r="A23" s="21"/>
      <c r="B23" s="22"/>
      <c r="C23" s="23">
        <v>2.0</v>
      </c>
      <c r="D23" s="24" t="s">
        <v>62</v>
      </c>
      <c r="E23" s="37">
        <v>15.0</v>
      </c>
      <c r="F23" s="37">
        <v>30.0</v>
      </c>
      <c r="G23" s="37">
        <v>40.0</v>
      </c>
      <c r="H23" s="37">
        <v>30.0</v>
      </c>
      <c r="I23" s="37">
        <v>30.0</v>
      </c>
      <c r="J23" s="37">
        <v>30.0</v>
      </c>
      <c r="K23" s="70">
        <v>40.0</v>
      </c>
      <c r="L23" s="38">
        <v>20.0</v>
      </c>
      <c r="M23" s="39">
        <v>25.0</v>
      </c>
      <c r="N23" s="39">
        <v>15.0</v>
      </c>
      <c r="O23" s="39">
        <v>20.0</v>
      </c>
      <c r="P23" s="39">
        <v>25.0</v>
      </c>
      <c r="Q23" s="27">
        <f t="shared" si="1"/>
        <v>26.66666667</v>
      </c>
      <c r="R23" s="29">
        <v>75.0</v>
      </c>
    </row>
    <row r="24" ht="14.25" customHeight="1">
      <c r="A24" s="21"/>
      <c r="B24" s="30"/>
      <c r="C24" s="23">
        <v>3.0</v>
      </c>
      <c r="D24" s="24" t="s">
        <v>27</v>
      </c>
      <c r="E24" s="37">
        <v>15.0</v>
      </c>
      <c r="F24" s="37">
        <v>30.0</v>
      </c>
      <c r="G24" s="37">
        <v>30.0</v>
      </c>
      <c r="H24" s="37">
        <v>30.0</v>
      </c>
      <c r="I24" s="37">
        <v>30.0</v>
      </c>
      <c r="J24" s="37">
        <v>30.0</v>
      </c>
      <c r="K24" s="70">
        <v>40.0</v>
      </c>
      <c r="L24" s="38">
        <v>20.0</v>
      </c>
      <c r="M24" s="39">
        <v>25.0</v>
      </c>
      <c r="N24" s="39">
        <v>15.0</v>
      </c>
      <c r="O24" s="39">
        <v>20.0</v>
      </c>
      <c r="P24" s="39">
        <v>20.0</v>
      </c>
      <c r="Q24" s="27">
        <f t="shared" si="1"/>
        <v>25.41666667</v>
      </c>
      <c r="R24" s="29">
        <v>75.0</v>
      </c>
    </row>
    <row r="25" ht="14.25" customHeight="1">
      <c r="A25" s="21"/>
      <c r="B25" s="13" t="s">
        <v>38</v>
      </c>
      <c r="C25" s="31">
        <v>1.0</v>
      </c>
      <c r="D25" s="32" t="s">
        <v>61</v>
      </c>
      <c r="E25" s="45">
        <v>220000.0</v>
      </c>
      <c r="F25" s="45">
        <v>330000.0</v>
      </c>
      <c r="G25" s="45">
        <v>330000.0</v>
      </c>
      <c r="H25" s="45">
        <v>490000.0</v>
      </c>
      <c r="I25" s="45">
        <v>330000.0</v>
      </c>
      <c r="J25" s="45">
        <v>230000.0</v>
      </c>
      <c r="K25" s="46">
        <v>330000.0</v>
      </c>
      <c r="L25" s="46">
        <v>17000.0</v>
      </c>
      <c r="M25" s="47">
        <v>490000.0</v>
      </c>
      <c r="N25" s="47">
        <v>49000.0</v>
      </c>
      <c r="O25" s="47">
        <v>920000.0</v>
      </c>
      <c r="P25" s="47">
        <v>920000.0</v>
      </c>
      <c r="Q25" s="69">
        <f t="shared" ref="Q25:Q27" si="2">GEOMEAN(E25:P25)</f>
        <v>261357.4742</v>
      </c>
      <c r="R25" s="20">
        <v>200.0</v>
      </c>
      <c r="S25" s="50">
        <f>GEOMEAN(Q25:Q27)</f>
        <v>263041.547</v>
      </c>
    </row>
    <row r="26" ht="14.25" customHeight="1">
      <c r="A26" s="21"/>
      <c r="B26" s="22"/>
      <c r="C26" s="23">
        <v>2.0</v>
      </c>
      <c r="D26" s="24" t="s">
        <v>62</v>
      </c>
      <c r="E26" s="51">
        <v>350000.0</v>
      </c>
      <c r="F26" s="51">
        <v>230000.0</v>
      </c>
      <c r="G26" s="51">
        <v>460000.0</v>
      </c>
      <c r="H26" s="51">
        <v>490000.0</v>
      </c>
      <c r="I26" s="51">
        <v>330000.0</v>
      </c>
      <c r="J26" s="51">
        <v>700000.0</v>
      </c>
      <c r="K26" s="52">
        <v>230000.0</v>
      </c>
      <c r="L26" s="52">
        <v>79000.0</v>
      </c>
      <c r="M26" s="53">
        <v>330000.0</v>
      </c>
      <c r="N26" s="53">
        <v>70000.0</v>
      </c>
      <c r="O26" s="53">
        <v>1600000.0</v>
      </c>
      <c r="P26" s="53">
        <v>920000.0</v>
      </c>
      <c r="Q26" s="71">
        <f t="shared" si="2"/>
        <v>342323.2322</v>
      </c>
      <c r="R26" s="29">
        <v>200.0</v>
      </c>
    </row>
    <row r="27" ht="14.25" customHeight="1">
      <c r="A27" s="21"/>
      <c r="B27" s="30"/>
      <c r="C27" s="23">
        <v>3.0</v>
      </c>
      <c r="D27" s="24" t="s">
        <v>27</v>
      </c>
      <c r="E27" s="51">
        <v>49000.0</v>
      </c>
      <c r="F27" s="51">
        <v>490000.0</v>
      </c>
      <c r="G27" s="51">
        <v>230000.0</v>
      </c>
      <c r="H27" s="51">
        <v>490000.0</v>
      </c>
      <c r="I27" s="51">
        <v>490000.0</v>
      </c>
      <c r="J27" s="51">
        <v>490000.0</v>
      </c>
      <c r="K27" s="52">
        <v>61000.0</v>
      </c>
      <c r="L27" s="52">
        <v>130000.0</v>
      </c>
      <c r="M27" s="53">
        <v>230000.0</v>
      </c>
      <c r="N27" s="53">
        <v>4900.0</v>
      </c>
      <c r="O27" s="53">
        <v>940000.0</v>
      </c>
      <c r="P27" s="53">
        <v>920000.0</v>
      </c>
      <c r="Q27" s="71">
        <f t="shared" si="2"/>
        <v>203423.7948</v>
      </c>
      <c r="R27" s="29">
        <v>200.0</v>
      </c>
    </row>
    <row r="28" ht="14.25" customHeight="1">
      <c r="A28" s="21"/>
      <c r="B28" s="13" t="s">
        <v>64</v>
      </c>
      <c r="C28" s="55">
        <v>1.0</v>
      </c>
      <c r="D28" s="56" t="s">
        <v>61</v>
      </c>
      <c r="E28" s="57">
        <v>0.287</v>
      </c>
      <c r="F28" s="57">
        <v>0.268</v>
      </c>
      <c r="G28" s="57">
        <v>0.121</v>
      </c>
      <c r="H28" s="57">
        <v>0.167</v>
      </c>
      <c r="I28" s="57">
        <v>0.149</v>
      </c>
      <c r="J28" s="57">
        <v>0.263</v>
      </c>
      <c r="K28" s="34">
        <v>0.641</v>
      </c>
      <c r="L28" s="34">
        <v>0.722</v>
      </c>
      <c r="M28" s="59">
        <v>0.612</v>
      </c>
      <c r="N28" s="59">
        <v>0.309</v>
      </c>
      <c r="O28" s="59">
        <v>0.588</v>
      </c>
      <c r="P28" s="59">
        <v>0.622</v>
      </c>
      <c r="Q28" s="59">
        <f t="shared" ref="Q28:Q36" si="3">AVERAGE(E28:P28)</f>
        <v>0.39575</v>
      </c>
      <c r="R28" s="20">
        <v>7.0</v>
      </c>
    </row>
    <row r="29" ht="14.25" customHeight="1">
      <c r="A29" s="21"/>
      <c r="B29" s="22"/>
      <c r="C29" s="61">
        <v>2.0</v>
      </c>
      <c r="D29" s="62" t="s">
        <v>62</v>
      </c>
      <c r="E29" s="63">
        <v>0.193</v>
      </c>
      <c r="F29" s="63">
        <v>0.334</v>
      </c>
      <c r="G29" s="63">
        <v>0.19</v>
      </c>
      <c r="H29" s="63">
        <v>0.187</v>
      </c>
      <c r="I29" s="63">
        <v>0.341</v>
      </c>
      <c r="J29" s="63">
        <v>0.263</v>
      </c>
      <c r="K29" s="38">
        <v>0.628</v>
      </c>
      <c r="L29" s="64">
        <v>0.83</v>
      </c>
      <c r="M29" s="65">
        <v>0.833</v>
      </c>
      <c r="N29" s="65">
        <v>0.334</v>
      </c>
      <c r="O29" s="65">
        <v>0.822</v>
      </c>
      <c r="P29" s="65">
        <v>0.528</v>
      </c>
      <c r="Q29" s="65">
        <f t="shared" si="3"/>
        <v>0.4569166667</v>
      </c>
      <c r="R29" s="29">
        <v>7.0</v>
      </c>
    </row>
    <row r="30" ht="14.25" customHeight="1">
      <c r="A30" s="21"/>
      <c r="B30" s="30"/>
      <c r="C30" s="61">
        <v>3.0</v>
      </c>
      <c r="D30" s="62" t="s">
        <v>27</v>
      </c>
      <c r="E30" s="63">
        <v>0.246</v>
      </c>
      <c r="F30" s="63">
        <v>0.204</v>
      </c>
      <c r="G30" s="63">
        <v>0.295</v>
      </c>
      <c r="H30" s="63">
        <v>0.203</v>
      </c>
      <c r="I30" s="63">
        <v>0.312</v>
      </c>
      <c r="J30" s="63">
        <v>0.31</v>
      </c>
      <c r="K30" s="38">
        <v>0.817</v>
      </c>
      <c r="L30" s="64">
        <v>0.81</v>
      </c>
      <c r="M30" s="65">
        <v>0.84</v>
      </c>
      <c r="N30" s="65">
        <v>0.253</v>
      </c>
      <c r="O30" s="65">
        <v>1.402</v>
      </c>
      <c r="P30" s="65">
        <v>0.636</v>
      </c>
      <c r="Q30" s="65">
        <f t="shared" si="3"/>
        <v>0.5273333333</v>
      </c>
      <c r="R30" s="29">
        <v>7.0</v>
      </c>
    </row>
    <row r="31" ht="14.25" customHeight="1">
      <c r="A31" s="21"/>
      <c r="B31" s="13" t="s">
        <v>65</v>
      </c>
      <c r="C31" s="55">
        <v>1.0</v>
      </c>
      <c r="D31" s="56" t="s">
        <v>61</v>
      </c>
      <c r="E31" s="57">
        <v>2.006</v>
      </c>
      <c r="F31" s="57">
        <v>1.774</v>
      </c>
      <c r="G31" s="57">
        <v>1.096</v>
      </c>
      <c r="H31" s="57">
        <v>1.918</v>
      </c>
      <c r="I31" s="57">
        <v>1.854</v>
      </c>
      <c r="J31" s="57">
        <v>1.155</v>
      </c>
      <c r="K31" s="34">
        <v>1.633</v>
      </c>
      <c r="L31" s="34">
        <v>0.565</v>
      </c>
      <c r="M31" s="59">
        <v>0.557</v>
      </c>
      <c r="N31" s="59">
        <v>0.167</v>
      </c>
      <c r="O31" s="59">
        <v>0.634</v>
      </c>
      <c r="P31" s="59">
        <v>0.378</v>
      </c>
      <c r="Q31" s="59">
        <f t="shared" si="3"/>
        <v>1.14475</v>
      </c>
      <c r="R31" s="20">
        <v>0.5</v>
      </c>
    </row>
    <row r="32" ht="14.25" customHeight="1">
      <c r="A32" s="21"/>
      <c r="B32" s="22"/>
      <c r="C32" s="61">
        <v>2.0</v>
      </c>
      <c r="D32" s="62" t="s">
        <v>62</v>
      </c>
      <c r="E32" s="63">
        <v>1.983</v>
      </c>
      <c r="F32" s="63">
        <v>1.787</v>
      </c>
      <c r="G32" s="63">
        <v>1.161</v>
      </c>
      <c r="H32" s="63">
        <v>1.875</v>
      </c>
      <c r="I32" s="63">
        <v>1.89</v>
      </c>
      <c r="J32" s="63">
        <v>1.114</v>
      </c>
      <c r="K32" s="38">
        <v>1.847</v>
      </c>
      <c r="L32" s="38">
        <v>0.651</v>
      </c>
      <c r="M32" s="65">
        <v>0.53</v>
      </c>
      <c r="N32" s="65">
        <v>0.285</v>
      </c>
      <c r="O32" s="65">
        <v>0.663</v>
      </c>
      <c r="P32" s="65">
        <v>0.457</v>
      </c>
      <c r="Q32" s="65">
        <f t="shared" si="3"/>
        <v>1.186916667</v>
      </c>
      <c r="R32" s="29">
        <v>0.5</v>
      </c>
    </row>
    <row r="33" ht="14.25" customHeight="1">
      <c r="A33" s="21"/>
      <c r="B33" s="30"/>
      <c r="C33" s="61">
        <v>3.0</v>
      </c>
      <c r="D33" s="62" t="s">
        <v>27</v>
      </c>
      <c r="E33" s="63">
        <v>1.794</v>
      </c>
      <c r="F33" s="63">
        <v>1.774</v>
      </c>
      <c r="G33" s="63">
        <v>1.091</v>
      </c>
      <c r="H33" s="63">
        <v>1.937</v>
      </c>
      <c r="I33" s="63">
        <v>1.908</v>
      </c>
      <c r="J33" s="63">
        <v>1.244</v>
      </c>
      <c r="K33" s="38">
        <v>1.719</v>
      </c>
      <c r="L33" s="38">
        <v>1.105</v>
      </c>
      <c r="M33" s="65">
        <v>0.503</v>
      </c>
      <c r="N33" s="65">
        <v>0.195</v>
      </c>
      <c r="O33" s="65">
        <v>0.616</v>
      </c>
      <c r="P33" s="65">
        <v>0.391</v>
      </c>
      <c r="Q33" s="65">
        <f t="shared" si="3"/>
        <v>1.18975</v>
      </c>
      <c r="R33" s="29">
        <v>0.5</v>
      </c>
    </row>
    <row r="34" ht="14.25" customHeight="1">
      <c r="A34" s="21"/>
      <c r="B34" s="13" t="s">
        <v>42</v>
      </c>
      <c r="C34" s="31">
        <v>1.0</v>
      </c>
      <c r="D34" s="32" t="s">
        <v>61</v>
      </c>
      <c r="E34" s="33">
        <v>524.0</v>
      </c>
      <c r="F34" s="33">
        <v>833.0</v>
      </c>
      <c r="G34" s="33">
        <v>804.0</v>
      </c>
      <c r="H34" s="33">
        <v>470.0</v>
      </c>
      <c r="I34" s="33">
        <v>786.0</v>
      </c>
      <c r="J34" s="33">
        <v>460.0</v>
      </c>
      <c r="K34" s="34">
        <v>660.0</v>
      </c>
      <c r="L34" s="34">
        <v>39.0</v>
      </c>
      <c r="M34" s="35">
        <v>26.0</v>
      </c>
      <c r="N34" s="35">
        <v>80.0</v>
      </c>
      <c r="O34" s="69">
        <v>346.0</v>
      </c>
      <c r="P34" s="69">
        <v>237.0</v>
      </c>
      <c r="Q34" s="35">
        <f t="shared" si="3"/>
        <v>438.75</v>
      </c>
      <c r="R34" s="20">
        <v>350.0</v>
      </c>
    </row>
    <row r="35" ht="14.25" customHeight="1">
      <c r="A35" s="21"/>
      <c r="B35" s="22"/>
      <c r="C35" s="23">
        <v>2.0</v>
      </c>
      <c r="D35" s="24" t="s">
        <v>62</v>
      </c>
      <c r="E35" s="37">
        <v>358.0</v>
      </c>
      <c r="F35" s="37">
        <v>706.0</v>
      </c>
      <c r="G35" s="37">
        <v>733.0</v>
      </c>
      <c r="H35" s="37">
        <v>412.0</v>
      </c>
      <c r="I35" s="37">
        <v>924.0</v>
      </c>
      <c r="J35" s="37">
        <v>440.0</v>
      </c>
      <c r="K35" s="38">
        <v>670.0</v>
      </c>
      <c r="L35" s="38">
        <v>39.0</v>
      </c>
      <c r="M35" s="39">
        <v>31.0</v>
      </c>
      <c r="N35" s="39">
        <v>160.0</v>
      </c>
      <c r="O35" s="71">
        <v>269.0</v>
      </c>
      <c r="P35" s="71">
        <v>288.0</v>
      </c>
      <c r="Q35" s="39">
        <f t="shared" si="3"/>
        <v>419.1666667</v>
      </c>
      <c r="R35" s="29">
        <v>350.0</v>
      </c>
    </row>
    <row r="36" ht="14.25" customHeight="1">
      <c r="A36" s="21"/>
      <c r="B36" s="30"/>
      <c r="C36" s="23">
        <v>3.0</v>
      </c>
      <c r="D36" s="24" t="s">
        <v>27</v>
      </c>
      <c r="E36" s="37">
        <v>309.0</v>
      </c>
      <c r="F36" s="37">
        <v>647.0</v>
      </c>
      <c r="G36" s="37">
        <v>613.0</v>
      </c>
      <c r="H36" s="37">
        <v>412.0</v>
      </c>
      <c r="I36" s="37">
        <v>716.0</v>
      </c>
      <c r="J36" s="37">
        <v>371.0</v>
      </c>
      <c r="K36" s="38">
        <v>772.0</v>
      </c>
      <c r="L36" s="38">
        <v>39.0</v>
      </c>
      <c r="M36" s="39">
        <v>263.0</v>
      </c>
      <c r="N36" s="39">
        <v>85.0</v>
      </c>
      <c r="O36" s="71">
        <v>249.0</v>
      </c>
      <c r="P36" s="71">
        <v>343.0</v>
      </c>
      <c r="Q36" s="39">
        <f t="shared" si="3"/>
        <v>401.5833333</v>
      </c>
      <c r="R36" s="29">
        <v>350.0</v>
      </c>
    </row>
    <row r="37" ht="14.25" customHeight="1"/>
    <row r="38" ht="14.25" customHeight="1">
      <c r="A38" s="110" t="s">
        <v>43</v>
      </c>
    </row>
    <row r="39" ht="14.25" customHeight="1"/>
    <row r="40" ht="14.25" customHeight="1">
      <c r="A40" s="110"/>
      <c r="D40" s="117"/>
    </row>
    <row r="41" ht="14.2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workbookViewId="0"/>
  </sheetViews>
  <sheetFormatPr customHeight="1" defaultColWidth="14.43" defaultRowHeight="15.0" outlineLevelCol="1"/>
  <cols>
    <col customWidth="1" min="1" max="1" width="9.14"/>
    <col customWidth="1" min="2" max="2" width="24.71"/>
    <col customWidth="1" min="3" max="3" width="8.14"/>
    <col customWidth="1" min="4" max="4" width="53.29"/>
    <col customWidth="1" min="5" max="5" width="13.0" outlineLevel="1"/>
    <col customWidth="1" min="6" max="6" width="10.57" outlineLevel="1"/>
    <col customWidth="1" min="7" max="7" width="10.71" outlineLevel="1"/>
    <col customWidth="1" min="8" max="8" width="7.71" outlineLevel="1"/>
    <col customWidth="1" min="9" max="9" width="7.43" outlineLevel="1"/>
    <col customWidth="1" min="10" max="10" width="10.43" outlineLevel="1"/>
    <col customWidth="1" min="11" max="11" width="12.14" outlineLevel="1"/>
    <col customWidth="1" min="12" max="12" width="11.29" outlineLevel="1"/>
    <col customWidth="1" min="13" max="13" width="10.14" outlineLevel="1"/>
    <col customWidth="1" min="14" max="14" width="11.71" outlineLevel="1"/>
    <col customWidth="1" min="15" max="15" width="9.86" outlineLevel="1"/>
    <col customWidth="1" min="16" max="16" width="9.57" outlineLevel="1"/>
    <col customWidth="1" min="17" max="17" width="18.71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18" t="s">
        <v>3</v>
      </c>
      <c r="B4" s="119" t="s">
        <v>4</v>
      </c>
      <c r="C4" s="119" t="s">
        <v>5</v>
      </c>
      <c r="D4" s="119" t="s">
        <v>6</v>
      </c>
      <c r="E4" s="119" t="s">
        <v>66</v>
      </c>
      <c r="F4" s="119" t="s">
        <v>8</v>
      </c>
      <c r="G4" s="119" t="s">
        <v>9</v>
      </c>
      <c r="H4" s="119" t="s">
        <v>10</v>
      </c>
      <c r="I4" s="119" t="s">
        <v>11</v>
      </c>
      <c r="J4" s="119" t="s">
        <v>12</v>
      </c>
      <c r="K4" s="119" t="s">
        <v>13</v>
      </c>
      <c r="L4" s="119" t="s">
        <v>14</v>
      </c>
      <c r="M4" s="119" t="s">
        <v>15</v>
      </c>
      <c r="N4" s="119" t="s">
        <v>16</v>
      </c>
      <c r="O4" s="119" t="s">
        <v>17</v>
      </c>
      <c r="P4" s="119" t="s">
        <v>18</v>
      </c>
      <c r="Q4" s="6" t="s">
        <v>19</v>
      </c>
      <c r="R4" s="6" t="s">
        <v>20</v>
      </c>
    </row>
    <row r="5" ht="14.25" customHeight="1">
      <c r="A5" s="112" t="s">
        <v>67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68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75" customHeight="1">
      <c r="A7" s="101" t="s">
        <v>23</v>
      </c>
      <c r="B7" s="74" t="s">
        <v>24</v>
      </c>
      <c r="C7" s="14">
        <v>1.0</v>
      </c>
      <c r="D7" s="15" t="s">
        <v>69</v>
      </c>
      <c r="E7" s="16">
        <v>0.1</v>
      </c>
      <c r="F7" s="102" t="s">
        <v>70</v>
      </c>
      <c r="G7" s="102" t="s">
        <v>70</v>
      </c>
      <c r="H7" s="102" t="s">
        <v>70</v>
      </c>
      <c r="I7" s="102" t="s">
        <v>70</v>
      </c>
      <c r="J7" s="120">
        <v>3.5</v>
      </c>
      <c r="K7" s="102" t="s">
        <v>70</v>
      </c>
      <c r="L7" s="17">
        <v>4.5</v>
      </c>
      <c r="M7" s="102" t="s">
        <v>70</v>
      </c>
      <c r="N7" s="102">
        <v>2.4</v>
      </c>
      <c r="O7" s="102" t="s">
        <v>70</v>
      </c>
      <c r="P7" s="121" t="s">
        <v>70</v>
      </c>
      <c r="Q7" s="102">
        <f t="shared" ref="Q7:Q24" si="1">AVERAGE(E7:P7)</f>
        <v>2.625</v>
      </c>
      <c r="R7" s="20">
        <v>5.0</v>
      </c>
    </row>
    <row r="8" ht="15.75" customHeight="1">
      <c r="A8" s="21"/>
      <c r="B8" s="22"/>
      <c r="C8" s="23">
        <v>2.0</v>
      </c>
      <c r="D8" s="24" t="s">
        <v>71</v>
      </c>
      <c r="E8" s="25">
        <v>2.6</v>
      </c>
      <c r="F8" s="27" t="s">
        <v>70</v>
      </c>
      <c r="G8" s="27" t="s">
        <v>70</v>
      </c>
      <c r="H8" s="27" t="s">
        <v>70</v>
      </c>
      <c r="I8" s="27" t="s">
        <v>70</v>
      </c>
      <c r="J8" s="122">
        <v>1.5</v>
      </c>
      <c r="K8" s="27" t="s">
        <v>70</v>
      </c>
      <c r="L8" s="26">
        <v>5.2</v>
      </c>
      <c r="M8" s="27" t="s">
        <v>70</v>
      </c>
      <c r="N8" s="27">
        <v>4.2</v>
      </c>
      <c r="O8" s="27" t="s">
        <v>70</v>
      </c>
      <c r="P8" s="123" t="s">
        <v>70</v>
      </c>
      <c r="Q8" s="27">
        <f t="shared" si="1"/>
        <v>3.375</v>
      </c>
      <c r="R8" s="29">
        <v>5.0</v>
      </c>
    </row>
    <row r="9" ht="15.75" customHeight="1">
      <c r="A9" s="21"/>
      <c r="B9" s="30"/>
      <c r="C9" s="23">
        <v>3.0</v>
      </c>
      <c r="D9" s="24" t="s">
        <v>72</v>
      </c>
      <c r="E9" s="25">
        <v>0.1</v>
      </c>
      <c r="F9" s="27" t="s">
        <v>70</v>
      </c>
      <c r="G9" s="27" t="s">
        <v>70</v>
      </c>
      <c r="H9" s="27" t="s">
        <v>70</v>
      </c>
      <c r="I9" s="27" t="s">
        <v>70</v>
      </c>
      <c r="J9" s="122">
        <v>2.8</v>
      </c>
      <c r="K9" s="27" t="s">
        <v>70</v>
      </c>
      <c r="L9" s="26">
        <v>3.5</v>
      </c>
      <c r="M9" s="27" t="s">
        <v>70</v>
      </c>
      <c r="N9" s="27">
        <v>1.4</v>
      </c>
      <c r="O9" s="27" t="s">
        <v>70</v>
      </c>
      <c r="P9" s="123" t="s">
        <v>70</v>
      </c>
      <c r="Q9" s="27">
        <f t="shared" si="1"/>
        <v>1.95</v>
      </c>
      <c r="R9" s="29">
        <v>5.0</v>
      </c>
    </row>
    <row r="10" ht="15.75" customHeight="1">
      <c r="A10" s="21"/>
      <c r="B10" s="13" t="s">
        <v>30</v>
      </c>
      <c r="C10" s="31">
        <v>1.0</v>
      </c>
      <c r="D10" s="32" t="s">
        <v>69</v>
      </c>
      <c r="E10" s="33">
        <v>60.0</v>
      </c>
      <c r="F10" s="124" t="s">
        <v>70</v>
      </c>
      <c r="G10" s="124" t="s">
        <v>70</v>
      </c>
      <c r="H10" s="124" t="s">
        <v>70</v>
      </c>
      <c r="I10" s="124" t="s">
        <v>70</v>
      </c>
      <c r="J10" s="125">
        <v>14.0</v>
      </c>
      <c r="K10" s="124" t="s">
        <v>70</v>
      </c>
      <c r="L10" s="34">
        <v>6.0</v>
      </c>
      <c r="M10" s="124" t="s">
        <v>70</v>
      </c>
      <c r="N10" s="124">
        <v>16.0</v>
      </c>
      <c r="O10" s="124" t="s">
        <v>70</v>
      </c>
      <c r="P10" s="125" t="s">
        <v>70</v>
      </c>
      <c r="Q10" s="102">
        <f t="shared" si="1"/>
        <v>24</v>
      </c>
      <c r="R10" s="20">
        <v>7.0</v>
      </c>
    </row>
    <row r="11" ht="15.75" customHeight="1">
      <c r="A11" s="21"/>
      <c r="B11" s="22"/>
      <c r="C11" s="23">
        <v>2.0</v>
      </c>
      <c r="D11" s="24" t="s">
        <v>71</v>
      </c>
      <c r="E11" s="37">
        <v>22.0</v>
      </c>
      <c r="F11" s="39" t="s">
        <v>70</v>
      </c>
      <c r="G11" s="39" t="s">
        <v>70</v>
      </c>
      <c r="H11" s="39" t="s">
        <v>70</v>
      </c>
      <c r="I11" s="39" t="s">
        <v>70</v>
      </c>
      <c r="J11" s="126">
        <v>13.0</v>
      </c>
      <c r="K11" s="39" t="s">
        <v>70</v>
      </c>
      <c r="L11" s="38">
        <v>6.0</v>
      </c>
      <c r="M11" s="39" t="s">
        <v>70</v>
      </c>
      <c r="N11" s="39">
        <v>4.0</v>
      </c>
      <c r="O11" s="39" t="s">
        <v>70</v>
      </c>
      <c r="P11" s="127" t="s">
        <v>70</v>
      </c>
      <c r="Q11" s="39">
        <f t="shared" si="1"/>
        <v>11.25</v>
      </c>
      <c r="R11" s="29">
        <v>7.0</v>
      </c>
    </row>
    <row r="12" ht="15.75" customHeight="1">
      <c r="A12" s="21"/>
      <c r="B12" s="30"/>
      <c r="C12" s="23">
        <v>3.0</v>
      </c>
      <c r="D12" s="24" t="s">
        <v>72</v>
      </c>
      <c r="E12" s="37">
        <v>55.0</v>
      </c>
      <c r="F12" s="39" t="s">
        <v>70</v>
      </c>
      <c r="G12" s="39" t="s">
        <v>70</v>
      </c>
      <c r="H12" s="39" t="s">
        <v>70</v>
      </c>
      <c r="I12" s="39" t="s">
        <v>70</v>
      </c>
      <c r="J12" s="126">
        <v>6.0</v>
      </c>
      <c r="K12" s="39" t="s">
        <v>70</v>
      </c>
      <c r="L12" s="38">
        <v>6.0</v>
      </c>
      <c r="M12" s="39" t="s">
        <v>70</v>
      </c>
      <c r="N12" s="39">
        <v>9.0</v>
      </c>
      <c r="O12" s="39" t="s">
        <v>70</v>
      </c>
      <c r="P12" s="127" t="s">
        <v>70</v>
      </c>
      <c r="Q12" s="39">
        <f t="shared" si="1"/>
        <v>19</v>
      </c>
      <c r="R12" s="29">
        <v>7.0</v>
      </c>
    </row>
    <row r="13" ht="15.75" customHeight="1">
      <c r="A13" s="21"/>
      <c r="B13" s="13" t="s">
        <v>31</v>
      </c>
      <c r="C13" s="31">
        <v>1.0</v>
      </c>
      <c r="D13" s="32" t="s">
        <v>69</v>
      </c>
      <c r="E13" s="33">
        <v>16.0</v>
      </c>
      <c r="F13" s="124" t="s">
        <v>70</v>
      </c>
      <c r="G13" s="124" t="s">
        <v>70</v>
      </c>
      <c r="H13" s="124" t="s">
        <v>70</v>
      </c>
      <c r="I13" s="124" t="s">
        <v>70</v>
      </c>
      <c r="J13" s="125">
        <v>54.0</v>
      </c>
      <c r="K13" s="124" t="s">
        <v>70</v>
      </c>
      <c r="L13" s="34">
        <v>44.0</v>
      </c>
      <c r="M13" s="124" t="s">
        <v>70</v>
      </c>
      <c r="N13" s="124">
        <v>18.0</v>
      </c>
      <c r="O13" s="124" t="s">
        <v>70</v>
      </c>
      <c r="P13" s="125" t="s">
        <v>70</v>
      </c>
      <c r="Q13" s="102">
        <f t="shared" si="1"/>
        <v>33</v>
      </c>
      <c r="R13" s="20">
        <v>80.0</v>
      </c>
    </row>
    <row r="14" ht="15.75" customHeight="1">
      <c r="A14" s="21"/>
      <c r="B14" s="22"/>
      <c r="C14" s="23">
        <v>2.0</v>
      </c>
      <c r="D14" s="24" t="s">
        <v>71</v>
      </c>
      <c r="E14" s="37">
        <v>14.0</v>
      </c>
      <c r="F14" s="39" t="s">
        <v>70</v>
      </c>
      <c r="G14" s="39" t="s">
        <v>70</v>
      </c>
      <c r="H14" s="39" t="s">
        <v>70</v>
      </c>
      <c r="I14" s="39" t="s">
        <v>70</v>
      </c>
      <c r="J14" s="126">
        <v>53.0</v>
      </c>
      <c r="K14" s="39" t="s">
        <v>70</v>
      </c>
      <c r="L14" s="38">
        <v>56.0</v>
      </c>
      <c r="M14" s="39" t="s">
        <v>70</v>
      </c>
      <c r="N14" s="39">
        <v>35.0</v>
      </c>
      <c r="O14" s="39" t="s">
        <v>70</v>
      </c>
      <c r="P14" s="127" t="s">
        <v>70</v>
      </c>
      <c r="Q14" s="39">
        <f t="shared" si="1"/>
        <v>39.5</v>
      </c>
      <c r="R14" s="29">
        <v>80.0</v>
      </c>
    </row>
    <row r="15" ht="15.75" customHeight="1">
      <c r="A15" s="21"/>
      <c r="B15" s="30"/>
      <c r="C15" s="23">
        <v>3.0</v>
      </c>
      <c r="D15" s="24" t="s">
        <v>72</v>
      </c>
      <c r="E15" s="37">
        <v>12.0</v>
      </c>
      <c r="F15" s="39" t="s">
        <v>70</v>
      </c>
      <c r="G15" s="39" t="s">
        <v>70</v>
      </c>
      <c r="H15" s="39" t="s">
        <v>70</v>
      </c>
      <c r="I15" s="39" t="s">
        <v>70</v>
      </c>
      <c r="J15" s="126">
        <v>51.0</v>
      </c>
      <c r="K15" s="39" t="s">
        <v>70</v>
      </c>
      <c r="L15" s="38">
        <v>44.0</v>
      </c>
      <c r="M15" s="39" t="s">
        <v>70</v>
      </c>
      <c r="N15" s="39">
        <v>20.0</v>
      </c>
      <c r="O15" s="39" t="s">
        <v>70</v>
      </c>
      <c r="P15" s="127" t="s">
        <v>70</v>
      </c>
      <c r="Q15" s="39">
        <f t="shared" si="1"/>
        <v>31.75</v>
      </c>
      <c r="R15" s="29">
        <v>80.0</v>
      </c>
    </row>
    <row r="16" ht="15.75" customHeight="1">
      <c r="A16" s="21"/>
      <c r="B16" s="13" t="s">
        <v>33</v>
      </c>
      <c r="C16" s="31">
        <v>1.0</v>
      </c>
      <c r="D16" s="32" t="s">
        <v>69</v>
      </c>
      <c r="E16" s="41">
        <v>7.0</v>
      </c>
      <c r="F16" s="102" t="s">
        <v>70</v>
      </c>
      <c r="G16" s="102" t="s">
        <v>70</v>
      </c>
      <c r="H16" s="102" t="s">
        <v>70</v>
      </c>
      <c r="I16" s="102" t="s">
        <v>70</v>
      </c>
      <c r="J16" s="121">
        <v>7.0</v>
      </c>
      <c r="K16" s="102" t="s">
        <v>70</v>
      </c>
      <c r="L16" s="42">
        <v>7.0</v>
      </c>
      <c r="M16" s="102" t="s">
        <v>70</v>
      </c>
      <c r="N16" s="102">
        <v>7.1</v>
      </c>
      <c r="O16" s="102" t="s">
        <v>70</v>
      </c>
      <c r="P16" s="121" t="s">
        <v>70</v>
      </c>
      <c r="Q16" s="102">
        <f t="shared" si="1"/>
        <v>7.025</v>
      </c>
      <c r="R16" s="18" t="s">
        <v>34</v>
      </c>
    </row>
    <row r="17" ht="15.75" customHeight="1">
      <c r="A17" s="21"/>
      <c r="B17" s="22"/>
      <c r="C17" s="23">
        <v>2.0</v>
      </c>
      <c r="D17" s="24" t="s">
        <v>71</v>
      </c>
      <c r="E17" s="25">
        <v>7.0</v>
      </c>
      <c r="F17" s="27" t="s">
        <v>70</v>
      </c>
      <c r="G17" s="27" t="s">
        <v>70</v>
      </c>
      <c r="H17" s="27" t="s">
        <v>70</v>
      </c>
      <c r="I17" s="27" t="s">
        <v>70</v>
      </c>
      <c r="J17" s="122">
        <v>7.0</v>
      </c>
      <c r="K17" s="27" t="s">
        <v>70</v>
      </c>
      <c r="L17" s="26">
        <v>7.0</v>
      </c>
      <c r="M17" s="27" t="s">
        <v>70</v>
      </c>
      <c r="N17" s="27">
        <v>7.0</v>
      </c>
      <c r="O17" s="27" t="s">
        <v>70</v>
      </c>
      <c r="P17" s="123" t="s">
        <v>70</v>
      </c>
      <c r="Q17" s="27">
        <f t="shared" si="1"/>
        <v>7</v>
      </c>
      <c r="R17" s="27" t="s">
        <v>34</v>
      </c>
    </row>
    <row r="18" ht="15.75" customHeight="1">
      <c r="A18" s="21"/>
      <c r="B18" s="30"/>
      <c r="C18" s="23">
        <v>3.0</v>
      </c>
      <c r="D18" s="24" t="s">
        <v>72</v>
      </c>
      <c r="E18" s="25">
        <v>7.0</v>
      </c>
      <c r="F18" s="27" t="s">
        <v>70</v>
      </c>
      <c r="G18" s="27" t="s">
        <v>70</v>
      </c>
      <c r="H18" s="27" t="s">
        <v>70</v>
      </c>
      <c r="I18" s="27" t="s">
        <v>70</v>
      </c>
      <c r="J18" s="122">
        <v>7.0</v>
      </c>
      <c r="K18" s="27" t="s">
        <v>70</v>
      </c>
      <c r="L18" s="26">
        <v>7.0</v>
      </c>
      <c r="M18" s="27" t="s">
        <v>70</v>
      </c>
      <c r="N18" s="27">
        <v>7.0</v>
      </c>
      <c r="O18" s="27" t="s">
        <v>70</v>
      </c>
      <c r="P18" s="123" t="s">
        <v>70</v>
      </c>
      <c r="Q18" s="27">
        <f t="shared" si="1"/>
        <v>7</v>
      </c>
      <c r="R18" s="27" t="s">
        <v>34</v>
      </c>
    </row>
    <row r="19" ht="15.75" customHeight="1">
      <c r="A19" s="21"/>
      <c r="B19" s="13" t="s">
        <v>73</v>
      </c>
      <c r="C19" s="31">
        <v>1.0</v>
      </c>
      <c r="D19" s="32" t="s">
        <v>69</v>
      </c>
      <c r="E19" s="41">
        <v>26.1</v>
      </c>
      <c r="F19" s="102" t="s">
        <v>70</v>
      </c>
      <c r="G19" s="102" t="s">
        <v>70</v>
      </c>
      <c r="H19" s="102" t="s">
        <v>70</v>
      </c>
      <c r="I19" s="102" t="s">
        <v>70</v>
      </c>
      <c r="J19" s="121">
        <v>26.3</v>
      </c>
      <c r="K19" s="102" t="s">
        <v>70</v>
      </c>
      <c r="L19" s="42">
        <v>26.0</v>
      </c>
      <c r="M19" s="102" t="s">
        <v>70</v>
      </c>
      <c r="N19" s="102">
        <v>27.1</v>
      </c>
      <c r="O19" s="102" t="s">
        <v>70</v>
      </c>
      <c r="P19" s="121" t="s">
        <v>70</v>
      </c>
      <c r="Q19" s="102">
        <f t="shared" si="1"/>
        <v>26.375</v>
      </c>
      <c r="R19" s="18" t="s">
        <v>36</v>
      </c>
    </row>
    <row r="20" ht="15.75" customHeight="1">
      <c r="A20" s="21"/>
      <c r="B20" s="22"/>
      <c r="C20" s="23">
        <v>2.0</v>
      </c>
      <c r="D20" s="24" t="s">
        <v>71</v>
      </c>
      <c r="E20" s="25">
        <v>26.0</v>
      </c>
      <c r="F20" s="27" t="s">
        <v>70</v>
      </c>
      <c r="G20" s="27" t="s">
        <v>70</v>
      </c>
      <c r="H20" s="27" t="s">
        <v>70</v>
      </c>
      <c r="I20" s="27" t="s">
        <v>70</v>
      </c>
      <c r="J20" s="122">
        <v>26.5</v>
      </c>
      <c r="K20" s="27" t="s">
        <v>70</v>
      </c>
      <c r="L20" s="26">
        <v>26.3</v>
      </c>
      <c r="M20" s="27" t="s">
        <v>70</v>
      </c>
      <c r="N20" s="27">
        <v>27.3</v>
      </c>
      <c r="O20" s="27" t="s">
        <v>70</v>
      </c>
      <c r="P20" s="123" t="s">
        <v>70</v>
      </c>
      <c r="Q20" s="27">
        <f t="shared" si="1"/>
        <v>26.525</v>
      </c>
      <c r="R20" s="27" t="s">
        <v>36</v>
      </c>
    </row>
    <row r="21" ht="14.25" customHeight="1">
      <c r="A21" s="21"/>
      <c r="B21" s="30"/>
      <c r="C21" s="23">
        <v>3.0</v>
      </c>
      <c r="D21" s="24" t="s">
        <v>72</v>
      </c>
      <c r="E21" s="25">
        <v>26.2</v>
      </c>
      <c r="F21" s="27" t="s">
        <v>70</v>
      </c>
      <c r="G21" s="27" t="s">
        <v>70</v>
      </c>
      <c r="H21" s="27" t="s">
        <v>70</v>
      </c>
      <c r="I21" s="27" t="s">
        <v>70</v>
      </c>
      <c r="J21" s="122">
        <v>26.5</v>
      </c>
      <c r="K21" s="27" t="s">
        <v>70</v>
      </c>
      <c r="L21" s="26">
        <v>26.3</v>
      </c>
      <c r="M21" s="27" t="s">
        <v>70</v>
      </c>
      <c r="N21" s="27">
        <v>27.3</v>
      </c>
      <c r="O21" s="27" t="s">
        <v>70</v>
      </c>
      <c r="P21" s="123" t="s">
        <v>70</v>
      </c>
      <c r="Q21" s="27">
        <f t="shared" si="1"/>
        <v>26.575</v>
      </c>
      <c r="R21" s="27" t="s">
        <v>36</v>
      </c>
    </row>
    <row r="22" ht="15.75" customHeight="1">
      <c r="A22" s="21"/>
      <c r="B22" s="13" t="s">
        <v>37</v>
      </c>
      <c r="C22" s="31">
        <v>1.0</v>
      </c>
      <c r="D22" s="32" t="s">
        <v>69</v>
      </c>
      <c r="E22" s="33">
        <v>20.0</v>
      </c>
      <c r="F22" s="124" t="s">
        <v>70</v>
      </c>
      <c r="G22" s="124" t="s">
        <v>70</v>
      </c>
      <c r="H22" s="124" t="s">
        <v>70</v>
      </c>
      <c r="I22" s="124" t="s">
        <v>70</v>
      </c>
      <c r="J22" s="125">
        <v>30.0</v>
      </c>
      <c r="K22" s="124" t="s">
        <v>70</v>
      </c>
      <c r="L22" s="34">
        <v>10.0</v>
      </c>
      <c r="M22" s="124" t="s">
        <v>70</v>
      </c>
      <c r="N22" s="124">
        <v>20.0</v>
      </c>
      <c r="O22" s="124" t="s">
        <v>70</v>
      </c>
      <c r="P22" s="125" t="s">
        <v>70</v>
      </c>
      <c r="Q22" s="102">
        <f t="shared" si="1"/>
        <v>20</v>
      </c>
      <c r="R22" s="20">
        <v>75.0</v>
      </c>
    </row>
    <row r="23" ht="15.75" customHeight="1">
      <c r="A23" s="21"/>
      <c r="B23" s="22"/>
      <c r="C23" s="23">
        <v>2.0</v>
      </c>
      <c r="D23" s="24" t="s">
        <v>71</v>
      </c>
      <c r="E23" s="37">
        <v>20.0</v>
      </c>
      <c r="F23" s="39" t="s">
        <v>70</v>
      </c>
      <c r="G23" s="39" t="s">
        <v>70</v>
      </c>
      <c r="H23" s="39" t="s">
        <v>70</v>
      </c>
      <c r="I23" s="39" t="s">
        <v>70</v>
      </c>
      <c r="J23" s="126">
        <v>30.0</v>
      </c>
      <c r="K23" s="39" t="s">
        <v>70</v>
      </c>
      <c r="L23" s="38">
        <v>5.0</v>
      </c>
      <c r="M23" s="39" t="s">
        <v>70</v>
      </c>
      <c r="N23" s="39">
        <v>15.0</v>
      </c>
      <c r="O23" s="39" t="s">
        <v>70</v>
      </c>
      <c r="P23" s="127" t="s">
        <v>70</v>
      </c>
      <c r="Q23" s="39">
        <f t="shared" si="1"/>
        <v>17.5</v>
      </c>
      <c r="R23" s="29">
        <v>75.0</v>
      </c>
    </row>
    <row r="24" ht="15.75" customHeight="1">
      <c r="A24" s="21"/>
      <c r="B24" s="30"/>
      <c r="C24" s="23">
        <v>3.0</v>
      </c>
      <c r="D24" s="24" t="s">
        <v>72</v>
      </c>
      <c r="E24" s="37">
        <v>40.0</v>
      </c>
      <c r="F24" s="39" t="s">
        <v>70</v>
      </c>
      <c r="G24" s="39" t="s">
        <v>70</v>
      </c>
      <c r="H24" s="39" t="s">
        <v>70</v>
      </c>
      <c r="I24" s="39" t="s">
        <v>70</v>
      </c>
      <c r="J24" s="126">
        <v>30.0</v>
      </c>
      <c r="K24" s="39" t="s">
        <v>70</v>
      </c>
      <c r="L24" s="38">
        <v>5.0</v>
      </c>
      <c r="M24" s="39" t="s">
        <v>70</v>
      </c>
      <c r="N24" s="39">
        <v>25.0</v>
      </c>
      <c r="O24" s="39" t="s">
        <v>70</v>
      </c>
      <c r="P24" s="127" t="s">
        <v>70</v>
      </c>
      <c r="Q24" s="39">
        <f t="shared" si="1"/>
        <v>25</v>
      </c>
      <c r="R24" s="29">
        <v>75.0</v>
      </c>
    </row>
    <row r="25" ht="15.75" customHeight="1">
      <c r="A25" s="21"/>
      <c r="B25" s="13" t="s">
        <v>38</v>
      </c>
      <c r="C25" s="31">
        <v>1.0</v>
      </c>
      <c r="D25" s="32" t="s">
        <v>69</v>
      </c>
      <c r="E25" s="45">
        <v>4600000.0</v>
      </c>
      <c r="F25" s="107" t="s">
        <v>70</v>
      </c>
      <c r="G25" s="107" t="s">
        <v>70</v>
      </c>
      <c r="H25" s="107" t="s">
        <v>70</v>
      </c>
      <c r="I25" s="107" t="s">
        <v>70</v>
      </c>
      <c r="J25" s="128">
        <v>1600000.0</v>
      </c>
      <c r="K25" s="107" t="s">
        <v>70</v>
      </c>
      <c r="L25" s="46">
        <v>5400000.0</v>
      </c>
      <c r="M25" s="107" t="s">
        <v>70</v>
      </c>
      <c r="N25" s="107">
        <v>1600000.0</v>
      </c>
      <c r="O25" s="107" t="s">
        <v>70</v>
      </c>
      <c r="P25" s="128" t="s">
        <v>70</v>
      </c>
      <c r="Q25" s="107">
        <f t="shared" ref="Q25:Q27" si="2">GEOMEAN(E25:P25)</f>
        <v>2823890.739</v>
      </c>
      <c r="R25" s="20">
        <v>200.0</v>
      </c>
      <c r="S25" s="129">
        <f>GEOMEAN(Q25:Q27)</f>
        <v>1240378.006</v>
      </c>
    </row>
    <row r="26" ht="15.75" customHeight="1">
      <c r="A26" s="21"/>
      <c r="B26" s="22"/>
      <c r="C26" s="23">
        <v>2.0</v>
      </c>
      <c r="D26" s="24" t="s">
        <v>71</v>
      </c>
      <c r="E26" s="51">
        <v>230000.0</v>
      </c>
      <c r="F26" s="53" t="s">
        <v>70</v>
      </c>
      <c r="G26" s="53" t="s">
        <v>70</v>
      </c>
      <c r="H26" s="53" t="s">
        <v>70</v>
      </c>
      <c r="I26" s="53" t="s">
        <v>70</v>
      </c>
      <c r="J26" s="130">
        <v>2400000.0</v>
      </c>
      <c r="K26" s="53" t="s">
        <v>70</v>
      </c>
      <c r="L26" s="52">
        <v>140000.0</v>
      </c>
      <c r="M26" s="53" t="s">
        <v>70</v>
      </c>
      <c r="N26" s="53">
        <v>3500000.0</v>
      </c>
      <c r="O26" s="53" t="s">
        <v>70</v>
      </c>
      <c r="P26" s="131" t="s">
        <v>70</v>
      </c>
      <c r="Q26" s="71">
        <f t="shared" si="2"/>
        <v>721163.5857</v>
      </c>
      <c r="R26" s="29">
        <v>200.0</v>
      </c>
    </row>
    <row r="27" ht="15.75" customHeight="1">
      <c r="A27" s="21"/>
      <c r="B27" s="30"/>
      <c r="C27" s="23">
        <v>3.0</v>
      </c>
      <c r="D27" s="24" t="s">
        <v>72</v>
      </c>
      <c r="E27" s="51">
        <v>5400000.0</v>
      </c>
      <c r="F27" s="53" t="s">
        <v>70</v>
      </c>
      <c r="G27" s="53" t="s">
        <v>70</v>
      </c>
      <c r="H27" s="53" t="s">
        <v>70</v>
      </c>
      <c r="I27" s="53" t="s">
        <v>70</v>
      </c>
      <c r="J27" s="130">
        <v>350000.0</v>
      </c>
      <c r="K27" s="53" t="s">
        <v>70</v>
      </c>
      <c r="L27" s="52">
        <v>170000.0</v>
      </c>
      <c r="M27" s="53" t="s">
        <v>70</v>
      </c>
      <c r="N27" s="53">
        <v>2400000.0</v>
      </c>
      <c r="O27" s="53" t="s">
        <v>70</v>
      </c>
      <c r="P27" s="131" t="s">
        <v>70</v>
      </c>
      <c r="Q27" s="53">
        <f t="shared" si="2"/>
        <v>937088.2488</v>
      </c>
      <c r="R27" s="29">
        <v>200.0</v>
      </c>
    </row>
    <row r="28" ht="15.75" customHeight="1">
      <c r="A28" s="21"/>
      <c r="B28" s="13" t="s">
        <v>74</v>
      </c>
      <c r="C28" s="55">
        <v>1.0</v>
      </c>
      <c r="D28" s="56" t="s">
        <v>69</v>
      </c>
      <c r="E28" s="57">
        <v>0.284</v>
      </c>
      <c r="F28" s="102" t="s">
        <v>70</v>
      </c>
      <c r="G28" s="102" t="s">
        <v>70</v>
      </c>
      <c r="H28" s="102" t="s">
        <v>70</v>
      </c>
      <c r="I28" s="102" t="s">
        <v>70</v>
      </c>
      <c r="J28" s="132">
        <v>0.263</v>
      </c>
      <c r="K28" s="102" t="s">
        <v>70</v>
      </c>
      <c r="L28" s="34">
        <v>0.173</v>
      </c>
      <c r="M28" s="102" t="s">
        <v>70</v>
      </c>
      <c r="N28" s="108">
        <v>0.276</v>
      </c>
      <c r="O28" s="102" t="s">
        <v>70</v>
      </c>
      <c r="P28" s="121" t="s">
        <v>70</v>
      </c>
      <c r="Q28" s="108">
        <f t="shared" ref="Q28:Q36" si="3">AVERAGE(E28:P28)</f>
        <v>0.249</v>
      </c>
      <c r="R28" s="20">
        <v>7.0</v>
      </c>
    </row>
    <row r="29" ht="15.75" customHeight="1">
      <c r="A29" s="21"/>
      <c r="B29" s="22"/>
      <c r="C29" s="61">
        <v>2.0</v>
      </c>
      <c r="D29" s="62" t="s">
        <v>71</v>
      </c>
      <c r="E29" s="63">
        <v>1.42</v>
      </c>
      <c r="F29" s="27" t="s">
        <v>70</v>
      </c>
      <c r="G29" s="27" t="s">
        <v>70</v>
      </c>
      <c r="H29" s="27" t="s">
        <v>70</v>
      </c>
      <c r="I29" s="27" t="s">
        <v>70</v>
      </c>
      <c r="J29" s="133">
        <v>0.263</v>
      </c>
      <c r="K29" s="27" t="s">
        <v>70</v>
      </c>
      <c r="L29" s="38">
        <v>0.218</v>
      </c>
      <c r="M29" s="27" t="s">
        <v>70</v>
      </c>
      <c r="N29" s="65">
        <v>0.311</v>
      </c>
      <c r="O29" s="27" t="s">
        <v>70</v>
      </c>
      <c r="P29" s="123" t="s">
        <v>70</v>
      </c>
      <c r="Q29" s="65">
        <f t="shared" si="3"/>
        <v>0.553</v>
      </c>
      <c r="R29" s="29">
        <v>7.0</v>
      </c>
    </row>
    <row r="30" ht="15.75" customHeight="1">
      <c r="A30" s="21"/>
      <c r="B30" s="30"/>
      <c r="C30" s="61">
        <v>3.0</v>
      </c>
      <c r="D30" s="62" t="s">
        <v>72</v>
      </c>
      <c r="E30" s="63">
        <v>0.201</v>
      </c>
      <c r="F30" s="27" t="s">
        <v>70</v>
      </c>
      <c r="G30" s="27" t="s">
        <v>70</v>
      </c>
      <c r="H30" s="27" t="s">
        <v>70</v>
      </c>
      <c r="I30" s="27" t="s">
        <v>70</v>
      </c>
      <c r="J30" s="133">
        <v>0.861</v>
      </c>
      <c r="K30" s="27" t="s">
        <v>70</v>
      </c>
      <c r="L30" s="38">
        <v>0.209</v>
      </c>
      <c r="M30" s="27" t="s">
        <v>70</v>
      </c>
      <c r="N30" s="65">
        <v>0.495</v>
      </c>
      <c r="O30" s="27" t="s">
        <v>70</v>
      </c>
      <c r="P30" s="123" t="s">
        <v>70</v>
      </c>
      <c r="Q30" s="65">
        <f t="shared" si="3"/>
        <v>0.4415</v>
      </c>
      <c r="R30" s="29">
        <v>7.0</v>
      </c>
    </row>
    <row r="31" ht="15.75" customHeight="1">
      <c r="A31" s="21"/>
      <c r="B31" s="13" t="s">
        <v>75</v>
      </c>
      <c r="C31" s="55">
        <v>1.0</v>
      </c>
      <c r="D31" s="56" t="s">
        <v>69</v>
      </c>
      <c r="E31" s="57">
        <v>1.731</v>
      </c>
      <c r="F31" s="102" t="s">
        <v>70</v>
      </c>
      <c r="G31" s="102" t="s">
        <v>70</v>
      </c>
      <c r="H31" s="102" t="s">
        <v>70</v>
      </c>
      <c r="I31" s="102" t="s">
        <v>70</v>
      </c>
      <c r="J31" s="132">
        <v>1.594</v>
      </c>
      <c r="K31" s="102" t="s">
        <v>70</v>
      </c>
      <c r="L31" s="34">
        <v>1.122</v>
      </c>
      <c r="M31" s="102" t="s">
        <v>70</v>
      </c>
      <c r="N31" s="108">
        <v>0.842</v>
      </c>
      <c r="O31" s="102" t="s">
        <v>70</v>
      </c>
      <c r="P31" s="121" t="s">
        <v>70</v>
      </c>
      <c r="Q31" s="108">
        <f t="shared" si="3"/>
        <v>1.32225</v>
      </c>
      <c r="R31" s="20">
        <v>0.5</v>
      </c>
    </row>
    <row r="32" ht="15.75" customHeight="1">
      <c r="A32" s="21"/>
      <c r="B32" s="22"/>
      <c r="C32" s="61">
        <v>2.0</v>
      </c>
      <c r="D32" s="62" t="s">
        <v>71</v>
      </c>
      <c r="E32" s="63">
        <v>1.496</v>
      </c>
      <c r="F32" s="27" t="s">
        <v>70</v>
      </c>
      <c r="G32" s="27" t="s">
        <v>70</v>
      </c>
      <c r="H32" s="27" t="s">
        <v>70</v>
      </c>
      <c r="I32" s="27" t="s">
        <v>70</v>
      </c>
      <c r="J32" s="133">
        <v>0.957</v>
      </c>
      <c r="K32" s="27" t="s">
        <v>70</v>
      </c>
      <c r="L32" s="38">
        <v>0.961</v>
      </c>
      <c r="M32" s="27" t="s">
        <v>70</v>
      </c>
      <c r="N32" s="65">
        <v>0.749</v>
      </c>
      <c r="O32" s="27" t="s">
        <v>70</v>
      </c>
      <c r="P32" s="123" t="s">
        <v>70</v>
      </c>
      <c r="Q32" s="65">
        <f t="shared" si="3"/>
        <v>1.04075</v>
      </c>
      <c r="R32" s="29">
        <v>0.5</v>
      </c>
    </row>
    <row r="33" ht="15.75" customHeight="1">
      <c r="A33" s="21"/>
      <c r="B33" s="30"/>
      <c r="C33" s="61">
        <v>3.0</v>
      </c>
      <c r="D33" s="62" t="s">
        <v>72</v>
      </c>
      <c r="E33" s="63">
        <v>1.884</v>
      </c>
      <c r="F33" s="27" t="s">
        <v>70</v>
      </c>
      <c r="G33" s="27" t="s">
        <v>70</v>
      </c>
      <c r="H33" s="27" t="s">
        <v>70</v>
      </c>
      <c r="I33" s="27" t="s">
        <v>70</v>
      </c>
      <c r="J33" s="133">
        <v>0.939</v>
      </c>
      <c r="K33" s="27" t="s">
        <v>70</v>
      </c>
      <c r="L33" s="38">
        <v>0.927</v>
      </c>
      <c r="M33" s="27" t="s">
        <v>70</v>
      </c>
      <c r="N33" s="65">
        <v>1.351</v>
      </c>
      <c r="O33" s="27" t="s">
        <v>70</v>
      </c>
      <c r="P33" s="123" t="s">
        <v>70</v>
      </c>
      <c r="Q33" s="27">
        <f t="shared" si="3"/>
        <v>1.27525</v>
      </c>
      <c r="R33" s="29">
        <v>0.5</v>
      </c>
    </row>
    <row r="34" ht="15.75" customHeight="1">
      <c r="A34" s="21"/>
      <c r="B34" s="13" t="s">
        <v>42</v>
      </c>
      <c r="C34" s="31">
        <v>1.0</v>
      </c>
      <c r="D34" s="32" t="s">
        <v>69</v>
      </c>
      <c r="E34" s="33">
        <v>636.0</v>
      </c>
      <c r="F34" s="124" t="s">
        <v>70</v>
      </c>
      <c r="G34" s="124" t="s">
        <v>70</v>
      </c>
      <c r="H34" s="124" t="s">
        <v>70</v>
      </c>
      <c r="I34" s="124" t="s">
        <v>70</v>
      </c>
      <c r="J34" s="125">
        <v>33.0</v>
      </c>
      <c r="K34" s="124" t="s">
        <v>70</v>
      </c>
      <c r="L34" s="34">
        <v>42.0</v>
      </c>
      <c r="M34" s="124" t="s">
        <v>70</v>
      </c>
      <c r="N34" s="124">
        <v>230.0</v>
      </c>
      <c r="O34" s="124" t="s">
        <v>70</v>
      </c>
      <c r="P34" s="125" t="s">
        <v>70</v>
      </c>
      <c r="Q34" s="124">
        <f t="shared" si="3"/>
        <v>235.25</v>
      </c>
      <c r="R34" s="20">
        <v>350.0</v>
      </c>
    </row>
    <row r="35" ht="15.75" customHeight="1">
      <c r="A35" s="21"/>
      <c r="B35" s="22"/>
      <c r="C35" s="23">
        <v>2.0</v>
      </c>
      <c r="D35" s="24" t="s">
        <v>71</v>
      </c>
      <c r="E35" s="37">
        <v>403.0</v>
      </c>
      <c r="F35" s="39" t="s">
        <v>70</v>
      </c>
      <c r="G35" s="39" t="s">
        <v>70</v>
      </c>
      <c r="H35" s="39" t="s">
        <v>70</v>
      </c>
      <c r="I35" s="39" t="s">
        <v>70</v>
      </c>
      <c r="J35" s="126">
        <v>33.0</v>
      </c>
      <c r="K35" s="39" t="s">
        <v>70</v>
      </c>
      <c r="L35" s="38">
        <v>42.0</v>
      </c>
      <c r="M35" s="39" t="s">
        <v>70</v>
      </c>
      <c r="N35" s="39">
        <v>103.0</v>
      </c>
      <c r="O35" s="39" t="s">
        <v>70</v>
      </c>
      <c r="P35" s="127" t="s">
        <v>70</v>
      </c>
      <c r="Q35" s="39">
        <f t="shared" si="3"/>
        <v>145.25</v>
      </c>
      <c r="R35" s="29">
        <v>350.0</v>
      </c>
    </row>
    <row r="36" ht="15.75" customHeight="1">
      <c r="A36" s="21"/>
      <c r="B36" s="30"/>
      <c r="C36" s="23">
        <v>3.0</v>
      </c>
      <c r="D36" s="24" t="s">
        <v>72</v>
      </c>
      <c r="E36" s="37">
        <v>78.0</v>
      </c>
      <c r="F36" s="39" t="s">
        <v>70</v>
      </c>
      <c r="G36" s="39" t="s">
        <v>70</v>
      </c>
      <c r="H36" s="39" t="s">
        <v>70</v>
      </c>
      <c r="I36" s="39" t="s">
        <v>70</v>
      </c>
      <c r="J36" s="126">
        <v>33.0</v>
      </c>
      <c r="K36" s="39" t="s">
        <v>70</v>
      </c>
      <c r="L36" s="38">
        <v>42.0</v>
      </c>
      <c r="M36" s="39" t="s">
        <v>70</v>
      </c>
      <c r="N36" s="39">
        <v>80.0</v>
      </c>
      <c r="O36" s="39" t="s">
        <v>70</v>
      </c>
      <c r="P36" s="127" t="s">
        <v>70</v>
      </c>
      <c r="Q36" s="39">
        <f t="shared" si="3"/>
        <v>58.25</v>
      </c>
      <c r="R36" s="29">
        <v>350.0</v>
      </c>
    </row>
    <row r="37" ht="14.2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5"/>
      <c r="O37" s="134"/>
      <c r="P37" s="134"/>
    </row>
    <row r="38" ht="14.25" customHeight="1">
      <c r="A38" s="136" t="s">
        <v>43</v>
      </c>
      <c r="D38" s="110"/>
      <c r="E38" s="134"/>
      <c r="F38" s="134"/>
      <c r="G38" s="134"/>
      <c r="H38" s="134"/>
      <c r="I38" s="134"/>
      <c r="J38" s="134"/>
      <c r="K38" s="134"/>
      <c r="L38" s="134"/>
      <c r="M38" s="134"/>
      <c r="N38" s="135"/>
      <c r="O38" s="134"/>
      <c r="P38" s="134"/>
    </row>
    <row r="39" ht="14.25" customHeight="1">
      <c r="E39" s="134"/>
      <c r="F39" s="134"/>
      <c r="G39" s="134"/>
      <c r="H39" s="134"/>
      <c r="I39" s="134"/>
      <c r="J39" s="134"/>
      <c r="K39" s="134"/>
      <c r="L39" s="134"/>
      <c r="M39" s="134"/>
      <c r="N39" s="135"/>
      <c r="O39" s="134"/>
      <c r="P39" s="134"/>
    </row>
    <row r="40" ht="14.25" customHeight="1">
      <c r="A40" s="110" t="s">
        <v>76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5"/>
      <c r="O40" s="134"/>
      <c r="P40" s="134"/>
    </row>
    <row r="41" ht="14.25" customHeight="1"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5"/>
      <c r="O41" s="134"/>
      <c r="P41" s="134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B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70.0"/>
    <col customWidth="1" min="5" max="5" width="10.71" outlineLevel="1"/>
    <col customWidth="1" min="6" max="6" width="11.71" outlineLevel="1"/>
    <col customWidth="1" min="7" max="7" width="8.57" outlineLevel="1"/>
    <col customWidth="1" min="8" max="8" width="9.14" outlineLevel="1"/>
    <col customWidth="1" min="9" max="9" width="6.29" outlineLevel="1"/>
    <col customWidth="1" min="10" max="10" width="9.57" outlineLevel="1"/>
    <col customWidth="1" min="11" max="11" width="6.29" outlineLevel="1"/>
    <col customWidth="1" min="12" max="12" width="9.57" outlineLevel="1"/>
    <col customWidth="1" min="13" max="13" width="13.86" outlineLevel="1"/>
    <col customWidth="1" min="14" max="14" width="8.0" outlineLevel="1"/>
    <col customWidth="1" min="15" max="15" width="12.86" outlineLevel="1"/>
    <col customWidth="1" min="16" max="16" width="9.57" outlineLevel="1"/>
    <col customWidth="1" min="17" max="17" width="23.14"/>
    <col customWidth="1" min="18" max="18" width="7.29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77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22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75" customHeight="1">
      <c r="A7" s="101" t="s">
        <v>23</v>
      </c>
      <c r="B7" s="74" t="s">
        <v>24</v>
      </c>
      <c r="C7" s="14">
        <v>1.0</v>
      </c>
      <c r="D7" s="15" t="s">
        <v>78</v>
      </c>
      <c r="E7" s="137">
        <v>2.1</v>
      </c>
      <c r="F7" s="138" t="s">
        <v>70</v>
      </c>
      <c r="G7" s="138" t="s">
        <v>70</v>
      </c>
      <c r="H7" s="138" t="s">
        <v>70</v>
      </c>
      <c r="I7" s="138" t="s">
        <v>70</v>
      </c>
      <c r="J7" s="139">
        <v>3.4</v>
      </c>
      <c r="K7" s="138" t="s">
        <v>70</v>
      </c>
      <c r="L7" s="138" t="s">
        <v>70</v>
      </c>
      <c r="M7" s="138">
        <v>5.5</v>
      </c>
      <c r="N7" s="138" t="s">
        <v>70</v>
      </c>
      <c r="O7" s="138">
        <v>4.2</v>
      </c>
      <c r="P7" s="138" t="s">
        <v>70</v>
      </c>
      <c r="Q7" s="138">
        <f t="shared" ref="Q7:Q36" si="1">AVERAGE(E7:P7)</f>
        <v>3.8</v>
      </c>
      <c r="R7" s="20">
        <v>5.0</v>
      </c>
    </row>
    <row r="8" ht="15.75" customHeight="1">
      <c r="A8" s="21"/>
      <c r="B8" s="22"/>
      <c r="C8" s="23">
        <v>2.0</v>
      </c>
      <c r="D8" s="24" t="s">
        <v>79</v>
      </c>
      <c r="E8" s="140">
        <v>2.0</v>
      </c>
      <c r="F8" s="141" t="s">
        <v>70</v>
      </c>
      <c r="G8" s="141" t="s">
        <v>70</v>
      </c>
      <c r="H8" s="141" t="s">
        <v>70</v>
      </c>
      <c r="I8" s="141" t="s">
        <v>70</v>
      </c>
      <c r="J8" s="142">
        <v>3.4</v>
      </c>
      <c r="K8" s="141" t="s">
        <v>70</v>
      </c>
      <c r="L8" s="141" t="s">
        <v>70</v>
      </c>
      <c r="M8" s="141">
        <v>5.2</v>
      </c>
      <c r="N8" s="141" t="s">
        <v>70</v>
      </c>
      <c r="O8" s="141">
        <v>4.9</v>
      </c>
      <c r="P8" s="141" t="s">
        <v>70</v>
      </c>
      <c r="Q8" s="141">
        <f t="shared" si="1"/>
        <v>3.875</v>
      </c>
      <c r="R8" s="29">
        <v>5.0</v>
      </c>
    </row>
    <row r="9" ht="15.75" customHeight="1">
      <c r="A9" s="21"/>
      <c r="B9" s="22"/>
      <c r="C9" s="23">
        <v>3.0</v>
      </c>
      <c r="D9" s="24" t="s">
        <v>80</v>
      </c>
      <c r="E9" s="140">
        <v>1.9</v>
      </c>
      <c r="F9" s="141" t="s">
        <v>70</v>
      </c>
      <c r="G9" s="141" t="s">
        <v>70</v>
      </c>
      <c r="H9" s="141" t="s">
        <v>70</v>
      </c>
      <c r="I9" s="141" t="s">
        <v>70</v>
      </c>
      <c r="J9" s="142">
        <v>3.3</v>
      </c>
      <c r="K9" s="141" t="s">
        <v>70</v>
      </c>
      <c r="L9" s="141" t="s">
        <v>70</v>
      </c>
      <c r="M9" s="141">
        <v>5.7</v>
      </c>
      <c r="N9" s="141" t="s">
        <v>70</v>
      </c>
      <c r="O9" s="141">
        <v>5.0</v>
      </c>
      <c r="P9" s="141" t="s">
        <v>70</v>
      </c>
      <c r="Q9" s="141">
        <f t="shared" si="1"/>
        <v>3.975</v>
      </c>
      <c r="R9" s="29">
        <v>5.0</v>
      </c>
    </row>
    <row r="10" ht="15.75" customHeight="1">
      <c r="A10" s="21"/>
      <c r="B10" s="22"/>
      <c r="C10" s="23">
        <v>4.0</v>
      </c>
      <c r="D10" s="24" t="s">
        <v>81</v>
      </c>
      <c r="E10" s="140">
        <v>2.5</v>
      </c>
      <c r="F10" s="141" t="s">
        <v>70</v>
      </c>
      <c r="G10" s="141" t="s">
        <v>70</v>
      </c>
      <c r="H10" s="141" t="s">
        <v>70</v>
      </c>
      <c r="I10" s="141" t="s">
        <v>70</v>
      </c>
      <c r="J10" s="142">
        <v>2.0</v>
      </c>
      <c r="K10" s="141" t="s">
        <v>70</v>
      </c>
      <c r="L10" s="141" t="s">
        <v>70</v>
      </c>
      <c r="M10" s="141">
        <v>5.5</v>
      </c>
      <c r="N10" s="141" t="s">
        <v>70</v>
      </c>
      <c r="O10" s="141">
        <v>4.4</v>
      </c>
      <c r="P10" s="141" t="s">
        <v>70</v>
      </c>
      <c r="Q10" s="141">
        <f t="shared" si="1"/>
        <v>3.6</v>
      </c>
      <c r="R10" s="29">
        <v>5.0</v>
      </c>
    </row>
    <row r="11" ht="15.75" customHeight="1">
      <c r="A11" s="21"/>
      <c r="B11" s="30"/>
      <c r="C11" s="23">
        <v>5.0</v>
      </c>
      <c r="D11" s="24" t="s">
        <v>27</v>
      </c>
      <c r="E11" s="140">
        <v>2.8</v>
      </c>
      <c r="F11" s="141" t="s">
        <v>70</v>
      </c>
      <c r="G11" s="141" t="s">
        <v>70</v>
      </c>
      <c r="H11" s="141" t="s">
        <v>70</v>
      </c>
      <c r="I11" s="141" t="s">
        <v>70</v>
      </c>
      <c r="J11" s="142">
        <v>1.3</v>
      </c>
      <c r="K11" s="141" t="s">
        <v>70</v>
      </c>
      <c r="L11" s="141" t="s">
        <v>70</v>
      </c>
      <c r="M11" s="141">
        <v>5.4</v>
      </c>
      <c r="N11" s="141" t="s">
        <v>70</v>
      </c>
      <c r="O11" s="141">
        <v>4.4</v>
      </c>
      <c r="P11" s="141" t="s">
        <v>70</v>
      </c>
      <c r="Q11" s="141">
        <f t="shared" si="1"/>
        <v>3.475</v>
      </c>
      <c r="R11" s="29">
        <v>5.0</v>
      </c>
    </row>
    <row r="12" ht="15.75" customHeight="1">
      <c r="A12" s="21"/>
      <c r="B12" s="13" t="s">
        <v>30</v>
      </c>
      <c r="C12" s="31">
        <v>1.0</v>
      </c>
      <c r="D12" s="32" t="s">
        <v>78</v>
      </c>
      <c r="E12" s="33">
        <v>6.0</v>
      </c>
      <c r="F12" s="138" t="s">
        <v>70</v>
      </c>
      <c r="G12" s="138" t="s">
        <v>70</v>
      </c>
      <c r="H12" s="138" t="s">
        <v>70</v>
      </c>
      <c r="I12" s="138" t="s">
        <v>70</v>
      </c>
      <c r="J12" s="125">
        <v>3.0</v>
      </c>
      <c r="K12" s="138" t="s">
        <v>70</v>
      </c>
      <c r="L12" s="138" t="s">
        <v>70</v>
      </c>
      <c r="M12" s="128">
        <v>2.0</v>
      </c>
      <c r="N12" s="138" t="s">
        <v>70</v>
      </c>
      <c r="O12" s="128">
        <v>3.0</v>
      </c>
      <c r="P12" s="138" t="s">
        <v>70</v>
      </c>
      <c r="Q12" s="128">
        <f t="shared" si="1"/>
        <v>3.5</v>
      </c>
      <c r="R12" s="20">
        <v>7.0</v>
      </c>
    </row>
    <row r="13" ht="15.75" customHeight="1">
      <c r="A13" s="21"/>
      <c r="B13" s="22"/>
      <c r="C13" s="23">
        <v>2.0</v>
      </c>
      <c r="D13" s="24" t="s">
        <v>79</v>
      </c>
      <c r="E13" s="37">
        <v>7.0</v>
      </c>
      <c r="F13" s="141" t="s">
        <v>70</v>
      </c>
      <c r="G13" s="141" t="s">
        <v>70</v>
      </c>
      <c r="H13" s="141" t="s">
        <v>70</v>
      </c>
      <c r="I13" s="141" t="s">
        <v>70</v>
      </c>
      <c r="J13" s="126">
        <v>3.0</v>
      </c>
      <c r="K13" s="141" t="s">
        <v>70</v>
      </c>
      <c r="L13" s="141" t="s">
        <v>70</v>
      </c>
      <c r="M13" s="131">
        <v>3.0</v>
      </c>
      <c r="N13" s="141" t="s">
        <v>70</v>
      </c>
      <c r="O13" s="131">
        <v>4.0</v>
      </c>
      <c r="P13" s="141" t="s">
        <v>70</v>
      </c>
      <c r="Q13" s="131">
        <f t="shared" si="1"/>
        <v>4.25</v>
      </c>
      <c r="R13" s="29">
        <v>7.0</v>
      </c>
    </row>
    <row r="14" ht="15.75" customHeight="1">
      <c r="A14" s="21"/>
      <c r="B14" s="22"/>
      <c r="C14" s="23">
        <v>3.0</v>
      </c>
      <c r="D14" s="24" t="s">
        <v>80</v>
      </c>
      <c r="E14" s="37">
        <v>6.0</v>
      </c>
      <c r="F14" s="141" t="s">
        <v>70</v>
      </c>
      <c r="G14" s="141" t="s">
        <v>70</v>
      </c>
      <c r="H14" s="141" t="s">
        <v>70</v>
      </c>
      <c r="I14" s="141" t="s">
        <v>70</v>
      </c>
      <c r="J14" s="126">
        <v>6.0</v>
      </c>
      <c r="K14" s="141" t="s">
        <v>70</v>
      </c>
      <c r="L14" s="141" t="s">
        <v>70</v>
      </c>
      <c r="M14" s="131">
        <v>4.0</v>
      </c>
      <c r="N14" s="141" t="s">
        <v>70</v>
      </c>
      <c r="O14" s="131">
        <v>3.0</v>
      </c>
      <c r="P14" s="141" t="s">
        <v>70</v>
      </c>
      <c r="Q14" s="131">
        <f t="shared" si="1"/>
        <v>4.75</v>
      </c>
      <c r="R14" s="29">
        <v>7.0</v>
      </c>
    </row>
    <row r="15" ht="15.75" customHeight="1">
      <c r="A15" s="21"/>
      <c r="B15" s="22"/>
      <c r="C15" s="23">
        <v>4.0</v>
      </c>
      <c r="D15" s="24" t="s">
        <v>81</v>
      </c>
      <c r="E15" s="37">
        <v>6.0</v>
      </c>
      <c r="F15" s="141" t="s">
        <v>70</v>
      </c>
      <c r="G15" s="141" t="s">
        <v>70</v>
      </c>
      <c r="H15" s="141" t="s">
        <v>70</v>
      </c>
      <c r="I15" s="141" t="s">
        <v>70</v>
      </c>
      <c r="J15" s="126">
        <v>6.0</v>
      </c>
      <c r="K15" s="141" t="s">
        <v>70</v>
      </c>
      <c r="L15" s="141" t="s">
        <v>70</v>
      </c>
      <c r="M15" s="131">
        <v>3.0</v>
      </c>
      <c r="N15" s="141" t="s">
        <v>70</v>
      </c>
      <c r="O15" s="131">
        <v>2.0</v>
      </c>
      <c r="P15" s="141" t="s">
        <v>70</v>
      </c>
      <c r="Q15" s="131">
        <f t="shared" si="1"/>
        <v>4.25</v>
      </c>
      <c r="R15" s="29">
        <v>7.0</v>
      </c>
    </row>
    <row r="16" ht="15.75" customHeight="1">
      <c r="A16" s="21"/>
      <c r="B16" s="30"/>
      <c r="C16" s="23">
        <v>5.0</v>
      </c>
      <c r="D16" s="24" t="s">
        <v>27</v>
      </c>
      <c r="E16" s="37">
        <v>6.0</v>
      </c>
      <c r="F16" s="141" t="s">
        <v>70</v>
      </c>
      <c r="G16" s="141" t="s">
        <v>70</v>
      </c>
      <c r="H16" s="141" t="s">
        <v>70</v>
      </c>
      <c r="I16" s="141" t="s">
        <v>70</v>
      </c>
      <c r="J16" s="126">
        <v>6.0</v>
      </c>
      <c r="K16" s="141" t="s">
        <v>70</v>
      </c>
      <c r="L16" s="141" t="s">
        <v>70</v>
      </c>
      <c r="M16" s="131">
        <v>3.0</v>
      </c>
      <c r="N16" s="141" t="s">
        <v>70</v>
      </c>
      <c r="O16" s="131">
        <v>3.0</v>
      </c>
      <c r="P16" s="141" t="s">
        <v>70</v>
      </c>
      <c r="Q16" s="131">
        <f t="shared" si="1"/>
        <v>4.5</v>
      </c>
      <c r="R16" s="29">
        <v>7.0</v>
      </c>
    </row>
    <row r="17" ht="15.75" customHeight="1">
      <c r="A17" s="21"/>
      <c r="B17" s="13" t="s">
        <v>31</v>
      </c>
      <c r="C17" s="31">
        <v>1.0</v>
      </c>
      <c r="D17" s="32" t="s">
        <v>78</v>
      </c>
      <c r="E17" s="45">
        <v>22.0</v>
      </c>
      <c r="F17" s="138" t="s">
        <v>70</v>
      </c>
      <c r="G17" s="138" t="s">
        <v>70</v>
      </c>
      <c r="H17" s="138" t="s">
        <v>70</v>
      </c>
      <c r="I17" s="138" t="s">
        <v>70</v>
      </c>
      <c r="J17" s="128">
        <v>16.0</v>
      </c>
      <c r="K17" s="138" t="s">
        <v>70</v>
      </c>
      <c r="L17" s="138" t="s">
        <v>70</v>
      </c>
      <c r="M17" s="128">
        <v>52.0</v>
      </c>
      <c r="N17" s="138" t="s">
        <v>70</v>
      </c>
      <c r="O17" s="128">
        <v>110.0</v>
      </c>
      <c r="P17" s="138" t="s">
        <v>70</v>
      </c>
      <c r="Q17" s="128">
        <f t="shared" si="1"/>
        <v>50</v>
      </c>
      <c r="R17" s="20">
        <v>80.0</v>
      </c>
    </row>
    <row r="18" ht="15.75" customHeight="1">
      <c r="A18" s="21"/>
      <c r="B18" s="22"/>
      <c r="C18" s="23">
        <v>2.0</v>
      </c>
      <c r="D18" s="24" t="s">
        <v>79</v>
      </c>
      <c r="E18" s="51">
        <v>26.0</v>
      </c>
      <c r="F18" s="141" t="s">
        <v>70</v>
      </c>
      <c r="G18" s="141" t="s">
        <v>70</v>
      </c>
      <c r="H18" s="141" t="s">
        <v>70</v>
      </c>
      <c r="I18" s="141" t="s">
        <v>70</v>
      </c>
      <c r="J18" s="130">
        <v>18.0</v>
      </c>
      <c r="K18" s="141" t="s">
        <v>70</v>
      </c>
      <c r="L18" s="141" t="s">
        <v>70</v>
      </c>
      <c r="M18" s="131">
        <v>51.0</v>
      </c>
      <c r="N18" s="141" t="s">
        <v>70</v>
      </c>
      <c r="O18" s="131">
        <v>103.0</v>
      </c>
      <c r="P18" s="141" t="s">
        <v>70</v>
      </c>
      <c r="Q18" s="131">
        <f t="shared" si="1"/>
        <v>49.5</v>
      </c>
      <c r="R18" s="29">
        <v>80.0</v>
      </c>
    </row>
    <row r="19" ht="15.75" customHeight="1">
      <c r="A19" s="21"/>
      <c r="B19" s="22"/>
      <c r="C19" s="23">
        <v>3.0</v>
      </c>
      <c r="D19" s="24" t="s">
        <v>80</v>
      </c>
      <c r="E19" s="51">
        <v>71.0</v>
      </c>
      <c r="F19" s="141" t="s">
        <v>70</v>
      </c>
      <c r="G19" s="141" t="s">
        <v>70</v>
      </c>
      <c r="H19" s="141" t="s">
        <v>70</v>
      </c>
      <c r="I19" s="141" t="s">
        <v>70</v>
      </c>
      <c r="J19" s="130">
        <v>12.0</v>
      </c>
      <c r="K19" s="141" t="s">
        <v>70</v>
      </c>
      <c r="L19" s="141" t="s">
        <v>70</v>
      </c>
      <c r="M19" s="131">
        <v>109.0</v>
      </c>
      <c r="N19" s="141" t="s">
        <v>70</v>
      </c>
      <c r="O19" s="131">
        <v>120.0</v>
      </c>
      <c r="P19" s="141" t="s">
        <v>70</v>
      </c>
      <c r="Q19" s="131">
        <f t="shared" si="1"/>
        <v>78</v>
      </c>
      <c r="R19" s="29">
        <v>80.0</v>
      </c>
    </row>
    <row r="20" ht="15.75" customHeight="1">
      <c r="A20" s="21"/>
      <c r="B20" s="22"/>
      <c r="C20" s="23">
        <v>4.0</v>
      </c>
      <c r="D20" s="24" t="s">
        <v>81</v>
      </c>
      <c r="E20" s="51">
        <v>18.0</v>
      </c>
      <c r="F20" s="141" t="s">
        <v>70</v>
      </c>
      <c r="G20" s="141" t="s">
        <v>70</v>
      </c>
      <c r="H20" s="141" t="s">
        <v>70</v>
      </c>
      <c r="I20" s="141" t="s">
        <v>70</v>
      </c>
      <c r="J20" s="130">
        <v>9.0</v>
      </c>
      <c r="K20" s="141" t="s">
        <v>70</v>
      </c>
      <c r="L20" s="141" t="s">
        <v>70</v>
      </c>
      <c r="M20" s="131">
        <v>157.0</v>
      </c>
      <c r="N20" s="141" t="s">
        <v>70</v>
      </c>
      <c r="O20" s="131">
        <v>156.0</v>
      </c>
      <c r="P20" s="141" t="s">
        <v>70</v>
      </c>
      <c r="Q20" s="131">
        <f t="shared" si="1"/>
        <v>85</v>
      </c>
      <c r="R20" s="29">
        <v>80.0</v>
      </c>
    </row>
    <row r="21" ht="15.75" customHeight="1">
      <c r="A21" s="21"/>
      <c r="B21" s="30"/>
      <c r="C21" s="23">
        <v>5.0</v>
      </c>
      <c r="D21" s="24" t="s">
        <v>27</v>
      </c>
      <c r="E21" s="51">
        <v>32.0</v>
      </c>
      <c r="F21" s="141" t="s">
        <v>70</v>
      </c>
      <c r="G21" s="141" t="s">
        <v>70</v>
      </c>
      <c r="H21" s="141" t="s">
        <v>70</v>
      </c>
      <c r="I21" s="141" t="s">
        <v>70</v>
      </c>
      <c r="J21" s="130">
        <v>9.0</v>
      </c>
      <c r="K21" s="141" t="s">
        <v>70</v>
      </c>
      <c r="L21" s="141" t="s">
        <v>70</v>
      </c>
      <c r="M21" s="131">
        <v>158.0</v>
      </c>
      <c r="N21" s="141" t="s">
        <v>70</v>
      </c>
      <c r="O21" s="131">
        <v>355.0</v>
      </c>
      <c r="P21" s="141" t="s">
        <v>70</v>
      </c>
      <c r="Q21" s="131">
        <f t="shared" si="1"/>
        <v>138.5</v>
      </c>
      <c r="R21" s="29">
        <v>80.0</v>
      </c>
    </row>
    <row r="22" ht="15.75" customHeight="1">
      <c r="A22" s="21"/>
      <c r="B22" s="13" t="s">
        <v>33</v>
      </c>
      <c r="C22" s="31">
        <v>1.0</v>
      </c>
      <c r="D22" s="32" t="s">
        <v>78</v>
      </c>
      <c r="E22" s="143">
        <v>7.0</v>
      </c>
      <c r="F22" s="138" t="s">
        <v>70</v>
      </c>
      <c r="G22" s="138" t="s">
        <v>70</v>
      </c>
      <c r="H22" s="138" t="s">
        <v>70</v>
      </c>
      <c r="I22" s="138" t="s">
        <v>70</v>
      </c>
      <c r="J22" s="138">
        <v>7.0</v>
      </c>
      <c r="K22" s="138" t="s">
        <v>70</v>
      </c>
      <c r="L22" s="138" t="s">
        <v>70</v>
      </c>
      <c r="M22" s="138">
        <v>7.0</v>
      </c>
      <c r="N22" s="138" t="s">
        <v>70</v>
      </c>
      <c r="O22" s="138">
        <v>7.01</v>
      </c>
      <c r="P22" s="138" t="s">
        <v>70</v>
      </c>
      <c r="Q22" s="138">
        <f t="shared" si="1"/>
        <v>7.0025</v>
      </c>
      <c r="R22" s="18" t="s">
        <v>34</v>
      </c>
    </row>
    <row r="23" ht="15.75" customHeight="1">
      <c r="A23" s="21"/>
      <c r="B23" s="22"/>
      <c r="C23" s="23">
        <v>2.0</v>
      </c>
      <c r="D23" s="24" t="s">
        <v>79</v>
      </c>
      <c r="E23" s="140">
        <v>7.0</v>
      </c>
      <c r="F23" s="141" t="s">
        <v>70</v>
      </c>
      <c r="G23" s="141" t="s">
        <v>70</v>
      </c>
      <c r="H23" s="141" t="s">
        <v>70</v>
      </c>
      <c r="I23" s="141" t="s">
        <v>70</v>
      </c>
      <c r="J23" s="142">
        <v>7.0</v>
      </c>
      <c r="K23" s="141" t="s">
        <v>70</v>
      </c>
      <c r="L23" s="141" t="s">
        <v>70</v>
      </c>
      <c r="M23" s="141">
        <v>7.0</v>
      </c>
      <c r="N23" s="141" t="s">
        <v>70</v>
      </c>
      <c r="O23" s="141">
        <v>7.0</v>
      </c>
      <c r="P23" s="141" t="s">
        <v>70</v>
      </c>
      <c r="Q23" s="141">
        <f t="shared" si="1"/>
        <v>7</v>
      </c>
      <c r="R23" s="27" t="s">
        <v>34</v>
      </c>
    </row>
    <row r="24" ht="15.75" customHeight="1">
      <c r="A24" s="21"/>
      <c r="B24" s="22"/>
      <c r="C24" s="23">
        <v>3.0</v>
      </c>
      <c r="D24" s="24" t="s">
        <v>80</v>
      </c>
      <c r="E24" s="140">
        <v>7.0</v>
      </c>
      <c r="F24" s="141" t="s">
        <v>70</v>
      </c>
      <c r="G24" s="141" t="s">
        <v>70</v>
      </c>
      <c r="H24" s="141" t="s">
        <v>70</v>
      </c>
      <c r="I24" s="141" t="s">
        <v>70</v>
      </c>
      <c r="J24" s="142">
        <v>7.0</v>
      </c>
      <c r="K24" s="141" t="s">
        <v>70</v>
      </c>
      <c r="L24" s="141" t="s">
        <v>70</v>
      </c>
      <c r="M24" s="141">
        <v>7.0</v>
      </c>
      <c r="N24" s="141" t="s">
        <v>70</v>
      </c>
      <c r="O24" s="141">
        <v>7.0</v>
      </c>
      <c r="P24" s="141" t="s">
        <v>70</v>
      </c>
      <c r="Q24" s="141">
        <f t="shared" si="1"/>
        <v>7</v>
      </c>
      <c r="R24" s="27" t="s">
        <v>34</v>
      </c>
    </row>
    <row r="25" ht="15.75" customHeight="1">
      <c r="A25" s="21"/>
      <c r="B25" s="22"/>
      <c r="C25" s="23">
        <v>4.0</v>
      </c>
      <c r="D25" s="24" t="s">
        <v>81</v>
      </c>
      <c r="E25" s="140">
        <v>7.0</v>
      </c>
      <c r="F25" s="141" t="s">
        <v>70</v>
      </c>
      <c r="G25" s="141" t="s">
        <v>70</v>
      </c>
      <c r="H25" s="141" t="s">
        <v>70</v>
      </c>
      <c r="I25" s="141" t="s">
        <v>70</v>
      </c>
      <c r="J25" s="142">
        <v>7.0</v>
      </c>
      <c r="K25" s="141" t="s">
        <v>70</v>
      </c>
      <c r="L25" s="141" t="s">
        <v>70</v>
      </c>
      <c r="M25" s="141">
        <v>7.0</v>
      </c>
      <c r="N25" s="141" t="s">
        <v>70</v>
      </c>
      <c r="O25" s="141">
        <v>7.0</v>
      </c>
      <c r="P25" s="141" t="s">
        <v>70</v>
      </c>
      <c r="Q25" s="141">
        <f t="shared" si="1"/>
        <v>7</v>
      </c>
      <c r="R25" s="27" t="s">
        <v>34</v>
      </c>
    </row>
    <row r="26" ht="15.75" customHeight="1">
      <c r="A26" s="21"/>
      <c r="B26" s="30"/>
      <c r="C26" s="23">
        <v>5.0</v>
      </c>
      <c r="D26" s="24" t="s">
        <v>27</v>
      </c>
      <c r="E26" s="140">
        <v>7.0</v>
      </c>
      <c r="F26" s="141" t="s">
        <v>70</v>
      </c>
      <c r="G26" s="141" t="s">
        <v>70</v>
      </c>
      <c r="H26" s="141" t="s">
        <v>70</v>
      </c>
      <c r="I26" s="141" t="s">
        <v>70</v>
      </c>
      <c r="J26" s="142">
        <v>7.0</v>
      </c>
      <c r="K26" s="141" t="s">
        <v>70</v>
      </c>
      <c r="L26" s="141" t="s">
        <v>70</v>
      </c>
      <c r="M26" s="141">
        <v>7.0</v>
      </c>
      <c r="N26" s="141" t="s">
        <v>70</v>
      </c>
      <c r="O26" s="141">
        <v>7.0</v>
      </c>
      <c r="P26" s="141" t="s">
        <v>70</v>
      </c>
      <c r="Q26" s="141">
        <f t="shared" si="1"/>
        <v>7</v>
      </c>
      <c r="R26" s="27" t="s">
        <v>34</v>
      </c>
    </row>
    <row r="27" ht="15.75" customHeight="1">
      <c r="A27" s="21"/>
      <c r="B27" s="13" t="s">
        <v>82</v>
      </c>
      <c r="C27" s="31">
        <v>1.0</v>
      </c>
      <c r="D27" s="32" t="s">
        <v>78</v>
      </c>
      <c r="E27" s="41">
        <v>25.6</v>
      </c>
      <c r="F27" s="138" t="s">
        <v>70</v>
      </c>
      <c r="G27" s="138" t="s">
        <v>70</v>
      </c>
      <c r="H27" s="138" t="s">
        <v>70</v>
      </c>
      <c r="I27" s="138" t="s">
        <v>70</v>
      </c>
      <c r="J27" s="138">
        <v>26.3</v>
      </c>
      <c r="K27" s="138" t="s">
        <v>70</v>
      </c>
      <c r="L27" s="138" t="s">
        <v>70</v>
      </c>
      <c r="M27" s="138">
        <v>27.5</v>
      </c>
      <c r="N27" s="138" t="s">
        <v>70</v>
      </c>
      <c r="O27" s="138">
        <v>29.3</v>
      </c>
      <c r="P27" s="138" t="s">
        <v>70</v>
      </c>
      <c r="Q27" s="138">
        <f t="shared" si="1"/>
        <v>27.175</v>
      </c>
      <c r="R27" s="18" t="s">
        <v>36</v>
      </c>
    </row>
    <row r="28" ht="15.75" customHeight="1">
      <c r="A28" s="21"/>
      <c r="B28" s="22"/>
      <c r="C28" s="23">
        <v>2.0</v>
      </c>
      <c r="D28" s="24" t="s">
        <v>79</v>
      </c>
      <c r="E28" s="25">
        <v>25.6</v>
      </c>
      <c r="F28" s="141" t="s">
        <v>70</v>
      </c>
      <c r="G28" s="141" t="s">
        <v>70</v>
      </c>
      <c r="H28" s="141" t="s">
        <v>70</v>
      </c>
      <c r="I28" s="141" t="s">
        <v>70</v>
      </c>
      <c r="J28" s="142">
        <v>26.1</v>
      </c>
      <c r="K28" s="141" t="s">
        <v>70</v>
      </c>
      <c r="L28" s="141" t="s">
        <v>70</v>
      </c>
      <c r="M28" s="141">
        <v>27.3</v>
      </c>
      <c r="N28" s="141" t="s">
        <v>70</v>
      </c>
      <c r="O28" s="141">
        <v>29.29</v>
      </c>
      <c r="P28" s="141" t="s">
        <v>70</v>
      </c>
      <c r="Q28" s="141">
        <f t="shared" si="1"/>
        <v>27.0725</v>
      </c>
      <c r="R28" s="27" t="s">
        <v>36</v>
      </c>
    </row>
    <row r="29" ht="15.75" customHeight="1">
      <c r="A29" s="21"/>
      <c r="B29" s="22"/>
      <c r="C29" s="23">
        <v>3.0</v>
      </c>
      <c r="D29" s="24" t="s">
        <v>80</v>
      </c>
      <c r="E29" s="25">
        <v>26.0</v>
      </c>
      <c r="F29" s="141" t="s">
        <v>70</v>
      </c>
      <c r="G29" s="141" t="s">
        <v>70</v>
      </c>
      <c r="H29" s="141" t="s">
        <v>70</v>
      </c>
      <c r="I29" s="141" t="s">
        <v>70</v>
      </c>
      <c r="J29" s="142">
        <v>26.5</v>
      </c>
      <c r="K29" s="141" t="s">
        <v>70</v>
      </c>
      <c r="L29" s="141" t="s">
        <v>70</v>
      </c>
      <c r="M29" s="141">
        <v>27.5</v>
      </c>
      <c r="N29" s="141" t="s">
        <v>70</v>
      </c>
      <c r="O29" s="141">
        <v>29.0</v>
      </c>
      <c r="P29" s="141" t="s">
        <v>70</v>
      </c>
      <c r="Q29" s="141">
        <f t="shared" si="1"/>
        <v>27.25</v>
      </c>
      <c r="R29" s="27" t="s">
        <v>36</v>
      </c>
    </row>
    <row r="30" ht="15.75" customHeight="1">
      <c r="A30" s="21"/>
      <c r="B30" s="22"/>
      <c r="C30" s="23">
        <v>4.0</v>
      </c>
      <c r="D30" s="24" t="s">
        <v>81</v>
      </c>
      <c r="E30" s="25">
        <v>26.0</v>
      </c>
      <c r="F30" s="141" t="s">
        <v>70</v>
      </c>
      <c r="G30" s="141" t="s">
        <v>70</v>
      </c>
      <c r="H30" s="141" t="s">
        <v>70</v>
      </c>
      <c r="I30" s="141" t="s">
        <v>70</v>
      </c>
      <c r="J30" s="142">
        <v>26.9</v>
      </c>
      <c r="K30" s="141" t="s">
        <v>70</v>
      </c>
      <c r="L30" s="141" t="s">
        <v>70</v>
      </c>
      <c r="M30" s="141">
        <v>27.4</v>
      </c>
      <c r="N30" s="141" t="s">
        <v>70</v>
      </c>
      <c r="O30" s="141">
        <v>29.57</v>
      </c>
      <c r="P30" s="141" t="s">
        <v>70</v>
      </c>
      <c r="Q30" s="141">
        <f t="shared" si="1"/>
        <v>27.4675</v>
      </c>
      <c r="R30" s="27" t="s">
        <v>36</v>
      </c>
    </row>
    <row r="31" ht="14.25" customHeight="1">
      <c r="A31" s="21"/>
      <c r="B31" s="30"/>
      <c r="C31" s="23">
        <v>5.0</v>
      </c>
      <c r="D31" s="24" t="s">
        <v>27</v>
      </c>
      <c r="E31" s="25">
        <v>26.2</v>
      </c>
      <c r="F31" s="141" t="s">
        <v>70</v>
      </c>
      <c r="G31" s="141" t="s">
        <v>70</v>
      </c>
      <c r="H31" s="141" t="s">
        <v>70</v>
      </c>
      <c r="I31" s="141" t="s">
        <v>70</v>
      </c>
      <c r="J31" s="142">
        <v>26.7</v>
      </c>
      <c r="K31" s="141" t="s">
        <v>70</v>
      </c>
      <c r="L31" s="141" t="s">
        <v>70</v>
      </c>
      <c r="M31" s="141">
        <v>27.5</v>
      </c>
      <c r="N31" s="141" t="s">
        <v>70</v>
      </c>
      <c r="O31" s="141">
        <v>29.8</v>
      </c>
      <c r="P31" s="141" t="s">
        <v>70</v>
      </c>
      <c r="Q31" s="141">
        <f t="shared" si="1"/>
        <v>27.55</v>
      </c>
      <c r="R31" s="27" t="s">
        <v>36</v>
      </c>
    </row>
    <row r="32" ht="14.25" customHeight="1">
      <c r="A32" s="21"/>
      <c r="B32" s="13" t="s">
        <v>37</v>
      </c>
      <c r="C32" s="31">
        <v>1.0</v>
      </c>
      <c r="D32" s="32" t="s">
        <v>78</v>
      </c>
      <c r="E32" s="33">
        <v>45.0</v>
      </c>
      <c r="F32" s="138" t="s">
        <v>70</v>
      </c>
      <c r="G32" s="138" t="s">
        <v>70</v>
      </c>
      <c r="H32" s="138" t="s">
        <v>70</v>
      </c>
      <c r="I32" s="138" t="s">
        <v>70</v>
      </c>
      <c r="J32" s="128">
        <v>30.0</v>
      </c>
      <c r="K32" s="138" t="s">
        <v>70</v>
      </c>
      <c r="L32" s="138" t="s">
        <v>70</v>
      </c>
      <c r="M32" s="128">
        <v>20.0</v>
      </c>
      <c r="N32" s="138" t="s">
        <v>70</v>
      </c>
      <c r="O32" s="128">
        <v>20.0</v>
      </c>
      <c r="P32" s="138" t="s">
        <v>70</v>
      </c>
      <c r="Q32" s="128">
        <f t="shared" si="1"/>
        <v>28.75</v>
      </c>
      <c r="R32" s="20">
        <v>75.0</v>
      </c>
    </row>
    <row r="33" ht="14.25" customHeight="1">
      <c r="A33" s="21"/>
      <c r="B33" s="22"/>
      <c r="C33" s="23">
        <v>2.0</v>
      </c>
      <c r="D33" s="24" t="s">
        <v>79</v>
      </c>
      <c r="E33" s="37">
        <v>45.0</v>
      </c>
      <c r="F33" s="141" t="s">
        <v>70</v>
      </c>
      <c r="G33" s="141" t="s">
        <v>70</v>
      </c>
      <c r="H33" s="141" t="s">
        <v>70</v>
      </c>
      <c r="I33" s="141" t="s">
        <v>70</v>
      </c>
      <c r="J33" s="130">
        <v>30.0</v>
      </c>
      <c r="K33" s="141" t="s">
        <v>70</v>
      </c>
      <c r="L33" s="141" t="s">
        <v>70</v>
      </c>
      <c r="M33" s="131">
        <v>20.0</v>
      </c>
      <c r="N33" s="141" t="s">
        <v>70</v>
      </c>
      <c r="O33" s="131">
        <v>20.0</v>
      </c>
      <c r="P33" s="141" t="s">
        <v>70</v>
      </c>
      <c r="Q33" s="131">
        <f t="shared" si="1"/>
        <v>28.75</v>
      </c>
      <c r="R33" s="29">
        <v>75.0</v>
      </c>
    </row>
    <row r="34" ht="14.25" customHeight="1">
      <c r="A34" s="21"/>
      <c r="B34" s="22"/>
      <c r="C34" s="23">
        <v>3.0</v>
      </c>
      <c r="D34" s="24" t="s">
        <v>80</v>
      </c>
      <c r="E34" s="37">
        <v>30.0</v>
      </c>
      <c r="F34" s="141" t="s">
        <v>70</v>
      </c>
      <c r="G34" s="141" t="s">
        <v>70</v>
      </c>
      <c r="H34" s="141" t="s">
        <v>70</v>
      </c>
      <c r="I34" s="141" t="s">
        <v>70</v>
      </c>
      <c r="J34" s="130">
        <v>40.0</v>
      </c>
      <c r="K34" s="141" t="s">
        <v>70</v>
      </c>
      <c r="L34" s="141" t="s">
        <v>70</v>
      </c>
      <c r="M34" s="131">
        <v>20.0</v>
      </c>
      <c r="N34" s="141" t="s">
        <v>70</v>
      </c>
      <c r="O34" s="131">
        <v>20.0</v>
      </c>
      <c r="P34" s="141" t="s">
        <v>70</v>
      </c>
      <c r="Q34" s="131">
        <f t="shared" si="1"/>
        <v>27.5</v>
      </c>
      <c r="R34" s="29">
        <v>75.0</v>
      </c>
    </row>
    <row r="35" ht="14.25" customHeight="1">
      <c r="A35" s="21"/>
      <c r="B35" s="22"/>
      <c r="C35" s="23">
        <v>4.0</v>
      </c>
      <c r="D35" s="24" t="s">
        <v>81</v>
      </c>
      <c r="E35" s="37">
        <v>25.0</v>
      </c>
      <c r="F35" s="141" t="s">
        <v>70</v>
      </c>
      <c r="G35" s="141" t="s">
        <v>70</v>
      </c>
      <c r="H35" s="141" t="s">
        <v>70</v>
      </c>
      <c r="I35" s="141" t="s">
        <v>70</v>
      </c>
      <c r="J35" s="130">
        <v>40.0</v>
      </c>
      <c r="K35" s="141" t="s">
        <v>70</v>
      </c>
      <c r="L35" s="141" t="s">
        <v>70</v>
      </c>
      <c r="M35" s="131">
        <v>20.0</v>
      </c>
      <c r="N35" s="141" t="s">
        <v>70</v>
      </c>
      <c r="O35" s="131">
        <v>20.0</v>
      </c>
      <c r="P35" s="141" t="s">
        <v>70</v>
      </c>
      <c r="Q35" s="131">
        <f t="shared" si="1"/>
        <v>26.25</v>
      </c>
      <c r="R35" s="29">
        <v>75.0</v>
      </c>
    </row>
    <row r="36" ht="14.25" customHeight="1">
      <c r="A36" s="21"/>
      <c r="B36" s="30"/>
      <c r="C36" s="23">
        <v>5.0</v>
      </c>
      <c r="D36" s="24" t="s">
        <v>27</v>
      </c>
      <c r="E36" s="37">
        <v>20.0</v>
      </c>
      <c r="F36" s="141" t="s">
        <v>70</v>
      </c>
      <c r="G36" s="141" t="s">
        <v>70</v>
      </c>
      <c r="H36" s="141" t="s">
        <v>70</v>
      </c>
      <c r="I36" s="141" t="s">
        <v>70</v>
      </c>
      <c r="J36" s="130">
        <v>40.0</v>
      </c>
      <c r="K36" s="141" t="s">
        <v>70</v>
      </c>
      <c r="L36" s="141" t="s">
        <v>70</v>
      </c>
      <c r="M36" s="131">
        <v>20.0</v>
      </c>
      <c r="N36" s="141" t="s">
        <v>70</v>
      </c>
      <c r="O36" s="131">
        <v>20.0</v>
      </c>
      <c r="P36" s="141" t="s">
        <v>70</v>
      </c>
      <c r="Q36" s="131">
        <f t="shared" si="1"/>
        <v>25</v>
      </c>
      <c r="R36" s="29">
        <v>75.0</v>
      </c>
    </row>
    <row r="37" ht="15.75" customHeight="1">
      <c r="A37" s="21"/>
      <c r="B37" s="13" t="s">
        <v>38</v>
      </c>
      <c r="C37" s="31">
        <v>1.0</v>
      </c>
      <c r="D37" s="32" t="s">
        <v>78</v>
      </c>
      <c r="E37" s="45">
        <v>7000.0</v>
      </c>
      <c r="F37" s="128" t="s">
        <v>70</v>
      </c>
      <c r="G37" s="128" t="s">
        <v>70</v>
      </c>
      <c r="H37" s="128" t="s">
        <v>70</v>
      </c>
      <c r="I37" s="128" t="s">
        <v>70</v>
      </c>
      <c r="J37" s="128">
        <v>92000.0</v>
      </c>
      <c r="K37" s="128" t="s">
        <v>70</v>
      </c>
      <c r="L37" s="128" t="s">
        <v>70</v>
      </c>
      <c r="M37" s="128">
        <v>13000.0</v>
      </c>
      <c r="N37" s="128" t="s">
        <v>70</v>
      </c>
      <c r="O37" s="128">
        <v>240000.0</v>
      </c>
      <c r="P37" s="128" t="s">
        <v>70</v>
      </c>
      <c r="Q37" s="128">
        <f t="shared" ref="Q37:Q41" si="2">GEOMEAN(E37:P37)</f>
        <v>37649.57823</v>
      </c>
      <c r="R37" s="20">
        <v>200.0</v>
      </c>
      <c r="S37" s="129">
        <f>GEOMEAN(Q37:Q41)</f>
        <v>25741.20724</v>
      </c>
    </row>
    <row r="38" ht="15.75" customHeight="1">
      <c r="A38" s="21"/>
      <c r="B38" s="22"/>
      <c r="C38" s="23">
        <v>2.0</v>
      </c>
      <c r="D38" s="24" t="s">
        <v>79</v>
      </c>
      <c r="E38" s="51">
        <v>5400.0</v>
      </c>
      <c r="F38" s="131" t="s">
        <v>70</v>
      </c>
      <c r="G38" s="131" t="s">
        <v>70</v>
      </c>
      <c r="H38" s="131" t="s">
        <v>70</v>
      </c>
      <c r="I38" s="131" t="s">
        <v>70</v>
      </c>
      <c r="J38" s="130">
        <v>54000.0</v>
      </c>
      <c r="K38" s="131" t="s">
        <v>70</v>
      </c>
      <c r="L38" s="131" t="s">
        <v>70</v>
      </c>
      <c r="M38" s="131">
        <v>7900.0</v>
      </c>
      <c r="N38" s="131" t="s">
        <v>70</v>
      </c>
      <c r="O38" s="131">
        <v>79000.0</v>
      </c>
      <c r="P38" s="131" t="s">
        <v>70</v>
      </c>
      <c r="Q38" s="131">
        <f t="shared" si="2"/>
        <v>20654.29737</v>
      </c>
      <c r="R38" s="29">
        <v>200.0</v>
      </c>
    </row>
    <row r="39" ht="15.75" customHeight="1">
      <c r="A39" s="21"/>
      <c r="B39" s="22"/>
      <c r="C39" s="23">
        <v>3.0</v>
      </c>
      <c r="D39" s="24" t="s">
        <v>80</v>
      </c>
      <c r="E39" s="51">
        <v>35000.0</v>
      </c>
      <c r="F39" s="131" t="s">
        <v>70</v>
      </c>
      <c r="G39" s="131" t="s">
        <v>70</v>
      </c>
      <c r="H39" s="131" t="s">
        <v>70</v>
      </c>
      <c r="I39" s="131" t="s">
        <v>70</v>
      </c>
      <c r="J39" s="130">
        <v>5400.0</v>
      </c>
      <c r="K39" s="131" t="s">
        <v>70</v>
      </c>
      <c r="L39" s="131" t="s">
        <v>70</v>
      </c>
      <c r="M39" s="131">
        <v>7900.0</v>
      </c>
      <c r="N39" s="131" t="s">
        <v>70</v>
      </c>
      <c r="O39" s="131">
        <v>130000.0</v>
      </c>
      <c r="P39" s="131" t="s">
        <v>70</v>
      </c>
      <c r="Q39" s="131">
        <f t="shared" si="2"/>
        <v>20989.78847</v>
      </c>
      <c r="R39" s="29">
        <v>200.0</v>
      </c>
    </row>
    <row r="40" ht="15.75" customHeight="1">
      <c r="A40" s="21"/>
      <c r="B40" s="22"/>
      <c r="C40" s="23">
        <v>4.0</v>
      </c>
      <c r="D40" s="24" t="s">
        <v>81</v>
      </c>
      <c r="E40" s="51">
        <v>14000.0</v>
      </c>
      <c r="F40" s="131" t="s">
        <v>70</v>
      </c>
      <c r="G40" s="131" t="s">
        <v>70</v>
      </c>
      <c r="H40" s="131" t="s">
        <v>70</v>
      </c>
      <c r="I40" s="131" t="s">
        <v>70</v>
      </c>
      <c r="J40" s="130">
        <v>4300.0</v>
      </c>
      <c r="K40" s="131" t="s">
        <v>70</v>
      </c>
      <c r="L40" s="131" t="s">
        <v>70</v>
      </c>
      <c r="M40" s="131">
        <v>11000.0</v>
      </c>
      <c r="N40" s="131" t="s">
        <v>70</v>
      </c>
      <c r="O40" s="131">
        <v>350000.0</v>
      </c>
      <c r="P40" s="131" t="s">
        <v>70</v>
      </c>
      <c r="Q40" s="131">
        <f t="shared" si="2"/>
        <v>21941.3985</v>
      </c>
      <c r="R40" s="29">
        <v>200.0</v>
      </c>
    </row>
    <row r="41" ht="15.75" customHeight="1">
      <c r="A41" s="21"/>
      <c r="B41" s="30"/>
      <c r="C41" s="23">
        <v>5.0</v>
      </c>
      <c r="D41" s="24" t="s">
        <v>27</v>
      </c>
      <c r="E41" s="51">
        <v>9200.0</v>
      </c>
      <c r="F41" s="131" t="s">
        <v>70</v>
      </c>
      <c r="G41" s="131" t="s">
        <v>70</v>
      </c>
      <c r="H41" s="131" t="s">
        <v>70</v>
      </c>
      <c r="I41" s="131" t="s">
        <v>70</v>
      </c>
      <c r="J41" s="130">
        <v>14000.0</v>
      </c>
      <c r="K41" s="131" t="s">
        <v>70</v>
      </c>
      <c r="L41" s="131" t="s">
        <v>70</v>
      </c>
      <c r="M41" s="131">
        <v>22000.0</v>
      </c>
      <c r="N41" s="131" t="s">
        <v>70</v>
      </c>
      <c r="O41" s="131">
        <v>350000.0</v>
      </c>
      <c r="P41" s="131" t="s">
        <v>70</v>
      </c>
      <c r="Q41" s="131">
        <f t="shared" si="2"/>
        <v>31557.43142</v>
      </c>
      <c r="R41" s="29">
        <v>200.0</v>
      </c>
    </row>
    <row r="42" ht="15.75" customHeight="1">
      <c r="A42" s="21"/>
      <c r="B42" s="13" t="s">
        <v>83</v>
      </c>
      <c r="C42" s="55">
        <v>1.0</v>
      </c>
      <c r="D42" s="56" t="s">
        <v>78</v>
      </c>
      <c r="E42" s="57">
        <v>1.15</v>
      </c>
      <c r="F42" s="138" t="s">
        <v>70</v>
      </c>
      <c r="G42" s="138" t="s">
        <v>70</v>
      </c>
      <c r="H42" s="138" t="s">
        <v>70</v>
      </c>
      <c r="I42" s="138" t="s">
        <v>70</v>
      </c>
      <c r="J42" s="132">
        <v>0.263</v>
      </c>
      <c r="K42" s="138" t="s">
        <v>70</v>
      </c>
      <c r="L42" s="138" t="s">
        <v>70</v>
      </c>
      <c r="M42" s="144">
        <v>0.263</v>
      </c>
      <c r="N42" s="138" t="s">
        <v>70</v>
      </c>
      <c r="O42" s="144">
        <v>0.37</v>
      </c>
      <c r="P42" s="138" t="s">
        <v>70</v>
      </c>
      <c r="Q42" s="144">
        <f t="shared" ref="Q42:Q56" si="3">AVERAGE(E42:P42)</f>
        <v>0.5115</v>
      </c>
      <c r="R42" s="20">
        <v>7.0</v>
      </c>
    </row>
    <row r="43" ht="15.75" customHeight="1">
      <c r="A43" s="21"/>
      <c r="B43" s="22"/>
      <c r="C43" s="61">
        <v>2.0</v>
      </c>
      <c r="D43" s="62" t="s">
        <v>79</v>
      </c>
      <c r="E43" s="63">
        <v>0.529</v>
      </c>
      <c r="F43" s="141" t="s">
        <v>70</v>
      </c>
      <c r="G43" s="141" t="s">
        <v>70</v>
      </c>
      <c r="H43" s="141" t="s">
        <v>70</v>
      </c>
      <c r="I43" s="141" t="s">
        <v>70</v>
      </c>
      <c r="J43" s="133">
        <v>0.263</v>
      </c>
      <c r="K43" s="141" t="s">
        <v>70</v>
      </c>
      <c r="L43" s="141" t="s">
        <v>70</v>
      </c>
      <c r="M43" s="145">
        <v>0.139</v>
      </c>
      <c r="N43" s="141" t="s">
        <v>70</v>
      </c>
      <c r="O43" s="145">
        <v>0.378</v>
      </c>
      <c r="P43" s="141" t="s">
        <v>70</v>
      </c>
      <c r="Q43" s="145">
        <f t="shared" si="3"/>
        <v>0.32725</v>
      </c>
      <c r="R43" s="29">
        <v>7.0</v>
      </c>
    </row>
    <row r="44" ht="15.75" customHeight="1">
      <c r="A44" s="21"/>
      <c r="B44" s="22"/>
      <c r="C44" s="61">
        <v>3.0</v>
      </c>
      <c r="D44" s="62" t="s">
        <v>80</v>
      </c>
      <c r="E44" s="63">
        <v>1.043</v>
      </c>
      <c r="F44" s="141" t="s">
        <v>70</v>
      </c>
      <c r="G44" s="141" t="s">
        <v>70</v>
      </c>
      <c r="H44" s="141" t="s">
        <v>70</v>
      </c>
      <c r="I44" s="141" t="s">
        <v>70</v>
      </c>
      <c r="J44" s="133">
        <v>0.412</v>
      </c>
      <c r="K44" s="141" t="s">
        <v>70</v>
      </c>
      <c r="L44" s="141" t="s">
        <v>70</v>
      </c>
      <c r="M44" s="145">
        <v>0.337</v>
      </c>
      <c r="N44" s="141" t="s">
        <v>70</v>
      </c>
      <c r="O44" s="145">
        <v>0.552</v>
      </c>
      <c r="P44" s="141" t="s">
        <v>70</v>
      </c>
      <c r="Q44" s="145">
        <f t="shared" si="3"/>
        <v>0.586</v>
      </c>
      <c r="R44" s="29">
        <v>7.0</v>
      </c>
    </row>
    <row r="45" ht="15.75" customHeight="1">
      <c r="A45" s="21"/>
      <c r="B45" s="22"/>
      <c r="C45" s="61">
        <v>4.0</v>
      </c>
      <c r="D45" s="62" t="s">
        <v>81</v>
      </c>
      <c r="E45" s="63">
        <v>0.725</v>
      </c>
      <c r="F45" s="141" t="s">
        <v>70</v>
      </c>
      <c r="G45" s="141" t="s">
        <v>70</v>
      </c>
      <c r="H45" s="141" t="s">
        <v>70</v>
      </c>
      <c r="I45" s="141" t="s">
        <v>70</v>
      </c>
      <c r="J45" s="133">
        <v>0.263</v>
      </c>
      <c r="K45" s="141" t="s">
        <v>70</v>
      </c>
      <c r="L45" s="141" t="s">
        <v>70</v>
      </c>
      <c r="M45" s="145">
        <v>0.389</v>
      </c>
      <c r="N45" s="141" t="s">
        <v>70</v>
      </c>
      <c r="O45" s="145">
        <v>0.306</v>
      </c>
      <c r="P45" s="141" t="s">
        <v>70</v>
      </c>
      <c r="Q45" s="145">
        <f t="shared" si="3"/>
        <v>0.42075</v>
      </c>
      <c r="R45" s="29">
        <v>7.0</v>
      </c>
    </row>
    <row r="46" ht="15.75" customHeight="1">
      <c r="A46" s="21"/>
      <c r="B46" s="30"/>
      <c r="C46" s="61">
        <v>5.0</v>
      </c>
      <c r="D46" s="62" t="s">
        <v>27</v>
      </c>
      <c r="E46" s="63">
        <v>1.121</v>
      </c>
      <c r="F46" s="141" t="s">
        <v>70</v>
      </c>
      <c r="G46" s="141" t="s">
        <v>70</v>
      </c>
      <c r="H46" s="141" t="s">
        <v>70</v>
      </c>
      <c r="I46" s="141" t="s">
        <v>70</v>
      </c>
      <c r="J46" s="133">
        <v>0.764</v>
      </c>
      <c r="K46" s="141" t="s">
        <v>70</v>
      </c>
      <c r="L46" s="141" t="s">
        <v>70</v>
      </c>
      <c r="M46" s="145">
        <v>0.667</v>
      </c>
      <c r="N46" s="141" t="s">
        <v>70</v>
      </c>
      <c r="O46" s="145">
        <v>0.322</v>
      </c>
      <c r="P46" s="141" t="s">
        <v>70</v>
      </c>
      <c r="Q46" s="145">
        <f t="shared" si="3"/>
        <v>0.7185</v>
      </c>
      <c r="R46" s="29">
        <v>7.0</v>
      </c>
    </row>
    <row r="47" ht="15.75" customHeight="1">
      <c r="A47" s="21"/>
      <c r="B47" s="13" t="s">
        <v>84</v>
      </c>
      <c r="C47" s="55">
        <v>1.0</v>
      </c>
      <c r="D47" s="56" t="s">
        <v>78</v>
      </c>
      <c r="E47" s="57">
        <v>0.182</v>
      </c>
      <c r="F47" s="138" t="s">
        <v>70</v>
      </c>
      <c r="G47" s="138" t="s">
        <v>70</v>
      </c>
      <c r="H47" s="138" t="s">
        <v>70</v>
      </c>
      <c r="I47" s="138" t="s">
        <v>70</v>
      </c>
      <c r="J47" s="132">
        <v>0.299</v>
      </c>
      <c r="K47" s="138" t="s">
        <v>70</v>
      </c>
      <c r="L47" s="138" t="s">
        <v>70</v>
      </c>
      <c r="M47" s="144">
        <v>0.503</v>
      </c>
      <c r="N47" s="138" t="s">
        <v>70</v>
      </c>
      <c r="O47" s="144">
        <v>0.182</v>
      </c>
      <c r="P47" s="138" t="s">
        <v>70</v>
      </c>
      <c r="Q47" s="144">
        <f t="shared" si="3"/>
        <v>0.2915</v>
      </c>
      <c r="R47" s="20">
        <v>0.5</v>
      </c>
    </row>
    <row r="48" ht="15.75" customHeight="1">
      <c r="A48" s="21"/>
      <c r="B48" s="22"/>
      <c r="C48" s="61">
        <v>2.0</v>
      </c>
      <c r="D48" s="62" t="s">
        <v>79</v>
      </c>
      <c r="E48" s="63">
        <v>0.193</v>
      </c>
      <c r="F48" s="141" t="s">
        <v>70</v>
      </c>
      <c r="G48" s="141" t="s">
        <v>70</v>
      </c>
      <c r="H48" s="141" t="s">
        <v>70</v>
      </c>
      <c r="I48" s="141" t="s">
        <v>70</v>
      </c>
      <c r="J48" s="133">
        <v>0.309</v>
      </c>
      <c r="K48" s="141" t="s">
        <v>70</v>
      </c>
      <c r="L48" s="141" t="s">
        <v>70</v>
      </c>
      <c r="M48" s="145">
        <v>0.396</v>
      </c>
      <c r="N48" s="141" t="s">
        <v>70</v>
      </c>
      <c r="O48" s="145">
        <v>0.149</v>
      </c>
      <c r="P48" s="141" t="s">
        <v>70</v>
      </c>
      <c r="Q48" s="145">
        <f t="shared" si="3"/>
        <v>0.26175</v>
      </c>
      <c r="R48" s="29">
        <v>0.5</v>
      </c>
    </row>
    <row r="49" ht="15.75" customHeight="1">
      <c r="A49" s="21"/>
      <c r="B49" s="22"/>
      <c r="C49" s="61">
        <v>3.0</v>
      </c>
      <c r="D49" s="62" t="s">
        <v>80</v>
      </c>
      <c r="E49" s="63">
        <v>0.18</v>
      </c>
      <c r="F49" s="141" t="s">
        <v>70</v>
      </c>
      <c r="G49" s="141" t="s">
        <v>70</v>
      </c>
      <c r="H49" s="141" t="s">
        <v>70</v>
      </c>
      <c r="I49" s="141" t="s">
        <v>70</v>
      </c>
      <c r="J49" s="133">
        <v>0.288</v>
      </c>
      <c r="K49" s="141" t="s">
        <v>70</v>
      </c>
      <c r="L49" s="141" t="s">
        <v>70</v>
      </c>
      <c r="M49" s="145">
        <v>0.525</v>
      </c>
      <c r="N49" s="141" t="s">
        <v>70</v>
      </c>
      <c r="O49" s="145">
        <v>0.189</v>
      </c>
      <c r="P49" s="141" t="s">
        <v>70</v>
      </c>
      <c r="Q49" s="145">
        <f t="shared" si="3"/>
        <v>0.2955</v>
      </c>
      <c r="R49" s="29">
        <v>0.5</v>
      </c>
    </row>
    <row r="50" ht="15.75" customHeight="1">
      <c r="A50" s="21"/>
      <c r="B50" s="22"/>
      <c r="C50" s="61">
        <v>4.0</v>
      </c>
      <c r="D50" s="62" t="s">
        <v>81</v>
      </c>
      <c r="E50" s="63">
        <v>0.133</v>
      </c>
      <c r="F50" s="141" t="s">
        <v>70</v>
      </c>
      <c r="G50" s="141" t="s">
        <v>70</v>
      </c>
      <c r="H50" s="141" t="s">
        <v>70</v>
      </c>
      <c r="I50" s="141" t="s">
        <v>70</v>
      </c>
      <c r="J50" s="133">
        <v>0.204</v>
      </c>
      <c r="K50" s="141" t="s">
        <v>70</v>
      </c>
      <c r="L50" s="141" t="s">
        <v>70</v>
      </c>
      <c r="M50" s="145">
        <v>0.787</v>
      </c>
      <c r="N50" s="141" t="s">
        <v>70</v>
      </c>
      <c r="O50" s="145">
        <v>0.165</v>
      </c>
      <c r="P50" s="141" t="s">
        <v>70</v>
      </c>
      <c r="Q50" s="145">
        <f t="shared" si="3"/>
        <v>0.32225</v>
      </c>
      <c r="R50" s="29">
        <v>0.5</v>
      </c>
    </row>
    <row r="51" ht="15.75" customHeight="1">
      <c r="A51" s="21"/>
      <c r="B51" s="30"/>
      <c r="C51" s="61">
        <v>5.0</v>
      </c>
      <c r="D51" s="62" t="s">
        <v>27</v>
      </c>
      <c r="E51" s="63">
        <v>0.133</v>
      </c>
      <c r="F51" s="141" t="s">
        <v>70</v>
      </c>
      <c r="G51" s="141" t="s">
        <v>70</v>
      </c>
      <c r="H51" s="141" t="s">
        <v>70</v>
      </c>
      <c r="I51" s="141" t="s">
        <v>70</v>
      </c>
      <c r="J51" s="133">
        <v>0.36</v>
      </c>
      <c r="K51" s="141" t="s">
        <v>70</v>
      </c>
      <c r="L51" s="141" t="s">
        <v>70</v>
      </c>
      <c r="M51" s="145">
        <v>0.251</v>
      </c>
      <c r="N51" s="141" t="s">
        <v>70</v>
      </c>
      <c r="O51" s="145">
        <v>0.12</v>
      </c>
      <c r="P51" s="141" t="s">
        <v>70</v>
      </c>
      <c r="Q51" s="145">
        <f t="shared" si="3"/>
        <v>0.216</v>
      </c>
      <c r="R51" s="29">
        <v>0.5</v>
      </c>
    </row>
    <row r="52" ht="15.75" customHeight="1">
      <c r="A52" s="21"/>
      <c r="B52" s="13" t="s">
        <v>42</v>
      </c>
      <c r="C52" s="31">
        <v>1.0</v>
      </c>
      <c r="D52" s="32" t="s">
        <v>78</v>
      </c>
      <c r="E52" s="45">
        <v>478.0</v>
      </c>
      <c r="F52" s="138" t="s">
        <v>70</v>
      </c>
      <c r="G52" s="138" t="s">
        <v>70</v>
      </c>
      <c r="H52" s="138" t="s">
        <v>70</v>
      </c>
      <c r="I52" s="138" t="s">
        <v>70</v>
      </c>
      <c r="J52" s="128">
        <v>515.0</v>
      </c>
      <c r="K52" s="138" t="s">
        <v>70</v>
      </c>
      <c r="L52" s="138" t="s">
        <v>70</v>
      </c>
      <c r="M52" s="128">
        <v>40.0</v>
      </c>
      <c r="N52" s="138" t="s">
        <v>70</v>
      </c>
      <c r="O52" s="128">
        <v>75.0</v>
      </c>
      <c r="P52" s="138" t="s">
        <v>70</v>
      </c>
      <c r="Q52" s="128">
        <f t="shared" si="3"/>
        <v>277</v>
      </c>
      <c r="R52" s="20">
        <v>350.0</v>
      </c>
    </row>
    <row r="53" ht="15.75" customHeight="1">
      <c r="A53" s="21"/>
      <c r="B53" s="22"/>
      <c r="C53" s="23">
        <v>2.0</v>
      </c>
      <c r="D53" s="24" t="s">
        <v>79</v>
      </c>
      <c r="E53" s="51">
        <v>530.0</v>
      </c>
      <c r="F53" s="141" t="s">
        <v>70</v>
      </c>
      <c r="G53" s="141" t="s">
        <v>70</v>
      </c>
      <c r="H53" s="141" t="s">
        <v>70</v>
      </c>
      <c r="I53" s="141" t="s">
        <v>70</v>
      </c>
      <c r="J53" s="130">
        <v>604.0</v>
      </c>
      <c r="K53" s="141" t="s">
        <v>70</v>
      </c>
      <c r="L53" s="141" t="s">
        <v>70</v>
      </c>
      <c r="M53" s="131">
        <v>40.0</v>
      </c>
      <c r="N53" s="141" t="s">
        <v>70</v>
      </c>
      <c r="O53" s="131">
        <v>240.0</v>
      </c>
      <c r="P53" s="141" t="s">
        <v>70</v>
      </c>
      <c r="Q53" s="131">
        <f t="shared" si="3"/>
        <v>353.5</v>
      </c>
      <c r="R53" s="29">
        <v>350.0</v>
      </c>
    </row>
    <row r="54" ht="15.75" customHeight="1">
      <c r="A54" s="21"/>
      <c r="B54" s="22"/>
      <c r="C54" s="23">
        <v>3.0</v>
      </c>
      <c r="D54" s="24" t="s">
        <v>80</v>
      </c>
      <c r="E54" s="51">
        <v>386.0</v>
      </c>
      <c r="F54" s="141" t="s">
        <v>70</v>
      </c>
      <c r="G54" s="141" t="s">
        <v>70</v>
      </c>
      <c r="H54" s="141" t="s">
        <v>70</v>
      </c>
      <c r="I54" s="141" t="s">
        <v>70</v>
      </c>
      <c r="J54" s="130">
        <v>445.0</v>
      </c>
      <c r="K54" s="141" t="s">
        <v>70</v>
      </c>
      <c r="L54" s="141" t="s">
        <v>70</v>
      </c>
      <c r="M54" s="131">
        <v>40.0</v>
      </c>
      <c r="N54" s="141" t="s">
        <v>70</v>
      </c>
      <c r="O54" s="131">
        <v>480.0</v>
      </c>
      <c r="P54" s="141" t="s">
        <v>70</v>
      </c>
      <c r="Q54" s="131">
        <f t="shared" si="3"/>
        <v>337.75</v>
      </c>
      <c r="R54" s="29">
        <v>350.0</v>
      </c>
    </row>
    <row r="55" ht="15.75" customHeight="1">
      <c r="A55" s="21"/>
      <c r="B55" s="22"/>
      <c r="C55" s="23">
        <v>4.0</v>
      </c>
      <c r="D55" s="24" t="s">
        <v>81</v>
      </c>
      <c r="E55" s="51">
        <v>193.0</v>
      </c>
      <c r="F55" s="141" t="s">
        <v>70</v>
      </c>
      <c r="G55" s="141" t="s">
        <v>70</v>
      </c>
      <c r="H55" s="141" t="s">
        <v>70</v>
      </c>
      <c r="I55" s="141" t="s">
        <v>70</v>
      </c>
      <c r="J55" s="130">
        <v>422.0</v>
      </c>
      <c r="K55" s="141" t="s">
        <v>70</v>
      </c>
      <c r="L55" s="141" t="s">
        <v>70</v>
      </c>
      <c r="M55" s="131">
        <v>45.0</v>
      </c>
      <c r="N55" s="141" t="s">
        <v>70</v>
      </c>
      <c r="O55" s="131">
        <v>340.0</v>
      </c>
      <c r="P55" s="141" t="s">
        <v>70</v>
      </c>
      <c r="Q55" s="131">
        <f t="shared" si="3"/>
        <v>250</v>
      </c>
      <c r="R55" s="29">
        <v>350.0</v>
      </c>
    </row>
    <row r="56" ht="15.75" customHeight="1">
      <c r="A56" s="21"/>
      <c r="B56" s="30"/>
      <c r="C56" s="23">
        <v>5.0</v>
      </c>
      <c r="D56" s="24" t="s">
        <v>27</v>
      </c>
      <c r="E56" s="51">
        <v>51.0</v>
      </c>
      <c r="F56" s="141" t="s">
        <v>70</v>
      </c>
      <c r="G56" s="141" t="s">
        <v>70</v>
      </c>
      <c r="H56" s="141" t="s">
        <v>70</v>
      </c>
      <c r="I56" s="141" t="s">
        <v>70</v>
      </c>
      <c r="J56" s="130">
        <v>69.0</v>
      </c>
      <c r="K56" s="141" t="s">
        <v>70</v>
      </c>
      <c r="L56" s="141" t="s">
        <v>70</v>
      </c>
      <c r="M56" s="131">
        <v>45.0</v>
      </c>
      <c r="N56" s="141" t="s">
        <v>70</v>
      </c>
      <c r="O56" s="131">
        <v>325.0</v>
      </c>
      <c r="P56" s="141" t="s">
        <v>70</v>
      </c>
      <c r="Q56" s="131">
        <f t="shared" si="3"/>
        <v>122.5</v>
      </c>
      <c r="R56" s="29">
        <v>350.0</v>
      </c>
    </row>
    <row r="57" ht="14.25" customHeight="1">
      <c r="A57" s="134"/>
      <c r="B57" s="134"/>
      <c r="C57" s="134"/>
      <c r="D57" s="134"/>
      <c r="E57" s="134"/>
      <c r="F57" s="134"/>
      <c r="G57" s="135"/>
      <c r="H57" s="135"/>
      <c r="I57" s="135"/>
      <c r="J57" s="135"/>
      <c r="K57" s="134"/>
      <c r="L57" s="134"/>
      <c r="M57" s="134"/>
      <c r="N57" s="134"/>
      <c r="O57" s="134"/>
      <c r="P57" s="134"/>
    </row>
    <row r="58" ht="14.25" customHeight="1">
      <c r="A58" s="136" t="s">
        <v>43</v>
      </c>
      <c r="D58" s="134"/>
      <c r="E58" s="134"/>
      <c r="F58" s="134"/>
      <c r="G58" s="134"/>
      <c r="H58" s="134"/>
      <c r="I58" s="135"/>
      <c r="J58" s="135"/>
      <c r="K58" s="134"/>
      <c r="L58" s="134"/>
      <c r="M58" s="134"/>
      <c r="N58" s="134"/>
      <c r="O58" s="134"/>
      <c r="P58" s="134"/>
    </row>
    <row r="59" ht="14.25" customHeight="1">
      <c r="D59" s="134"/>
      <c r="E59" s="134"/>
      <c r="F59" s="134"/>
      <c r="G59" s="134"/>
      <c r="H59" s="135"/>
      <c r="I59" s="135"/>
      <c r="J59" s="135"/>
      <c r="K59" s="134"/>
      <c r="L59" s="134"/>
      <c r="M59" s="134"/>
      <c r="N59" s="134"/>
      <c r="O59" s="134"/>
      <c r="P59" s="134"/>
    </row>
    <row r="60" ht="14.25" customHeight="1">
      <c r="A60" s="110" t="s">
        <v>76</v>
      </c>
      <c r="D60" s="134"/>
      <c r="E60" s="134"/>
      <c r="F60" s="134"/>
      <c r="G60" s="134"/>
      <c r="H60" s="135"/>
      <c r="I60" s="135"/>
      <c r="J60" s="135"/>
      <c r="K60" s="134"/>
      <c r="L60" s="134"/>
      <c r="M60" s="134"/>
      <c r="N60" s="134"/>
      <c r="O60" s="134"/>
      <c r="P60" s="134"/>
    </row>
    <row r="61" ht="14.25" customHeight="1">
      <c r="D61" s="134"/>
      <c r="E61" s="134"/>
      <c r="F61" s="134"/>
      <c r="G61" s="134"/>
      <c r="H61" s="135"/>
      <c r="I61" s="135"/>
      <c r="J61" s="135"/>
      <c r="K61" s="134"/>
      <c r="L61" s="134"/>
      <c r="M61" s="134"/>
      <c r="N61" s="134"/>
      <c r="O61" s="134"/>
      <c r="P61" s="134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63.43"/>
    <col customWidth="1" min="5" max="5" width="10.71" outlineLevel="1"/>
    <col customWidth="1" min="6" max="7" width="11.71" outlineLevel="1"/>
    <col customWidth="1" min="8" max="8" width="6.71" outlineLevel="1"/>
    <col customWidth="1" min="9" max="9" width="11.14" outlineLevel="1"/>
    <col customWidth="1" min="10" max="10" width="12.86" outlineLevel="1"/>
    <col customWidth="1" min="11" max="11" width="6.29" outlineLevel="1"/>
    <col customWidth="1" min="12" max="12" width="9.57" outlineLevel="1"/>
    <col customWidth="1" min="13" max="13" width="13.86" outlineLevel="1"/>
    <col customWidth="1" min="14" max="14" width="10.71" outlineLevel="1"/>
    <col customWidth="1" min="15" max="15" width="10.0" outlineLevel="1"/>
    <col customWidth="1" min="16" max="16" width="13.0" outlineLevel="1"/>
    <col customWidth="1" min="17" max="17" width="23.57"/>
    <col customWidth="1" min="18" max="18" width="12.43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7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147" t="s">
        <v>19</v>
      </c>
      <c r="R4" s="6" t="s">
        <v>20</v>
      </c>
    </row>
    <row r="5" ht="14.25" customHeight="1">
      <c r="A5" s="112" t="s">
        <v>85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53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75" customHeight="1">
      <c r="A7" s="12" t="s">
        <v>23</v>
      </c>
      <c r="B7" s="13" t="s">
        <v>24</v>
      </c>
      <c r="C7" s="14">
        <v>1.0</v>
      </c>
      <c r="D7" s="15" t="s">
        <v>86</v>
      </c>
      <c r="E7" s="18" t="s">
        <v>70</v>
      </c>
      <c r="F7" s="120">
        <v>2.8</v>
      </c>
      <c r="G7" s="18" t="s">
        <v>70</v>
      </c>
      <c r="H7" s="18" t="s">
        <v>70</v>
      </c>
      <c r="I7" s="120">
        <v>6.3</v>
      </c>
      <c r="J7" s="18" t="s">
        <v>70</v>
      </c>
      <c r="K7" s="18" t="s">
        <v>70</v>
      </c>
      <c r="L7" s="18" t="s">
        <v>70</v>
      </c>
      <c r="M7" s="18">
        <v>3.2</v>
      </c>
      <c r="N7" s="18" t="s">
        <v>70</v>
      </c>
      <c r="O7" s="18" t="s">
        <v>70</v>
      </c>
      <c r="P7" s="18">
        <v>0.2</v>
      </c>
      <c r="Q7" s="18">
        <f t="shared" ref="Q7:Q24" si="1">AVERAGE(E7:P7)</f>
        <v>3.125</v>
      </c>
      <c r="R7" s="20">
        <v>5.0</v>
      </c>
    </row>
    <row r="8" ht="15.75" customHeight="1">
      <c r="A8" s="21"/>
      <c r="B8" s="22"/>
      <c r="C8" s="23">
        <v>2.0</v>
      </c>
      <c r="D8" s="24" t="s">
        <v>87</v>
      </c>
      <c r="E8" s="27" t="s">
        <v>70</v>
      </c>
      <c r="F8" s="122">
        <v>3.5</v>
      </c>
      <c r="G8" s="27" t="s">
        <v>70</v>
      </c>
      <c r="H8" s="27" t="s">
        <v>70</v>
      </c>
      <c r="I8" s="122">
        <v>1.2</v>
      </c>
      <c r="J8" s="27" t="s">
        <v>70</v>
      </c>
      <c r="K8" s="27" t="s">
        <v>70</v>
      </c>
      <c r="L8" s="27" t="s">
        <v>70</v>
      </c>
      <c r="M8" s="27">
        <v>3.5</v>
      </c>
      <c r="N8" s="27" t="s">
        <v>70</v>
      </c>
      <c r="O8" s="27" t="s">
        <v>70</v>
      </c>
      <c r="P8" s="27">
        <v>0.3</v>
      </c>
      <c r="Q8" s="27">
        <f t="shared" si="1"/>
        <v>2.125</v>
      </c>
      <c r="R8" s="29">
        <v>5.0</v>
      </c>
    </row>
    <row r="9" ht="15.75" customHeight="1">
      <c r="A9" s="21"/>
      <c r="B9" s="30"/>
      <c r="C9" s="23">
        <v>3.0</v>
      </c>
      <c r="D9" s="24" t="s">
        <v>88</v>
      </c>
      <c r="E9" s="27" t="s">
        <v>70</v>
      </c>
      <c r="F9" s="122">
        <v>7.6</v>
      </c>
      <c r="G9" s="27" t="s">
        <v>70</v>
      </c>
      <c r="H9" s="27" t="s">
        <v>70</v>
      </c>
      <c r="I9" s="122">
        <v>0.2</v>
      </c>
      <c r="J9" s="27" t="s">
        <v>70</v>
      </c>
      <c r="K9" s="27" t="s">
        <v>70</v>
      </c>
      <c r="L9" s="27" t="s">
        <v>70</v>
      </c>
      <c r="M9" s="27">
        <v>3.7</v>
      </c>
      <c r="N9" s="27" t="s">
        <v>70</v>
      </c>
      <c r="O9" s="27" t="s">
        <v>70</v>
      </c>
      <c r="P9" s="27">
        <v>0.1</v>
      </c>
      <c r="Q9" s="27">
        <f t="shared" si="1"/>
        <v>2.9</v>
      </c>
      <c r="R9" s="29">
        <v>5.0</v>
      </c>
    </row>
    <row r="10" ht="15.75" customHeight="1">
      <c r="A10" s="21"/>
      <c r="B10" s="13" t="s">
        <v>30</v>
      </c>
      <c r="C10" s="31">
        <v>1.0</v>
      </c>
      <c r="D10" s="32" t="s">
        <v>86</v>
      </c>
      <c r="E10" s="18" t="s">
        <v>70</v>
      </c>
      <c r="F10" s="121">
        <v>27.0</v>
      </c>
      <c r="G10" s="18" t="s">
        <v>70</v>
      </c>
      <c r="H10" s="18" t="s">
        <v>70</v>
      </c>
      <c r="I10" s="121">
        <v>14.0</v>
      </c>
      <c r="J10" s="18" t="s">
        <v>70</v>
      </c>
      <c r="K10" s="18" t="s">
        <v>70</v>
      </c>
      <c r="L10" s="18" t="s">
        <v>70</v>
      </c>
      <c r="M10" s="35">
        <v>8.0</v>
      </c>
      <c r="N10" s="18" t="s">
        <v>70</v>
      </c>
      <c r="O10" s="18" t="s">
        <v>70</v>
      </c>
      <c r="P10" s="35">
        <v>11.0</v>
      </c>
      <c r="Q10" s="35">
        <f t="shared" si="1"/>
        <v>15</v>
      </c>
      <c r="R10" s="20">
        <v>7.0</v>
      </c>
    </row>
    <row r="11" ht="15.75" customHeight="1">
      <c r="A11" s="21"/>
      <c r="B11" s="22"/>
      <c r="C11" s="23">
        <v>2.0</v>
      </c>
      <c r="D11" s="24" t="s">
        <v>87</v>
      </c>
      <c r="E11" s="27" t="s">
        <v>70</v>
      </c>
      <c r="F11" s="122">
        <v>15.0</v>
      </c>
      <c r="G11" s="27" t="s">
        <v>70</v>
      </c>
      <c r="H11" s="27" t="s">
        <v>70</v>
      </c>
      <c r="I11" s="122">
        <v>14.0</v>
      </c>
      <c r="J11" s="27" t="s">
        <v>70</v>
      </c>
      <c r="K11" s="27" t="s">
        <v>70</v>
      </c>
      <c r="L11" s="27" t="s">
        <v>70</v>
      </c>
      <c r="M11" s="39">
        <v>8.0</v>
      </c>
      <c r="N11" s="27" t="s">
        <v>70</v>
      </c>
      <c r="O11" s="27" t="s">
        <v>70</v>
      </c>
      <c r="P11" s="39">
        <v>10.0</v>
      </c>
      <c r="Q11" s="39">
        <f t="shared" si="1"/>
        <v>11.75</v>
      </c>
      <c r="R11" s="29">
        <v>7.0</v>
      </c>
    </row>
    <row r="12" ht="15.75" customHeight="1">
      <c r="A12" s="21"/>
      <c r="B12" s="30"/>
      <c r="C12" s="23">
        <v>3.0</v>
      </c>
      <c r="D12" s="24" t="s">
        <v>88</v>
      </c>
      <c r="E12" s="27" t="s">
        <v>70</v>
      </c>
      <c r="F12" s="122">
        <v>17.0</v>
      </c>
      <c r="G12" s="27" t="s">
        <v>70</v>
      </c>
      <c r="H12" s="27" t="s">
        <v>70</v>
      </c>
      <c r="I12" s="122">
        <v>10.0</v>
      </c>
      <c r="J12" s="27" t="s">
        <v>70</v>
      </c>
      <c r="K12" s="27" t="s">
        <v>70</v>
      </c>
      <c r="L12" s="27" t="s">
        <v>70</v>
      </c>
      <c r="M12" s="39">
        <v>6.0</v>
      </c>
      <c r="N12" s="27" t="s">
        <v>70</v>
      </c>
      <c r="O12" s="27" t="s">
        <v>70</v>
      </c>
      <c r="P12" s="39">
        <v>9.0</v>
      </c>
      <c r="Q12" s="39">
        <f t="shared" si="1"/>
        <v>10.5</v>
      </c>
      <c r="R12" s="29">
        <v>7.0</v>
      </c>
    </row>
    <row r="13" ht="15.75" customHeight="1">
      <c r="A13" s="21"/>
      <c r="B13" s="13" t="s">
        <v>31</v>
      </c>
      <c r="C13" s="31">
        <v>1.0</v>
      </c>
      <c r="D13" s="32" t="s">
        <v>86</v>
      </c>
      <c r="E13" s="18" t="s">
        <v>70</v>
      </c>
      <c r="F13" s="121">
        <v>38.0</v>
      </c>
      <c r="G13" s="18" t="s">
        <v>70</v>
      </c>
      <c r="H13" s="18" t="s">
        <v>70</v>
      </c>
      <c r="I13" s="121">
        <v>41.0</v>
      </c>
      <c r="J13" s="18" t="s">
        <v>70</v>
      </c>
      <c r="K13" s="18" t="s">
        <v>70</v>
      </c>
      <c r="L13" s="18" t="s">
        <v>70</v>
      </c>
      <c r="M13" s="35">
        <v>14.0</v>
      </c>
      <c r="N13" s="18" t="s">
        <v>70</v>
      </c>
      <c r="O13" s="18" t="s">
        <v>70</v>
      </c>
      <c r="P13" s="35">
        <v>13.0</v>
      </c>
      <c r="Q13" s="35">
        <f t="shared" si="1"/>
        <v>26.5</v>
      </c>
      <c r="R13" s="20">
        <v>80.0</v>
      </c>
    </row>
    <row r="14" ht="15.75" customHeight="1">
      <c r="A14" s="21"/>
      <c r="B14" s="22"/>
      <c r="C14" s="23">
        <v>2.0</v>
      </c>
      <c r="D14" s="24" t="s">
        <v>87</v>
      </c>
      <c r="E14" s="27" t="s">
        <v>70</v>
      </c>
      <c r="F14" s="122">
        <v>32.0</v>
      </c>
      <c r="G14" s="27" t="s">
        <v>70</v>
      </c>
      <c r="H14" s="27" t="s">
        <v>70</v>
      </c>
      <c r="I14" s="122">
        <v>47.0</v>
      </c>
      <c r="J14" s="27" t="s">
        <v>70</v>
      </c>
      <c r="K14" s="27" t="s">
        <v>70</v>
      </c>
      <c r="L14" s="27" t="s">
        <v>70</v>
      </c>
      <c r="M14" s="39">
        <v>18.0</v>
      </c>
      <c r="N14" s="27" t="s">
        <v>70</v>
      </c>
      <c r="O14" s="27" t="s">
        <v>70</v>
      </c>
      <c r="P14" s="39">
        <v>12.0</v>
      </c>
      <c r="Q14" s="39">
        <f t="shared" si="1"/>
        <v>27.25</v>
      </c>
      <c r="R14" s="29">
        <v>80.0</v>
      </c>
    </row>
    <row r="15" ht="15.75" customHeight="1">
      <c r="A15" s="21"/>
      <c r="B15" s="30"/>
      <c r="C15" s="23">
        <v>3.0</v>
      </c>
      <c r="D15" s="24" t="s">
        <v>88</v>
      </c>
      <c r="E15" s="27" t="s">
        <v>70</v>
      </c>
      <c r="F15" s="122">
        <v>38.0</v>
      </c>
      <c r="G15" s="27" t="s">
        <v>70</v>
      </c>
      <c r="H15" s="27" t="s">
        <v>70</v>
      </c>
      <c r="I15" s="122">
        <v>12.0</v>
      </c>
      <c r="J15" s="27" t="s">
        <v>70</v>
      </c>
      <c r="K15" s="27" t="s">
        <v>70</v>
      </c>
      <c r="L15" s="27" t="s">
        <v>70</v>
      </c>
      <c r="M15" s="39">
        <v>9.0</v>
      </c>
      <c r="N15" s="27" t="s">
        <v>70</v>
      </c>
      <c r="O15" s="27" t="s">
        <v>70</v>
      </c>
      <c r="P15" s="39">
        <v>16.0</v>
      </c>
      <c r="Q15" s="39">
        <f t="shared" si="1"/>
        <v>18.75</v>
      </c>
      <c r="R15" s="29">
        <v>80.0</v>
      </c>
    </row>
    <row r="16" ht="15.75" customHeight="1">
      <c r="A16" s="21"/>
      <c r="B16" s="13" t="s">
        <v>33</v>
      </c>
      <c r="C16" s="31">
        <v>1.0</v>
      </c>
      <c r="D16" s="32" t="s">
        <v>86</v>
      </c>
      <c r="E16" s="18" t="s">
        <v>70</v>
      </c>
      <c r="F16" s="121">
        <v>7.2</v>
      </c>
      <c r="G16" s="18" t="s">
        <v>70</v>
      </c>
      <c r="H16" s="18" t="s">
        <v>70</v>
      </c>
      <c r="I16" s="121">
        <v>7.22</v>
      </c>
      <c r="J16" s="18" t="s">
        <v>70</v>
      </c>
      <c r="K16" s="18" t="s">
        <v>70</v>
      </c>
      <c r="L16" s="18" t="s">
        <v>70</v>
      </c>
      <c r="M16" s="18">
        <v>7.0</v>
      </c>
      <c r="N16" s="18" t="s">
        <v>70</v>
      </c>
      <c r="O16" s="18" t="s">
        <v>70</v>
      </c>
      <c r="P16" s="18">
        <v>7.0</v>
      </c>
      <c r="Q16" s="18">
        <f t="shared" si="1"/>
        <v>7.105</v>
      </c>
      <c r="R16" s="18" t="s">
        <v>34</v>
      </c>
    </row>
    <row r="17" ht="15.75" customHeight="1">
      <c r="A17" s="21"/>
      <c r="B17" s="22"/>
      <c r="C17" s="23">
        <v>2.0</v>
      </c>
      <c r="D17" s="24" t="s">
        <v>87</v>
      </c>
      <c r="E17" s="27" t="s">
        <v>70</v>
      </c>
      <c r="F17" s="122">
        <v>7.3</v>
      </c>
      <c r="G17" s="27" t="s">
        <v>70</v>
      </c>
      <c r="H17" s="27" t="s">
        <v>70</v>
      </c>
      <c r="I17" s="122">
        <v>7.57</v>
      </c>
      <c r="J17" s="27" t="s">
        <v>70</v>
      </c>
      <c r="K17" s="27" t="s">
        <v>70</v>
      </c>
      <c r="L17" s="27" t="s">
        <v>70</v>
      </c>
      <c r="M17" s="27">
        <v>7.0</v>
      </c>
      <c r="N17" s="27" t="s">
        <v>70</v>
      </c>
      <c r="O17" s="27" t="s">
        <v>70</v>
      </c>
      <c r="P17" s="27">
        <v>7.0</v>
      </c>
      <c r="Q17" s="27">
        <f t="shared" si="1"/>
        <v>7.2175</v>
      </c>
      <c r="R17" s="27" t="s">
        <v>34</v>
      </c>
    </row>
    <row r="18" ht="15.75" customHeight="1">
      <c r="A18" s="21"/>
      <c r="B18" s="30"/>
      <c r="C18" s="23">
        <v>3.0</v>
      </c>
      <c r="D18" s="24" t="s">
        <v>88</v>
      </c>
      <c r="E18" s="27" t="s">
        <v>70</v>
      </c>
      <c r="F18" s="122">
        <v>7.4</v>
      </c>
      <c r="G18" s="27" t="s">
        <v>70</v>
      </c>
      <c r="H18" s="27" t="s">
        <v>70</v>
      </c>
      <c r="I18" s="122">
        <v>7.35</v>
      </c>
      <c r="J18" s="27" t="s">
        <v>70</v>
      </c>
      <c r="K18" s="27" t="s">
        <v>70</v>
      </c>
      <c r="L18" s="27" t="s">
        <v>70</v>
      </c>
      <c r="M18" s="27">
        <v>7.0</v>
      </c>
      <c r="N18" s="27" t="s">
        <v>70</v>
      </c>
      <c r="O18" s="27" t="s">
        <v>70</v>
      </c>
      <c r="P18" s="27">
        <v>7.0</v>
      </c>
      <c r="Q18" s="27">
        <f t="shared" si="1"/>
        <v>7.1875</v>
      </c>
      <c r="R18" s="27" t="s">
        <v>34</v>
      </c>
    </row>
    <row r="19" ht="15.75" customHeight="1">
      <c r="A19" s="21"/>
      <c r="B19" s="13" t="s">
        <v>89</v>
      </c>
      <c r="C19" s="31">
        <v>1.0</v>
      </c>
      <c r="D19" s="32" t="s">
        <v>86</v>
      </c>
      <c r="E19" s="18" t="s">
        <v>70</v>
      </c>
      <c r="F19" s="121">
        <v>25.4</v>
      </c>
      <c r="G19" s="18" t="s">
        <v>70</v>
      </c>
      <c r="H19" s="18" t="s">
        <v>70</v>
      </c>
      <c r="I19" s="121">
        <v>26.7</v>
      </c>
      <c r="J19" s="18" t="s">
        <v>70</v>
      </c>
      <c r="K19" s="18" t="s">
        <v>70</v>
      </c>
      <c r="L19" s="18" t="s">
        <v>70</v>
      </c>
      <c r="M19" s="18">
        <v>28.0</v>
      </c>
      <c r="N19" s="18" t="s">
        <v>70</v>
      </c>
      <c r="O19" s="18" t="s">
        <v>70</v>
      </c>
      <c r="P19" s="18">
        <v>29.29</v>
      </c>
      <c r="Q19" s="18">
        <f t="shared" si="1"/>
        <v>27.3475</v>
      </c>
      <c r="R19" s="18" t="s">
        <v>36</v>
      </c>
    </row>
    <row r="20" ht="15.75" customHeight="1">
      <c r="A20" s="21"/>
      <c r="B20" s="22"/>
      <c r="C20" s="23">
        <v>2.0</v>
      </c>
      <c r="D20" s="24" t="s">
        <v>87</v>
      </c>
      <c r="E20" s="27" t="s">
        <v>70</v>
      </c>
      <c r="F20" s="122">
        <v>25.6</v>
      </c>
      <c r="G20" s="27" t="s">
        <v>70</v>
      </c>
      <c r="H20" s="27" t="s">
        <v>70</v>
      </c>
      <c r="I20" s="122">
        <v>26.6</v>
      </c>
      <c r="J20" s="27" t="s">
        <v>70</v>
      </c>
      <c r="K20" s="27" t="s">
        <v>70</v>
      </c>
      <c r="L20" s="27" t="s">
        <v>70</v>
      </c>
      <c r="M20" s="27">
        <v>28.3</v>
      </c>
      <c r="N20" s="27" t="s">
        <v>70</v>
      </c>
      <c r="O20" s="27" t="s">
        <v>70</v>
      </c>
      <c r="P20" s="27">
        <v>29.4</v>
      </c>
      <c r="Q20" s="27">
        <f t="shared" si="1"/>
        <v>27.475</v>
      </c>
      <c r="R20" s="27" t="s">
        <v>36</v>
      </c>
    </row>
    <row r="21" ht="14.25" customHeight="1">
      <c r="A21" s="21"/>
      <c r="B21" s="30"/>
      <c r="C21" s="23">
        <v>3.0</v>
      </c>
      <c r="D21" s="24" t="s">
        <v>88</v>
      </c>
      <c r="E21" s="27" t="s">
        <v>70</v>
      </c>
      <c r="F21" s="122">
        <v>25.8</v>
      </c>
      <c r="G21" s="27" t="s">
        <v>70</v>
      </c>
      <c r="H21" s="27" t="s">
        <v>70</v>
      </c>
      <c r="I21" s="122">
        <v>26.7</v>
      </c>
      <c r="J21" s="27" t="s">
        <v>70</v>
      </c>
      <c r="K21" s="27" t="s">
        <v>70</v>
      </c>
      <c r="L21" s="27" t="s">
        <v>70</v>
      </c>
      <c r="M21" s="27">
        <v>28.3</v>
      </c>
      <c r="N21" s="27" t="s">
        <v>70</v>
      </c>
      <c r="O21" s="27" t="s">
        <v>70</v>
      </c>
      <c r="P21" s="27">
        <v>30.0</v>
      </c>
      <c r="Q21" s="27">
        <f t="shared" si="1"/>
        <v>27.7</v>
      </c>
      <c r="R21" s="27" t="s">
        <v>36</v>
      </c>
    </row>
    <row r="22" ht="14.25" customHeight="1">
      <c r="A22" s="21"/>
      <c r="B22" s="13" t="s">
        <v>37</v>
      </c>
      <c r="C22" s="31">
        <v>1.0</v>
      </c>
      <c r="D22" s="32" t="s">
        <v>86</v>
      </c>
      <c r="E22" s="18" t="s">
        <v>70</v>
      </c>
      <c r="F22" s="121">
        <v>40.0</v>
      </c>
      <c r="G22" s="18" t="s">
        <v>70</v>
      </c>
      <c r="H22" s="18" t="s">
        <v>70</v>
      </c>
      <c r="I22" s="121">
        <v>38.0</v>
      </c>
      <c r="J22" s="18" t="s">
        <v>70</v>
      </c>
      <c r="K22" s="18" t="s">
        <v>70</v>
      </c>
      <c r="L22" s="18" t="s">
        <v>70</v>
      </c>
      <c r="M22" s="35">
        <v>30.0</v>
      </c>
      <c r="N22" s="18" t="s">
        <v>70</v>
      </c>
      <c r="O22" s="18" t="s">
        <v>70</v>
      </c>
      <c r="P22" s="35">
        <v>30.0</v>
      </c>
      <c r="Q22" s="35">
        <f t="shared" si="1"/>
        <v>34.5</v>
      </c>
      <c r="R22" s="20">
        <v>75.0</v>
      </c>
    </row>
    <row r="23" ht="14.25" customHeight="1">
      <c r="A23" s="21"/>
      <c r="B23" s="22"/>
      <c r="C23" s="23">
        <v>2.0</v>
      </c>
      <c r="D23" s="24" t="s">
        <v>87</v>
      </c>
      <c r="E23" s="27" t="s">
        <v>70</v>
      </c>
      <c r="F23" s="122">
        <v>50.0</v>
      </c>
      <c r="G23" s="27" t="s">
        <v>70</v>
      </c>
      <c r="H23" s="27" t="s">
        <v>70</v>
      </c>
      <c r="I23" s="122">
        <v>38.0</v>
      </c>
      <c r="J23" s="27" t="s">
        <v>70</v>
      </c>
      <c r="K23" s="27" t="s">
        <v>70</v>
      </c>
      <c r="L23" s="27" t="s">
        <v>70</v>
      </c>
      <c r="M23" s="39">
        <v>30.0</v>
      </c>
      <c r="N23" s="27" t="s">
        <v>70</v>
      </c>
      <c r="O23" s="27" t="s">
        <v>70</v>
      </c>
      <c r="P23" s="39">
        <v>30.0</v>
      </c>
      <c r="Q23" s="39">
        <f t="shared" si="1"/>
        <v>37</v>
      </c>
      <c r="R23" s="29">
        <v>75.0</v>
      </c>
    </row>
    <row r="24" ht="14.25" customHeight="1">
      <c r="A24" s="21"/>
      <c r="B24" s="30"/>
      <c r="C24" s="23">
        <v>3.0</v>
      </c>
      <c r="D24" s="24" t="s">
        <v>88</v>
      </c>
      <c r="E24" s="27" t="s">
        <v>70</v>
      </c>
      <c r="F24" s="122">
        <v>40.0</v>
      </c>
      <c r="G24" s="27" t="s">
        <v>70</v>
      </c>
      <c r="H24" s="27" t="s">
        <v>70</v>
      </c>
      <c r="I24" s="122">
        <v>20.0</v>
      </c>
      <c r="J24" s="27" t="s">
        <v>70</v>
      </c>
      <c r="K24" s="27" t="s">
        <v>70</v>
      </c>
      <c r="L24" s="27" t="s">
        <v>70</v>
      </c>
      <c r="M24" s="39">
        <v>30.0</v>
      </c>
      <c r="N24" s="27" t="s">
        <v>70</v>
      </c>
      <c r="O24" s="27" t="s">
        <v>70</v>
      </c>
      <c r="P24" s="39">
        <v>25.0</v>
      </c>
      <c r="Q24" s="39">
        <f t="shared" si="1"/>
        <v>28.75</v>
      </c>
      <c r="R24" s="29">
        <v>75.0</v>
      </c>
    </row>
    <row r="25" ht="15.75" customHeight="1">
      <c r="A25" s="21"/>
      <c r="B25" s="13" t="s">
        <v>38</v>
      </c>
      <c r="C25" s="31">
        <v>1.0</v>
      </c>
      <c r="D25" s="32" t="s">
        <v>86</v>
      </c>
      <c r="E25" s="18" t="s">
        <v>70</v>
      </c>
      <c r="F25" s="128">
        <v>1600000.0</v>
      </c>
      <c r="G25" s="47" t="s">
        <v>70</v>
      </c>
      <c r="H25" s="47" t="s">
        <v>70</v>
      </c>
      <c r="I25" s="128">
        <v>540000.0</v>
      </c>
      <c r="J25" s="47" t="s">
        <v>70</v>
      </c>
      <c r="K25" s="47" t="s">
        <v>70</v>
      </c>
      <c r="L25" s="47" t="s">
        <v>70</v>
      </c>
      <c r="M25" s="47">
        <v>54000.0</v>
      </c>
      <c r="N25" s="47" t="s">
        <v>70</v>
      </c>
      <c r="O25" s="47" t="s">
        <v>70</v>
      </c>
      <c r="P25" s="47">
        <v>130000.0</v>
      </c>
      <c r="Q25" s="69">
        <f t="shared" ref="Q25:Q27" si="2">GEOMEAN(E25:P25)</f>
        <v>279069.7181</v>
      </c>
      <c r="R25" s="20">
        <v>200.0</v>
      </c>
    </row>
    <row r="26" ht="15.75" customHeight="1">
      <c r="A26" s="21"/>
      <c r="B26" s="22"/>
      <c r="C26" s="23">
        <v>2.0</v>
      </c>
      <c r="D26" s="24" t="s">
        <v>87</v>
      </c>
      <c r="E26" s="27" t="s">
        <v>70</v>
      </c>
      <c r="F26" s="130">
        <v>920000.0</v>
      </c>
      <c r="G26" s="53" t="s">
        <v>70</v>
      </c>
      <c r="H26" s="53" t="s">
        <v>70</v>
      </c>
      <c r="I26" s="130">
        <v>920000.0</v>
      </c>
      <c r="J26" s="53" t="s">
        <v>70</v>
      </c>
      <c r="K26" s="53" t="s">
        <v>70</v>
      </c>
      <c r="L26" s="53" t="s">
        <v>70</v>
      </c>
      <c r="M26" s="53">
        <v>540000.0</v>
      </c>
      <c r="N26" s="53" t="s">
        <v>70</v>
      </c>
      <c r="O26" s="53" t="s">
        <v>70</v>
      </c>
      <c r="P26" s="53">
        <v>110000.0</v>
      </c>
      <c r="Q26" s="148">
        <f t="shared" si="2"/>
        <v>473522.3965</v>
      </c>
      <c r="R26" s="29">
        <v>200.0</v>
      </c>
    </row>
    <row r="27" ht="15.75" customHeight="1">
      <c r="A27" s="21"/>
      <c r="B27" s="30"/>
      <c r="C27" s="23">
        <v>3.0</v>
      </c>
      <c r="D27" s="24" t="s">
        <v>88</v>
      </c>
      <c r="E27" s="27" t="s">
        <v>70</v>
      </c>
      <c r="F27" s="130">
        <v>350000.0</v>
      </c>
      <c r="G27" s="53" t="s">
        <v>70</v>
      </c>
      <c r="H27" s="53" t="s">
        <v>70</v>
      </c>
      <c r="I27" s="130">
        <v>1600000.0</v>
      </c>
      <c r="J27" s="53" t="s">
        <v>70</v>
      </c>
      <c r="K27" s="53" t="s">
        <v>70</v>
      </c>
      <c r="L27" s="53" t="s">
        <v>70</v>
      </c>
      <c r="M27" s="53">
        <v>160000.0</v>
      </c>
      <c r="N27" s="53" t="s">
        <v>70</v>
      </c>
      <c r="O27" s="53" t="s">
        <v>70</v>
      </c>
      <c r="P27" s="53">
        <v>130000.0</v>
      </c>
      <c r="Q27" s="148">
        <f t="shared" si="2"/>
        <v>328520.7764</v>
      </c>
      <c r="R27" s="29">
        <v>200.0</v>
      </c>
    </row>
    <row r="28" ht="15.75" customHeight="1">
      <c r="A28" s="21"/>
      <c r="B28" s="13" t="s">
        <v>90</v>
      </c>
      <c r="C28" s="31">
        <v>1.0</v>
      </c>
      <c r="D28" s="32" t="s">
        <v>86</v>
      </c>
      <c r="E28" s="18" t="s">
        <v>70</v>
      </c>
      <c r="F28" s="132">
        <v>0.122</v>
      </c>
      <c r="G28" s="18" t="s">
        <v>70</v>
      </c>
      <c r="H28" s="18" t="s">
        <v>70</v>
      </c>
      <c r="I28" s="132">
        <v>0.344</v>
      </c>
      <c r="J28" s="18" t="s">
        <v>70</v>
      </c>
      <c r="K28" s="18" t="s">
        <v>70</v>
      </c>
      <c r="L28" s="18" t="s">
        <v>70</v>
      </c>
      <c r="M28" s="59">
        <v>0.109</v>
      </c>
      <c r="N28" s="18" t="s">
        <v>70</v>
      </c>
      <c r="O28" s="18" t="s">
        <v>70</v>
      </c>
      <c r="P28" s="59">
        <v>0.511</v>
      </c>
      <c r="Q28" s="59">
        <f t="shared" ref="Q28:Q36" si="3">AVERAGE(E28:P28)</f>
        <v>0.2715</v>
      </c>
      <c r="R28" s="20">
        <v>7.0</v>
      </c>
    </row>
    <row r="29" ht="15.75" customHeight="1">
      <c r="A29" s="21"/>
      <c r="B29" s="22"/>
      <c r="C29" s="23">
        <v>2.0</v>
      </c>
      <c r="D29" s="24" t="s">
        <v>87</v>
      </c>
      <c r="E29" s="27" t="s">
        <v>70</v>
      </c>
      <c r="F29" s="133">
        <v>0.048</v>
      </c>
      <c r="G29" s="27" t="s">
        <v>70</v>
      </c>
      <c r="H29" s="27" t="s">
        <v>70</v>
      </c>
      <c r="I29" s="133">
        <v>0.213</v>
      </c>
      <c r="J29" s="27" t="s">
        <v>70</v>
      </c>
      <c r="K29" s="27" t="s">
        <v>70</v>
      </c>
      <c r="L29" s="27" t="s">
        <v>70</v>
      </c>
      <c r="M29" s="65">
        <v>0.171</v>
      </c>
      <c r="N29" s="27" t="s">
        <v>70</v>
      </c>
      <c r="O29" s="27" t="s">
        <v>70</v>
      </c>
      <c r="P29" s="65">
        <v>0.298</v>
      </c>
      <c r="Q29" s="65">
        <f t="shared" si="3"/>
        <v>0.1825</v>
      </c>
      <c r="R29" s="29">
        <v>7.0</v>
      </c>
    </row>
    <row r="30" ht="15.75" customHeight="1">
      <c r="A30" s="21"/>
      <c r="B30" s="30"/>
      <c r="C30" s="23">
        <v>3.0</v>
      </c>
      <c r="D30" s="24" t="s">
        <v>88</v>
      </c>
      <c r="E30" s="27" t="s">
        <v>70</v>
      </c>
      <c r="F30" s="133">
        <v>0.128</v>
      </c>
      <c r="G30" s="27" t="s">
        <v>70</v>
      </c>
      <c r="H30" s="27" t="s">
        <v>70</v>
      </c>
      <c r="I30" s="133">
        <v>0.085</v>
      </c>
      <c r="J30" s="27" t="s">
        <v>70</v>
      </c>
      <c r="K30" s="27" t="s">
        <v>70</v>
      </c>
      <c r="L30" s="27" t="s">
        <v>70</v>
      </c>
      <c r="M30" s="65">
        <v>0.179</v>
      </c>
      <c r="N30" s="27" t="s">
        <v>70</v>
      </c>
      <c r="O30" s="27" t="s">
        <v>70</v>
      </c>
      <c r="P30" s="65">
        <v>0.305</v>
      </c>
      <c r="Q30" s="65">
        <f t="shared" si="3"/>
        <v>0.17425</v>
      </c>
      <c r="R30" s="29">
        <v>7.0</v>
      </c>
    </row>
    <row r="31" ht="15.75" customHeight="1">
      <c r="A31" s="21"/>
      <c r="B31" s="13" t="s">
        <v>91</v>
      </c>
      <c r="C31" s="31">
        <v>1.0</v>
      </c>
      <c r="D31" s="32" t="s">
        <v>86</v>
      </c>
      <c r="E31" s="18" t="s">
        <v>70</v>
      </c>
      <c r="F31" s="132">
        <v>0.601</v>
      </c>
      <c r="G31" s="18" t="s">
        <v>70</v>
      </c>
      <c r="H31" s="18" t="s">
        <v>70</v>
      </c>
      <c r="I31" s="132">
        <v>0.747</v>
      </c>
      <c r="J31" s="18" t="s">
        <v>70</v>
      </c>
      <c r="K31" s="18" t="s">
        <v>70</v>
      </c>
      <c r="L31" s="18" t="s">
        <v>70</v>
      </c>
      <c r="M31" s="59">
        <v>0.855</v>
      </c>
      <c r="N31" s="18" t="s">
        <v>70</v>
      </c>
      <c r="O31" s="18" t="s">
        <v>70</v>
      </c>
      <c r="P31" s="59">
        <v>0.422</v>
      </c>
      <c r="Q31" s="59">
        <f t="shared" si="3"/>
        <v>0.65625</v>
      </c>
      <c r="R31" s="20">
        <v>0.5</v>
      </c>
    </row>
    <row r="32" ht="15.75" customHeight="1">
      <c r="A32" s="21"/>
      <c r="B32" s="22"/>
      <c r="C32" s="23">
        <v>2.0</v>
      </c>
      <c r="D32" s="24" t="s">
        <v>87</v>
      </c>
      <c r="E32" s="27" t="s">
        <v>70</v>
      </c>
      <c r="F32" s="133">
        <v>0.933</v>
      </c>
      <c r="G32" s="27" t="s">
        <v>70</v>
      </c>
      <c r="H32" s="27" t="s">
        <v>70</v>
      </c>
      <c r="I32" s="133">
        <v>0.566</v>
      </c>
      <c r="J32" s="27" t="s">
        <v>70</v>
      </c>
      <c r="K32" s="27" t="s">
        <v>70</v>
      </c>
      <c r="L32" s="27" t="s">
        <v>70</v>
      </c>
      <c r="M32" s="65">
        <v>1.005</v>
      </c>
      <c r="N32" s="27" t="s">
        <v>70</v>
      </c>
      <c r="O32" s="27" t="s">
        <v>70</v>
      </c>
      <c r="P32" s="65">
        <v>0.411</v>
      </c>
      <c r="Q32" s="65">
        <f t="shared" si="3"/>
        <v>0.72875</v>
      </c>
      <c r="R32" s="29">
        <v>0.5</v>
      </c>
    </row>
    <row r="33" ht="15.75" customHeight="1">
      <c r="A33" s="21"/>
      <c r="B33" s="30"/>
      <c r="C33" s="23">
        <v>3.0</v>
      </c>
      <c r="D33" s="24" t="s">
        <v>88</v>
      </c>
      <c r="E33" s="27" t="s">
        <v>70</v>
      </c>
      <c r="F33" s="133">
        <v>0.937</v>
      </c>
      <c r="G33" s="27" t="s">
        <v>70</v>
      </c>
      <c r="H33" s="27" t="s">
        <v>70</v>
      </c>
      <c r="I33" s="133">
        <v>0.607</v>
      </c>
      <c r="J33" s="27" t="s">
        <v>70</v>
      </c>
      <c r="K33" s="27" t="s">
        <v>70</v>
      </c>
      <c r="L33" s="27" t="s">
        <v>70</v>
      </c>
      <c r="M33" s="65">
        <v>0.823</v>
      </c>
      <c r="N33" s="27" t="s">
        <v>70</v>
      </c>
      <c r="O33" s="27" t="s">
        <v>70</v>
      </c>
      <c r="P33" s="65">
        <v>0.426</v>
      </c>
      <c r="Q33" s="65">
        <f t="shared" si="3"/>
        <v>0.69825</v>
      </c>
      <c r="R33" s="29">
        <v>0.5</v>
      </c>
    </row>
    <row r="34" ht="15.75" customHeight="1">
      <c r="A34" s="21"/>
      <c r="B34" s="13" t="s">
        <v>42</v>
      </c>
      <c r="C34" s="31">
        <v>1.0</v>
      </c>
      <c r="D34" s="32" t="s">
        <v>86</v>
      </c>
      <c r="E34" s="18" t="s">
        <v>70</v>
      </c>
      <c r="F34" s="121">
        <v>776.0</v>
      </c>
      <c r="G34" s="18" t="s">
        <v>70</v>
      </c>
      <c r="H34" s="18" t="s">
        <v>70</v>
      </c>
      <c r="I34" s="121">
        <v>218.0</v>
      </c>
      <c r="J34" s="18" t="s">
        <v>70</v>
      </c>
      <c r="K34" s="18" t="s">
        <v>70</v>
      </c>
      <c r="L34" s="18" t="s">
        <v>70</v>
      </c>
      <c r="M34" s="35">
        <v>824.0</v>
      </c>
      <c r="N34" s="18" t="s">
        <v>70</v>
      </c>
      <c r="O34" s="18" t="s">
        <v>70</v>
      </c>
      <c r="P34" s="35">
        <v>221.0</v>
      </c>
      <c r="Q34" s="35">
        <f t="shared" si="3"/>
        <v>509.75</v>
      </c>
      <c r="R34" s="20">
        <v>350.0</v>
      </c>
    </row>
    <row r="35" ht="15.75" customHeight="1">
      <c r="A35" s="21"/>
      <c r="B35" s="22"/>
      <c r="C35" s="23">
        <v>2.0</v>
      </c>
      <c r="D35" s="24" t="s">
        <v>87</v>
      </c>
      <c r="E35" s="27" t="s">
        <v>70</v>
      </c>
      <c r="F35" s="122">
        <v>713.0</v>
      </c>
      <c r="G35" s="27" t="s">
        <v>70</v>
      </c>
      <c r="H35" s="27" t="s">
        <v>70</v>
      </c>
      <c r="I35" s="122">
        <v>665.0</v>
      </c>
      <c r="J35" s="27" t="s">
        <v>70</v>
      </c>
      <c r="K35" s="27" t="s">
        <v>70</v>
      </c>
      <c r="L35" s="27" t="s">
        <v>70</v>
      </c>
      <c r="M35" s="39">
        <v>876.0</v>
      </c>
      <c r="N35" s="27" t="s">
        <v>70</v>
      </c>
      <c r="O35" s="27" t="s">
        <v>70</v>
      </c>
      <c r="P35" s="27">
        <v>0.3</v>
      </c>
      <c r="Q35" s="39">
        <f t="shared" si="3"/>
        <v>563.575</v>
      </c>
      <c r="R35" s="29">
        <v>350.0</v>
      </c>
    </row>
    <row r="36" ht="15.75" customHeight="1">
      <c r="A36" s="21"/>
      <c r="B36" s="30"/>
      <c r="C36" s="23">
        <v>3.0</v>
      </c>
      <c r="D36" s="24" t="s">
        <v>88</v>
      </c>
      <c r="E36" s="27" t="s">
        <v>70</v>
      </c>
      <c r="F36" s="122">
        <v>767.0</v>
      </c>
      <c r="G36" s="27" t="s">
        <v>70</v>
      </c>
      <c r="H36" s="27" t="s">
        <v>70</v>
      </c>
      <c r="I36" s="122">
        <v>189.0</v>
      </c>
      <c r="J36" s="27" t="s">
        <v>70</v>
      </c>
      <c r="K36" s="27" t="s">
        <v>70</v>
      </c>
      <c r="L36" s="27" t="s">
        <v>70</v>
      </c>
      <c r="M36" s="39">
        <v>175.0</v>
      </c>
      <c r="N36" s="27" t="s">
        <v>70</v>
      </c>
      <c r="O36" s="27" t="s">
        <v>70</v>
      </c>
      <c r="P36" s="27">
        <v>0.31</v>
      </c>
      <c r="Q36" s="39">
        <f t="shared" si="3"/>
        <v>282.8275</v>
      </c>
      <c r="R36" s="29">
        <v>350.0</v>
      </c>
    </row>
    <row r="37" ht="14.25" customHeight="1">
      <c r="A37" s="134"/>
      <c r="B37" s="134"/>
      <c r="C37" s="134"/>
      <c r="D37" s="134"/>
      <c r="E37" s="134"/>
      <c r="F37" s="134"/>
      <c r="G37" s="149"/>
      <c r="H37" s="134"/>
      <c r="I37" s="134"/>
      <c r="J37" s="134"/>
      <c r="K37" s="134"/>
      <c r="L37" s="134"/>
      <c r="M37" s="134"/>
      <c r="N37" s="134"/>
      <c r="O37" s="135"/>
      <c r="P37" s="134"/>
      <c r="Q37" s="134"/>
      <c r="R37" s="134"/>
    </row>
    <row r="38" ht="14.25" customHeight="1">
      <c r="A38" s="136" t="s">
        <v>43</v>
      </c>
      <c r="D38" s="136"/>
      <c r="E38" s="134"/>
      <c r="F38" s="134"/>
      <c r="G38" s="149"/>
      <c r="H38" s="134"/>
      <c r="I38" s="134"/>
      <c r="J38" s="134"/>
      <c r="K38" s="134"/>
      <c r="L38" s="134"/>
      <c r="M38" s="134"/>
      <c r="N38" s="134"/>
      <c r="O38" s="135"/>
      <c r="P38" s="134"/>
      <c r="Q38" s="134"/>
      <c r="R38" s="134"/>
    </row>
    <row r="39" ht="14.25" customHeight="1">
      <c r="E39" s="134"/>
      <c r="F39" s="134"/>
      <c r="G39" s="149"/>
      <c r="H39" s="134"/>
      <c r="I39" s="134"/>
      <c r="J39" s="134"/>
      <c r="K39" s="134"/>
      <c r="L39" s="134"/>
      <c r="M39" s="134"/>
      <c r="N39" s="134"/>
      <c r="O39" s="135"/>
      <c r="P39" s="134"/>
    </row>
    <row r="40" ht="14.25" customHeight="1">
      <c r="A40" s="110" t="s">
        <v>76</v>
      </c>
      <c r="D40" s="134"/>
      <c r="E40" s="134"/>
      <c r="F40" s="134"/>
      <c r="G40" s="149"/>
      <c r="H40" s="134"/>
      <c r="I40" s="134"/>
      <c r="J40" s="134"/>
      <c r="K40" s="134"/>
      <c r="L40" s="134"/>
      <c r="M40" s="134"/>
      <c r="N40" s="134"/>
      <c r="O40" s="135"/>
      <c r="P40" s="134"/>
    </row>
    <row r="41" ht="14.25" customHeight="1">
      <c r="D41" s="134"/>
      <c r="E41" s="134"/>
      <c r="F41" s="134"/>
      <c r="G41" s="149"/>
      <c r="H41" s="134"/>
      <c r="I41" s="134"/>
      <c r="J41" s="134"/>
      <c r="K41" s="134"/>
      <c r="L41" s="134"/>
      <c r="M41" s="134"/>
      <c r="N41" s="134"/>
      <c r="O41" s="135"/>
      <c r="P41" s="134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30.43"/>
    <col customWidth="1" min="5" max="5" width="8.29" outlineLevel="1"/>
    <col customWidth="1" min="6" max="6" width="11.71" outlineLevel="1"/>
    <col customWidth="1" min="7" max="7" width="11.43" outlineLevel="1"/>
    <col customWidth="1" min="8" max="8" width="5.71" outlineLevel="1"/>
    <col customWidth="1" min="9" max="9" width="10.57" outlineLevel="1"/>
    <col customWidth="1" min="10" max="10" width="5.14" outlineLevel="1"/>
    <col customWidth="1" min="11" max="11" width="8.43" outlineLevel="1"/>
    <col customWidth="1" min="12" max="12" width="10.29" outlineLevel="1"/>
    <col customWidth="1" min="13" max="13" width="10.14" outlineLevel="1"/>
    <col customWidth="1" min="14" max="14" width="8.0" outlineLevel="1"/>
    <col customWidth="1" min="15" max="15" width="9.86" outlineLevel="1"/>
    <col customWidth="1" min="16" max="16" width="9.57" outlineLevel="1"/>
    <col customWidth="1" min="17" max="17" width="23.14"/>
    <col customWidth="1" min="18" max="18" width="8.57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92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53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75" customHeight="1">
      <c r="A7" s="12" t="s">
        <v>23</v>
      </c>
      <c r="B7" s="13" t="s">
        <v>24</v>
      </c>
      <c r="C7" s="14">
        <v>1.0</v>
      </c>
      <c r="D7" s="150" t="s">
        <v>27</v>
      </c>
      <c r="E7" s="18" t="s">
        <v>70</v>
      </c>
      <c r="F7" s="18" t="s">
        <v>70</v>
      </c>
      <c r="G7" s="120">
        <v>4.2</v>
      </c>
      <c r="H7" s="18" t="s">
        <v>70</v>
      </c>
      <c r="I7" s="120">
        <v>5.5</v>
      </c>
      <c r="J7" s="18" t="s">
        <v>70</v>
      </c>
      <c r="K7" s="17">
        <v>3.7</v>
      </c>
      <c r="L7" s="18" t="s">
        <v>70</v>
      </c>
      <c r="M7" s="18" t="s">
        <v>70</v>
      </c>
      <c r="N7" s="18">
        <v>5.2</v>
      </c>
      <c r="O7" s="18" t="s">
        <v>70</v>
      </c>
      <c r="P7" s="18" t="s">
        <v>70</v>
      </c>
      <c r="Q7" s="18">
        <f t="shared" ref="Q7:Q24" si="1">AVERAGE(E7:P7)</f>
        <v>4.65</v>
      </c>
      <c r="R7" s="20">
        <v>5.0</v>
      </c>
    </row>
    <row r="8" ht="15.75" customHeight="1">
      <c r="A8" s="21"/>
      <c r="B8" s="22"/>
      <c r="C8" s="23">
        <v>2.0</v>
      </c>
      <c r="D8" s="151" t="s">
        <v>93</v>
      </c>
      <c r="E8" s="106" t="s">
        <v>70</v>
      </c>
      <c r="F8" s="106" t="s">
        <v>70</v>
      </c>
      <c r="G8" s="122">
        <v>6.0</v>
      </c>
      <c r="H8" s="106" t="s">
        <v>70</v>
      </c>
      <c r="I8" s="122">
        <v>2.4</v>
      </c>
      <c r="J8" s="106" t="s">
        <v>70</v>
      </c>
      <c r="K8" s="26">
        <v>1.6</v>
      </c>
      <c r="L8" s="106" t="s">
        <v>70</v>
      </c>
      <c r="M8" s="106" t="s">
        <v>70</v>
      </c>
      <c r="N8" s="27">
        <v>6.0</v>
      </c>
      <c r="O8" s="106" t="s">
        <v>70</v>
      </c>
      <c r="P8" s="106" t="s">
        <v>70</v>
      </c>
      <c r="Q8" s="152">
        <f t="shared" si="1"/>
        <v>4</v>
      </c>
      <c r="R8" s="29">
        <v>5.0</v>
      </c>
    </row>
    <row r="9" ht="15.75" customHeight="1">
      <c r="A9" s="21"/>
      <c r="B9" s="30"/>
      <c r="C9" s="23">
        <v>3.0</v>
      </c>
      <c r="D9" s="151" t="s">
        <v>94</v>
      </c>
      <c r="E9" s="106" t="s">
        <v>70</v>
      </c>
      <c r="F9" s="106" t="s">
        <v>70</v>
      </c>
      <c r="G9" s="122">
        <v>7.2</v>
      </c>
      <c r="H9" s="106" t="s">
        <v>70</v>
      </c>
      <c r="I9" s="122">
        <v>6.0</v>
      </c>
      <c r="J9" s="106" t="s">
        <v>70</v>
      </c>
      <c r="K9" s="26">
        <v>4.3</v>
      </c>
      <c r="L9" s="106" t="s">
        <v>70</v>
      </c>
      <c r="M9" s="106" t="s">
        <v>70</v>
      </c>
      <c r="N9" s="27">
        <v>6.5</v>
      </c>
      <c r="O9" s="106" t="s">
        <v>70</v>
      </c>
      <c r="P9" s="106" t="s">
        <v>70</v>
      </c>
      <c r="Q9" s="152">
        <f t="shared" si="1"/>
        <v>6</v>
      </c>
      <c r="R9" s="29">
        <v>5.0</v>
      </c>
    </row>
    <row r="10" ht="15.75" customHeight="1">
      <c r="A10" s="21"/>
      <c r="B10" s="13" t="s">
        <v>30</v>
      </c>
      <c r="C10" s="31">
        <v>1.0</v>
      </c>
      <c r="D10" s="153" t="s">
        <v>27</v>
      </c>
      <c r="E10" s="18" t="s">
        <v>70</v>
      </c>
      <c r="F10" s="18" t="s">
        <v>70</v>
      </c>
      <c r="G10" s="125">
        <v>2.0</v>
      </c>
      <c r="H10" s="35" t="s">
        <v>70</v>
      </c>
      <c r="I10" s="125">
        <v>3.0</v>
      </c>
      <c r="J10" s="35" t="s">
        <v>70</v>
      </c>
      <c r="K10" s="34">
        <v>3.0</v>
      </c>
      <c r="L10" s="35" t="s">
        <v>70</v>
      </c>
      <c r="M10" s="35" t="s">
        <v>70</v>
      </c>
      <c r="N10" s="35">
        <v>2.0</v>
      </c>
      <c r="O10" s="35" t="s">
        <v>70</v>
      </c>
      <c r="P10" s="35" t="s">
        <v>70</v>
      </c>
      <c r="Q10" s="35">
        <f t="shared" si="1"/>
        <v>2.5</v>
      </c>
      <c r="R10" s="20">
        <v>7.0</v>
      </c>
    </row>
    <row r="11" ht="15.75" customHeight="1">
      <c r="A11" s="21"/>
      <c r="B11" s="22"/>
      <c r="C11" s="23">
        <v>2.0</v>
      </c>
      <c r="D11" s="151" t="s">
        <v>93</v>
      </c>
      <c r="E11" s="106" t="s">
        <v>70</v>
      </c>
      <c r="F11" s="106" t="s">
        <v>70</v>
      </c>
      <c r="G11" s="126">
        <v>4.0</v>
      </c>
      <c r="H11" s="39" t="s">
        <v>70</v>
      </c>
      <c r="I11" s="126">
        <v>4.0</v>
      </c>
      <c r="J11" s="39" t="s">
        <v>70</v>
      </c>
      <c r="K11" s="38">
        <v>9.0</v>
      </c>
      <c r="L11" s="39" t="s">
        <v>70</v>
      </c>
      <c r="M11" s="39" t="s">
        <v>70</v>
      </c>
      <c r="N11" s="106">
        <v>2.0</v>
      </c>
      <c r="O11" s="39" t="s">
        <v>70</v>
      </c>
      <c r="P11" s="39" t="s">
        <v>70</v>
      </c>
      <c r="Q11" s="154">
        <f t="shared" si="1"/>
        <v>4.75</v>
      </c>
      <c r="R11" s="29">
        <v>7.0</v>
      </c>
    </row>
    <row r="12" ht="15.75" customHeight="1">
      <c r="A12" s="21"/>
      <c r="B12" s="30"/>
      <c r="C12" s="23">
        <v>3.0</v>
      </c>
      <c r="D12" s="151" t="s">
        <v>94</v>
      </c>
      <c r="E12" s="106" t="s">
        <v>70</v>
      </c>
      <c r="F12" s="106" t="s">
        <v>70</v>
      </c>
      <c r="G12" s="126">
        <v>2.0</v>
      </c>
      <c r="H12" s="39" t="s">
        <v>70</v>
      </c>
      <c r="I12" s="126">
        <v>2.0</v>
      </c>
      <c r="J12" s="39" t="s">
        <v>70</v>
      </c>
      <c r="K12" s="38">
        <v>4.0</v>
      </c>
      <c r="L12" s="39" t="s">
        <v>70</v>
      </c>
      <c r="M12" s="39" t="s">
        <v>70</v>
      </c>
      <c r="N12" s="106">
        <v>2.0</v>
      </c>
      <c r="O12" s="39" t="s">
        <v>70</v>
      </c>
      <c r="P12" s="39" t="s">
        <v>70</v>
      </c>
      <c r="Q12" s="154">
        <f t="shared" si="1"/>
        <v>2.5</v>
      </c>
      <c r="R12" s="29">
        <v>7.0</v>
      </c>
    </row>
    <row r="13" ht="15.75" customHeight="1">
      <c r="A13" s="21"/>
      <c r="B13" s="13" t="s">
        <v>31</v>
      </c>
      <c r="C13" s="31">
        <v>1.0</v>
      </c>
      <c r="D13" s="153" t="s">
        <v>27</v>
      </c>
      <c r="E13" s="18" t="s">
        <v>70</v>
      </c>
      <c r="F13" s="18" t="s">
        <v>70</v>
      </c>
      <c r="G13" s="125">
        <v>3.0</v>
      </c>
      <c r="H13" s="35" t="s">
        <v>70</v>
      </c>
      <c r="I13" s="125">
        <v>6.0</v>
      </c>
      <c r="J13" s="35" t="s">
        <v>70</v>
      </c>
      <c r="K13" s="34">
        <v>19.0</v>
      </c>
      <c r="L13" s="35" t="s">
        <v>70</v>
      </c>
      <c r="M13" s="35" t="s">
        <v>70</v>
      </c>
      <c r="N13" s="35">
        <v>43.0</v>
      </c>
      <c r="O13" s="35" t="s">
        <v>70</v>
      </c>
      <c r="P13" s="35" t="s">
        <v>70</v>
      </c>
      <c r="Q13" s="35">
        <f t="shared" si="1"/>
        <v>17.75</v>
      </c>
      <c r="R13" s="20">
        <v>80.0</v>
      </c>
    </row>
    <row r="14" ht="15.75" customHeight="1">
      <c r="A14" s="21"/>
      <c r="B14" s="22"/>
      <c r="C14" s="23">
        <v>2.0</v>
      </c>
      <c r="D14" s="151" t="s">
        <v>93</v>
      </c>
      <c r="E14" s="106" t="s">
        <v>70</v>
      </c>
      <c r="F14" s="106" t="s">
        <v>70</v>
      </c>
      <c r="G14" s="126">
        <v>18.0</v>
      </c>
      <c r="H14" s="39" t="s">
        <v>70</v>
      </c>
      <c r="I14" s="126">
        <v>15.0</v>
      </c>
      <c r="J14" s="39" t="s">
        <v>70</v>
      </c>
      <c r="K14" s="38">
        <v>13.0</v>
      </c>
      <c r="L14" s="39" t="s">
        <v>70</v>
      </c>
      <c r="M14" s="39" t="s">
        <v>70</v>
      </c>
      <c r="N14" s="106">
        <v>55.0</v>
      </c>
      <c r="O14" s="39" t="s">
        <v>70</v>
      </c>
      <c r="P14" s="39" t="s">
        <v>70</v>
      </c>
      <c r="Q14" s="154">
        <f t="shared" si="1"/>
        <v>25.25</v>
      </c>
      <c r="R14" s="29">
        <v>80.0</v>
      </c>
    </row>
    <row r="15" ht="15.75" customHeight="1">
      <c r="A15" s="21"/>
      <c r="B15" s="30"/>
      <c r="C15" s="23">
        <v>3.0</v>
      </c>
      <c r="D15" s="151" t="s">
        <v>94</v>
      </c>
      <c r="E15" s="106" t="s">
        <v>70</v>
      </c>
      <c r="F15" s="106" t="s">
        <v>70</v>
      </c>
      <c r="G15" s="126">
        <v>12.0</v>
      </c>
      <c r="H15" s="39" t="s">
        <v>70</v>
      </c>
      <c r="I15" s="126">
        <v>25.0</v>
      </c>
      <c r="J15" s="39" t="s">
        <v>70</v>
      </c>
      <c r="K15" s="38">
        <v>115.0</v>
      </c>
      <c r="L15" s="39" t="s">
        <v>70</v>
      </c>
      <c r="M15" s="39" t="s">
        <v>70</v>
      </c>
      <c r="N15" s="106">
        <v>47.0</v>
      </c>
      <c r="O15" s="39" t="s">
        <v>70</v>
      </c>
      <c r="P15" s="39" t="s">
        <v>70</v>
      </c>
      <c r="Q15" s="154">
        <f t="shared" si="1"/>
        <v>49.75</v>
      </c>
      <c r="R15" s="29">
        <v>80.0</v>
      </c>
    </row>
    <row r="16" ht="15.75" customHeight="1">
      <c r="A16" s="21"/>
      <c r="B16" s="13" t="s">
        <v>33</v>
      </c>
      <c r="C16" s="31">
        <v>1.0</v>
      </c>
      <c r="D16" s="153" t="s">
        <v>27</v>
      </c>
      <c r="E16" s="18" t="s">
        <v>70</v>
      </c>
      <c r="F16" s="18" t="s">
        <v>70</v>
      </c>
      <c r="G16" s="121">
        <v>7.1</v>
      </c>
      <c r="H16" s="18" t="s">
        <v>70</v>
      </c>
      <c r="I16" s="121">
        <v>7.65</v>
      </c>
      <c r="J16" s="18" t="s">
        <v>70</v>
      </c>
      <c r="K16" s="42">
        <v>7.0</v>
      </c>
      <c r="L16" s="18" t="s">
        <v>70</v>
      </c>
      <c r="M16" s="18" t="s">
        <v>70</v>
      </c>
      <c r="N16" s="18">
        <v>7.0</v>
      </c>
      <c r="O16" s="18" t="s">
        <v>70</v>
      </c>
      <c r="P16" s="18" t="s">
        <v>70</v>
      </c>
      <c r="Q16" s="35">
        <f t="shared" si="1"/>
        <v>7.1875</v>
      </c>
      <c r="R16" s="18" t="s">
        <v>34</v>
      </c>
    </row>
    <row r="17" ht="15.75" customHeight="1">
      <c r="A17" s="21"/>
      <c r="B17" s="22"/>
      <c r="C17" s="23">
        <v>2.0</v>
      </c>
      <c r="D17" s="151" t="s">
        <v>93</v>
      </c>
      <c r="E17" s="106" t="s">
        <v>70</v>
      </c>
      <c r="F17" s="106" t="s">
        <v>70</v>
      </c>
      <c r="G17" s="122">
        <v>7.3</v>
      </c>
      <c r="H17" s="106" t="s">
        <v>70</v>
      </c>
      <c r="I17" s="122">
        <v>7.33</v>
      </c>
      <c r="J17" s="106" t="s">
        <v>70</v>
      </c>
      <c r="K17" s="26">
        <v>7.0</v>
      </c>
      <c r="L17" s="106" t="s">
        <v>70</v>
      </c>
      <c r="M17" s="106" t="s">
        <v>70</v>
      </c>
      <c r="N17" s="106">
        <v>7.0</v>
      </c>
      <c r="O17" s="106" t="s">
        <v>70</v>
      </c>
      <c r="P17" s="106" t="s">
        <v>70</v>
      </c>
      <c r="Q17" s="154">
        <f t="shared" si="1"/>
        <v>7.1575</v>
      </c>
      <c r="R17" s="27" t="s">
        <v>34</v>
      </c>
    </row>
    <row r="18" ht="15.75" customHeight="1">
      <c r="A18" s="21"/>
      <c r="B18" s="30"/>
      <c r="C18" s="23">
        <v>3.0</v>
      </c>
      <c r="D18" s="151" t="s">
        <v>94</v>
      </c>
      <c r="E18" s="106" t="s">
        <v>70</v>
      </c>
      <c r="F18" s="106" t="s">
        <v>70</v>
      </c>
      <c r="G18" s="122">
        <v>7.2</v>
      </c>
      <c r="H18" s="106" t="s">
        <v>70</v>
      </c>
      <c r="I18" s="122">
        <v>7.69</v>
      </c>
      <c r="J18" s="106" t="s">
        <v>70</v>
      </c>
      <c r="K18" s="26">
        <v>7.0</v>
      </c>
      <c r="L18" s="106" t="s">
        <v>70</v>
      </c>
      <c r="M18" s="106" t="s">
        <v>70</v>
      </c>
      <c r="N18" s="106">
        <v>7.0</v>
      </c>
      <c r="O18" s="106" t="s">
        <v>70</v>
      </c>
      <c r="P18" s="106" t="s">
        <v>70</v>
      </c>
      <c r="Q18" s="154">
        <f t="shared" si="1"/>
        <v>7.2225</v>
      </c>
      <c r="R18" s="27" t="s">
        <v>34</v>
      </c>
    </row>
    <row r="19" ht="15.75" customHeight="1">
      <c r="A19" s="21"/>
      <c r="B19" s="13" t="s">
        <v>95</v>
      </c>
      <c r="C19" s="31">
        <v>1.0</v>
      </c>
      <c r="D19" s="153" t="s">
        <v>27</v>
      </c>
      <c r="E19" s="18" t="s">
        <v>70</v>
      </c>
      <c r="F19" s="18" t="s">
        <v>70</v>
      </c>
      <c r="G19" s="121">
        <v>25.4</v>
      </c>
      <c r="H19" s="18" t="s">
        <v>70</v>
      </c>
      <c r="I19" s="121">
        <v>27.1</v>
      </c>
      <c r="J19" s="18" t="s">
        <v>70</v>
      </c>
      <c r="K19" s="42">
        <v>26.5</v>
      </c>
      <c r="L19" s="18" t="s">
        <v>70</v>
      </c>
      <c r="M19" s="18" t="s">
        <v>70</v>
      </c>
      <c r="N19" s="18">
        <v>27.1</v>
      </c>
      <c r="O19" s="18" t="s">
        <v>70</v>
      </c>
      <c r="P19" s="18" t="s">
        <v>70</v>
      </c>
      <c r="Q19" s="35">
        <f t="shared" si="1"/>
        <v>26.525</v>
      </c>
      <c r="R19" s="18" t="s">
        <v>36</v>
      </c>
    </row>
    <row r="20" ht="15.75" customHeight="1">
      <c r="A20" s="21"/>
      <c r="B20" s="22"/>
      <c r="C20" s="23">
        <v>2.0</v>
      </c>
      <c r="D20" s="151" t="s">
        <v>93</v>
      </c>
      <c r="E20" s="106" t="s">
        <v>70</v>
      </c>
      <c r="F20" s="106" t="s">
        <v>70</v>
      </c>
      <c r="G20" s="122">
        <v>25.6</v>
      </c>
      <c r="H20" s="106" t="s">
        <v>70</v>
      </c>
      <c r="I20" s="122">
        <v>27.4</v>
      </c>
      <c r="J20" s="106" t="s">
        <v>70</v>
      </c>
      <c r="K20" s="26">
        <v>27.0</v>
      </c>
      <c r="L20" s="106" t="s">
        <v>70</v>
      </c>
      <c r="M20" s="106" t="s">
        <v>70</v>
      </c>
      <c r="N20" s="27">
        <v>27.1</v>
      </c>
      <c r="O20" s="106" t="s">
        <v>70</v>
      </c>
      <c r="P20" s="106" t="s">
        <v>70</v>
      </c>
      <c r="Q20" s="154">
        <f t="shared" si="1"/>
        <v>26.775</v>
      </c>
      <c r="R20" s="27" t="s">
        <v>36</v>
      </c>
    </row>
    <row r="21" ht="15.75" customHeight="1">
      <c r="A21" s="21"/>
      <c r="B21" s="30"/>
      <c r="C21" s="23">
        <v>3.0</v>
      </c>
      <c r="D21" s="151" t="s">
        <v>94</v>
      </c>
      <c r="E21" s="106" t="s">
        <v>70</v>
      </c>
      <c r="F21" s="106" t="s">
        <v>70</v>
      </c>
      <c r="G21" s="122">
        <v>25.5</v>
      </c>
      <c r="H21" s="106" t="s">
        <v>70</v>
      </c>
      <c r="I21" s="122">
        <v>27.5</v>
      </c>
      <c r="J21" s="106" t="s">
        <v>70</v>
      </c>
      <c r="K21" s="26">
        <v>26.3</v>
      </c>
      <c r="L21" s="106" t="s">
        <v>70</v>
      </c>
      <c r="M21" s="106" t="s">
        <v>70</v>
      </c>
      <c r="N21" s="27">
        <v>27.4</v>
      </c>
      <c r="O21" s="106" t="s">
        <v>70</v>
      </c>
      <c r="P21" s="106" t="s">
        <v>70</v>
      </c>
      <c r="Q21" s="154">
        <f t="shared" si="1"/>
        <v>26.675</v>
      </c>
      <c r="R21" s="27" t="s">
        <v>36</v>
      </c>
    </row>
    <row r="22" ht="14.25" customHeight="1">
      <c r="A22" s="21"/>
      <c r="B22" s="13" t="s">
        <v>37</v>
      </c>
      <c r="C22" s="31">
        <v>1.0</v>
      </c>
      <c r="D22" s="153" t="s">
        <v>27</v>
      </c>
      <c r="E22" s="18" t="s">
        <v>70</v>
      </c>
      <c r="F22" s="18" t="s">
        <v>70</v>
      </c>
      <c r="G22" s="125">
        <v>10.0</v>
      </c>
      <c r="H22" s="35" t="s">
        <v>70</v>
      </c>
      <c r="I22" s="125">
        <v>15.0</v>
      </c>
      <c r="J22" s="35" t="s">
        <v>70</v>
      </c>
      <c r="K22" s="34">
        <v>20.0</v>
      </c>
      <c r="L22" s="35" t="s">
        <v>70</v>
      </c>
      <c r="M22" s="35" t="s">
        <v>70</v>
      </c>
      <c r="N22" s="35">
        <v>15.0</v>
      </c>
      <c r="O22" s="35" t="s">
        <v>70</v>
      </c>
      <c r="P22" s="35" t="s">
        <v>70</v>
      </c>
      <c r="Q22" s="35">
        <f t="shared" si="1"/>
        <v>15</v>
      </c>
      <c r="R22" s="20">
        <v>75.0</v>
      </c>
    </row>
    <row r="23" ht="15.0" customHeight="1">
      <c r="A23" s="21"/>
      <c r="B23" s="22"/>
      <c r="C23" s="23">
        <v>2.0</v>
      </c>
      <c r="D23" s="151" t="s">
        <v>93</v>
      </c>
      <c r="E23" s="106" t="s">
        <v>70</v>
      </c>
      <c r="F23" s="106" t="s">
        <v>70</v>
      </c>
      <c r="G23" s="126">
        <v>5.0</v>
      </c>
      <c r="H23" s="39" t="s">
        <v>70</v>
      </c>
      <c r="I23" s="126">
        <v>15.0</v>
      </c>
      <c r="J23" s="39" t="s">
        <v>70</v>
      </c>
      <c r="K23" s="38">
        <v>10.0</v>
      </c>
      <c r="L23" s="39" t="s">
        <v>70</v>
      </c>
      <c r="M23" s="39" t="s">
        <v>70</v>
      </c>
      <c r="N23" s="106">
        <v>5.0</v>
      </c>
      <c r="O23" s="39" t="s">
        <v>70</v>
      </c>
      <c r="P23" s="39" t="s">
        <v>70</v>
      </c>
      <c r="Q23" s="154">
        <f t="shared" si="1"/>
        <v>8.75</v>
      </c>
      <c r="R23" s="155">
        <v>75.0</v>
      </c>
    </row>
    <row r="24" ht="14.25" customHeight="1">
      <c r="A24" s="21"/>
      <c r="B24" s="30"/>
      <c r="C24" s="23">
        <v>3.0</v>
      </c>
      <c r="D24" s="151" t="s">
        <v>94</v>
      </c>
      <c r="E24" s="106" t="s">
        <v>70</v>
      </c>
      <c r="F24" s="106" t="s">
        <v>70</v>
      </c>
      <c r="G24" s="126">
        <v>5.0</v>
      </c>
      <c r="H24" s="39" t="s">
        <v>70</v>
      </c>
      <c r="I24" s="126">
        <v>5.0</v>
      </c>
      <c r="J24" s="39" t="s">
        <v>70</v>
      </c>
      <c r="K24" s="38">
        <v>5.0</v>
      </c>
      <c r="L24" s="39" t="s">
        <v>70</v>
      </c>
      <c r="M24" s="39" t="s">
        <v>70</v>
      </c>
      <c r="N24" s="106">
        <v>5.0</v>
      </c>
      <c r="O24" s="39" t="s">
        <v>70</v>
      </c>
      <c r="P24" s="39" t="s">
        <v>70</v>
      </c>
      <c r="Q24" s="154">
        <f t="shared" si="1"/>
        <v>5</v>
      </c>
      <c r="R24" s="29">
        <v>75.0</v>
      </c>
    </row>
    <row r="25" ht="15.75" customHeight="1">
      <c r="A25" s="21"/>
      <c r="B25" s="13" t="s">
        <v>38</v>
      </c>
      <c r="C25" s="31">
        <v>1.0</v>
      </c>
      <c r="D25" s="153" t="s">
        <v>27</v>
      </c>
      <c r="E25" s="47" t="s">
        <v>70</v>
      </c>
      <c r="F25" s="47" t="s">
        <v>70</v>
      </c>
      <c r="G25" s="128">
        <v>23.0</v>
      </c>
      <c r="H25" s="47" t="s">
        <v>70</v>
      </c>
      <c r="I25" s="128">
        <v>540000.0</v>
      </c>
      <c r="J25" s="47" t="s">
        <v>70</v>
      </c>
      <c r="K25" s="156">
        <v>790.0</v>
      </c>
      <c r="L25" s="47" t="s">
        <v>70</v>
      </c>
      <c r="M25" s="47" t="s">
        <v>70</v>
      </c>
      <c r="N25" s="47">
        <v>24000.0</v>
      </c>
      <c r="O25" s="47" t="s">
        <v>70</v>
      </c>
      <c r="P25" s="47" t="s">
        <v>70</v>
      </c>
      <c r="Q25" s="69">
        <f t="shared" ref="Q25:Q27" si="2">GEOMEAN(E25:P25)</f>
        <v>3917.32841</v>
      </c>
      <c r="R25" s="20">
        <v>200.0</v>
      </c>
      <c r="S25" s="50">
        <f>GEOMEAN(Q25:Q27)</f>
        <v>3603.911116</v>
      </c>
    </row>
    <row r="26" ht="15.75" customHeight="1">
      <c r="A26" s="21"/>
      <c r="B26" s="22"/>
      <c r="C26" s="23">
        <v>2.0</v>
      </c>
      <c r="D26" s="151" t="s">
        <v>96</v>
      </c>
      <c r="E26" s="53" t="s">
        <v>70</v>
      </c>
      <c r="F26" s="53" t="s">
        <v>70</v>
      </c>
      <c r="G26" s="130">
        <v>23.0</v>
      </c>
      <c r="H26" s="53" t="s">
        <v>70</v>
      </c>
      <c r="I26" s="130">
        <v>35000.0</v>
      </c>
      <c r="J26" s="53" t="s">
        <v>70</v>
      </c>
      <c r="K26" s="157">
        <v>13000.0</v>
      </c>
      <c r="L26" s="53" t="s">
        <v>70</v>
      </c>
      <c r="M26" s="53" t="s">
        <v>70</v>
      </c>
      <c r="N26" s="53">
        <v>7900.0</v>
      </c>
      <c r="O26" s="53" t="s">
        <v>70</v>
      </c>
      <c r="P26" s="53" t="s">
        <v>70</v>
      </c>
      <c r="Q26" s="53">
        <f t="shared" si="2"/>
        <v>3015.376744</v>
      </c>
      <c r="R26" s="29">
        <v>200.0</v>
      </c>
    </row>
    <row r="27" ht="15.75" customHeight="1">
      <c r="A27" s="21"/>
      <c r="B27" s="30"/>
      <c r="C27" s="23">
        <v>3.0</v>
      </c>
      <c r="D27" s="151" t="s">
        <v>94</v>
      </c>
      <c r="E27" s="53" t="s">
        <v>70</v>
      </c>
      <c r="F27" s="53" t="s">
        <v>70</v>
      </c>
      <c r="G27" s="130">
        <v>49.0</v>
      </c>
      <c r="H27" s="53" t="s">
        <v>70</v>
      </c>
      <c r="I27" s="130">
        <v>13000.0</v>
      </c>
      <c r="J27" s="53" t="s">
        <v>70</v>
      </c>
      <c r="K27" s="157">
        <v>79000.0</v>
      </c>
      <c r="L27" s="53" t="s">
        <v>70</v>
      </c>
      <c r="M27" s="53" t="s">
        <v>70</v>
      </c>
      <c r="N27" s="53">
        <v>4900.0</v>
      </c>
      <c r="O27" s="53" t="s">
        <v>70</v>
      </c>
      <c r="P27" s="53" t="s">
        <v>70</v>
      </c>
      <c r="Q27" s="53">
        <f t="shared" si="2"/>
        <v>3962.695036</v>
      </c>
      <c r="R27" s="29">
        <v>200.0</v>
      </c>
    </row>
    <row r="28" ht="15.75" customHeight="1">
      <c r="A28" s="21"/>
      <c r="B28" s="13" t="s">
        <v>97</v>
      </c>
      <c r="C28" s="55">
        <v>1.0</v>
      </c>
      <c r="D28" s="153" t="s">
        <v>27</v>
      </c>
      <c r="E28" s="18" t="s">
        <v>70</v>
      </c>
      <c r="F28" s="18" t="s">
        <v>70</v>
      </c>
      <c r="G28" s="132">
        <v>0.159</v>
      </c>
      <c r="H28" s="18" t="s">
        <v>70</v>
      </c>
      <c r="I28" s="132">
        <v>0.75</v>
      </c>
      <c r="J28" s="18" t="s">
        <v>70</v>
      </c>
      <c r="K28" s="34">
        <v>0.622</v>
      </c>
      <c r="L28" s="18" t="s">
        <v>70</v>
      </c>
      <c r="M28" s="18" t="s">
        <v>70</v>
      </c>
      <c r="N28" s="59">
        <v>0.327</v>
      </c>
      <c r="O28" s="18" t="s">
        <v>70</v>
      </c>
      <c r="P28" s="18" t="s">
        <v>70</v>
      </c>
      <c r="Q28" s="59">
        <f t="shared" ref="Q28:Q36" si="3">AVERAGE(E28:P28)</f>
        <v>0.4645</v>
      </c>
      <c r="R28" s="20">
        <v>7.0</v>
      </c>
    </row>
    <row r="29" ht="15.75" customHeight="1">
      <c r="A29" s="21"/>
      <c r="B29" s="22"/>
      <c r="C29" s="61">
        <v>2.0</v>
      </c>
      <c r="D29" s="158" t="s">
        <v>93</v>
      </c>
      <c r="E29" s="106" t="s">
        <v>70</v>
      </c>
      <c r="F29" s="106" t="s">
        <v>70</v>
      </c>
      <c r="G29" s="133">
        <v>0.591</v>
      </c>
      <c r="H29" s="106" t="s">
        <v>70</v>
      </c>
      <c r="I29" s="133">
        <v>0.808</v>
      </c>
      <c r="J29" s="106" t="s">
        <v>70</v>
      </c>
      <c r="K29" s="38">
        <v>0.384</v>
      </c>
      <c r="L29" s="106" t="s">
        <v>70</v>
      </c>
      <c r="M29" s="106" t="s">
        <v>70</v>
      </c>
      <c r="N29" s="106">
        <v>0.398</v>
      </c>
      <c r="O29" s="106" t="s">
        <v>70</v>
      </c>
      <c r="P29" s="106" t="s">
        <v>70</v>
      </c>
      <c r="Q29" s="65">
        <f t="shared" si="3"/>
        <v>0.54525</v>
      </c>
      <c r="R29" s="29">
        <v>7.0</v>
      </c>
    </row>
    <row r="30" ht="15.75" customHeight="1">
      <c r="A30" s="21"/>
      <c r="B30" s="30"/>
      <c r="C30" s="61">
        <v>3.0</v>
      </c>
      <c r="D30" s="151" t="s">
        <v>94</v>
      </c>
      <c r="E30" s="106" t="s">
        <v>70</v>
      </c>
      <c r="F30" s="106" t="s">
        <v>70</v>
      </c>
      <c r="G30" s="133">
        <v>0.424</v>
      </c>
      <c r="H30" s="106" t="s">
        <v>70</v>
      </c>
      <c r="I30" s="133">
        <v>0.53</v>
      </c>
      <c r="J30" s="106" t="s">
        <v>70</v>
      </c>
      <c r="K30" s="38">
        <v>0.147</v>
      </c>
      <c r="L30" s="106" t="s">
        <v>70</v>
      </c>
      <c r="M30" s="106" t="s">
        <v>70</v>
      </c>
      <c r="N30" s="106">
        <v>0.393</v>
      </c>
      <c r="O30" s="106" t="s">
        <v>70</v>
      </c>
      <c r="P30" s="106" t="s">
        <v>70</v>
      </c>
      <c r="Q30" s="65">
        <f t="shared" si="3"/>
        <v>0.3735</v>
      </c>
      <c r="R30" s="29">
        <v>7.0</v>
      </c>
    </row>
    <row r="31" ht="15.75" customHeight="1">
      <c r="A31" s="21"/>
      <c r="B31" s="13" t="s">
        <v>98</v>
      </c>
      <c r="C31" s="55">
        <v>1.0</v>
      </c>
      <c r="D31" s="153" t="s">
        <v>27</v>
      </c>
      <c r="E31" s="18" t="s">
        <v>70</v>
      </c>
      <c r="F31" s="18" t="s">
        <v>70</v>
      </c>
      <c r="G31" s="132">
        <v>0.112</v>
      </c>
      <c r="H31" s="18" t="s">
        <v>70</v>
      </c>
      <c r="I31" s="132">
        <v>0.463</v>
      </c>
      <c r="J31" s="18" t="s">
        <v>70</v>
      </c>
      <c r="K31" s="34">
        <v>0.152</v>
      </c>
      <c r="L31" s="18" t="s">
        <v>70</v>
      </c>
      <c r="M31" s="18" t="s">
        <v>70</v>
      </c>
      <c r="N31" s="59">
        <v>0.12</v>
      </c>
      <c r="O31" s="18" t="s">
        <v>70</v>
      </c>
      <c r="P31" s="18" t="s">
        <v>70</v>
      </c>
      <c r="Q31" s="59">
        <f t="shared" si="3"/>
        <v>0.21175</v>
      </c>
      <c r="R31" s="20">
        <v>0.5</v>
      </c>
    </row>
    <row r="32" ht="15.75" customHeight="1">
      <c r="A32" s="21"/>
      <c r="B32" s="22"/>
      <c r="C32" s="61">
        <v>2.0</v>
      </c>
      <c r="D32" s="158" t="s">
        <v>93</v>
      </c>
      <c r="E32" s="106" t="s">
        <v>70</v>
      </c>
      <c r="F32" s="106" t="s">
        <v>70</v>
      </c>
      <c r="G32" s="133">
        <v>0.055</v>
      </c>
      <c r="H32" s="106" t="s">
        <v>70</v>
      </c>
      <c r="I32" s="133">
        <v>0.066</v>
      </c>
      <c r="J32" s="106" t="s">
        <v>70</v>
      </c>
      <c r="K32" s="38">
        <v>0.083</v>
      </c>
      <c r="L32" s="106" t="s">
        <v>70</v>
      </c>
      <c r="M32" s="106" t="s">
        <v>70</v>
      </c>
      <c r="N32" s="106">
        <v>0.102</v>
      </c>
      <c r="O32" s="106" t="s">
        <v>70</v>
      </c>
      <c r="P32" s="106" t="s">
        <v>70</v>
      </c>
      <c r="Q32" s="106">
        <f t="shared" si="3"/>
        <v>0.0765</v>
      </c>
      <c r="R32" s="29">
        <v>0.5</v>
      </c>
    </row>
    <row r="33" ht="15.75" customHeight="1">
      <c r="A33" s="21"/>
      <c r="B33" s="30"/>
      <c r="C33" s="61">
        <v>3.0</v>
      </c>
      <c r="D33" s="151" t="s">
        <v>94</v>
      </c>
      <c r="E33" s="106" t="s">
        <v>70</v>
      </c>
      <c r="F33" s="106" t="s">
        <v>70</v>
      </c>
      <c r="G33" s="133">
        <v>0.037</v>
      </c>
      <c r="H33" s="106" t="s">
        <v>70</v>
      </c>
      <c r="I33" s="133">
        <v>0.031</v>
      </c>
      <c r="J33" s="106" t="s">
        <v>70</v>
      </c>
      <c r="K33" s="64">
        <v>0.05</v>
      </c>
      <c r="L33" s="106" t="s">
        <v>70</v>
      </c>
      <c r="M33" s="106" t="s">
        <v>70</v>
      </c>
      <c r="N33" s="106">
        <v>0.094</v>
      </c>
      <c r="O33" s="106" t="s">
        <v>70</v>
      </c>
      <c r="P33" s="106" t="s">
        <v>70</v>
      </c>
      <c r="Q33" s="106">
        <f t="shared" si="3"/>
        <v>0.053</v>
      </c>
      <c r="R33" s="29">
        <v>0.5</v>
      </c>
    </row>
    <row r="34" ht="15.75" customHeight="1">
      <c r="A34" s="21"/>
      <c r="B34" s="13" t="s">
        <v>42</v>
      </c>
      <c r="C34" s="31">
        <v>1.0</v>
      </c>
      <c r="D34" s="153" t="s">
        <v>27</v>
      </c>
      <c r="E34" s="18" t="s">
        <v>70</v>
      </c>
      <c r="F34" s="18" t="s">
        <v>70</v>
      </c>
      <c r="G34" s="125">
        <v>344.0</v>
      </c>
      <c r="H34" s="35" t="s">
        <v>70</v>
      </c>
      <c r="I34" s="125">
        <v>510.0</v>
      </c>
      <c r="J34" s="35" t="s">
        <v>70</v>
      </c>
      <c r="K34" s="34">
        <v>208.0</v>
      </c>
      <c r="L34" s="35" t="s">
        <v>70</v>
      </c>
      <c r="M34" s="35" t="s">
        <v>70</v>
      </c>
      <c r="N34" s="35">
        <v>64.0</v>
      </c>
      <c r="O34" s="35" t="s">
        <v>70</v>
      </c>
      <c r="P34" s="35" t="s">
        <v>70</v>
      </c>
      <c r="Q34" s="35">
        <f t="shared" si="3"/>
        <v>281.5</v>
      </c>
      <c r="R34" s="20">
        <v>350.0</v>
      </c>
    </row>
    <row r="35" ht="15.75" customHeight="1">
      <c r="A35" s="21"/>
      <c r="B35" s="22"/>
      <c r="C35" s="23">
        <v>2.0</v>
      </c>
      <c r="D35" s="151" t="s">
        <v>93</v>
      </c>
      <c r="E35" s="106" t="s">
        <v>70</v>
      </c>
      <c r="F35" s="106" t="s">
        <v>70</v>
      </c>
      <c r="G35" s="126">
        <v>64.0</v>
      </c>
      <c r="H35" s="39" t="s">
        <v>70</v>
      </c>
      <c r="I35" s="126">
        <v>129.0</v>
      </c>
      <c r="J35" s="39" t="s">
        <v>70</v>
      </c>
      <c r="K35" s="38">
        <v>391.0</v>
      </c>
      <c r="L35" s="39" t="s">
        <v>70</v>
      </c>
      <c r="M35" s="39" t="s">
        <v>70</v>
      </c>
      <c r="N35" s="106">
        <v>119.0</v>
      </c>
      <c r="O35" s="39" t="s">
        <v>70</v>
      </c>
      <c r="P35" s="39" t="s">
        <v>70</v>
      </c>
      <c r="Q35" s="39">
        <f t="shared" si="3"/>
        <v>175.75</v>
      </c>
      <c r="R35" s="29">
        <v>350.0</v>
      </c>
    </row>
    <row r="36" ht="15.75" customHeight="1">
      <c r="A36" s="21"/>
      <c r="B36" s="30"/>
      <c r="C36" s="23">
        <v>3.0</v>
      </c>
      <c r="D36" s="151" t="s">
        <v>94</v>
      </c>
      <c r="E36" s="106" t="s">
        <v>70</v>
      </c>
      <c r="F36" s="106" t="s">
        <v>70</v>
      </c>
      <c r="G36" s="126">
        <v>49.0</v>
      </c>
      <c r="H36" s="39" t="s">
        <v>70</v>
      </c>
      <c r="I36" s="126">
        <v>114.0</v>
      </c>
      <c r="J36" s="39" t="s">
        <v>70</v>
      </c>
      <c r="K36" s="38">
        <v>134.0</v>
      </c>
      <c r="L36" s="39" t="s">
        <v>70</v>
      </c>
      <c r="M36" s="39" t="s">
        <v>70</v>
      </c>
      <c r="N36" s="106">
        <v>89.0</v>
      </c>
      <c r="O36" s="39" t="s">
        <v>70</v>
      </c>
      <c r="P36" s="39" t="s">
        <v>70</v>
      </c>
      <c r="Q36" s="39">
        <f t="shared" si="3"/>
        <v>96.5</v>
      </c>
      <c r="R36" s="29">
        <v>350.0</v>
      </c>
    </row>
    <row r="37" ht="14.2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5"/>
      <c r="P37" s="134"/>
      <c r="Q37" s="134"/>
      <c r="R37" s="134"/>
    </row>
    <row r="38" ht="15.0" customHeight="1">
      <c r="A38" s="136" t="s">
        <v>43</v>
      </c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5"/>
      <c r="P38" s="134"/>
      <c r="Q38" s="134"/>
      <c r="R38" s="134"/>
    </row>
    <row r="39" ht="15.0" customHeight="1"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5"/>
      <c r="P39" s="134"/>
    </row>
    <row r="40" ht="14.25" customHeight="1">
      <c r="A40" s="135" t="s">
        <v>76</v>
      </c>
      <c r="D40" s="159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5"/>
      <c r="P40" s="134"/>
    </row>
    <row r="41" ht="14.25" customHeight="1">
      <c r="D41" s="159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5"/>
      <c r="P41" s="134"/>
    </row>
    <row r="42" ht="14.25" customHeight="1">
      <c r="A42" s="134"/>
      <c r="B42" s="136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5"/>
      <c r="P42" s="134"/>
    </row>
    <row r="43" ht="14.25" customHeight="1">
      <c r="A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5"/>
      <c r="P43" s="134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B42:D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11.0"/>
    <col customWidth="1" min="4" max="4" width="38.29"/>
    <col customWidth="1" min="5" max="5" width="10.71" outlineLevel="1"/>
    <col customWidth="1" min="6" max="6" width="9.0" outlineLevel="1"/>
    <col customWidth="1" min="7" max="7" width="10.0" outlineLevel="1"/>
    <col customWidth="1" min="8" max="8" width="5.71" outlineLevel="1"/>
    <col customWidth="1" min="9" max="9" width="11.14" outlineLevel="1"/>
    <col customWidth="1" min="10" max="10" width="10.0" outlineLevel="1"/>
    <col customWidth="1" min="11" max="11" width="6.29" outlineLevel="1"/>
    <col customWidth="1" min="12" max="12" width="9.57" outlineLevel="1"/>
    <col customWidth="1" min="13" max="13" width="13.86" outlineLevel="1"/>
    <col customWidth="1" min="14" max="14" width="8.43" outlineLevel="1"/>
    <col customWidth="1" min="15" max="15" width="9.86" outlineLevel="1"/>
    <col customWidth="1" min="16" max="16" width="13.0" outlineLevel="1"/>
    <col customWidth="1" min="17" max="17" width="17.57"/>
    <col customWidth="1" min="18" max="18" width="11.57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99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53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75" customHeight="1">
      <c r="A7" s="12" t="s">
        <v>23</v>
      </c>
      <c r="B7" s="13" t="s">
        <v>24</v>
      </c>
      <c r="C7" s="14">
        <v>1.0</v>
      </c>
      <c r="D7" s="15" t="s">
        <v>100</v>
      </c>
      <c r="E7" s="120" t="s">
        <v>70</v>
      </c>
      <c r="F7" s="120">
        <v>4.6</v>
      </c>
      <c r="G7" s="120" t="s">
        <v>70</v>
      </c>
      <c r="H7" s="120" t="s">
        <v>70</v>
      </c>
      <c r="I7" s="120">
        <v>2.5</v>
      </c>
      <c r="J7" s="120" t="s">
        <v>70</v>
      </c>
      <c r="K7" s="120" t="s">
        <v>70</v>
      </c>
      <c r="L7" s="17">
        <v>3.7</v>
      </c>
      <c r="M7" s="120" t="s">
        <v>70</v>
      </c>
      <c r="N7" s="18">
        <v>0.5</v>
      </c>
      <c r="O7" s="120" t="s">
        <v>70</v>
      </c>
      <c r="P7" s="120" t="s">
        <v>70</v>
      </c>
      <c r="Q7" s="18">
        <f t="shared" ref="Q7:Q24" si="1">AVERAGE(E7:P7)</f>
        <v>2.825</v>
      </c>
      <c r="R7" s="20">
        <v>5.0</v>
      </c>
    </row>
    <row r="8" ht="15.75" customHeight="1">
      <c r="A8" s="21"/>
      <c r="B8" s="22"/>
      <c r="C8" s="23">
        <v>2.0</v>
      </c>
      <c r="D8" s="24" t="s">
        <v>101</v>
      </c>
      <c r="E8" s="123" t="s">
        <v>70</v>
      </c>
      <c r="F8" s="122">
        <v>2.7</v>
      </c>
      <c r="G8" s="123" t="s">
        <v>70</v>
      </c>
      <c r="H8" s="123" t="s">
        <v>70</v>
      </c>
      <c r="I8" s="122">
        <v>0.1</v>
      </c>
      <c r="J8" s="123" t="s">
        <v>70</v>
      </c>
      <c r="K8" s="123" t="s">
        <v>70</v>
      </c>
      <c r="L8" s="26">
        <v>2.5</v>
      </c>
      <c r="M8" s="123" t="s">
        <v>70</v>
      </c>
      <c r="N8" s="27">
        <v>0.1</v>
      </c>
      <c r="O8" s="123" t="s">
        <v>70</v>
      </c>
      <c r="P8" s="123" t="s">
        <v>70</v>
      </c>
      <c r="Q8" s="27">
        <f t="shared" si="1"/>
        <v>1.35</v>
      </c>
      <c r="R8" s="29">
        <v>5.0</v>
      </c>
    </row>
    <row r="9" ht="15.75" customHeight="1">
      <c r="A9" s="21"/>
      <c r="B9" s="30"/>
      <c r="C9" s="23">
        <v>3.0</v>
      </c>
      <c r="D9" s="24" t="s">
        <v>102</v>
      </c>
      <c r="E9" s="123" t="s">
        <v>70</v>
      </c>
      <c r="F9" s="122">
        <v>1.8</v>
      </c>
      <c r="G9" s="123" t="s">
        <v>70</v>
      </c>
      <c r="H9" s="123" t="s">
        <v>70</v>
      </c>
      <c r="I9" s="122">
        <v>0.3</v>
      </c>
      <c r="J9" s="123" t="s">
        <v>70</v>
      </c>
      <c r="K9" s="123" t="s">
        <v>70</v>
      </c>
      <c r="L9" s="26">
        <v>0.6</v>
      </c>
      <c r="M9" s="123" t="s">
        <v>70</v>
      </c>
      <c r="N9" s="27">
        <v>0.4</v>
      </c>
      <c r="O9" s="123" t="s">
        <v>70</v>
      </c>
      <c r="P9" s="123" t="s">
        <v>70</v>
      </c>
      <c r="Q9" s="27">
        <f t="shared" si="1"/>
        <v>0.775</v>
      </c>
      <c r="R9" s="29">
        <v>5.0</v>
      </c>
    </row>
    <row r="10" ht="15.75" customHeight="1">
      <c r="A10" s="21"/>
      <c r="B10" s="13" t="s">
        <v>30</v>
      </c>
      <c r="C10" s="31">
        <v>1.0</v>
      </c>
      <c r="D10" s="32" t="s">
        <v>100</v>
      </c>
      <c r="E10" s="120" t="s">
        <v>70</v>
      </c>
      <c r="F10" s="125">
        <v>6.0</v>
      </c>
      <c r="G10" s="160" t="s">
        <v>70</v>
      </c>
      <c r="H10" s="160" t="s">
        <v>70</v>
      </c>
      <c r="I10" s="125">
        <v>9.0</v>
      </c>
      <c r="J10" s="160" t="s">
        <v>70</v>
      </c>
      <c r="K10" s="160" t="s">
        <v>70</v>
      </c>
      <c r="L10" s="34">
        <v>6.0</v>
      </c>
      <c r="M10" s="160" t="s">
        <v>70</v>
      </c>
      <c r="N10" s="18">
        <v>5.0</v>
      </c>
      <c r="O10" s="160" t="s">
        <v>70</v>
      </c>
      <c r="P10" s="160" t="s">
        <v>70</v>
      </c>
      <c r="Q10" s="35">
        <f t="shared" si="1"/>
        <v>6.5</v>
      </c>
      <c r="R10" s="20">
        <v>7.0</v>
      </c>
    </row>
    <row r="11" ht="15.75" customHeight="1">
      <c r="A11" s="21"/>
      <c r="B11" s="22"/>
      <c r="C11" s="23">
        <v>2.0</v>
      </c>
      <c r="D11" s="24" t="s">
        <v>101</v>
      </c>
      <c r="E11" s="123" t="s">
        <v>70</v>
      </c>
      <c r="F11" s="126">
        <v>7.0</v>
      </c>
      <c r="G11" s="127" t="s">
        <v>70</v>
      </c>
      <c r="H11" s="127" t="s">
        <v>70</v>
      </c>
      <c r="I11" s="126">
        <v>29.0</v>
      </c>
      <c r="J11" s="127" t="s">
        <v>70</v>
      </c>
      <c r="K11" s="127" t="s">
        <v>70</v>
      </c>
      <c r="L11" s="38">
        <v>7.0</v>
      </c>
      <c r="M11" s="127" t="s">
        <v>70</v>
      </c>
      <c r="N11" s="27">
        <v>8.0</v>
      </c>
      <c r="O11" s="127" t="s">
        <v>70</v>
      </c>
      <c r="P11" s="127" t="s">
        <v>70</v>
      </c>
      <c r="Q11" s="39">
        <f t="shared" si="1"/>
        <v>12.75</v>
      </c>
      <c r="R11" s="29">
        <v>7.0</v>
      </c>
    </row>
    <row r="12" ht="15.75" customHeight="1">
      <c r="A12" s="21"/>
      <c r="B12" s="30"/>
      <c r="C12" s="23">
        <v>3.0</v>
      </c>
      <c r="D12" s="24" t="s">
        <v>102</v>
      </c>
      <c r="E12" s="123" t="s">
        <v>70</v>
      </c>
      <c r="F12" s="126">
        <v>8.0</v>
      </c>
      <c r="G12" s="127" t="s">
        <v>70</v>
      </c>
      <c r="H12" s="127" t="s">
        <v>70</v>
      </c>
      <c r="I12" s="126">
        <v>37.0</v>
      </c>
      <c r="J12" s="127" t="s">
        <v>70</v>
      </c>
      <c r="K12" s="127" t="s">
        <v>70</v>
      </c>
      <c r="L12" s="38">
        <v>12.0</v>
      </c>
      <c r="M12" s="127" t="s">
        <v>70</v>
      </c>
      <c r="N12" s="27">
        <v>5.0</v>
      </c>
      <c r="O12" s="127" t="s">
        <v>70</v>
      </c>
      <c r="P12" s="127" t="s">
        <v>70</v>
      </c>
      <c r="Q12" s="39">
        <f t="shared" si="1"/>
        <v>15.5</v>
      </c>
      <c r="R12" s="29">
        <v>7.0</v>
      </c>
    </row>
    <row r="13" ht="15.75" customHeight="1">
      <c r="A13" s="21"/>
      <c r="B13" s="13" t="s">
        <v>31</v>
      </c>
      <c r="C13" s="31">
        <v>1.0</v>
      </c>
      <c r="D13" s="32" t="s">
        <v>100</v>
      </c>
      <c r="E13" s="120" t="s">
        <v>70</v>
      </c>
      <c r="F13" s="121">
        <v>63.0</v>
      </c>
      <c r="G13" s="160" t="s">
        <v>70</v>
      </c>
      <c r="H13" s="160" t="s">
        <v>70</v>
      </c>
      <c r="I13" s="121">
        <v>34.0</v>
      </c>
      <c r="J13" s="160" t="s">
        <v>70</v>
      </c>
      <c r="K13" s="160" t="s">
        <v>70</v>
      </c>
      <c r="L13" s="34">
        <v>23.0</v>
      </c>
      <c r="M13" s="160" t="s">
        <v>70</v>
      </c>
      <c r="N13" s="18">
        <v>49.0</v>
      </c>
      <c r="O13" s="160" t="s">
        <v>70</v>
      </c>
      <c r="P13" s="160" t="s">
        <v>70</v>
      </c>
      <c r="Q13" s="35">
        <f t="shared" si="1"/>
        <v>42.25</v>
      </c>
      <c r="R13" s="20">
        <v>80.0</v>
      </c>
    </row>
    <row r="14" ht="15.75" customHeight="1">
      <c r="A14" s="21"/>
      <c r="B14" s="22"/>
      <c r="C14" s="23">
        <v>2.0</v>
      </c>
      <c r="D14" s="24" t="s">
        <v>101</v>
      </c>
      <c r="E14" s="123" t="s">
        <v>70</v>
      </c>
      <c r="F14" s="122">
        <v>33.0</v>
      </c>
      <c r="G14" s="127" t="s">
        <v>70</v>
      </c>
      <c r="H14" s="127" t="s">
        <v>70</v>
      </c>
      <c r="I14" s="122">
        <v>9.0</v>
      </c>
      <c r="J14" s="127" t="s">
        <v>70</v>
      </c>
      <c r="K14" s="127" t="s">
        <v>70</v>
      </c>
      <c r="L14" s="38">
        <v>21.0</v>
      </c>
      <c r="M14" s="127" t="s">
        <v>70</v>
      </c>
      <c r="N14" s="27">
        <v>11.0</v>
      </c>
      <c r="O14" s="127" t="s">
        <v>70</v>
      </c>
      <c r="P14" s="127" t="s">
        <v>70</v>
      </c>
      <c r="Q14" s="39">
        <f t="shared" si="1"/>
        <v>18.5</v>
      </c>
      <c r="R14" s="29">
        <v>80.0</v>
      </c>
    </row>
    <row r="15" ht="15.75" customHeight="1">
      <c r="A15" s="21"/>
      <c r="B15" s="30"/>
      <c r="C15" s="23">
        <v>3.0</v>
      </c>
      <c r="D15" s="24" t="s">
        <v>102</v>
      </c>
      <c r="E15" s="123" t="s">
        <v>70</v>
      </c>
      <c r="F15" s="122">
        <v>11.0</v>
      </c>
      <c r="G15" s="127" t="s">
        <v>70</v>
      </c>
      <c r="H15" s="127" t="s">
        <v>70</v>
      </c>
      <c r="I15" s="122">
        <v>18.0</v>
      </c>
      <c r="J15" s="127" t="s">
        <v>70</v>
      </c>
      <c r="K15" s="127" t="s">
        <v>70</v>
      </c>
      <c r="L15" s="38">
        <v>37.0</v>
      </c>
      <c r="M15" s="127" t="s">
        <v>70</v>
      </c>
      <c r="N15" s="27">
        <v>16.0</v>
      </c>
      <c r="O15" s="127" t="s">
        <v>70</v>
      </c>
      <c r="P15" s="127" t="s">
        <v>70</v>
      </c>
      <c r="Q15" s="39">
        <f t="shared" si="1"/>
        <v>20.5</v>
      </c>
      <c r="R15" s="29">
        <v>80.0</v>
      </c>
    </row>
    <row r="16" ht="15.75" customHeight="1">
      <c r="A16" s="21"/>
      <c r="B16" s="13" t="s">
        <v>33</v>
      </c>
      <c r="C16" s="31">
        <v>1.0</v>
      </c>
      <c r="D16" s="32" t="s">
        <v>100</v>
      </c>
      <c r="E16" s="120" t="s">
        <v>70</v>
      </c>
      <c r="F16" s="121">
        <v>7.0</v>
      </c>
      <c r="G16" s="120" t="s">
        <v>70</v>
      </c>
      <c r="H16" s="120" t="s">
        <v>70</v>
      </c>
      <c r="I16" s="121">
        <v>7.0</v>
      </c>
      <c r="J16" s="120" t="s">
        <v>70</v>
      </c>
      <c r="K16" s="120" t="s">
        <v>70</v>
      </c>
      <c r="L16" s="42">
        <v>7.0</v>
      </c>
      <c r="M16" s="120" t="s">
        <v>70</v>
      </c>
      <c r="N16" s="18">
        <v>7.2</v>
      </c>
      <c r="O16" s="120" t="s">
        <v>70</v>
      </c>
      <c r="P16" s="120" t="s">
        <v>70</v>
      </c>
      <c r="Q16" s="18">
        <f t="shared" si="1"/>
        <v>7.05</v>
      </c>
      <c r="R16" s="18" t="s">
        <v>34</v>
      </c>
    </row>
    <row r="17" ht="15.75" customHeight="1">
      <c r="A17" s="21"/>
      <c r="B17" s="22"/>
      <c r="C17" s="23">
        <v>2.0</v>
      </c>
      <c r="D17" s="24" t="s">
        <v>101</v>
      </c>
      <c r="E17" s="123" t="s">
        <v>70</v>
      </c>
      <c r="F17" s="122">
        <v>7.0</v>
      </c>
      <c r="G17" s="123" t="s">
        <v>70</v>
      </c>
      <c r="H17" s="123" t="s">
        <v>70</v>
      </c>
      <c r="I17" s="122">
        <v>7.0</v>
      </c>
      <c r="J17" s="123" t="s">
        <v>70</v>
      </c>
      <c r="K17" s="123" t="s">
        <v>70</v>
      </c>
      <c r="L17" s="26">
        <v>7.0</v>
      </c>
      <c r="M17" s="123" t="s">
        <v>70</v>
      </c>
      <c r="N17" s="27">
        <v>7.1</v>
      </c>
      <c r="O17" s="123" t="s">
        <v>70</v>
      </c>
      <c r="P17" s="123" t="s">
        <v>70</v>
      </c>
      <c r="Q17" s="27">
        <f t="shared" si="1"/>
        <v>7.025</v>
      </c>
      <c r="R17" s="27" t="s">
        <v>34</v>
      </c>
    </row>
    <row r="18" ht="15.75" customHeight="1">
      <c r="A18" s="21"/>
      <c r="B18" s="30"/>
      <c r="C18" s="23">
        <v>3.0</v>
      </c>
      <c r="D18" s="24" t="s">
        <v>102</v>
      </c>
      <c r="E18" s="123" t="s">
        <v>70</v>
      </c>
      <c r="F18" s="122">
        <v>7.1</v>
      </c>
      <c r="G18" s="123" t="s">
        <v>70</v>
      </c>
      <c r="H18" s="123" t="s">
        <v>70</v>
      </c>
      <c r="I18" s="122">
        <v>7.0</v>
      </c>
      <c r="J18" s="123" t="s">
        <v>70</v>
      </c>
      <c r="K18" s="123" t="s">
        <v>70</v>
      </c>
      <c r="L18" s="26">
        <v>7.0</v>
      </c>
      <c r="M18" s="123" t="s">
        <v>70</v>
      </c>
      <c r="N18" s="27">
        <v>7.2</v>
      </c>
      <c r="O18" s="123" t="s">
        <v>70</v>
      </c>
      <c r="P18" s="123" t="s">
        <v>70</v>
      </c>
      <c r="Q18" s="27">
        <f t="shared" si="1"/>
        <v>7.075</v>
      </c>
      <c r="R18" s="27" t="s">
        <v>34</v>
      </c>
    </row>
    <row r="19" ht="15.75" customHeight="1">
      <c r="A19" s="21"/>
      <c r="B19" s="13" t="s">
        <v>103</v>
      </c>
      <c r="C19" s="31">
        <v>1.0</v>
      </c>
      <c r="D19" s="32" t="s">
        <v>100</v>
      </c>
      <c r="E19" s="120" t="s">
        <v>70</v>
      </c>
      <c r="F19" s="121">
        <v>25.8</v>
      </c>
      <c r="G19" s="120" t="s">
        <v>70</v>
      </c>
      <c r="H19" s="120" t="s">
        <v>70</v>
      </c>
      <c r="I19" s="121">
        <v>28.4</v>
      </c>
      <c r="J19" s="120" t="s">
        <v>70</v>
      </c>
      <c r="K19" s="120" t="s">
        <v>70</v>
      </c>
      <c r="L19" s="42">
        <v>26.5</v>
      </c>
      <c r="M19" s="120" t="s">
        <v>70</v>
      </c>
      <c r="N19" s="18">
        <v>27.0</v>
      </c>
      <c r="O19" s="120" t="s">
        <v>70</v>
      </c>
      <c r="P19" s="120" t="s">
        <v>70</v>
      </c>
      <c r="Q19" s="18">
        <f t="shared" si="1"/>
        <v>26.925</v>
      </c>
      <c r="R19" s="18" t="s">
        <v>36</v>
      </c>
    </row>
    <row r="20" ht="15.75" customHeight="1">
      <c r="A20" s="21"/>
      <c r="B20" s="22"/>
      <c r="C20" s="23">
        <v>2.0</v>
      </c>
      <c r="D20" s="24" t="s">
        <v>101</v>
      </c>
      <c r="E20" s="123" t="s">
        <v>70</v>
      </c>
      <c r="F20" s="122">
        <v>25.7</v>
      </c>
      <c r="G20" s="123" t="s">
        <v>70</v>
      </c>
      <c r="H20" s="123" t="s">
        <v>70</v>
      </c>
      <c r="I20" s="122">
        <v>29.0</v>
      </c>
      <c r="J20" s="123" t="s">
        <v>70</v>
      </c>
      <c r="K20" s="123" t="s">
        <v>70</v>
      </c>
      <c r="L20" s="26">
        <v>26.0</v>
      </c>
      <c r="M20" s="123" t="s">
        <v>70</v>
      </c>
      <c r="N20" s="27">
        <v>27.3</v>
      </c>
      <c r="O20" s="123" t="s">
        <v>70</v>
      </c>
      <c r="P20" s="123" t="s">
        <v>70</v>
      </c>
      <c r="Q20" s="27">
        <f t="shared" si="1"/>
        <v>27</v>
      </c>
      <c r="R20" s="27" t="s">
        <v>36</v>
      </c>
    </row>
    <row r="21" ht="15.75" customHeight="1">
      <c r="A21" s="21"/>
      <c r="B21" s="30"/>
      <c r="C21" s="23">
        <v>3.0</v>
      </c>
      <c r="D21" s="24" t="s">
        <v>102</v>
      </c>
      <c r="E21" s="123" t="s">
        <v>70</v>
      </c>
      <c r="F21" s="122">
        <v>25.8</v>
      </c>
      <c r="G21" s="123" t="s">
        <v>70</v>
      </c>
      <c r="H21" s="123" t="s">
        <v>70</v>
      </c>
      <c r="I21" s="122">
        <v>28.5</v>
      </c>
      <c r="J21" s="123" t="s">
        <v>70</v>
      </c>
      <c r="K21" s="123" t="s">
        <v>70</v>
      </c>
      <c r="L21" s="26">
        <v>26.0</v>
      </c>
      <c r="M21" s="123" t="s">
        <v>70</v>
      </c>
      <c r="N21" s="27">
        <v>27.3</v>
      </c>
      <c r="O21" s="123" t="s">
        <v>70</v>
      </c>
      <c r="P21" s="123" t="s">
        <v>70</v>
      </c>
      <c r="Q21" s="27">
        <f t="shared" si="1"/>
        <v>26.9</v>
      </c>
      <c r="R21" s="27" t="s">
        <v>36</v>
      </c>
    </row>
    <row r="22" ht="15.75" customHeight="1">
      <c r="A22" s="21"/>
      <c r="B22" s="13" t="s">
        <v>37</v>
      </c>
      <c r="C22" s="31">
        <v>1.0</v>
      </c>
      <c r="D22" s="32" t="s">
        <v>100</v>
      </c>
      <c r="E22" s="120" t="s">
        <v>70</v>
      </c>
      <c r="F22" s="121">
        <v>25.0</v>
      </c>
      <c r="G22" s="160" t="s">
        <v>70</v>
      </c>
      <c r="H22" s="160" t="s">
        <v>70</v>
      </c>
      <c r="I22" s="121">
        <v>80.0</v>
      </c>
      <c r="J22" s="160" t="s">
        <v>70</v>
      </c>
      <c r="K22" s="160" t="s">
        <v>70</v>
      </c>
      <c r="L22" s="34">
        <v>30.0</v>
      </c>
      <c r="M22" s="160" t="s">
        <v>70</v>
      </c>
      <c r="N22" s="18">
        <v>30.0</v>
      </c>
      <c r="O22" s="160" t="s">
        <v>70</v>
      </c>
      <c r="P22" s="160" t="s">
        <v>70</v>
      </c>
      <c r="Q22" s="35">
        <f t="shared" si="1"/>
        <v>41.25</v>
      </c>
      <c r="R22" s="20">
        <v>75.0</v>
      </c>
    </row>
    <row r="23" ht="14.25" customHeight="1">
      <c r="A23" s="21"/>
      <c r="B23" s="22"/>
      <c r="C23" s="23">
        <v>2.0</v>
      </c>
      <c r="D23" s="24" t="s">
        <v>101</v>
      </c>
      <c r="E23" s="123" t="s">
        <v>70</v>
      </c>
      <c r="F23" s="122">
        <v>40.0</v>
      </c>
      <c r="G23" s="127" t="s">
        <v>70</v>
      </c>
      <c r="H23" s="127" t="s">
        <v>70</v>
      </c>
      <c r="I23" s="122">
        <v>80.0</v>
      </c>
      <c r="J23" s="127" t="s">
        <v>70</v>
      </c>
      <c r="K23" s="127" t="s">
        <v>70</v>
      </c>
      <c r="L23" s="38">
        <v>30.0</v>
      </c>
      <c r="M23" s="127" t="s">
        <v>70</v>
      </c>
      <c r="N23" s="27">
        <v>30.0</v>
      </c>
      <c r="O23" s="127" t="s">
        <v>70</v>
      </c>
      <c r="P23" s="127" t="s">
        <v>70</v>
      </c>
      <c r="Q23" s="39">
        <f t="shared" si="1"/>
        <v>45</v>
      </c>
      <c r="R23" s="29">
        <v>75.0</v>
      </c>
    </row>
    <row r="24" ht="14.25" customHeight="1">
      <c r="A24" s="21"/>
      <c r="B24" s="30"/>
      <c r="C24" s="23">
        <v>3.0</v>
      </c>
      <c r="D24" s="24" t="s">
        <v>102</v>
      </c>
      <c r="E24" s="123" t="s">
        <v>70</v>
      </c>
      <c r="F24" s="122">
        <v>40.0</v>
      </c>
      <c r="G24" s="127" t="s">
        <v>70</v>
      </c>
      <c r="H24" s="127" t="s">
        <v>70</v>
      </c>
      <c r="I24" s="161">
        <v>80.0</v>
      </c>
      <c r="J24" s="127" t="s">
        <v>70</v>
      </c>
      <c r="K24" s="127" t="s">
        <v>70</v>
      </c>
      <c r="L24" s="38">
        <v>30.0</v>
      </c>
      <c r="M24" s="127" t="s">
        <v>70</v>
      </c>
      <c r="N24" s="27">
        <v>30.0</v>
      </c>
      <c r="O24" s="127" t="s">
        <v>70</v>
      </c>
      <c r="P24" s="127" t="s">
        <v>70</v>
      </c>
      <c r="Q24" s="39">
        <f t="shared" si="1"/>
        <v>45</v>
      </c>
      <c r="R24" s="29">
        <v>75.0</v>
      </c>
    </row>
    <row r="25" ht="15.75" customHeight="1">
      <c r="A25" s="21"/>
      <c r="B25" s="13" t="s">
        <v>38</v>
      </c>
      <c r="C25" s="31">
        <v>1.0</v>
      </c>
      <c r="D25" s="32" t="s">
        <v>100</v>
      </c>
      <c r="E25" s="162" t="s">
        <v>70</v>
      </c>
      <c r="F25" s="128">
        <v>46000.0</v>
      </c>
      <c r="G25" s="162" t="s">
        <v>70</v>
      </c>
      <c r="H25" s="162" t="s">
        <v>70</v>
      </c>
      <c r="I25" s="163">
        <v>350000.0</v>
      </c>
      <c r="J25" s="162" t="s">
        <v>70</v>
      </c>
      <c r="K25" s="162" t="s">
        <v>70</v>
      </c>
      <c r="L25" s="164">
        <v>24000.0</v>
      </c>
      <c r="M25" s="162" t="s">
        <v>70</v>
      </c>
      <c r="N25" s="47">
        <v>350000.0</v>
      </c>
      <c r="O25" s="162" t="s">
        <v>70</v>
      </c>
      <c r="P25" s="162" t="s">
        <v>70</v>
      </c>
      <c r="Q25" s="69">
        <f t="shared" ref="Q25:Q27" si="2">GEOMEAN(E25:P25)</f>
        <v>107839.1089</v>
      </c>
      <c r="R25" s="20">
        <v>200.0</v>
      </c>
    </row>
    <row r="26" ht="15.75" customHeight="1">
      <c r="A26" s="21"/>
      <c r="B26" s="22"/>
      <c r="C26" s="23">
        <v>2.0</v>
      </c>
      <c r="D26" s="24" t="s">
        <v>101</v>
      </c>
      <c r="E26" s="131" t="s">
        <v>70</v>
      </c>
      <c r="F26" s="130">
        <v>24000.0</v>
      </c>
      <c r="G26" s="131" t="s">
        <v>70</v>
      </c>
      <c r="H26" s="131" t="s">
        <v>70</v>
      </c>
      <c r="I26" s="130">
        <v>5400000.0</v>
      </c>
      <c r="J26" s="131" t="s">
        <v>70</v>
      </c>
      <c r="K26" s="131" t="s">
        <v>70</v>
      </c>
      <c r="L26" s="165">
        <v>13000.0</v>
      </c>
      <c r="M26" s="131" t="s">
        <v>70</v>
      </c>
      <c r="N26" s="53">
        <v>350000.0</v>
      </c>
      <c r="O26" s="131" t="s">
        <v>70</v>
      </c>
      <c r="P26" s="131" t="s">
        <v>70</v>
      </c>
      <c r="Q26" s="71">
        <f t="shared" si="2"/>
        <v>155831.0868</v>
      </c>
      <c r="R26" s="29">
        <v>200.0</v>
      </c>
    </row>
    <row r="27" ht="15.75" customHeight="1">
      <c r="A27" s="21"/>
      <c r="B27" s="30"/>
      <c r="C27" s="23">
        <v>3.0</v>
      </c>
      <c r="D27" s="24" t="s">
        <v>102</v>
      </c>
      <c r="E27" s="131" t="s">
        <v>70</v>
      </c>
      <c r="F27" s="130">
        <v>24000.0</v>
      </c>
      <c r="G27" s="131" t="s">
        <v>70</v>
      </c>
      <c r="H27" s="131" t="s">
        <v>70</v>
      </c>
      <c r="I27" s="130">
        <v>1600000.0</v>
      </c>
      <c r="J27" s="131" t="s">
        <v>70</v>
      </c>
      <c r="K27" s="131" t="s">
        <v>70</v>
      </c>
      <c r="L27" s="165">
        <v>24000.0</v>
      </c>
      <c r="M27" s="131" t="s">
        <v>70</v>
      </c>
      <c r="N27" s="53">
        <v>240000.0</v>
      </c>
      <c r="O27" s="131" t="s">
        <v>70</v>
      </c>
      <c r="P27" s="131" t="s">
        <v>70</v>
      </c>
      <c r="Q27" s="71">
        <f t="shared" si="2"/>
        <v>121951.8596</v>
      </c>
      <c r="R27" s="29">
        <v>200.0</v>
      </c>
    </row>
    <row r="28" ht="15.75" customHeight="1">
      <c r="A28" s="21"/>
      <c r="B28" s="13" t="s">
        <v>104</v>
      </c>
      <c r="C28" s="31">
        <v>1.0</v>
      </c>
      <c r="D28" s="32" t="s">
        <v>100</v>
      </c>
      <c r="E28" s="120" t="s">
        <v>70</v>
      </c>
      <c r="F28" s="132">
        <v>0.271</v>
      </c>
      <c r="G28" s="166" t="s">
        <v>70</v>
      </c>
      <c r="H28" s="166" t="s">
        <v>70</v>
      </c>
      <c r="I28" s="132">
        <v>0.392</v>
      </c>
      <c r="J28" s="166" t="s">
        <v>70</v>
      </c>
      <c r="K28" s="166" t="s">
        <v>70</v>
      </c>
      <c r="L28" s="34">
        <v>0.167</v>
      </c>
      <c r="M28" s="166" t="s">
        <v>70</v>
      </c>
      <c r="N28" s="18">
        <v>0.304</v>
      </c>
      <c r="O28" s="166" t="s">
        <v>70</v>
      </c>
      <c r="P28" s="166" t="s">
        <v>70</v>
      </c>
      <c r="Q28" s="59">
        <f t="shared" ref="Q28:Q36" si="3">AVERAGE(E28:P28)</f>
        <v>0.2835</v>
      </c>
      <c r="R28" s="20">
        <v>7.0</v>
      </c>
    </row>
    <row r="29" ht="15.75" customHeight="1">
      <c r="A29" s="21"/>
      <c r="B29" s="22"/>
      <c r="C29" s="23">
        <v>2.0</v>
      </c>
      <c r="D29" s="24" t="s">
        <v>101</v>
      </c>
      <c r="E29" s="123" t="s">
        <v>70</v>
      </c>
      <c r="F29" s="133">
        <v>0.948</v>
      </c>
      <c r="G29" s="167" t="s">
        <v>70</v>
      </c>
      <c r="H29" s="167" t="s">
        <v>70</v>
      </c>
      <c r="I29" s="133">
        <v>0.267</v>
      </c>
      <c r="J29" s="167" t="s">
        <v>70</v>
      </c>
      <c r="K29" s="167" t="s">
        <v>70</v>
      </c>
      <c r="L29" s="38">
        <v>0.199</v>
      </c>
      <c r="M29" s="167" t="s">
        <v>70</v>
      </c>
      <c r="N29" s="27">
        <v>0.503</v>
      </c>
      <c r="O29" s="167" t="s">
        <v>70</v>
      </c>
      <c r="P29" s="167" t="s">
        <v>70</v>
      </c>
      <c r="Q29" s="65">
        <f t="shared" si="3"/>
        <v>0.47925</v>
      </c>
      <c r="R29" s="29">
        <v>7.0</v>
      </c>
    </row>
    <row r="30" ht="15.75" customHeight="1">
      <c r="A30" s="21"/>
      <c r="B30" s="30"/>
      <c r="C30" s="23">
        <v>3.0</v>
      </c>
      <c r="D30" s="24" t="s">
        <v>102</v>
      </c>
      <c r="E30" s="123" t="s">
        <v>70</v>
      </c>
      <c r="F30" s="133">
        <v>0.265</v>
      </c>
      <c r="G30" s="167" t="s">
        <v>70</v>
      </c>
      <c r="H30" s="167" t="s">
        <v>70</v>
      </c>
      <c r="I30" s="133">
        <v>0.19</v>
      </c>
      <c r="J30" s="167" t="s">
        <v>70</v>
      </c>
      <c r="K30" s="167" t="s">
        <v>70</v>
      </c>
      <c r="L30" s="64">
        <v>0.16</v>
      </c>
      <c r="M30" s="167" t="s">
        <v>70</v>
      </c>
      <c r="N30" s="27">
        <v>0.5</v>
      </c>
      <c r="O30" s="167" t="s">
        <v>70</v>
      </c>
      <c r="P30" s="167" t="s">
        <v>70</v>
      </c>
      <c r="Q30" s="65">
        <f t="shared" si="3"/>
        <v>0.27875</v>
      </c>
      <c r="R30" s="29">
        <v>7.0</v>
      </c>
    </row>
    <row r="31" ht="15.75" customHeight="1">
      <c r="A31" s="21"/>
      <c r="B31" s="13" t="s">
        <v>105</v>
      </c>
      <c r="C31" s="31">
        <v>1.0</v>
      </c>
      <c r="D31" s="32" t="s">
        <v>100</v>
      </c>
      <c r="E31" s="120" t="s">
        <v>70</v>
      </c>
      <c r="F31" s="132">
        <v>0.393</v>
      </c>
      <c r="G31" s="166" t="s">
        <v>70</v>
      </c>
      <c r="H31" s="166" t="s">
        <v>70</v>
      </c>
      <c r="I31" s="132">
        <v>0.884</v>
      </c>
      <c r="J31" s="166" t="s">
        <v>70</v>
      </c>
      <c r="K31" s="166" t="s">
        <v>70</v>
      </c>
      <c r="L31" s="34">
        <v>0.447</v>
      </c>
      <c r="M31" s="166" t="s">
        <v>70</v>
      </c>
      <c r="N31" s="18">
        <v>0.615</v>
      </c>
      <c r="O31" s="166" t="s">
        <v>70</v>
      </c>
      <c r="P31" s="166" t="s">
        <v>70</v>
      </c>
      <c r="Q31" s="59">
        <f t="shared" si="3"/>
        <v>0.58475</v>
      </c>
      <c r="R31" s="20">
        <v>0.5</v>
      </c>
    </row>
    <row r="32" ht="15.75" customHeight="1">
      <c r="A32" s="21"/>
      <c r="B32" s="22"/>
      <c r="C32" s="23">
        <v>2.0</v>
      </c>
      <c r="D32" s="24" t="s">
        <v>101</v>
      </c>
      <c r="E32" s="123" t="s">
        <v>70</v>
      </c>
      <c r="F32" s="133">
        <v>0.19</v>
      </c>
      <c r="G32" s="167" t="s">
        <v>70</v>
      </c>
      <c r="H32" s="167" t="s">
        <v>70</v>
      </c>
      <c r="I32" s="133">
        <v>0.702</v>
      </c>
      <c r="J32" s="167" t="s">
        <v>70</v>
      </c>
      <c r="K32" s="167" t="s">
        <v>70</v>
      </c>
      <c r="L32" s="38">
        <v>0.396</v>
      </c>
      <c r="M32" s="167" t="s">
        <v>70</v>
      </c>
      <c r="N32" s="27">
        <v>0.655</v>
      </c>
      <c r="O32" s="167" t="s">
        <v>70</v>
      </c>
      <c r="P32" s="167" t="s">
        <v>70</v>
      </c>
      <c r="Q32" s="65">
        <f t="shared" si="3"/>
        <v>0.48575</v>
      </c>
      <c r="R32" s="29">
        <v>0.5</v>
      </c>
    </row>
    <row r="33" ht="15.75" customHeight="1">
      <c r="A33" s="21"/>
      <c r="B33" s="30"/>
      <c r="C33" s="23">
        <v>3.0</v>
      </c>
      <c r="D33" s="24" t="s">
        <v>102</v>
      </c>
      <c r="E33" s="123" t="s">
        <v>70</v>
      </c>
      <c r="F33" s="133">
        <v>0.081</v>
      </c>
      <c r="G33" s="167" t="s">
        <v>70</v>
      </c>
      <c r="H33" s="167" t="s">
        <v>70</v>
      </c>
      <c r="I33" s="133">
        <v>0.772</v>
      </c>
      <c r="J33" s="167" t="s">
        <v>70</v>
      </c>
      <c r="K33" s="167" t="s">
        <v>70</v>
      </c>
      <c r="L33" s="38">
        <v>0.281</v>
      </c>
      <c r="M33" s="167" t="s">
        <v>70</v>
      </c>
      <c r="N33" s="27">
        <v>0.667</v>
      </c>
      <c r="O33" s="167" t="s">
        <v>70</v>
      </c>
      <c r="P33" s="167" t="s">
        <v>70</v>
      </c>
      <c r="Q33" s="65">
        <f t="shared" si="3"/>
        <v>0.45025</v>
      </c>
      <c r="R33" s="29">
        <v>0.5</v>
      </c>
    </row>
    <row r="34" ht="15.75" customHeight="1">
      <c r="A34" s="21"/>
      <c r="B34" s="13" t="s">
        <v>42</v>
      </c>
      <c r="C34" s="31">
        <v>1.0</v>
      </c>
      <c r="D34" s="32" t="s">
        <v>100</v>
      </c>
      <c r="E34" s="120" t="s">
        <v>70</v>
      </c>
      <c r="F34" s="121">
        <v>594.0</v>
      </c>
      <c r="G34" s="168" t="s">
        <v>70</v>
      </c>
      <c r="H34" s="168" t="s">
        <v>70</v>
      </c>
      <c r="I34" s="121">
        <v>386.0</v>
      </c>
      <c r="J34" s="168" t="s">
        <v>70</v>
      </c>
      <c r="K34" s="168" t="s">
        <v>70</v>
      </c>
      <c r="L34" s="34">
        <v>670.0</v>
      </c>
      <c r="M34" s="168" t="s">
        <v>70</v>
      </c>
      <c r="N34" s="18">
        <v>63.0</v>
      </c>
      <c r="O34" s="168" t="s">
        <v>70</v>
      </c>
      <c r="P34" s="168" t="s">
        <v>70</v>
      </c>
      <c r="Q34" s="35">
        <f t="shared" si="3"/>
        <v>428.25</v>
      </c>
      <c r="R34" s="20">
        <v>350.0</v>
      </c>
    </row>
    <row r="35" ht="15.75" customHeight="1">
      <c r="A35" s="21"/>
      <c r="B35" s="22"/>
      <c r="C35" s="23">
        <v>2.0</v>
      </c>
      <c r="D35" s="24" t="s">
        <v>101</v>
      </c>
      <c r="E35" s="123" t="s">
        <v>70</v>
      </c>
      <c r="F35" s="122">
        <v>841.0</v>
      </c>
      <c r="G35" s="169" t="s">
        <v>70</v>
      </c>
      <c r="H35" s="169" t="s">
        <v>70</v>
      </c>
      <c r="I35" s="122">
        <v>153.0</v>
      </c>
      <c r="J35" s="169" t="s">
        <v>70</v>
      </c>
      <c r="K35" s="169" t="s">
        <v>70</v>
      </c>
      <c r="L35" s="38">
        <v>781.0</v>
      </c>
      <c r="M35" s="169" t="s">
        <v>70</v>
      </c>
      <c r="N35" s="27">
        <v>37.0</v>
      </c>
      <c r="O35" s="169" t="s">
        <v>70</v>
      </c>
      <c r="P35" s="169" t="s">
        <v>70</v>
      </c>
      <c r="Q35" s="39">
        <f t="shared" si="3"/>
        <v>453</v>
      </c>
      <c r="R35" s="29">
        <v>350.0</v>
      </c>
    </row>
    <row r="36" ht="15.75" customHeight="1">
      <c r="A36" s="21"/>
      <c r="B36" s="30"/>
      <c r="C36" s="23">
        <v>3.0</v>
      </c>
      <c r="D36" s="24" t="s">
        <v>102</v>
      </c>
      <c r="E36" s="123" t="s">
        <v>70</v>
      </c>
      <c r="F36" s="122">
        <v>66.0</v>
      </c>
      <c r="G36" s="169" t="s">
        <v>70</v>
      </c>
      <c r="H36" s="169" t="s">
        <v>70</v>
      </c>
      <c r="I36" s="122">
        <v>109.0</v>
      </c>
      <c r="J36" s="169" t="s">
        <v>70</v>
      </c>
      <c r="K36" s="169" t="s">
        <v>70</v>
      </c>
      <c r="L36" s="38">
        <v>78.0</v>
      </c>
      <c r="M36" s="169" t="s">
        <v>70</v>
      </c>
      <c r="N36" s="27">
        <v>40.0</v>
      </c>
      <c r="O36" s="169" t="s">
        <v>70</v>
      </c>
      <c r="P36" s="169" t="s">
        <v>70</v>
      </c>
      <c r="Q36" s="39">
        <f t="shared" si="3"/>
        <v>73.25</v>
      </c>
      <c r="R36" s="29">
        <v>350.0</v>
      </c>
    </row>
    <row r="37" ht="14.2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5"/>
      <c r="M37" s="135"/>
      <c r="N37" s="135"/>
      <c r="O37" s="135"/>
      <c r="P37" s="135"/>
      <c r="Q37" s="134"/>
      <c r="R37" s="134"/>
    </row>
    <row r="38" ht="14.25" customHeight="1">
      <c r="A38" s="136" t="s">
        <v>43</v>
      </c>
      <c r="D38" s="134"/>
      <c r="E38" s="134"/>
      <c r="F38" s="134"/>
      <c r="G38" s="134"/>
      <c r="H38" s="134"/>
      <c r="I38" s="134"/>
      <c r="J38" s="134"/>
      <c r="K38" s="134"/>
      <c r="L38" s="135"/>
      <c r="M38" s="135"/>
      <c r="N38" s="135"/>
      <c r="O38" s="135"/>
      <c r="P38" s="135"/>
      <c r="Q38" s="134"/>
      <c r="R38" s="134"/>
    </row>
    <row r="39" ht="14.25" customHeight="1">
      <c r="D39" s="134"/>
      <c r="E39" s="134"/>
      <c r="F39" s="134"/>
      <c r="G39" s="134"/>
      <c r="H39" s="134"/>
      <c r="I39" s="134"/>
      <c r="J39" s="134"/>
      <c r="K39" s="134"/>
      <c r="L39" s="135"/>
      <c r="M39" s="135"/>
      <c r="N39" s="135"/>
      <c r="O39" s="135"/>
      <c r="P39" s="135"/>
    </row>
    <row r="40" ht="14.25" customHeight="1">
      <c r="A40" s="136" t="s">
        <v>76</v>
      </c>
      <c r="D40" s="134"/>
      <c r="E40" s="134"/>
      <c r="F40" s="134"/>
      <c r="G40" s="134"/>
      <c r="H40" s="134"/>
      <c r="I40" s="134"/>
      <c r="J40" s="134"/>
      <c r="K40" s="134"/>
      <c r="L40" s="135"/>
      <c r="M40" s="135"/>
      <c r="N40" s="135"/>
      <c r="O40" s="135"/>
      <c r="P40" s="135"/>
    </row>
    <row r="41" ht="14.25" customHeight="1">
      <c r="D41" s="134"/>
      <c r="E41" s="134"/>
      <c r="F41" s="134"/>
      <c r="G41" s="134"/>
      <c r="H41" s="134"/>
      <c r="I41" s="134"/>
      <c r="J41" s="134"/>
      <c r="K41" s="134"/>
      <c r="L41" s="135"/>
      <c r="M41" s="135"/>
      <c r="N41" s="135"/>
      <c r="O41" s="135"/>
      <c r="P41" s="135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54.71"/>
    <col customWidth="1" min="5" max="5" width="10.43" outlineLevel="1"/>
    <col customWidth="1" min="6" max="6" width="9.57" outlineLevel="1"/>
    <col customWidth="1" min="7" max="7" width="8.57" outlineLevel="1"/>
    <col customWidth="1" min="8" max="8" width="9.57" outlineLevel="1"/>
    <col customWidth="1" min="9" max="9" width="13.0" outlineLevel="1"/>
    <col customWidth="1" min="10" max="10" width="11.71" outlineLevel="1"/>
    <col customWidth="1" min="11" max="11" width="10.0" outlineLevel="1"/>
    <col customWidth="1" min="12" max="12" width="9.57" outlineLevel="1"/>
    <col customWidth="1" min="13" max="13" width="13.86" outlineLevel="1"/>
    <col customWidth="1" min="14" max="14" width="10.71" outlineLevel="1"/>
    <col customWidth="1" min="15" max="15" width="9.86" outlineLevel="1"/>
    <col customWidth="1" min="16" max="16" width="9.57" outlineLevel="1"/>
    <col customWidth="1" min="17" max="17" width="22.29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147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106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53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75" customHeight="1">
      <c r="A7" s="12" t="s">
        <v>23</v>
      </c>
      <c r="B7" s="13" t="s">
        <v>24</v>
      </c>
      <c r="C7" s="14">
        <v>1.0</v>
      </c>
      <c r="D7" s="150" t="s">
        <v>107</v>
      </c>
      <c r="E7" s="16">
        <v>5.1</v>
      </c>
      <c r="F7" s="16">
        <v>4.1</v>
      </c>
      <c r="G7" s="16">
        <v>4.1</v>
      </c>
      <c r="H7" s="75">
        <v>5.3</v>
      </c>
      <c r="I7" s="75">
        <v>7.6</v>
      </c>
      <c r="J7" s="75">
        <v>4.0</v>
      </c>
      <c r="K7" s="17">
        <v>2.7</v>
      </c>
      <c r="L7" s="17">
        <v>5.1</v>
      </c>
      <c r="M7" s="18">
        <v>5.8</v>
      </c>
      <c r="N7" s="76">
        <v>5.8</v>
      </c>
      <c r="O7" s="18">
        <v>5.8</v>
      </c>
      <c r="P7" s="18">
        <v>5.1</v>
      </c>
      <c r="Q7" s="19">
        <f t="shared" ref="Q7:Q24" si="1">AVERAGE(E7:P7)</f>
        <v>5.041666667</v>
      </c>
      <c r="R7" s="20">
        <v>5.0</v>
      </c>
    </row>
    <row r="8" ht="15.75" customHeight="1">
      <c r="A8" s="21"/>
      <c r="B8" s="22"/>
      <c r="C8" s="23">
        <v>2.0</v>
      </c>
      <c r="D8" s="151" t="s">
        <v>108</v>
      </c>
      <c r="E8" s="25">
        <v>5.1</v>
      </c>
      <c r="F8" s="170">
        <v>5.5</v>
      </c>
      <c r="G8" s="170">
        <v>4.1</v>
      </c>
      <c r="H8" s="77">
        <v>6.8</v>
      </c>
      <c r="I8" s="77">
        <v>6.5</v>
      </c>
      <c r="J8" s="77">
        <v>4.2</v>
      </c>
      <c r="K8" s="26">
        <v>3.1</v>
      </c>
      <c r="L8" s="26">
        <v>5.7</v>
      </c>
      <c r="M8" s="152">
        <v>6.9</v>
      </c>
      <c r="N8" s="171">
        <v>6.3</v>
      </c>
      <c r="O8" s="27">
        <v>6.9</v>
      </c>
      <c r="P8" s="27">
        <v>5.5</v>
      </c>
      <c r="Q8" s="28">
        <f t="shared" si="1"/>
        <v>5.55</v>
      </c>
      <c r="R8" s="29">
        <v>5.0</v>
      </c>
    </row>
    <row r="9" ht="15.75" customHeight="1">
      <c r="A9" s="21"/>
      <c r="B9" s="30"/>
      <c r="C9" s="23">
        <v>3.0</v>
      </c>
      <c r="D9" s="151" t="s">
        <v>109</v>
      </c>
      <c r="E9" s="25">
        <v>7.8</v>
      </c>
      <c r="F9" s="170">
        <v>8.4</v>
      </c>
      <c r="G9" s="25">
        <v>7.6</v>
      </c>
      <c r="H9" s="77">
        <v>7.0</v>
      </c>
      <c r="I9" s="77">
        <v>6.8</v>
      </c>
      <c r="J9" s="77">
        <v>6.0</v>
      </c>
      <c r="K9" s="26">
        <v>6.6</v>
      </c>
      <c r="L9" s="26">
        <v>7.2</v>
      </c>
      <c r="M9" s="152">
        <v>7.3</v>
      </c>
      <c r="N9" s="171">
        <v>7.0</v>
      </c>
      <c r="O9" s="27">
        <v>8.0</v>
      </c>
      <c r="P9" s="27">
        <v>7.3</v>
      </c>
      <c r="Q9" s="104">
        <f t="shared" si="1"/>
        <v>7.25</v>
      </c>
      <c r="R9" s="29">
        <v>5.0</v>
      </c>
    </row>
    <row r="10" ht="15.75" customHeight="1">
      <c r="A10" s="21"/>
      <c r="B10" s="13" t="s">
        <v>30</v>
      </c>
      <c r="C10" s="31">
        <v>1.0</v>
      </c>
      <c r="D10" s="153" t="s">
        <v>107</v>
      </c>
      <c r="E10" s="33">
        <v>7.0</v>
      </c>
      <c r="F10" s="33">
        <v>7.0</v>
      </c>
      <c r="G10" s="33">
        <v>2.0</v>
      </c>
      <c r="H10" s="79">
        <v>8.0</v>
      </c>
      <c r="I10" s="79">
        <v>9.0</v>
      </c>
      <c r="J10" s="79">
        <v>3.0</v>
      </c>
      <c r="K10" s="68">
        <v>21.0</v>
      </c>
      <c r="L10" s="34">
        <v>4.0</v>
      </c>
      <c r="M10" s="35">
        <v>4.0</v>
      </c>
      <c r="N10" s="47">
        <v>3.0</v>
      </c>
      <c r="O10" s="35">
        <v>3.0</v>
      </c>
      <c r="P10" s="35">
        <v>3.0</v>
      </c>
      <c r="Q10" s="36">
        <f t="shared" si="1"/>
        <v>6.166666667</v>
      </c>
      <c r="R10" s="20">
        <v>7.0</v>
      </c>
    </row>
    <row r="11" ht="15.75" customHeight="1">
      <c r="A11" s="21"/>
      <c r="B11" s="22"/>
      <c r="C11" s="23">
        <v>2.0</v>
      </c>
      <c r="D11" s="151" t="s">
        <v>108</v>
      </c>
      <c r="E11" s="37">
        <v>7.0</v>
      </c>
      <c r="F11" s="172">
        <v>3.0</v>
      </c>
      <c r="G11" s="37">
        <v>8.0</v>
      </c>
      <c r="H11" s="81">
        <v>7.0</v>
      </c>
      <c r="I11" s="81">
        <v>7.0</v>
      </c>
      <c r="J11" s="81">
        <v>2.0</v>
      </c>
      <c r="K11" s="70">
        <v>3.0</v>
      </c>
      <c r="L11" s="38">
        <v>2.0</v>
      </c>
      <c r="M11" s="154">
        <v>2.0</v>
      </c>
      <c r="N11" s="173">
        <v>2.0</v>
      </c>
      <c r="O11" s="39">
        <v>2.0</v>
      </c>
      <c r="P11" s="39">
        <v>5.0</v>
      </c>
      <c r="Q11" s="40">
        <f t="shared" si="1"/>
        <v>4.166666667</v>
      </c>
      <c r="R11" s="29">
        <v>7.0</v>
      </c>
    </row>
    <row r="12" ht="15.75" customHeight="1">
      <c r="A12" s="21"/>
      <c r="B12" s="30"/>
      <c r="C12" s="23">
        <v>3.0</v>
      </c>
      <c r="D12" s="151" t="s">
        <v>109</v>
      </c>
      <c r="E12" s="37">
        <v>4.0</v>
      </c>
      <c r="F12" s="172">
        <v>2.0</v>
      </c>
      <c r="G12" s="37">
        <v>2.0</v>
      </c>
      <c r="H12" s="81">
        <v>4.0</v>
      </c>
      <c r="I12" s="81">
        <v>2.0</v>
      </c>
      <c r="J12" s="174">
        <v>2.0</v>
      </c>
      <c r="K12" s="70">
        <v>5.0</v>
      </c>
      <c r="L12" s="38">
        <v>2.0</v>
      </c>
      <c r="M12" s="175">
        <v>2.0</v>
      </c>
      <c r="N12" s="173">
        <v>2.0</v>
      </c>
      <c r="O12" s="39">
        <v>2.0</v>
      </c>
      <c r="P12" s="39">
        <v>5.0</v>
      </c>
      <c r="Q12" s="40">
        <f t="shared" si="1"/>
        <v>2.833333333</v>
      </c>
      <c r="R12" s="29">
        <v>7.0</v>
      </c>
    </row>
    <row r="13" ht="15.75" customHeight="1">
      <c r="A13" s="21"/>
      <c r="B13" s="13" t="s">
        <v>31</v>
      </c>
      <c r="C13" s="31">
        <v>1.0</v>
      </c>
      <c r="D13" s="153" t="s">
        <v>107</v>
      </c>
      <c r="E13" s="33">
        <v>5.0</v>
      </c>
      <c r="F13" s="33">
        <v>17.0</v>
      </c>
      <c r="G13" s="33">
        <v>8.0</v>
      </c>
      <c r="H13" s="79">
        <v>11.0</v>
      </c>
      <c r="I13" s="79">
        <v>13.0</v>
      </c>
      <c r="J13" s="79">
        <v>6.0</v>
      </c>
      <c r="K13" s="68">
        <v>4.0</v>
      </c>
      <c r="L13" s="34">
        <v>10.0</v>
      </c>
      <c r="M13" s="35">
        <v>7.0</v>
      </c>
      <c r="N13" s="47">
        <v>8.0</v>
      </c>
      <c r="O13" s="35">
        <v>11.0</v>
      </c>
      <c r="P13" s="176">
        <v>32.0</v>
      </c>
      <c r="Q13" s="36">
        <f t="shared" si="1"/>
        <v>11</v>
      </c>
      <c r="R13" s="20">
        <v>80.0</v>
      </c>
    </row>
    <row r="14" ht="15.75" customHeight="1">
      <c r="A14" s="21"/>
      <c r="B14" s="22"/>
      <c r="C14" s="23">
        <v>2.0</v>
      </c>
      <c r="D14" s="151" t="s">
        <v>108</v>
      </c>
      <c r="E14" s="37">
        <v>5.0</v>
      </c>
      <c r="F14" s="172">
        <v>10.0</v>
      </c>
      <c r="G14" s="37">
        <v>4.0</v>
      </c>
      <c r="H14" s="81">
        <v>7.0</v>
      </c>
      <c r="I14" s="81">
        <v>5.0</v>
      </c>
      <c r="J14" s="174">
        <v>7.0</v>
      </c>
      <c r="K14" s="70">
        <v>7.0</v>
      </c>
      <c r="L14" s="38">
        <v>7.0</v>
      </c>
      <c r="M14" s="154">
        <v>21.0</v>
      </c>
      <c r="N14" s="173">
        <v>7.0</v>
      </c>
      <c r="O14" s="39">
        <v>11.0</v>
      </c>
      <c r="P14" s="39">
        <v>2.0</v>
      </c>
      <c r="Q14" s="40">
        <f t="shared" si="1"/>
        <v>7.75</v>
      </c>
      <c r="R14" s="29">
        <v>80.0</v>
      </c>
    </row>
    <row r="15" ht="15.75" customHeight="1">
      <c r="A15" s="21"/>
      <c r="B15" s="30"/>
      <c r="C15" s="23">
        <v>3.0</v>
      </c>
      <c r="D15" s="151" t="s">
        <v>109</v>
      </c>
      <c r="E15" s="37">
        <v>11.0</v>
      </c>
      <c r="F15" s="172">
        <v>23.0</v>
      </c>
      <c r="G15" s="37">
        <v>27.0</v>
      </c>
      <c r="H15" s="81">
        <v>45.0</v>
      </c>
      <c r="I15" s="81">
        <v>54.0</v>
      </c>
      <c r="J15" s="174">
        <v>93.0</v>
      </c>
      <c r="K15" s="70">
        <v>38.0</v>
      </c>
      <c r="L15" s="38">
        <v>50.0</v>
      </c>
      <c r="M15" s="175">
        <v>62.0</v>
      </c>
      <c r="N15" s="173">
        <v>47.0</v>
      </c>
      <c r="O15" s="106">
        <v>72.0</v>
      </c>
      <c r="P15" s="106">
        <v>10.0</v>
      </c>
      <c r="Q15" s="40">
        <f t="shared" si="1"/>
        <v>44.33333333</v>
      </c>
      <c r="R15" s="29">
        <v>80.0</v>
      </c>
    </row>
    <row r="16" ht="15.75" customHeight="1">
      <c r="A16" s="21"/>
      <c r="B16" s="13" t="s">
        <v>33</v>
      </c>
      <c r="C16" s="31">
        <v>1.0</v>
      </c>
      <c r="D16" s="153" t="s">
        <v>107</v>
      </c>
      <c r="E16" s="41">
        <v>7.0</v>
      </c>
      <c r="F16" s="41">
        <v>7.0</v>
      </c>
      <c r="G16" s="41">
        <v>7.1</v>
      </c>
      <c r="H16" s="83">
        <v>7.1</v>
      </c>
      <c r="I16" s="83">
        <v>7.1</v>
      </c>
      <c r="J16" s="83">
        <v>7.0</v>
      </c>
      <c r="K16" s="42">
        <v>7.0</v>
      </c>
      <c r="L16" s="42">
        <v>7.0</v>
      </c>
      <c r="M16" s="18">
        <v>7.0</v>
      </c>
      <c r="N16" s="76">
        <v>7.0</v>
      </c>
      <c r="O16" s="18">
        <v>7.2</v>
      </c>
      <c r="P16" s="18">
        <v>7.0</v>
      </c>
      <c r="Q16" s="19">
        <f t="shared" si="1"/>
        <v>7.041666667</v>
      </c>
      <c r="R16" s="18" t="s">
        <v>34</v>
      </c>
    </row>
    <row r="17" ht="15.75" customHeight="1">
      <c r="A17" s="21"/>
      <c r="B17" s="22"/>
      <c r="C17" s="23">
        <v>2.0</v>
      </c>
      <c r="D17" s="151" t="s">
        <v>108</v>
      </c>
      <c r="E17" s="25">
        <v>7.0</v>
      </c>
      <c r="F17" s="170">
        <v>7.0</v>
      </c>
      <c r="G17" s="170">
        <v>7.0</v>
      </c>
      <c r="H17" s="77">
        <v>7.0</v>
      </c>
      <c r="I17" s="77">
        <v>7.2</v>
      </c>
      <c r="J17" s="177">
        <v>7.0</v>
      </c>
      <c r="K17" s="26">
        <v>7.0</v>
      </c>
      <c r="L17" s="26">
        <v>7.0</v>
      </c>
      <c r="M17" s="152">
        <v>7.0</v>
      </c>
      <c r="N17" s="78">
        <v>7.0</v>
      </c>
      <c r="O17" s="27">
        <v>7.1</v>
      </c>
      <c r="P17" s="27">
        <v>7.0</v>
      </c>
      <c r="Q17" s="28">
        <f t="shared" si="1"/>
        <v>7.025</v>
      </c>
      <c r="R17" s="27" t="s">
        <v>34</v>
      </c>
    </row>
    <row r="18" ht="15.75" customHeight="1">
      <c r="A18" s="21"/>
      <c r="B18" s="30"/>
      <c r="C18" s="23">
        <v>3.0</v>
      </c>
      <c r="D18" s="151" t="s">
        <v>109</v>
      </c>
      <c r="E18" s="25">
        <v>7.0</v>
      </c>
      <c r="F18" s="170">
        <v>7.0</v>
      </c>
      <c r="G18" s="25">
        <v>7.1</v>
      </c>
      <c r="H18" s="77">
        <v>7.1</v>
      </c>
      <c r="I18" s="77">
        <v>7.2</v>
      </c>
      <c r="J18" s="177">
        <v>7.0</v>
      </c>
      <c r="K18" s="26">
        <v>7.0</v>
      </c>
      <c r="L18" s="26">
        <v>7.0</v>
      </c>
      <c r="M18" s="175">
        <v>7.0</v>
      </c>
      <c r="N18" s="78">
        <v>7.0</v>
      </c>
      <c r="O18" s="27">
        <v>7.2</v>
      </c>
      <c r="P18" s="27">
        <v>7.0</v>
      </c>
      <c r="Q18" s="104">
        <f t="shared" si="1"/>
        <v>7.05</v>
      </c>
      <c r="R18" s="27" t="s">
        <v>34</v>
      </c>
    </row>
    <row r="19" ht="15.75" customHeight="1">
      <c r="A19" s="21"/>
      <c r="B19" s="13" t="s">
        <v>110</v>
      </c>
      <c r="C19" s="31">
        <v>1.0</v>
      </c>
      <c r="D19" s="153" t="s">
        <v>107</v>
      </c>
      <c r="E19" s="41">
        <v>25.6</v>
      </c>
      <c r="F19" s="41">
        <v>25.8</v>
      </c>
      <c r="G19" s="41">
        <v>26.1</v>
      </c>
      <c r="H19" s="83">
        <v>29.8</v>
      </c>
      <c r="I19" s="83">
        <v>28.6</v>
      </c>
      <c r="J19" s="83">
        <v>28.5</v>
      </c>
      <c r="K19" s="42">
        <v>26.0</v>
      </c>
      <c r="L19" s="42">
        <v>27.0</v>
      </c>
      <c r="M19" s="18">
        <v>27.3</v>
      </c>
      <c r="N19" s="76">
        <v>26.8</v>
      </c>
      <c r="O19" s="18">
        <v>27.0</v>
      </c>
      <c r="P19" s="18">
        <v>29.35</v>
      </c>
      <c r="Q19" s="19">
        <f t="shared" si="1"/>
        <v>27.32083333</v>
      </c>
      <c r="R19" s="18" t="s">
        <v>36</v>
      </c>
    </row>
    <row r="20" ht="15.75" customHeight="1">
      <c r="A20" s="21"/>
      <c r="B20" s="22"/>
      <c r="C20" s="23">
        <v>2.0</v>
      </c>
      <c r="D20" s="151" t="s">
        <v>108</v>
      </c>
      <c r="E20" s="25">
        <v>26.0</v>
      </c>
      <c r="F20" s="170">
        <v>25.9</v>
      </c>
      <c r="G20" s="170">
        <v>26.3</v>
      </c>
      <c r="H20" s="77">
        <v>29.9</v>
      </c>
      <c r="I20" s="77">
        <v>28.9</v>
      </c>
      <c r="J20" s="177">
        <v>28.6</v>
      </c>
      <c r="K20" s="26">
        <v>26.5</v>
      </c>
      <c r="L20" s="26">
        <v>26.5</v>
      </c>
      <c r="M20" s="152">
        <v>27.3</v>
      </c>
      <c r="N20" s="171">
        <v>27.0</v>
      </c>
      <c r="O20" s="27">
        <v>27.0</v>
      </c>
      <c r="P20" s="27">
        <v>29.0</v>
      </c>
      <c r="Q20" s="28">
        <f t="shared" si="1"/>
        <v>27.40833333</v>
      </c>
      <c r="R20" s="27" t="s">
        <v>36</v>
      </c>
    </row>
    <row r="21" ht="15.75" customHeight="1">
      <c r="A21" s="21"/>
      <c r="B21" s="30"/>
      <c r="C21" s="23">
        <v>3.0</v>
      </c>
      <c r="D21" s="151" t="s">
        <v>109</v>
      </c>
      <c r="E21" s="25">
        <v>26.3</v>
      </c>
      <c r="F21" s="170">
        <v>25.8</v>
      </c>
      <c r="G21" s="25">
        <v>26.1</v>
      </c>
      <c r="H21" s="77">
        <v>30.0</v>
      </c>
      <c r="I21" s="77">
        <v>28.7</v>
      </c>
      <c r="J21" s="177">
        <v>28.7</v>
      </c>
      <c r="K21" s="26">
        <v>27.0</v>
      </c>
      <c r="L21" s="26">
        <v>26.5</v>
      </c>
      <c r="M21" s="152">
        <v>27.5</v>
      </c>
      <c r="N21" s="171">
        <v>27.1</v>
      </c>
      <c r="O21" s="27">
        <v>27.1</v>
      </c>
      <c r="P21" s="27">
        <v>29.4</v>
      </c>
      <c r="Q21" s="104">
        <f t="shared" si="1"/>
        <v>27.51666667</v>
      </c>
      <c r="R21" s="27" t="s">
        <v>36</v>
      </c>
    </row>
    <row r="22" ht="14.25" customHeight="1">
      <c r="A22" s="21"/>
      <c r="B22" s="13" t="s">
        <v>37</v>
      </c>
      <c r="C22" s="31">
        <v>1.0</v>
      </c>
      <c r="D22" s="153" t="s">
        <v>107</v>
      </c>
      <c r="E22" s="33">
        <v>5.0</v>
      </c>
      <c r="F22" s="33">
        <v>5.0</v>
      </c>
      <c r="G22" s="33">
        <v>5.0</v>
      </c>
      <c r="H22" s="79">
        <v>10.0</v>
      </c>
      <c r="I22" s="79">
        <v>5.0</v>
      </c>
      <c r="J22" s="79">
        <v>5.0</v>
      </c>
      <c r="K22" s="68">
        <v>10.0</v>
      </c>
      <c r="L22" s="34">
        <v>5.0</v>
      </c>
      <c r="M22" s="35">
        <v>5.0</v>
      </c>
      <c r="N22" s="47">
        <v>5.0</v>
      </c>
      <c r="O22" s="35">
        <v>5.0</v>
      </c>
      <c r="P22" s="176">
        <v>5.0</v>
      </c>
      <c r="Q22" s="36">
        <f t="shared" si="1"/>
        <v>5.833333333</v>
      </c>
      <c r="R22" s="20">
        <v>75.0</v>
      </c>
    </row>
    <row r="23" ht="17.25" customHeight="1">
      <c r="A23" s="21"/>
      <c r="B23" s="22"/>
      <c r="C23" s="23">
        <v>2.0</v>
      </c>
      <c r="D23" s="151" t="s">
        <v>108</v>
      </c>
      <c r="E23" s="37">
        <v>5.0</v>
      </c>
      <c r="F23" s="172">
        <v>5.0</v>
      </c>
      <c r="G23" s="172">
        <v>5.0</v>
      </c>
      <c r="H23" s="81">
        <v>5.0</v>
      </c>
      <c r="I23" s="81">
        <v>5.0</v>
      </c>
      <c r="J23" s="174">
        <v>5.0</v>
      </c>
      <c r="K23" s="70">
        <v>10.0</v>
      </c>
      <c r="L23" s="38">
        <v>5.0</v>
      </c>
      <c r="M23" s="178">
        <v>5.0</v>
      </c>
      <c r="N23" s="173">
        <v>5.0</v>
      </c>
      <c r="O23" s="39">
        <v>5.0</v>
      </c>
      <c r="P23" s="39">
        <v>5.0</v>
      </c>
      <c r="Q23" s="179">
        <f t="shared" si="1"/>
        <v>5.416666667</v>
      </c>
      <c r="R23" s="29">
        <v>75.0</v>
      </c>
    </row>
    <row r="24" ht="14.25" customHeight="1">
      <c r="A24" s="21"/>
      <c r="B24" s="30"/>
      <c r="C24" s="23">
        <v>3.0</v>
      </c>
      <c r="D24" s="151" t="s">
        <v>109</v>
      </c>
      <c r="E24" s="37">
        <v>5.0</v>
      </c>
      <c r="F24" s="172">
        <v>5.0</v>
      </c>
      <c r="G24" s="37">
        <v>5.0</v>
      </c>
      <c r="H24" s="81">
        <v>5.0</v>
      </c>
      <c r="I24" s="81">
        <v>5.0</v>
      </c>
      <c r="J24" s="174">
        <v>5.0</v>
      </c>
      <c r="K24" s="70">
        <v>10.0</v>
      </c>
      <c r="L24" s="38">
        <v>5.0</v>
      </c>
      <c r="M24" s="175">
        <v>5.0</v>
      </c>
      <c r="N24" s="173">
        <v>5.0</v>
      </c>
      <c r="O24" s="106">
        <v>5.0</v>
      </c>
      <c r="P24" s="106">
        <v>5.0</v>
      </c>
      <c r="Q24" s="40">
        <f t="shared" si="1"/>
        <v>5.416666667</v>
      </c>
      <c r="R24" s="29">
        <v>75.0</v>
      </c>
    </row>
    <row r="25" ht="15.75" customHeight="1">
      <c r="A25" s="21"/>
      <c r="B25" s="13" t="s">
        <v>38</v>
      </c>
      <c r="C25" s="31">
        <v>1.0</v>
      </c>
      <c r="D25" s="153" t="s">
        <v>107</v>
      </c>
      <c r="E25" s="45">
        <v>3500.0</v>
      </c>
      <c r="F25" s="45">
        <v>17000.0</v>
      </c>
      <c r="G25" s="45">
        <v>35000.0</v>
      </c>
      <c r="H25" s="180">
        <v>160000.0</v>
      </c>
      <c r="I25" s="180">
        <v>350000.0</v>
      </c>
      <c r="J25" s="45">
        <v>110000.0</v>
      </c>
      <c r="K25" s="46">
        <v>94000.0</v>
      </c>
      <c r="L25" s="46">
        <v>46000.0</v>
      </c>
      <c r="M25" s="47">
        <v>240000.0</v>
      </c>
      <c r="N25" s="47">
        <v>540000.0</v>
      </c>
      <c r="O25" s="47">
        <v>21000.0</v>
      </c>
      <c r="P25" s="47">
        <v>24000.0</v>
      </c>
      <c r="Q25" s="181">
        <f t="shared" ref="Q25:Q27" si="2">GEOMEAN(E25:P25)</f>
        <v>62602.34171</v>
      </c>
      <c r="R25" s="20">
        <v>200.0</v>
      </c>
    </row>
    <row r="26" ht="15.75" customHeight="1">
      <c r="A26" s="21"/>
      <c r="B26" s="22"/>
      <c r="C26" s="23">
        <v>2.0</v>
      </c>
      <c r="D26" s="151" t="s">
        <v>108</v>
      </c>
      <c r="E26" s="51">
        <v>2200.0</v>
      </c>
      <c r="F26" s="51">
        <v>54000.0</v>
      </c>
      <c r="G26" s="51">
        <v>54000.0</v>
      </c>
      <c r="H26" s="182">
        <v>13000.0</v>
      </c>
      <c r="I26" s="182">
        <v>24000.0</v>
      </c>
      <c r="J26" s="51">
        <v>160000.0</v>
      </c>
      <c r="K26" s="52">
        <v>92000.0</v>
      </c>
      <c r="L26" s="52">
        <v>31000.0</v>
      </c>
      <c r="M26" s="173">
        <v>17000.0</v>
      </c>
      <c r="N26" s="173">
        <v>35000.0</v>
      </c>
      <c r="O26" s="53">
        <v>21000.0</v>
      </c>
      <c r="P26" s="53">
        <v>92000.0</v>
      </c>
      <c r="Q26" s="183">
        <f t="shared" si="2"/>
        <v>31751.42337</v>
      </c>
      <c r="R26" s="29">
        <v>200.0</v>
      </c>
    </row>
    <row r="27" ht="15.75" customHeight="1">
      <c r="A27" s="21"/>
      <c r="B27" s="30"/>
      <c r="C27" s="23">
        <v>3.0</v>
      </c>
      <c r="D27" s="151" t="s">
        <v>109</v>
      </c>
      <c r="E27" s="51">
        <v>9200.0</v>
      </c>
      <c r="F27" s="51">
        <v>9200.0</v>
      </c>
      <c r="G27" s="51">
        <v>5400.0</v>
      </c>
      <c r="H27" s="182">
        <v>4900.0</v>
      </c>
      <c r="I27" s="182">
        <v>3300.0</v>
      </c>
      <c r="J27" s="51">
        <v>79000.0</v>
      </c>
      <c r="K27" s="52">
        <v>3500.0</v>
      </c>
      <c r="L27" s="52">
        <v>24000.0</v>
      </c>
      <c r="M27" s="173">
        <v>54000.0</v>
      </c>
      <c r="N27" s="173">
        <v>35000.0</v>
      </c>
      <c r="O27" s="53">
        <v>4900.0</v>
      </c>
      <c r="P27" s="53">
        <v>4900.0</v>
      </c>
      <c r="Q27" s="183">
        <f t="shared" si="2"/>
        <v>10689.39965</v>
      </c>
      <c r="R27" s="29">
        <v>200.0</v>
      </c>
    </row>
    <row r="28" ht="15.75" customHeight="1">
      <c r="A28" s="21"/>
      <c r="B28" s="13" t="s">
        <v>111</v>
      </c>
      <c r="C28" s="184">
        <v>1.0</v>
      </c>
      <c r="D28" s="185" t="s">
        <v>107</v>
      </c>
      <c r="E28" s="186">
        <v>0.556</v>
      </c>
      <c r="F28" s="186">
        <v>0.125</v>
      </c>
      <c r="G28" s="186">
        <v>0.316</v>
      </c>
      <c r="H28" s="187">
        <v>0.118</v>
      </c>
      <c r="I28" s="187">
        <v>0.174</v>
      </c>
      <c r="J28" s="187">
        <v>0.263</v>
      </c>
      <c r="K28" s="34">
        <v>0.095</v>
      </c>
      <c r="L28" s="34">
        <v>0.135</v>
      </c>
      <c r="M28" s="59">
        <v>0.198</v>
      </c>
      <c r="N28" s="188">
        <v>0.35</v>
      </c>
      <c r="O28" s="59">
        <v>0.529</v>
      </c>
      <c r="P28" s="176">
        <v>1.77</v>
      </c>
      <c r="Q28" s="60">
        <f t="shared" ref="Q28:Q36" si="3">AVERAGE(E28:P28)</f>
        <v>0.38575</v>
      </c>
      <c r="R28" s="20">
        <v>7.0</v>
      </c>
    </row>
    <row r="29" ht="15.75" customHeight="1">
      <c r="A29" s="21"/>
      <c r="B29" s="22"/>
      <c r="C29" s="189">
        <v>2.0</v>
      </c>
      <c r="D29" s="190" t="s">
        <v>108</v>
      </c>
      <c r="E29" s="191">
        <v>0.609</v>
      </c>
      <c r="F29" s="192">
        <v>0.146</v>
      </c>
      <c r="G29" s="192">
        <v>0.375</v>
      </c>
      <c r="H29" s="193">
        <v>0.308</v>
      </c>
      <c r="I29" s="193">
        <v>0.619</v>
      </c>
      <c r="J29" s="194">
        <v>0.263</v>
      </c>
      <c r="K29" s="38">
        <v>0.167</v>
      </c>
      <c r="L29" s="38">
        <v>0.171</v>
      </c>
      <c r="M29" s="66">
        <v>0.099</v>
      </c>
      <c r="N29" s="195">
        <v>0.112</v>
      </c>
      <c r="O29" s="65">
        <v>0.787</v>
      </c>
      <c r="P29" s="65">
        <v>1.79</v>
      </c>
      <c r="Q29" s="67">
        <f t="shared" si="3"/>
        <v>0.4538333333</v>
      </c>
      <c r="R29" s="29">
        <v>7.0</v>
      </c>
    </row>
    <row r="30" ht="15.75" customHeight="1">
      <c r="A30" s="21"/>
      <c r="B30" s="30"/>
      <c r="C30" s="189">
        <v>3.0</v>
      </c>
      <c r="D30" s="190" t="s">
        <v>109</v>
      </c>
      <c r="E30" s="191">
        <v>0.609</v>
      </c>
      <c r="F30" s="192">
        <v>0.158</v>
      </c>
      <c r="G30" s="192">
        <v>1.722</v>
      </c>
      <c r="H30" s="193">
        <v>0.676</v>
      </c>
      <c r="I30" s="193">
        <v>0.43</v>
      </c>
      <c r="J30" s="194">
        <v>0.312</v>
      </c>
      <c r="K30" s="38">
        <v>0.115</v>
      </c>
      <c r="L30" s="38">
        <v>0.216</v>
      </c>
      <c r="M30" s="175">
        <v>0.171</v>
      </c>
      <c r="N30" s="195">
        <v>0.156</v>
      </c>
      <c r="O30" s="106">
        <v>0.362</v>
      </c>
      <c r="P30" s="106">
        <v>1.14</v>
      </c>
      <c r="Q30" s="67">
        <f t="shared" si="3"/>
        <v>0.5055833333</v>
      </c>
      <c r="R30" s="29">
        <v>7.0</v>
      </c>
    </row>
    <row r="31" ht="15.75" customHeight="1">
      <c r="A31" s="21"/>
      <c r="B31" s="13" t="s">
        <v>112</v>
      </c>
      <c r="C31" s="184">
        <v>1.0</v>
      </c>
      <c r="D31" s="185" t="s">
        <v>107</v>
      </c>
      <c r="E31" s="186">
        <v>0.063</v>
      </c>
      <c r="F31" s="186">
        <v>0.47</v>
      </c>
      <c r="G31" s="186">
        <v>0.877</v>
      </c>
      <c r="H31" s="187">
        <v>0.299</v>
      </c>
      <c r="I31" s="187">
        <v>0.073</v>
      </c>
      <c r="J31" s="187">
        <v>0.103</v>
      </c>
      <c r="K31" s="34">
        <v>0.094</v>
      </c>
      <c r="L31" s="34">
        <v>0.042</v>
      </c>
      <c r="M31" s="59">
        <v>0.111</v>
      </c>
      <c r="N31" s="188">
        <v>0.053</v>
      </c>
      <c r="O31" s="59">
        <v>0.022</v>
      </c>
      <c r="P31" s="176">
        <v>0.02</v>
      </c>
      <c r="Q31" s="60">
        <f t="shared" si="3"/>
        <v>0.1855833333</v>
      </c>
      <c r="R31" s="20">
        <v>0.5</v>
      </c>
    </row>
    <row r="32" ht="15.75" customHeight="1">
      <c r="A32" s="21"/>
      <c r="B32" s="22"/>
      <c r="C32" s="189">
        <v>2.0</v>
      </c>
      <c r="D32" s="190" t="s">
        <v>108</v>
      </c>
      <c r="E32" s="191">
        <v>0.04</v>
      </c>
      <c r="F32" s="192">
        <v>0.697</v>
      </c>
      <c r="G32" s="192">
        <v>0.109</v>
      </c>
      <c r="H32" s="193">
        <v>0.218</v>
      </c>
      <c r="I32" s="193">
        <v>0.154</v>
      </c>
      <c r="J32" s="194">
        <v>0.055</v>
      </c>
      <c r="K32" s="38">
        <v>0.088</v>
      </c>
      <c r="L32" s="38">
        <v>0.049</v>
      </c>
      <c r="M32" s="66">
        <v>0.053</v>
      </c>
      <c r="N32" s="195">
        <v>0.063</v>
      </c>
      <c r="O32" s="65">
        <v>0.013</v>
      </c>
      <c r="P32" s="65">
        <v>0.03</v>
      </c>
      <c r="Q32" s="67">
        <f t="shared" si="3"/>
        <v>0.13075</v>
      </c>
      <c r="R32" s="29">
        <v>0.5</v>
      </c>
    </row>
    <row r="33" ht="15.75" customHeight="1">
      <c r="A33" s="21"/>
      <c r="B33" s="30"/>
      <c r="C33" s="189">
        <v>3.0</v>
      </c>
      <c r="D33" s="190" t="s">
        <v>109</v>
      </c>
      <c r="E33" s="191">
        <v>0.063</v>
      </c>
      <c r="F33" s="192">
        <v>0.355</v>
      </c>
      <c r="G33" s="192">
        <v>0.081</v>
      </c>
      <c r="H33" s="193">
        <v>0.198</v>
      </c>
      <c r="I33" s="193">
        <v>0.114</v>
      </c>
      <c r="J33" s="194">
        <v>0.064</v>
      </c>
      <c r="K33" s="38">
        <v>0.064</v>
      </c>
      <c r="L33" s="38">
        <v>0.091</v>
      </c>
      <c r="M33" s="175">
        <v>0.15</v>
      </c>
      <c r="N33" s="195">
        <v>0.067</v>
      </c>
      <c r="O33" s="106">
        <v>0.066</v>
      </c>
      <c r="P33" s="65">
        <v>0.03</v>
      </c>
      <c r="Q33" s="67">
        <f t="shared" si="3"/>
        <v>0.1119166667</v>
      </c>
      <c r="R33" s="29">
        <v>0.5</v>
      </c>
    </row>
    <row r="34" ht="15.75" customHeight="1">
      <c r="A34" s="196"/>
      <c r="B34" s="13" t="s">
        <v>42</v>
      </c>
      <c r="C34" s="31">
        <v>1.0</v>
      </c>
      <c r="D34" s="153" t="s">
        <v>107</v>
      </c>
      <c r="E34" s="33">
        <v>516.0</v>
      </c>
      <c r="F34" s="33">
        <v>14.0</v>
      </c>
      <c r="G34" s="33">
        <v>223.0</v>
      </c>
      <c r="H34" s="79">
        <v>265.0</v>
      </c>
      <c r="I34" s="79">
        <v>558.0</v>
      </c>
      <c r="J34" s="79">
        <v>18.0</v>
      </c>
      <c r="K34" s="68">
        <v>335.0</v>
      </c>
      <c r="L34" s="34">
        <v>233.0</v>
      </c>
      <c r="M34" s="35">
        <v>505.0</v>
      </c>
      <c r="N34" s="47">
        <v>530.0</v>
      </c>
      <c r="O34" s="69">
        <v>168.0</v>
      </c>
      <c r="P34" s="47">
        <v>57.0</v>
      </c>
      <c r="Q34" s="49">
        <f t="shared" si="3"/>
        <v>285.1666667</v>
      </c>
      <c r="R34" s="20">
        <v>350.0</v>
      </c>
    </row>
    <row r="35" ht="15.75" customHeight="1">
      <c r="A35" s="196"/>
      <c r="B35" s="22"/>
      <c r="C35" s="23">
        <v>2.0</v>
      </c>
      <c r="D35" s="151" t="s">
        <v>108</v>
      </c>
      <c r="E35" s="37">
        <v>279.0</v>
      </c>
      <c r="F35" s="172">
        <v>663.0</v>
      </c>
      <c r="G35" s="172">
        <v>840.0</v>
      </c>
      <c r="H35" s="81">
        <v>397.0</v>
      </c>
      <c r="I35" s="81">
        <v>221.0</v>
      </c>
      <c r="J35" s="174">
        <v>16.0</v>
      </c>
      <c r="K35" s="70">
        <v>410.0</v>
      </c>
      <c r="L35" s="38">
        <v>346.0</v>
      </c>
      <c r="M35" s="148">
        <v>72.0</v>
      </c>
      <c r="N35" s="173">
        <v>70.0</v>
      </c>
      <c r="O35" s="71">
        <v>129.0</v>
      </c>
      <c r="P35" s="53">
        <v>158.0</v>
      </c>
      <c r="Q35" s="54">
        <f t="shared" si="3"/>
        <v>300.0833333</v>
      </c>
      <c r="R35" s="29">
        <v>350.0</v>
      </c>
    </row>
    <row r="36" ht="15.75" customHeight="1">
      <c r="A36" s="196"/>
      <c r="B36" s="30"/>
      <c r="C36" s="23">
        <v>3.0</v>
      </c>
      <c r="D36" s="151" t="s">
        <v>109</v>
      </c>
      <c r="E36" s="37">
        <v>12.0</v>
      </c>
      <c r="F36" s="172">
        <v>687.0</v>
      </c>
      <c r="G36" s="172">
        <v>19.0</v>
      </c>
      <c r="H36" s="81">
        <v>27.0</v>
      </c>
      <c r="I36" s="81">
        <v>60.0</v>
      </c>
      <c r="J36" s="174">
        <v>17.0</v>
      </c>
      <c r="K36" s="70">
        <v>40.0</v>
      </c>
      <c r="L36" s="38">
        <v>49.0</v>
      </c>
      <c r="M36" s="148">
        <v>62.0</v>
      </c>
      <c r="N36" s="173">
        <v>80.0</v>
      </c>
      <c r="O36" s="71">
        <v>178.0</v>
      </c>
      <c r="P36" s="53">
        <v>296.0</v>
      </c>
      <c r="Q36" s="54">
        <f t="shared" si="3"/>
        <v>127.25</v>
      </c>
      <c r="R36" s="29">
        <v>350.0</v>
      </c>
    </row>
    <row r="37" ht="14.25" customHeight="1">
      <c r="A37" s="134"/>
      <c r="B37" s="197"/>
      <c r="C37" s="134"/>
      <c r="D37" s="134"/>
      <c r="E37" s="134"/>
      <c r="F37" s="134"/>
      <c r="G37" s="134"/>
      <c r="H37" s="134"/>
      <c r="I37" s="134"/>
      <c r="J37" s="134"/>
      <c r="K37" s="135"/>
      <c r="L37" s="135"/>
      <c r="M37" s="134"/>
      <c r="N37" s="198"/>
      <c r="O37" s="134"/>
      <c r="P37" s="134"/>
      <c r="Q37" s="134"/>
      <c r="R37" s="134"/>
    </row>
    <row r="38" ht="14.25" customHeight="1">
      <c r="A38" s="136" t="s">
        <v>43</v>
      </c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</row>
    <row r="39" ht="14.25" customHeight="1"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29.43"/>
    <col customWidth="1" min="3" max="3" width="8.71"/>
    <col customWidth="1" min="4" max="4" width="19.14"/>
    <col customWidth="1" min="5" max="5" width="13.43" outlineLevel="1"/>
    <col customWidth="1" min="6" max="7" width="10.71" outlineLevel="1"/>
    <col customWidth="1" min="8" max="8" width="5.43" outlineLevel="1"/>
    <col customWidth="1" min="9" max="9" width="11.29" outlineLevel="1"/>
    <col customWidth="1" min="10" max="10" width="5.29" outlineLevel="1"/>
    <col customWidth="1" min="11" max="11" width="8.43" outlineLevel="1"/>
    <col customWidth="1" min="12" max="12" width="11.29" outlineLevel="1"/>
    <col customWidth="1" min="13" max="13" width="12.0" outlineLevel="1"/>
    <col customWidth="1" min="14" max="14" width="8.57" outlineLevel="1"/>
    <col customWidth="1" min="15" max="15" width="9.86" outlineLevel="1"/>
    <col customWidth="1" min="16" max="16" width="9.57" outlineLevel="1"/>
    <col customWidth="1" min="17" max="17" width="26.57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 t="s">
        <v>14</v>
      </c>
      <c r="M4" s="100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113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53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0" customHeight="1">
      <c r="A7" s="101" t="s">
        <v>23</v>
      </c>
      <c r="B7" s="13" t="s">
        <v>24</v>
      </c>
      <c r="C7" s="199">
        <v>1.0</v>
      </c>
      <c r="D7" s="200" t="s">
        <v>114</v>
      </c>
      <c r="E7" s="102">
        <v>1.5</v>
      </c>
      <c r="F7" s="102" t="s">
        <v>70</v>
      </c>
      <c r="G7" s="102" t="s">
        <v>70</v>
      </c>
      <c r="H7" s="102" t="s">
        <v>70</v>
      </c>
      <c r="I7" s="102">
        <v>2.5</v>
      </c>
      <c r="J7" s="102" t="s">
        <v>70</v>
      </c>
      <c r="K7" s="102" t="s">
        <v>70</v>
      </c>
      <c r="L7" s="102" t="s">
        <v>70</v>
      </c>
      <c r="M7" s="102">
        <v>2.35</v>
      </c>
      <c r="N7" s="102">
        <v>4.5</v>
      </c>
      <c r="O7" s="102" t="s">
        <v>70</v>
      </c>
      <c r="P7" s="102" t="s">
        <v>70</v>
      </c>
      <c r="Q7" s="19">
        <f t="shared" ref="Q7:Q24" si="1">AVERAGE(E7:P7)</f>
        <v>2.7125</v>
      </c>
      <c r="R7" s="20">
        <v>5.0</v>
      </c>
    </row>
    <row r="8" ht="14.25" customHeight="1">
      <c r="A8" s="21"/>
      <c r="B8" s="22"/>
      <c r="C8" s="201">
        <v>2.0</v>
      </c>
      <c r="D8" s="29" t="s">
        <v>115</v>
      </c>
      <c r="E8" s="27">
        <v>1.0</v>
      </c>
      <c r="F8" s="27" t="s">
        <v>70</v>
      </c>
      <c r="G8" s="27" t="s">
        <v>70</v>
      </c>
      <c r="H8" s="27" t="s">
        <v>70</v>
      </c>
      <c r="I8" s="27">
        <v>0.1</v>
      </c>
      <c r="J8" s="27" t="s">
        <v>70</v>
      </c>
      <c r="K8" s="27" t="s">
        <v>70</v>
      </c>
      <c r="L8" s="27" t="s">
        <v>70</v>
      </c>
      <c r="M8" s="27">
        <v>1.1</v>
      </c>
      <c r="N8" s="27">
        <v>3.8</v>
      </c>
      <c r="O8" s="27" t="s">
        <v>70</v>
      </c>
      <c r="P8" s="27" t="s">
        <v>70</v>
      </c>
      <c r="Q8" s="28">
        <f t="shared" si="1"/>
        <v>1.5</v>
      </c>
      <c r="R8" s="29">
        <v>5.0</v>
      </c>
    </row>
    <row r="9" ht="14.25" customHeight="1">
      <c r="A9" s="21"/>
      <c r="B9" s="30"/>
      <c r="C9" s="201">
        <v>3.0</v>
      </c>
      <c r="D9" s="29" t="s">
        <v>116</v>
      </c>
      <c r="E9" s="27">
        <v>2.0</v>
      </c>
      <c r="F9" s="27" t="s">
        <v>70</v>
      </c>
      <c r="G9" s="27" t="s">
        <v>70</v>
      </c>
      <c r="H9" s="27" t="s">
        <v>70</v>
      </c>
      <c r="I9" s="27">
        <v>2.0</v>
      </c>
      <c r="J9" s="27" t="s">
        <v>70</v>
      </c>
      <c r="K9" s="27" t="s">
        <v>70</v>
      </c>
      <c r="L9" s="27" t="s">
        <v>70</v>
      </c>
      <c r="M9" s="27">
        <v>2.68</v>
      </c>
      <c r="N9" s="27">
        <v>6.5</v>
      </c>
      <c r="O9" s="27" t="s">
        <v>70</v>
      </c>
      <c r="P9" s="27" t="s">
        <v>70</v>
      </c>
      <c r="Q9" s="28">
        <f t="shared" si="1"/>
        <v>3.295</v>
      </c>
      <c r="R9" s="29">
        <v>5.0</v>
      </c>
    </row>
    <row r="10" ht="15.0" customHeight="1">
      <c r="A10" s="21"/>
      <c r="B10" s="13" t="s">
        <v>30</v>
      </c>
      <c r="C10" s="202">
        <v>1.0</v>
      </c>
      <c r="D10" s="200" t="s">
        <v>114</v>
      </c>
      <c r="E10" s="124">
        <v>3.0</v>
      </c>
      <c r="F10" s="102" t="s">
        <v>70</v>
      </c>
      <c r="G10" s="102" t="s">
        <v>70</v>
      </c>
      <c r="H10" s="102" t="s">
        <v>70</v>
      </c>
      <c r="I10" s="124">
        <v>8.0</v>
      </c>
      <c r="J10" s="102" t="s">
        <v>70</v>
      </c>
      <c r="K10" s="102" t="s">
        <v>70</v>
      </c>
      <c r="L10" s="102" t="s">
        <v>70</v>
      </c>
      <c r="M10" s="124">
        <v>12.0</v>
      </c>
      <c r="N10" s="124">
        <v>12.0</v>
      </c>
      <c r="O10" s="102" t="s">
        <v>70</v>
      </c>
      <c r="P10" s="102" t="s">
        <v>70</v>
      </c>
      <c r="Q10" s="36">
        <f t="shared" si="1"/>
        <v>8.75</v>
      </c>
      <c r="R10" s="20">
        <v>7.0</v>
      </c>
    </row>
    <row r="11" ht="14.25" customHeight="1">
      <c r="A11" s="21"/>
      <c r="B11" s="22"/>
      <c r="C11" s="201">
        <v>2.0</v>
      </c>
      <c r="D11" s="29" t="s">
        <v>115</v>
      </c>
      <c r="E11" s="39">
        <v>7.0</v>
      </c>
      <c r="F11" s="27" t="s">
        <v>70</v>
      </c>
      <c r="G11" s="27" t="s">
        <v>70</v>
      </c>
      <c r="H11" s="27" t="s">
        <v>70</v>
      </c>
      <c r="I11" s="39">
        <v>24.0</v>
      </c>
      <c r="J11" s="27" t="s">
        <v>70</v>
      </c>
      <c r="K11" s="27" t="s">
        <v>70</v>
      </c>
      <c r="L11" s="27" t="s">
        <v>70</v>
      </c>
      <c r="M11" s="39">
        <v>8.0</v>
      </c>
      <c r="N11" s="39">
        <v>6.0</v>
      </c>
      <c r="O11" s="27" t="s">
        <v>70</v>
      </c>
      <c r="P11" s="27" t="s">
        <v>70</v>
      </c>
      <c r="Q11" s="40">
        <f t="shared" si="1"/>
        <v>11.25</v>
      </c>
      <c r="R11" s="29">
        <v>7.0</v>
      </c>
    </row>
    <row r="12" ht="14.25" customHeight="1">
      <c r="A12" s="21"/>
      <c r="B12" s="30"/>
      <c r="C12" s="201">
        <v>3.0</v>
      </c>
      <c r="D12" s="29" t="s">
        <v>116</v>
      </c>
      <c r="E12" s="39">
        <v>6.0</v>
      </c>
      <c r="F12" s="27" t="s">
        <v>70</v>
      </c>
      <c r="G12" s="27" t="s">
        <v>70</v>
      </c>
      <c r="H12" s="27" t="s">
        <v>70</v>
      </c>
      <c r="I12" s="39">
        <v>6.0</v>
      </c>
      <c r="J12" s="27" t="s">
        <v>70</v>
      </c>
      <c r="K12" s="27" t="s">
        <v>70</v>
      </c>
      <c r="L12" s="27" t="s">
        <v>70</v>
      </c>
      <c r="M12" s="39">
        <v>12.0</v>
      </c>
      <c r="N12" s="39">
        <v>6.0</v>
      </c>
      <c r="O12" s="27" t="s">
        <v>70</v>
      </c>
      <c r="P12" s="27" t="s">
        <v>70</v>
      </c>
      <c r="Q12" s="40">
        <f t="shared" si="1"/>
        <v>7.5</v>
      </c>
      <c r="R12" s="29">
        <v>7.0</v>
      </c>
    </row>
    <row r="13" ht="15.0" customHeight="1">
      <c r="A13" s="21"/>
      <c r="B13" s="13" t="s">
        <v>31</v>
      </c>
      <c r="C13" s="202">
        <v>1.0</v>
      </c>
      <c r="D13" s="200" t="s">
        <v>114</v>
      </c>
      <c r="E13" s="124">
        <v>14.0</v>
      </c>
      <c r="F13" s="102" t="s">
        <v>70</v>
      </c>
      <c r="G13" s="102" t="s">
        <v>70</v>
      </c>
      <c r="H13" s="102" t="s">
        <v>70</v>
      </c>
      <c r="I13" s="124">
        <v>11.0</v>
      </c>
      <c r="J13" s="102" t="s">
        <v>70</v>
      </c>
      <c r="K13" s="102" t="s">
        <v>70</v>
      </c>
      <c r="L13" s="102" t="s">
        <v>70</v>
      </c>
      <c r="M13" s="124">
        <v>46.0</v>
      </c>
      <c r="N13" s="124">
        <v>58.0</v>
      </c>
      <c r="O13" s="102" t="s">
        <v>70</v>
      </c>
      <c r="P13" s="102" t="s">
        <v>70</v>
      </c>
      <c r="Q13" s="36">
        <f t="shared" si="1"/>
        <v>32.25</v>
      </c>
      <c r="R13" s="20">
        <v>80.0</v>
      </c>
    </row>
    <row r="14" ht="14.25" customHeight="1">
      <c r="A14" s="21"/>
      <c r="B14" s="22"/>
      <c r="C14" s="201">
        <v>2.0</v>
      </c>
      <c r="D14" s="29" t="s">
        <v>115</v>
      </c>
      <c r="E14" s="39">
        <v>13.0</v>
      </c>
      <c r="F14" s="27" t="s">
        <v>70</v>
      </c>
      <c r="G14" s="27" t="s">
        <v>70</v>
      </c>
      <c r="H14" s="27" t="s">
        <v>70</v>
      </c>
      <c r="I14" s="39">
        <v>29.0</v>
      </c>
      <c r="J14" s="27" t="s">
        <v>70</v>
      </c>
      <c r="K14" s="27" t="s">
        <v>70</v>
      </c>
      <c r="L14" s="27" t="s">
        <v>70</v>
      </c>
      <c r="M14" s="39">
        <v>56.0</v>
      </c>
      <c r="N14" s="39">
        <v>40.0</v>
      </c>
      <c r="O14" s="27" t="s">
        <v>70</v>
      </c>
      <c r="P14" s="27" t="s">
        <v>70</v>
      </c>
      <c r="Q14" s="40">
        <f t="shared" si="1"/>
        <v>34.5</v>
      </c>
      <c r="R14" s="29">
        <v>80.0</v>
      </c>
    </row>
    <row r="15" ht="14.25" customHeight="1">
      <c r="A15" s="21"/>
      <c r="B15" s="30"/>
      <c r="C15" s="201">
        <v>3.0</v>
      </c>
      <c r="D15" s="29" t="s">
        <v>116</v>
      </c>
      <c r="E15" s="39">
        <v>10.0</v>
      </c>
      <c r="F15" s="27" t="s">
        <v>70</v>
      </c>
      <c r="G15" s="27" t="s">
        <v>70</v>
      </c>
      <c r="H15" s="27" t="s">
        <v>70</v>
      </c>
      <c r="I15" s="203">
        <v>2.5</v>
      </c>
      <c r="J15" s="27" t="s">
        <v>70</v>
      </c>
      <c r="K15" s="27" t="s">
        <v>70</v>
      </c>
      <c r="L15" s="27" t="s">
        <v>70</v>
      </c>
      <c r="M15" s="39">
        <v>44.0</v>
      </c>
      <c r="N15" s="39">
        <v>31.0</v>
      </c>
      <c r="O15" s="27" t="s">
        <v>70</v>
      </c>
      <c r="P15" s="27" t="s">
        <v>70</v>
      </c>
      <c r="Q15" s="40">
        <f t="shared" si="1"/>
        <v>21.875</v>
      </c>
      <c r="R15" s="29">
        <v>80.0</v>
      </c>
    </row>
    <row r="16" ht="14.25" customHeight="1">
      <c r="A16" s="21"/>
      <c r="B16" s="13" t="s">
        <v>33</v>
      </c>
      <c r="C16" s="202">
        <v>1.0</v>
      </c>
      <c r="D16" s="200" t="s">
        <v>114</v>
      </c>
      <c r="E16" s="102">
        <v>6.9</v>
      </c>
      <c r="F16" s="102" t="s">
        <v>70</v>
      </c>
      <c r="G16" s="102" t="s">
        <v>70</v>
      </c>
      <c r="H16" s="102" t="s">
        <v>70</v>
      </c>
      <c r="I16" s="102">
        <v>7.0</v>
      </c>
      <c r="J16" s="102" t="s">
        <v>70</v>
      </c>
      <c r="K16" s="102" t="s">
        <v>70</v>
      </c>
      <c r="L16" s="102" t="s">
        <v>70</v>
      </c>
      <c r="M16" s="102">
        <v>7.0</v>
      </c>
      <c r="N16" s="102">
        <v>7.0</v>
      </c>
      <c r="O16" s="102" t="s">
        <v>70</v>
      </c>
      <c r="P16" s="102" t="s">
        <v>70</v>
      </c>
      <c r="Q16" s="19">
        <f t="shared" si="1"/>
        <v>6.975</v>
      </c>
      <c r="R16" s="18" t="s">
        <v>34</v>
      </c>
    </row>
    <row r="17" ht="14.25" customHeight="1">
      <c r="A17" s="21"/>
      <c r="B17" s="22"/>
      <c r="C17" s="201">
        <v>2.0</v>
      </c>
      <c r="D17" s="29" t="s">
        <v>115</v>
      </c>
      <c r="E17" s="27">
        <v>7.0</v>
      </c>
      <c r="F17" s="27" t="s">
        <v>70</v>
      </c>
      <c r="G17" s="27" t="s">
        <v>70</v>
      </c>
      <c r="H17" s="27" t="s">
        <v>70</v>
      </c>
      <c r="I17" s="27">
        <v>7.0</v>
      </c>
      <c r="J17" s="27" t="s">
        <v>70</v>
      </c>
      <c r="K17" s="27" t="s">
        <v>70</v>
      </c>
      <c r="L17" s="27" t="s">
        <v>70</v>
      </c>
      <c r="M17" s="27">
        <v>7.0</v>
      </c>
      <c r="N17" s="27">
        <v>7.0</v>
      </c>
      <c r="O17" s="27" t="s">
        <v>70</v>
      </c>
      <c r="P17" s="27" t="s">
        <v>70</v>
      </c>
      <c r="Q17" s="28">
        <f t="shared" si="1"/>
        <v>7</v>
      </c>
      <c r="R17" s="27" t="s">
        <v>34</v>
      </c>
    </row>
    <row r="18" ht="14.25" customHeight="1">
      <c r="A18" s="21"/>
      <c r="B18" s="30"/>
      <c r="C18" s="201">
        <v>3.0</v>
      </c>
      <c r="D18" s="29" t="s">
        <v>116</v>
      </c>
      <c r="E18" s="27">
        <v>6.85</v>
      </c>
      <c r="F18" s="27" t="s">
        <v>70</v>
      </c>
      <c r="G18" s="27" t="s">
        <v>70</v>
      </c>
      <c r="H18" s="27" t="s">
        <v>70</v>
      </c>
      <c r="I18" s="27">
        <v>7.0</v>
      </c>
      <c r="J18" s="27" t="s">
        <v>70</v>
      </c>
      <c r="K18" s="27" t="s">
        <v>70</v>
      </c>
      <c r="L18" s="27" t="s">
        <v>70</v>
      </c>
      <c r="M18" s="27">
        <v>7.0</v>
      </c>
      <c r="N18" s="27">
        <v>7.0</v>
      </c>
      <c r="O18" s="27" t="s">
        <v>70</v>
      </c>
      <c r="P18" s="27" t="s">
        <v>70</v>
      </c>
      <c r="Q18" s="28">
        <f t="shared" si="1"/>
        <v>6.9625</v>
      </c>
      <c r="R18" s="27" t="s">
        <v>34</v>
      </c>
    </row>
    <row r="19" ht="15.0" customHeight="1">
      <c r="A19" s="21"/>
      <c r="B19" s="13" t="s">
        <v>117</v>
      </c>
      <c r="C19" s="202">
        <v>1.0</v>
      </c>
      <c r="D19" s="200" t="s">
        <v>114</v>
      </c>
      <c r="E19" s="102">
        <v>30.0</v>
      </c>
      <c r="F19" s="102" t="s">
        <v>70</v>
      </c>
      <c r="G19" s="102" t="s">
        <v>70</v>
      </c>
      <c r="H19" s="102" t="s">
        <v>70</v>
      </c>
      <c r="I19" s="102">
        <v>29.31</v>
      </c>
      <c r="J19" s="102" t="s">
        <v>70</v>
      </c>
      <c r="K19" s="102" t="s">
        <v>70</v>
      </c>
      <c r="L19" s="102" t="s">
        <v>70</v>
      </c>
      <c r="M19" s="102">
        <v>28.51</v>
      </c>
      <c r="N19" s="102">
        <v>28.75</v>
      </c>
      <c r="O19" s="102" t="s">
        <v>70</v>
      </c>
      <c r="P19" s="102" t="s">
        <v>70</v>
      </c>
      <c r="Q19" s="19">
        <f t="shared" si="1"/>
        <v>29.1425</v>
      </c>
      <c r="R19" s="18" t="s">
        <v>36</v>
      </c>
    </row>
    <row r="20" ht="14.25" customHeight="1">
      <c r="A20" s="21"/>
      <c r="B20" s="22"/>
      <c r="C20" s="201">
        <v>2.0</v>
      </c>
      <c r="D20" s="29" t="s">
        <v>115</v>
      </c>
      <c r="E20" s="27">
        <v>30.0</v>
      </c>
      <c r="F20" s="27" t="s">
        <v>70</v>
      </c>
      <c r="G20" s="27" t="s">
        <v>70</v>
      </c>
      <c r="H20" s="27" t="s">
        <v>70</v>
      </c>
      <c r="I20" s="27">
        <v>28.87</v>
      </c>
      <c r="J20" s="27" t="s">
        <v>70</v>
      </c>
      <c r="K20" s="27" t="s">
        <v>70</v>
      </c>
      <c r="L20" s="27" t="s">
        <v>70</v>
      </c>
      <c r="M20" s="27">
        <v>28.1</v>
      </c>
      <c r="N20" s="27">
        <v>28.26</v>
      </c>
      <c r="O20" s="27" t="s">
        <v>70</v>
      </c>
      <c r="P20" s="27" t="s">
        <v>70</v>
      </c>
      <c r="Q20" s="28">
        <f t="shared" si="1"/>
        <v>28.8075</v>
      </c>
      <c r="R20" s="27" t="s">
        <v>36</v>
      </c>
    </row>
    <row r="21" ht="14.25" customHeight="1">
      <c r="A21" s="21"/>
      <c r="B21" s="30"/>
      <c r="C21" s="201">
        <v>3.0</v>
      </c>
      <c r="D21" s="29" t="s">
        <v>116</v>
      </c>
      <c r="E21" s="27">
        <v>29.9</v>
      </c>
      <c r="F21" s="27" t="s">
        <v>70</v>
      </c>
      <c r="G21" s="27" t="s">
        <v>70</v>
      </c>
      <c r="H21" s="27" t="s">
        <v>70</v>
      </c>
      <c r="I21" s="27">
        <v>28.01</v>
      </c>
      <c r="J21" s="27" t="s">
        <v>70</v>
      </c>
      <c r="K21" s="27" t="s">
        <v>70</v>
      </c>
      <c r="L21" s="27" t="s">
        <v>70</v>
      </c>
      <c r="M21" s="27">
        <v>28.24</v>
      </c>
      <c r="N21" s="27">
        <v>28.37</v>
      </c>
      <c r="O21" s="27" t="s">
        <v>70</v>
      </c>
      <c r="P21" s="27" t="s">
        <v>70</v>
      </c>
      <c r="Q21" s="28">
        <f t="shared" si="1"/>
        <v>28.63</v>
      </c>
      <c r="R21" s="27" t="s">
        <v>36</v>
      </c>
    </row>
    <row r="22" ht="15.0" customHeight="1">
      <c r="A22" s="21"/>
      <c r="B22" s="13" t="s">
        <v>37</v>
      </c>
      <c r="C22" s="202">
        <v>1.0</v>
      </c>
      <c r="D22" s="200" t="s">
        <v>114</v>
      </c>
      <c r="E22" s="124">
        <v>50.0</v>
      </c>
      <c r="F22" s="102" t="s">
        <v>70</v>
      </c>
      <c r="G22" s="102" t="s">
        <v>70</v>
      </c>
      <c r="H22" s="102" t="s">
        <v>70</v>
      </c>
      <c r="I22" s="124">
        <v>50.0</v>
      </c>
      <c r="J22" s="102" t="s">
        <v>70</v>
      </c>
      <c r="K22" s="102" t="s">
        <v>70</v>
      </c>
      <c r="L22" s="102" t="s">
        <v>70</v>
      </c>
      <c r="M22" s="124">
        <v>30.0</v>
      </c>
      <c r="N22" s="124">
        <v>100.0</v>
      </c>
      <c r="O22" s="102" t="s">
        <v>70</v>
      </c>
      <c r="P22" s="102" t="s">
        <v>70</v>
      </c>
      <c r="Q22" s="36">
        <f t="shared" si="1"/>
        <v>57.5</v>
      </c>
      <c r="R22" s="20">
        <v>75.0</v>
      </c>
    </row>
    <row r="23" ht="14.25" customHeight="1">
      <c r="A23" s="21"/>
      <c r="B23" s="22"/>
      <c r="C23" s="201">
        <v>2.0</v>
      </c>
      <c r="D23" s="29" t="s">
        <v>115</v>
      </c>
      <c r="E23" s="39">
        <v>75.0</v>
      </c>
      <c r="F23" s="27" t="s">
        <v>70</v>
      </c>
      <c r="G23" s="27" t="s">
        <v>70</v>
      </c>
      <c r="H23" s="27" t="s">
        <v>70</v>
      </c>
      <c r="I23" s="39">
        <v>100.0</v>
      </c>
      <c r="J23" s="27" t="s">
        <v>70</v>
      </c>
      <c r="K23" s="27" t="s">
        <v>70</v>
      </c>
      <c r="L23" s="27" t="s">
        <v>70</v>
      </c>
      <c r="M23" s="39">
        <v>30.0</v>
      </c>
      <c r="N23" s="39">
        <v>40.0</v>
      </c>
      <c r="O23" s="27" t="s">
        <v>70</v>
      </c>
      <c r="P23" s="27" t="s">
        <v>70</v>
      </c>
      <c r="Q23" s="40">
        <f t="shared" si="1"/>
        <v>61.25</v>
      </c>
      <c r="R23" s="29">
        <v>75.0</v>
      </c>
    </row>
    <row r="24" ht="14.25" customHeight="1">
      <c r="A24" s="21"/>
      <c r="B24" s="30"/>
      <c r="C24" s="201">
        <v>3.0</v>
      </c>
      <c r="D24" s="29" t="s">
        <v>116</v>
      </c>
      <c r="E24" s="39">
        <v>75.0</v>
      </c>
      <c r="F24" s="27" t="s">
        <v>70</v>
      </c>
      <c r="G24" s="27" t="s">
        <v>70</v>
      </c>
      <c r="H24" s="27" t="s">
        <v>70</v>
      </c>
      <c r="I24" s="39">
        <v>25.0</v>
      </c>
      <c r="J24" s="27" t="s">
        <v>70</v>
      </c>
      <c r="K24" s="27" t="s">
        <v>70</v>
      </c>
      <c r="L24" s="27" t="s">
        <v>70</v>
      </c>
      <c r="M24" s="39">
        <v>30.0</v>
      </c>
      <c r="N24" s="39">
        <v>10.0</v>
      </c>
      <c r="O24" s="27" t="s">
        <v>70</v>
      </c>
      <c r="P24" s="27" t="s">
        <v>70</v>
      </c>
      <c r="Q24" s="40">
        <f t="shared" si="1"/>
        <v>35</v>
      </c>
      <c r="R24" s="29">
        <v>75.0</v>
      </c>
    </row>
    <row r="25" ht="15.0" customHeight="1">
      <c r="A25" s="21"/>
      <c r="B25" s="13" t="s">
        <v>38</v>
      </c>
      <c r="C25" s="202">
        <v>1.0</v>
      </c>
      <c r="D25" s="200" t="s">
        <v>114</v>
      </c>
      <c r="E25" s="107">
        <v>54000.0</v>
      </c>
      <c r="F25" s="107" t="s">
        <v>70</v>
      </c>
      <c r="G25" s="107" t="s">
        <v>70</v>
      </c>
      <c r="H25" s="107" t="s">
        <v>70</v>
      </c>
      <c r="I25" s="107">
        <v>54000.0</v>
      </c>
      <c r="J25" s="107" t="s">
        <v>70</v>
      </c>
      <c r="K25" s="107" t="s">
        <v>70</v>
      </c>
      <c r="L25" s="107" t="s">
        <v>70</v>
      </c>
      <c r="M25" s="107">
        <v>24000.0</v>
      </c>
      <c r="N25" s="107">
        <v>130000.0</v>
      </c>
      <c r="O25" s="107" t="s">
        <v>70</v>
      </c>
      <c r="P25" s="107" t="s">
        <v>70</v>
      </c>
      <c r="Q25" s="49">
        <f t="shared" ref="Q25:Q27" si="2">GEOMEAN(E25:P25)</f>
        <v>54920.63227</v>
      </c>
      <c r="R25" s="20">
        <v>200.0</v>
      </c>
      <c r="S25" s="50"/>
    </row>
    <row r="26" ht="14.25" customHeight="1">
      <c r="A26" s="21"/>
      <c r="B26" s="22"/>
      <c r="C26" s="201">
        <v>2.0</v>
      </c>
      <c r="D26" s="29" t="s">
        <v>115</v>
      </c>
      <c r="E26" s="53">
        <v>92000.0</v>
      </c>
      <c r="F26" s="53" t="s">
        <v>70</v>
      </c>
      <c r="G26" s="53" t="s">
        <v>70</v>
      </c>
      <c r="H26" s="53" t="s">
        <v>70</v>
      </c>
      <c r="I26" s="53">
        <v>920000.0</v>
      </c>
      <c r="J26" s="53" t="s">
        <v>70</v>
      </c>
      <c r="K26" s="53" t="s">
        <v>70</v>
      </c>
      <c r="L26" s="53" t="s">
        <v>70</v>
      </c>
      <c r="M26" s="53">
        <v>49000.0</v>
      </c>
      <c r="N26" s="53">
        <v>33000.0</v>
      </c>
      <c r="O26" s="53" t="s">
        <v>70</v>
      </c>
      <c r="P26" s="53" t="s">
        <v>70</v>
      </c>
      <c r="Q26" s="54">
        <f t="shared" si="2"/>
        <v>108161.1805</v>
      </c>
      <c r="R26" s="29">
        <v>200.0</v>
      </c>
    </row>
    <row r="27" ht="14.25" customHeight="1">
      <c r="A27" s="21"/>
      <c r="B27" s="30"/>
      <c r="C27" s="201">
        <v>3.0</v>
      </c>
      <c r="D27" s="29" t="s">
        <v>116</v>
      </c>
      <c r="E27" s="53">
        <v>9400.0</v>
      </c>
      <c r="F27" s="53" t="s">
        <v>70</v>
      </c>
      <c r="G27" s="53" t="s">
        <v>70</v>
      </c>
      <c r="H27" s="53" t="s">
        <v>70</v>
      </c>
      <c r="I27" s="53">
        <v>14000.0</v>
      </c>
      <c r="J27" s="53" t="s">
        <v>70</v>
      </c>
      <c r="K27" s="53" t="s">
        <v>70</v>
      </c>
      <c r="L27" s="53" t="s">
        <v>70</v>
      </c>
      <c r="M27" s="53">
        <v>92000.0</v>
      </c>
      <c r="N27" s="53">
        <v>33000.0</v>
      </c>
      <c r="O27" s="53" t="s">
        <v>70</v>
      </c>
      <c r="P27" s="53" t="s">
        <v>70</v>
      </c>
      <c r="Q27" s="54">
        <f t="shared" si="2"/>
        <v>25141.39748</v>
      </c>
      <c r="R27" s="29">
        <v>200.0</v>
      </c>
    </row>
    <row r="28" ht="15.0" customHeight="1">
      <c r="A28" s="21"/>
      <c r="B28" s="13" t="s">
        <v>118</v>
      </c>
      <c r="C28" s="202">
        <v>1.0</v>
      </c>
      <c r="D28" s="200" t="s">
        <v>114</v>
      </c>
      <c r="E28" s="108">
        <v>1.606</v>
      </c>
      <c r="F28" s="102" t="s">
        <v>70</v>
      </c>
      <c r="G28" s="102" t="s">
        <v>70</v>
      </c>
      <c r="H28" s="102" t="s">
        <v>70</v>
      </c>
      <c r="I28" s="108">
        <v>0.145</v>
      </c>
      <c r="J28" s="102" t="s">
        <v>70</v>
      </c>
      <c r="K28" s="102" t="s">
        <v>70</v>
      </c>
      <c r="L28" s="102" t="s">
        <v>70</v>
      </c>
      <c r="M28" s="108">
        <v>1.14</v>
      </c>
      <c r="N28" s="108">
        <v>0.505</v>
      </c>
      <c r="O28" s="102" t="s">
        <v>70</v>
      </c>
      <c r="P28" s="102" t="s">
        <v>70</v>
      </c>
      <c r="Q28" s="60">
        <f t="shared" ref="Q28:Q36" si="3">AVERAGE(E28:P28)</f>
        <v>0.849</v>
      </c>
      <c r="R28" s="20">
        <v>7.0</v>
      </c>
    </row>
    <row r="29" ht="14.25" customHeight="1">
      <c r="A29" s="21"/>
      <c r="B29" s="22"/>
      <c r="C29" s="201">
        <v>2.0</v>
      </c>
      <c r="D29" s="29" t="s">
        <v>115</v>
      </c>
      <c r="E29" s="65">
        <v>1.282</v>
      </c>
      <c r="F29" s="27" t="s">
        <v>70</v>
      </c>
      <c r="G29" s="27" t="s">
        <v>70</v>
      </c>
      <c r="H29" s="27" t="s">
        <v>70</v>
      </c>
      <c r="I29" s="65">
        <v>0.129</v>
      </c>
      <c r="J29" s="27" t="s">
        <v>70</v>
      </c>
      <c r="K29" s="27" t="s">
        <v>70</v>
      </c>
      <c r="L29" s="27" t="s">
        <v>70</v>
      </c>
      <c r="M29" s="65">
        <v>0.729</v>
      </c>
      <c r="N29" s="65">
        <v>0.36</v>
      </c>
      <c r="O29" s="27" t="s">
        <v>70</v>
      </c>
      <c r="P29" s="27" t="s">
        <v>70</v>
      </c>
      <c r="Q29" s="67">
        <f t="shared" si="3"/>
        <v>0.625</v>
      </c>
      <c r="R29" s="29">
        <v>7.0</v>
      </c>
    </row>
    <row r="30" ht="14.25" customHeight="1">
      <c r="A30" s="21"/>
      <c r="B30" s="30"/>
      <c r="C30" s="201">
        <v>3.0</v>
      </c>
      <c r="D30" s="29" t="s">
        <v>116</v>
      </c>
      <c r="E30" s="65">
        <v>1.631</v>
      </c>
      <c r="F30" s="27" t="s">
        <v>70</v>
      </c>
      <c r="G30" s="27" t="s">
        <v>70</v>
      </c>
      <c r="H30" s="27" t="s">
        <v>70</v>
      </c>
      <c r="I30" s="65">
        <v>0.251</v>
      </c>
      <c r="J30" s="27" t="s">
        <v>70</v>
      </c>
      <c r="K30" s="27" t="s">
        <v>70</v>
      </c>
      <c r="L30" s="27" t="s">
        <v>70</v>
      </c>
      <c r="M30" s="65">
        <v>1.108</v>
      </c>
      <c r="N30" s="65">
        <v>0.39</v>
      </c>
      <c r="O30" s="27" t="s">
        <v>70</v>
      </c>
      <c r="P30" s="27" t="s">
        <v>70</v>
      </c>
      <c r="Q30" s="67">
        <f t="shared" si="3"/>
        <v>0.845</v>
      </c>
      <c r="R30" s="29">
        <v>7.0</v>
      </c>
    </row>
    <row r="31" ht="15.0" customHeight="1">
      <c r="A31" s="21"/>
      <c r="B31" s="13" t="s">
        <v>119</v>
      </c>
      <c r="C31" s="202">
        <v>1.0</v>
      </c>
      <c r="D31" s="200" t="s">
        <v>114</v>
      </c>
      <c r="E31" s="108">
        <v>0.88</v>
      </c>
      <c r="F31" s="102" t="s">
        <v>70</v>
      </c>
      <c r="G31" s="102" t="s">
        <v>70</v>
      </c>
      <c r="H31" s="102" t="s">
        <v>70</v>
      </c>
      <c r="I31" s="108">
        <v>1.624</v>
      </c>
      <c r="J31" s="102" t="s">
        <v>70</v>
      </c>
      <c r="K31" s="102" t="s">
        <v>70</v>
      </c>
      <c r="L31" s="102" t="s">
        <v>70</v>
      </c>
      <c r="M31" s="108">
        <v>1.329</v>
      </c>
      <c r="N31" s="108">
        <v>0.37</v>
      </c>
      <c r="O31" s="102" t="s">
        <v>70</v>
      </c>
      <c r="P31" s="102" t="s">
        <v>70</v>
      </c>
      <c r="Q31" s="60">
        <f t="shared" si="3"/>
        <v>1.05075</v>
      </c>
      <c r="R31" s="20">
        <v>0.5</v>
      </c>
    </row>
    <row r="32" ht="14.25" customHeight="1">
      <c r="A32" s="21"/>
      <c r="B32" s="22"/>
      <c r="C32" s="201">
        <v>2.0</v>
      </c>
      <c r="D32" s="29" t="s">
        <v>115</v>
      </c>
      <c r="E32" s="65">
        <v>0.995</v>
      </c>
      <c r="F32" s="27" t="s">
        <v>70</v>
      </c>
      <c r="G32" s="27" t="s">
        <v>70</v>
      </c>
      <c r="H32" s="27" t="s">
        <v>70</v>
      </c>
      <c r="I32" s="65">
        <v>2.401</v>
      </c>
      <c r="J32" s="27" t="s">
        <v>70</v>
      </c>
      <c r="K32" s="27" t="s">
        <v>70</v>
      </c>
      <c r="L32" s="27" t="s">
        <v>70</v>
      </c>
      <c r="M32" s="65">
        <v>1.243</v>
      </c>
      <c r="N32" s="65">
        <v>0.216</v>
      </c>
      <c r="O32" s="27" t="s">
        <v>70</v>
      </c>
      <c r="P32" s="27" t="s">
        <v>70</v>
      </c>
      <c r="Q32" s="67">
        <f t="shared" si="3"/>
        <v>1.21375</v>
      </c>
      <c r="R32" s="29">
        <v>0.5</v>
      </c>
    </row>
    <row r="33" ht="14.25" customHeight="1">
      <c r="A33" s="21"/>
      <c r="B33" s="30"/>
      <c r="C33" s="201">
        <v>3.0</v>
      </c>
      <c r="D33" s="29" t="s">
        <v>116</v>
      </c>
      <c r="E33" s="65">
        <v>0.808</v>
      </c>
      <c r="F33" s="27" t="s">
        <v>70</v>
      </c>
      <c r="G33" s="27" t="s">
        <v>70</v>
      </c>
      <c r="H33" s="27" t="s">
        <v>70</v>
      </c>
      <c r="I33" s="65">
        <v>1.61</v>
      </c>
      <c r="J33" s="27" t="s">
        <v>70</v>
      </c>
      <c r="K33" s="27" t="s">
        <v>70</v>
      </c>
      <c r="L33" s="27" t="s">
        <v>70</v>
      </c>
      <c r="M33" s="65">
        <v>1.179</v>
      </c>
      <c r="N33" s="65">
        <v>0.232</v>
      </c>
      <c r="O33" s="27" t="s">
        <v>70</v>
      </c>
      <c r="P33" s="27" t="s">
        <v>70</v>
      </c>
      <c r="Q33" s="67">
        <f t="shared" si="3"/>
        <v>0.95725</v>
      </c>
      <c r="R33" s="29">
        <v>0.5</v>
      </c>
    </row>
    <row r="34" ht="15.0" customHeight="1">
      <c r="A34" s="21"/>
      <c r="B34" s="13" t="s">
        <v>42</v>
      </c>
      <c r="C34" s="202">
        <v>1.0</v>
      </c>
      <c r="D34" s="200" t="s">
        <v>114</v>
      </c>
      <c r="E34" s="109">
        <v>246.0</v>
      </c>
      <c r="F34" s="102" t="s">
        <v>70</v>
      </c>
      <c r="G34" s="102" t="s">
        <v>70</v>
      </c>
      <c r="H34" s="102" t="s">
        <v>70</v>
      </c>
      <c r="I34" s="124">
        <v>223.0</v>
      </c>
      <c r="J34" s="102" t="s">
        <v>70</v>
      </c>
      <c r="K34" s="102" t="s">
        <v>70</v>
      </c>
      <c r="L34" s="102" t="s">
        <v>70</v>
      </c>
      <c r="M34" s="124">
        <v>206.0</v>
      </c>
      <c r="N34" s="124">
        <v>80.0</v>
      </c>
      <c r="O34" s="102" t="s">
        <v>70</v>
      </c>
      <c r="P34" s="102" t="s">
        <v>70</v>
      </c>
      <c r="Q34" s="36">
        <f t="shared" si="3"/>
        <v>188.75</v>
      </c>
      <c r="R34" s="20">
        <v>350.0</v>
      </c>
    </row>
    <row r="35" ht="14.25" customHeight="1">
      <c r="A35" s="21"/>
      <c r="B35" s="22"/>
      <c r="C35" s="201">
        <v>2.0</v>
      </c>
      <c r="D35" s="29" t="s">
        <v>115</v>
      </c>
      <c r="E35" s="71">
        <v>30.0</v>
      </c>
      <c r="F35" s="27" t="s">
        <v>70</v>
      </c>
      <c r="G35" s="27" t="s">
        <v>70</v>
      </c>
      <c r="H35" s="27" t="s">
        <v>70</v>
      </c>
      <c r="I35" s="39">
        <v>291.0</v>
      </c>
      <c r="J35" s="27" t="s">
        <v>70</v>
      </c>
      <c r="K35" s="27" t="s">
        <v>70</v>
      </c>
      <c r="L35" s="27" t="s">
        <v>70</v>
      </c>
      <c r="M35" s="39">
        <v>258.0</v>
      </c>
      <c r="N35" s="39">
        <v>160.0</v>
      </c>
      <c r="O35" s="27" t="s">
        <v>70</v>
      </c>
      <c r="P35" s="27" t="s">
        <v>70</v>
      </c>
      <c r="Q35" s="40">
        <f t="shared" si="3"/>
        <v>184.75</v>
      </c>
      <c r="R35" s="29">
        <v>350.0</v>
      </c>
    </row>
    <row r="36" ht="14.25" customHeight="1">
      <c r="A36" s="21"/>
      <c r="B36" s="30"/>
      <c r="C36" s="201">
        <v>3.0</v>
      </c>
      <c r="D36" s="29" t="s">
        <v>116</v>
      </c>
      <c r="E36" s="71">
        <v>30.0</v>
      </c>
      <c r="F36" s="27" t="s">
        <v>70</v>
      </c>
      <c r="G36" s="27" t="s">
        <v>70</v>
      </c>
      <c r="H36" s="27" t="s">
        <v>70</v>
      </c>
      <c r="I36" s="39">
        <v>34.0</v>
      </c>
      <c r="J36" s="27" t="s">
        <v>70</v>
      </c>
      <c r="K36" s="27" t="s">
        <v>70</v>
      </c>
      <c r="L36" s="27" t="s">
        <v>70</v>
      </c>
      <c r="M36" s="39">
        <v>258.0</v>
      </c>
      <c r="N36" s="39">
        <v>85.0</v>
      </c>
      <c r="O36" s="27" t="s">
        <v>70</v>
      </c>
      <c r="P36" s="27" t="s">
        <v>70</v>
      </c>
      <c r="Q36" s="40">
        <f t="shared" si="3"/>
        <v>101.75</v>
      </c>
      <c r="R36" s="29">
        <v>350.0</v>
      </c>
    </row>
    <row r="37" ht="14.25" customHeight="1">
      <c r="Q37" s="134"/>
      <c r="R37" s="134"/>
    </row>
    <row r="38" ht="14.25" customHeight="1">
      <c r="A38" s="136" t="s">
        <v>43</v>
      </c>
      <c r="Q38" s="134"/>
      <c r="R38" s="134"/>
    </row>
    <row r="39" ht="14.25" customHeight="1"/>
    <row r="40" ht="14.25" customHeight="1">
      <c r="A40" s="111" t="s">
        <v>76</v>
      </c>
    </row>
    <row r="41" ht="14.25" customHeight="1"/>
    <row r="42" ht="14.25" customHeight="1">
      <c r="A42" s="111" t="s">
        <v>120</v>
      </c>
    </row>
    <row r="43" ht="14.25" customHeight="1"/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A42:C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14"/>
    <col customWidth="1" min="3" max="3" width="8.43"/>
    <col customWidth="1" min="4" max="4" width="17.71"/>
    <col customWidth="1" min="5" max="5" width="10.71" outlineLevel="1"/>
    <col customWidth="1" min="6" max="6" width="9.0" outlineLevel="1"/>
    <col customWidth="1" min="7" max="7" width="11.29" outlineLevel="1"/>
    <col customWidth="1" min="8" max="8" width="5.71" outlineLevel="1"/>
    <col customWidth="1" min="9" max="9" width="10.86" outlineLevel="1"/>
    <col customWidth="1" min="10" max="10" width="8.71" outlineLevel="1"/>
    <col customWidth="1" min="11" max="11" width="7.86" outlineLevel="1"/>
    <col customWidth="1" min="12" max="13" width="10.29" outlineLevel="1"/>
    <col customWidth="1" min="14" max="14" width="8.0" outlineLevel="1"/>
    <col customWidth="1" min="15" max="15" width="10.0" outlineLevel="1"/>
    <col customWidth="1" min="16" max="16" width="9.86" outlineLevel="1"/>
    <col customWidth="1" min="17" max="17" width="25.14"/>
    <col customWidth="1" min="18" max="18" width="8.43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100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121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53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75" customHeight="1">
      <c r="A7" s="12" t="s">
        <v>23</v>
      </c>
      <c r="B7" s="13" t="s">
        <v>24</v>
      </c>
      <c r="C7" s="14">
        <v>1.0</v>
      </c>
      <c r="D7" s="150" t="s">
        <v>122</v>
      </c>
      <c r="E7" s="18" t="s">
        <v>70</v>
      </c>
      <c r="F7" s="102" t="s">
        <v>70</v>
      </c>
      <c r="G7" s="120">
        <v>5.0</v>
      </c>
      <c r="H7" s="102" t="s">
        <v>70</v>
      </c>
      <c r="I7" s="120">
        <v>5.6</v>
      </c>
      <c r="J7" s="102" t="s">
        <v>70</v>
      </c>
      <c r="K7" s="17">
        <v>4.1</v>
      </c>
      <c r="L7" s="102" t="s">
        <v>70</v>
      </c>
      <c r="M7" s="102" t="s">
        <v>70</v>
      </c>
      <c r="N7" s="102">
        <v>4.0</v>
      </c>
      <c r="O7" s="102" t="s">
        <v>70</v>
      </c>
      <c r="P7" s="102" t="s">
        <v>70</v>
      </c>
      <c r="Q7" s="19">
        <f t="shared" ref="Q7:Q24" si="1">AVERAGE(E7:P7)</f>
        <v>4.675</v>
      </c>
      <c r="R7" s="20">
        <v>5.0</v>
      </c>
    </row>
    <row r="8" ht="15.75" customHeight="1">
      <c r="A8" s="21"/>
      <c r="B8" s="22"/>
      <c r="C8" s="23">
        <v>2.0</v>
      </c>
      <c r="D8" s="24" t="s">
        <v>123</v>
      </c>
      <c r="E8" s="27" t="s">
        <v>70</v>
      </c>
      <c r="F8" s="27" t="s">
        <v>70</v>
      </c>
      <c r="G8" s="122">
        <v>3.8</v>
      </c>
      <c r="H8" s="27" t="s">
        <v>70</v>
      </c>
      <c r="I8" s="122">
        <v>5.4</v>
      </c>
      <c r="J8" s="27" t="s">
        <v>70</v>
      </c>
      <c r="K8" s="26">
        <v>3.7</v>
      </c>
      <c r="L8" s="27" t="s">
        <v>70</v>
      </c>
      <c r="M8" s="27" t="s">
        <v>70</v>
      </c>
      <c r="N8" s="27">
        <v>4.2</v>
      </c>
      <c r="O8" s="27" t="s">
        <v>70</v>
      </c>
      <c r="P8" s="27" t="s">
        <v>70</v>
      </c>
      <c r="Q8" s="28">
        <f t="shared" si="1"/>
        <v>4.275</v>
      </c>
      <c r="R8" s="29">
        <v>5.0</v>
      </c>
    </row>
    <row r="9" ht="15.75" customHeight="1">
      <c r="A9" s="21"/>
      <c r="B9" s="30"/>
      <c r="C9" s="23">
        <v>3.0</v>
      </c>
      <c r="D9" s="24" t="s">
        <v>124</v>
      </c>
      <c r="E9" s="27" t="s">
        <v>70</v>
      </c>
      <c r="F9" s="27" t="s">
        <v>70</v>
      </c>
      <c r="G9" s="122">
        <v>5.4</v>
      </c>
      <c r="H9" s="27" t="s">
        <v>70</v>
      </c>
      <c r="I9" s="122">
        <v>5.6</v>
      </c>
      <c r="J9" s="27" t="s">
        <v>70</v>
      </c>
      <c r="K9" s="26">
        <v>4.0</v>
      </c>
      <c r="L9" s="27" t="s">
        <v>70</v>
      </c>
      <c r="M9" s="27" t="s">
        <v>70</v>
      </c>
      <c r="N9" s="27">
        <v>5.2</v>
      </c>
      <c r="O9" s="27" t="s">
        <v>70</v>
      </c>
      <c r="P9" s="27" t="s">
        <v>70</v>
      </c>
      <c r="Q9" s="28">
        <f t="shared" si="1"/>
        <v>5.05</v>
      </c>
      <c r="R9" s="29">
        <v>5.0</v>
      </c>
    </row>
    <row r="10" ht="15.75" customHeight="1">
      <c r="A10" s="21"/>
      <c r="B10" s="13" t="s">
        <v>30</v>
      </c>
      <c r="C10" s="31">
        <v>1.0</v>
      </c>
      <c r="D10" s="153" t="s">
        <v>122</v>
      </c>
      <c r="E10" s="18" t="s">
        <v>70</v>
      </c>
      <c r="F10" s="102" t="s">
        <v>70</v>
      </c>
      <c r="G10" s="125">
        <v>7.0</v>
      </c>
      <c r="H10" s="124" t="s">
        <v>70</v>
      </c>
      <c r="I10" s="125">
        <v>12.0</v>
      </c>
      <c r="J10" s="124" t="s">
        <v>70</v>
      </c>
      <c r="K10" s="34">
        <v>2.0</v>
      </c>
      <c r="L10" s="124" t="s">
        <v>70</v>
      </c>
      <c r="M10" s="124" t="s">
        <v>70</v>
      </c>
      <c r="N10" s="124">
        <v>4.0</v>
      </c>
      <c r="O10" s="124" t="s">
        <v>70</v>
      </c>
      <c r="P10" s="124" t="s">
        <v>70</v>
      </c>
      <c r="Q10" s="36">
        <f t="shared" si="1"/>
        <v>6.25</v>
      </c>
      <c r="R10" s="20">
        <v>7.0</v>
      </c>
    </row>
    <row r="11" ht="15.75" customHeight="1">
      <c r="A11" s="21"/>
      <c r="B11" s="22"/>
      <c r="C11" s="23">
        <v>2.0</v>
      </c>
      <c r="D11" s="24" t="s">
        <v>123</v>
      </c>
      <c r="E11" s="27" t="s">
        <v>70</v>
      </c>
      <c r="F11" s="27" t="s">
        <v>70</v>
      </c>
      <c r="G11" s="126">
        <v>5.0</v>
      </c>
      <c r="H11" s="39" t="s">
        <v>70</v>
      </c>
      <c r="I11" s="126">
        <v>10.0</v>
      </c>
      <c r="J11" s="39" t="s">
        <v>70</v>
      </c>
      <c r="K11" s="38">
        <v>6.0</v>
      </c>
      <c r="L11" s="39" t="s">
        <v>70</v>
      </c>
      <c r="M11" s="39" t="s">
        <v>70</v>
      </c>
      <c r="N11" s="39">
        <v>3.0</v>
      </c>
      <c r="O11" s="39" t="s">
        <v>70</v>
      </c>
      <c r="P11" s="39" t="s">
        <v>70</v>
      </c>
      <c r="Q11" s="40">
        <f t="shared" si="1"/>
        <v>6</v>
      </c>
      <c r="R11" s="29">
        <v>7.0</v>
      </c>
    </row>
    <row r="12" ht="15.75" customHeight="1">
      <c r="A12" s="21"/>
      <c r="B12" s="30"/>
      <c r="C12" s="23">
        <v>3.0</v>
      </c>
      <c r="D12" s="24" t="s">
        <v>124</v>
      </c>
      <c r="E12" s="27" t="s">
        <v>70</v>
      </c>
      <c r="F12" s="27" t="s">
        <v>70</v>
      </c>
      <c r="G12" s="126">
        <v>5.0</v>
      </c>
      <c r="H12" s="39" t="s">
        <v>70</v>
      </c>
      <c r="I12" s="126">
        <v>9.0</v>
      </c>
      <c r="J12" s="39" t="s">
        <v>70</v>
      </c>
      <c r="K12" s="38">
        <v>5.0</v>
      </c>
      <c r="L12" s="39" t="s">
        <v>70</v>
      </c>
      <c r="M12" s="39" t="s">
        <v>70</v>
      </c>
      <c r="N12" s="39">
        <v>3.0</v>
      </c>
      <c r="O12" s="39" t="s">
        <v>70</v>
      </c>
      <c r="P12" s="39" t="s">
        <v>70</v>
      </c>
      <c r="Q12" s="40">
        <f t="shared" si="1"/>
        <v>5.5</v>
      </c>
      <c r="R12" s="29">
        <v>7.0</v>
      </c>
    </row>
    <row r="13" ht="15.75" customHeight="1">
      <c r="A13" s="21"/>
      <c r="B13" s="13" t="s">
        <v>31</v>
      </c>
      <c r="C13" s="31">
        <v>1.0</v>
      </c>
      <c r="D13" s="153" t="s">
        <v>122</v>
      </c>
      <c r="E13" s="18" t="s">
        <v>70</v>
      </c>
      <c r="F13" s="102" t="s">
        <v>70</v>
      </c>
      <c r="G13" s="125">
        <v>11.0</v>
      </c>
      <c r="H13" s="124" t="s">
        <v>70</v>
      </c>
      <c r="I13" s="125">
        <v>13.0</v>
      </c>
      <c r="J13" s="124" t="s">
        <v>70</v>
      </c>
      <c r="K13" s="34">
        <v>16.0</v>
      </c>
      <c r="L13" s="124" t="s">
        <v>70</v>
      </c>
      <c r="M13" s="124" t="s">
        <v>70</v>
      </c>
      <c r="N13" s="124">
        <v>89.0</v>
      </c>
      <c r="O13" s="124" t="s">
        <v>70</v>
      </c>
      <c r="P13" s="124" t="s">
        <v>70</v>
      </c>
      <c r="Q13" s="36">
        <f t="shared" si="1"/>
        <v>32.25</v>
      </c>
      <c r="R13" s="20">
        <v>80.0</v>
      </c>
    </row>
    <row r="14" ht="15.75" customHeight="1">
      <c r="A14" s="21"/>
      <c r="B14" s="22"/>
      <c r="C14" s="23">
        <v>2.0</v>
      </c>
      <c r="D14" s="24" t="s">
        <v>123</v>
      </c>
      <c r="E14" s="27" t="s">
        <v>70</v>
      </c>
      <c r="F14" s="27" t="s">
        <v>70</v>
      </c>
      <c r="G14" s="126">
        <v>11.0</v>
      </c>
      <c r="H14" s="39" t="s">
        <v>70</v>
      </c>
      <c r="I14" s="126">
        <v>16.0</v>
      </c>
      <c r="J14" s="39" t="s">
        <v>70</v>
      </c>
      <c r="K14" s="38">
        <v>15.0</v>
      </c>
      <c r="L14" s="39" t="s">
        <v>70</v>
      </c>
      <c r="M14" s="39" t="s">
        <v>70</v>
      </c>
      <c r="N14" s="39">
        <v>46.0</v>
      </c>
      <c r="O14" s="39" t="s">
        <v>70</v>
      </c>
      <c r="P14" s="39" t="s">
        <v>70</v>
      </c>
      <c r="Q14" s="40">
        <f t="shared" si="1"/>
        <v>22</v>
      </c>
      <c r="R14" s="29">
        <v>80.0</v>
      </c>
    </row>
    <row r="15" ht="15.75" customHeight="1">
      <c r="A15" s="21"/>
      <c r="B15" s="30"/>
      <c r="C15" s="23">
        <v>3.0</v>
      </c>
      <c r="D15" s="24" t="s">
        <v>124</v>
      </c>
      <c r="E15" s="27" t="s">
        <v>70</v>
      </c>
      <c r="F15" s="27" t="s">
        <v>70</v>
      </c>
      <c r="G15" s="126">
        <v>10.0</v>
      </c>
      <c r="H15" s="39" t="s">
        <v>70</v>
      </c>
      <c r="I15" s="126">
        <v>11.0</v>
      </c>
      <c r="J15" s="39" t="s">
        <v>70</v>
      </c>
      <c r="K15" s="38">
        <v>34.0</v>
      </c>
      <c r="L15" s="39" t="s">
        <v>70</v>
      </c>
      <c r="M15" s="39" t="s">
        <v>70</v>
      </c>
      <c r="N15" s="39">
        <v>60.0</v>
      </c>
      <c r="O15" s="39" t="s">
        <v>70</v>
      </c>
      <c r="P15" s="39" t="s">
        <v>70</v>
      </c>
      <c r="Q15" s="40">
        <f t="shared" si="1"/>
        <v>28.75</v>
      </c>
      <c r="R15" s="29">
        <v>80.0</v>
      </c>
    </row>
    <row r="16" ht="15.75" customHeight="1">
      <c r="A16" s="21"/>
      <c r="B16" s="13" t="s">
        <v>33</v>
      </c>
      <c r="C16" s="31">
        <v>1.0</v>
      </c>
      <c r="D16" s="153" t="s">
        <v>122</v>
      </c>
      <c r="E16" s="18" t="s">
        <v>70</v>
      </c>
      <c r="F16" s="102" t="s">
        <v>70</v>
      </c>
      <c r="G16" s="121">
        <v>7.2</v>
      </c>
      <c r="H16" s="102" t="s">
        <v>70</v>
      </c>
      <c r="I16" s="121">
        <v>7.69</v>
      </c>
      <c r="J16" s="102" t="s">
        <v>70</v>
      </c>
      <c r="K16" s="42">
        <v>7.0</v>
      </c>
      <c r="L16" s="102" t="s">
        <v>70</v>
      </c>
      <c r="M16" s="102" t="s">
        <v>70</v>
      </c>
      <c r="N16" s="102">
        <v>7.1</v>
      </c>
      <c r="O16" s="102" t="s">
        <v>70</v>
      </c>
      <c r="P16" s="102" t="s">
        <v>70</v>
      </c>
      <c r="Q16" s="19">
        <f t="shared" si="1"/>
        <v>7.2475</v>
      </c>
      <c r="R16" s="18" t="s">
        <v>34</v>
      </c>
    </row>
    <row r="17" ht="15.75" customHeight="1">
      <c r="A17" s="21"/>
      <c r="B17" s="22"/>
      <c r="C17" s="23">
        <v>2.0</v>
      </c>
      <c r="D17" s="24" t="s">
        <v>123</v>
      </c>
      <c r="E17" s="27" t="s">
        <v>70</v>
      </c>
      <c r="F17" s="27" t="s">
        <v>70</v>
      </c>
      <c r="G17" s="122">
        <v>7.2</v>
      </c>
      <c r="H17" s="27" t="s">
        <v>70</v>
      </c>
      <c r="I17" s="122">
        <v>7.93</v>
      </c>
      <c r="J17" s="27" t="s">
        <v>70</v>
      </c>
      <c r="K17" s="26">
        <v>7.0</v>
      </c>
      <c r="L17" s="27" t="s">
        <v>70</v>
      </c>
      <c r="M17" s="27" t="s">
        <v>70</v>
      </c>
      <c r="N17" s="27">
        <v>7.0</v>
      </c>
      <c r="O17" s="27" t="s">
        <v>70</v>
      </c>
      <c r="P17" s="27" t="s">
        <v>70</v>
      </c>
      <c r="Q17" s="28">
        <f t="shared" si="1"/>
        <v>7.2825</v>
      </c>
      <c r="R17" s="27" t="s">
        <v>34</v>
      </c>
    </row>
    <row r="18" ht="15.75" customHeight="1">
      <c r="A18" s="21"/>
      <c r="B18" s="30"/>
      <c r="C18" s="23">
        <v>3.0</v>
      </c>
      <c r="D18" s="24" t="s">
        <v>124</v>
      </c>
      <c r="E18" s="27" t="s">
        <v>70</v>
      </c>
      <c r="F18" s="27" t="s">
        <v>70</v>
      </c>
      <c r="G18" s="122">
        <v>7.1</v>
      </c>
      <c r="H18" s="27" t="s">
        <v>70</v>
      </c>
      <c r="I18" s="122">
        <v>7.85</v>
      </c>
      <c r="J18" s="27" t="s">
        <v>70</v>
      </c>
      <c r="K18" s="26">
        <v>7.0</v>
      </c>
      <c r="L18" s="27" t="s">
        <v>70</v>
      </c>
      <c r="M18" s="27" t="s">
        <v>70</v>
      </c>
      <c r="N18" s="27">
        <v>7.1</v>
      </c>
      <c r="O18" s="27" t="s">
        <v>70</v>
      </c>
      <c r="P18" s="27" t="s">
        <v>70</v>
      </c>
      <c r="Q18" s="28">
        <f t="shared" si="1"/>
        <v>7.2625</v>
      </c>
      <c r="R18" s="27" t="s">
        <v>34</v>
      </c>
    </row>
    <row r="19" ht="15.75" customHeight="1">
      <c r="A19" s="21"/>
      <c r="B19" s="13" t="s">
        <v>125</v>
      </c>
      <c r="C19" s="31">
        <v>1.0</v>
      </c>
      <c r="D19" s="153" t="s">
        <v>122</v>
      </c>
      <c r="E19" s="18" t="s">
        <v>70</v>
      </c>
      <c r="F19" s="102" t="s">
        <v>70</v>
      </c>
      <c r="G19" s="121">
        <v>26.5</v>
      </c>
      <c r="H19" s="102" t="s">
        <v>70</v>
      </c>
      <c r="I19" s="121">
        <v>29.6</v>
      </c>
      <c r="J19" s="102" t="s">
        <v>70</v>
      </c>
      <c r="K19" s="42">
        <v>25.8</v>
      </c>
      <c r="L19" s="102" t="s">
        <v>70</v>
      </c>
      <c r="M19" s="102" t="s">
        <v>70</v>
      </c>
      <c r="N19" s="102">
        <v>26.5</v>
      </c>
      <c r="O19" s="102" t="s">
        <v>70</v>
      </c>
      <c r="P19" s="102" t="s">
        <v>70</v>
      </c>
      <c r="Q19" s="19">
        <f t="shared" si="1"/>
        <v>27.1</v>
      </c>
      <c r="R19" s="18" t="s">
        <v>36</v>
      </c>
    </row>
    <row r="20" ht="15.75" customHeight="1">
      <c r="A20" s="21"/>
      <c r="B20" s="22"/>
      <c r="C20" s="23">
        <v>2.0</v>
      </c>
      <c r="D20" s="24" t="s">
        <v>123</v>
      </c>
      <c r="E20" s="27" t="s">
        <v>70</v>
      </c>
      <c r="F20" s="27" t="s">
        <v>70</v>
      </c>
      <c r="G20" s="122">
        <v>26.7</v>
      </c>
      <c r="H20" s="27" t="s">
        <v>70</v>
      </c>
      <c r="I20" s="122">
        <v>29.8</v>
      </c>
      <c r="J20" s="27" t="s">
        <v>70</v>
      </c>
      <c r="K20" s="26">
        <v>26.0</v>
      </c>
      <c r="L20" s="27" t="s">
        <v>70</v>
      </c>
      <c r="M20" s="27" t="s">
        <v>70</v>
      </c>
      <c r="N20" s="27">
        <v>26.8</v>
      </c>
      <c r="O20" s="27" t="s">
        <v>70</v>
      </c>
      <c r="P20" s="27" t="s">
        <v>70</v>
      </c>
      <c r="Q20" s="28">
        <f t="shared" si="1"/>
        <v>27.325</v>
      </c>
      <c r="R20" s="27" t="s">
        <v>36</v>
      </c>
    </row>
    <row r="21" ht="15.75" customHeight="1">
      <c r="A21" s="21"/>
      <c r="B21" s="30"/>
      <c r="C21" s="23">
        <v>3.0</v>
      </c>
      <c r="D21" s="24" t="s">
        <v>124</v>
      </c>
      <c r="E21" s="27" t="s">
        <v>70</v>
      </c>
      <c r="F21" s="27" t="s">
        <v>70</v>
      </c>
      <c r="G21" s="122">
        <v>26.7</v>
      </c>
      <c r="H21" s="27" t="s">
        <v>70</v>
      </c>
      <c r="I21" s="122">
        <v>29.8</v>
      </c>
      <c r="J21" s="27" t="s">
        <v>70</v>
      </c>
      <c r="K21" s="26">
        <v>26.0</v>
      </c>
      <c r="L21" s="27" t="s">
        <v>70</v>
      </c>
      <c r="M21" s="27" t="s">
        <v>70</v>
      </c>
      <c r="N21" s="27">
        <v>27.0</v>
      </c>
      <c r="O21" s="27" t="s">
        <v>70</v>
      </c>
      <c r="P21" s="27" t="s">
        <v>70</v>
      </c>
      <c r="Q21" s="28">
        <f t="shared" si="1"/>
        <v>27.375</v>
      </c>
      <c r="R21" s="27" t="s">
        <v>36</v>
      </c>
    </row>
    <row r="22" ht="14.25" customHeight="1">
      <c r="A22" s="21"/>
      <c r="B22" s="13" t="s">
        <v>37</v>
      </c>
      <c r="C22" s="31">
        <v>1.0</v>
      </c>
      <c r="D22" s="153" t="s">
        <v>122</v>
      </c>
      <c r="E22" s="18" t="s">
        <v>70</v>
      </c>
      <c r="F22" s="102" t="s">
        <v>70</v>
      </c>
      <c r="G22" s="125">
        <v>20.0</v>
      </c>
      <c r="H22" s="124" t="s">
        <v>70</v>
      </c>
      <c r="I22" s="125">
        <v>15.0</v>
      </c>
      <c r="J22" s="124" t="s">
        <v>70</v>
      </c>
      <c r="K22" s="34">
        <v>20.0</v>
      </c>
      <c r="L22" s="124" t="s">
        <v>70</v>
      </c>
      <c r="M22" s="124" t="s">
        <v>70</v>
      </c>
      <c r="N22" s="124">
        <v>10.0</v>
      </c>
      <c r="O22" s="124" t="s">
        <v>70</v>
      </c>
      <c r="P22" s="124" t="s">
        <v>70</v>
      </c>
      <c r="Q22" s="36">
        <f t="shared" si="1"/>
        <v>16.25</v>
      </c>
      <c r="R22" s="20">
        <v>75.0</v>
      </c>
    </row>
    <row r="23" ht="14.25" customHeight="1">
      <c r="A23" s="21"/>
      <c r="B23" s="22"/>
      <c r="C23" s="23">
        <v>2.0</v>
      </c>
      <c r="D23" s="24" t="s">
        <v>123</v>
      </c>
      <c r="E23" s="27" t="s">
        <v>70</v>
      </c>
      <c r="F23" s="27" t="s">
        <v>70</v>
      </c>
      <c r="G23" s="126">
        <v>25.0</v>
      </c>
      <c r="H23" s="39" t="s">
        <v>70</v>
      </c>
      <c r="I23" s="126">
        <v>15.0</v>
      </c>
      <c r="J23" s="39" t="s">
        <v>70</v>
      </c>
      <c r="K23" s="38">
        <v>20.0</v>
      </c>
      <c r="L23" s="39" t="s">
        <v>70</v>
      </c>
      <c r="M23" s="39" t="s">
        <v>70</v>
      </c>
      <c r="N23" s="39">
        <v>10.0</v>
      </c>
      <c r="O23" s="39" t="s">
        <v>70</v>
      </c>
      <c r="P23" s="39" t="s">
        <v>70</v>
      </c>
      <c r="Q23" s="40">
        <f t="shared" si="1"/>
        <v>17.5</v>
      </c>
      <c r="R23" s="29">
        <v>75.0</v>
      </c>
    </row>
    <row r="24" ht="14.25" customHeight="1">
      <c r="A24" s="21"/>
      <c r="B24" s="30"/>
      <c r="C24" s="23">
        <v>3.0</v>
      </c>
      <c r="D24" s="24" t="s">
        <v>124</v>
      </c>
      <c r="E24" s="27" t="s">
        <v>70</v>
      </c>
      <c r="F24" s="27" t="s">
        <v>70</v>
      </c>
      <c r="G24" s="126">
        <v>25.0</v>
      </c>
      <c r="H24" s="39" t="s">
        <v>70</v>
      </c>
      <c r="I24" s="126">
        <v>15.0</v>
      </c>
      <c r="J24" s="39" t="s">
        <v>70</v>
      </c>
      <c r="K24" s="38">
        <v>20.0</v>
      </c>
      <c r="L24" s="39" t="s">
        <v>70</v>
      </c>
      <c r="M24" s="39" t="s">
        <v>70</v>
      </c>
      <c r="N24" s="39">
        <v>10.0</v>
      </c>
      <c r="O24" s="39" t="s">
        <v>70</v>
      </c>
      <c r="P24" s="39" t="s">
        <v>70</v>
      </c>
      <c r="Q24" s="40">
        <f t="shared" si="1"/>
        <v>17.5</v>
      </c>
      <c r="R24" s="29">
        <v>75.0</v>
      </c>
    </row>
    <row r="25" ht="15.75" customHeight="1">
      <c r="A25" s="21"/>
      <c r="B25" s="13" t="s">
        <v>38</v>
      </c>
      <c r="C25" s="31">
        <v>1.0</v>
      </c>
      <c r="D25" s="153" t="s">
        <v>122</v>
      </c>
      <c r="E25" s="47" t="s">
        <v>70</v>
      </c>
      <c r="F25" s="107" t="s">
        <v>70</v>
      </c>
      <c r="G25" s="128">
        <v>3300.0</v>
      </c>
      <c r="H25" s="107" t="s">
        <v>70</v>
      </c>
      <c r="I25" s="128">
        <v>4900.0</v>
      </c>
      <c r="J25" s="107" t="s">
        <v>70</v>
      </c>
      <c r="K25" s="46">
        <v>21000.0</v>
      </c>
      <c r="L25" s="107" t="s">
        <v>70</v>
      </c>
      <c r="M25" s="107" t="s">
        <v>70</v>
      </c>
      <c r="N25" s="107">
        <v>17000.0</v>
      </c>
      <c r="O25" s="107" t="s">
        <v>70</v>
      </c>
      <c r="P25" s="107" t="s">
        <v>70</v>
      </c>
      <c r="Q25" s="204">
        <f t="shared" ref="Q25:Q27" si="2">GEOMEAN(E25:P25)</f>
        <v>8716.548661</v>
      </c>
      <c r="R25" s="20">
        <v>200.0</v>
      </c>
      <c r="S25" s="50"/>
    </row>
    <row r="26" ht="15.75" customHeight="1">
      <c r="A26" s="21"/>
      <c r="B26" s="22"/>
      <c r="C26" s="23">
        <v>2.0</v>
      </c>
      <c r="D26" s="24" t="s">
        <v>123</v>
      </c>
      <c r="E26" s="53" t="s">
        <v>70</v>
      </c>
      <c r="F26" s="53" t="s">
        <v>70</v>
      </c>
      <c r="G26" s="130">
        <v>160000.0</v>
      </c>
      <c r="H26" s="53" t="s">
        <v>70</v>
      </c>
      <c r="I26" s="130">
        <v>54000.0</v>
      </c>
      <c r="J26" s="53" t="s">
        <v>70</v>
      </c>
      <c r="K26" s="52">
        <v>54000.0</v>
      </c>
      <c r="L26" s="53" t="s">
        <v>70</v>
      </c>
      <c r="M26" s="53" t="s">
        <v>70</v>
      </c>
      <c r="N26" s="53">
        <v>2300.0</v>
      </c>
      <c r="O26" s="53" t="s">
        <v>70</v>
      </c>
      <c r="P26" s="53" t="s">
        <v>70</v>
      </c>
      <c r="Q26" s="205">
        <f t="shared" si="2"/>
        <v>32185.39434</v>
      </c>
      <c r="R26" s="29">
        <v>200.0</v>
      </c>
    </row>
    <row r="27" ht="15.75" customHeight="1">
      <c r="A27" s="21"/>
      <c r="B27" s="30"/>
      <c r="C27" s="23">
        <v>3.0</v>
      </c>
      <c r="D27" s="24" t="s">
        <v>124</v>
      </c>
      <c r="E27" s="53" t="s">
        <v>70</v>
      </c>
      <c r="F27" s="53" t="s">
        <v>70</v>
      </c>
      <c r="G27" s="130">
        <v>7900.0</v>
      </c>
      <c r="H27" s="53" t="s">
        <v>70</v>
      </c>
      <c r="I27" s="130">
        <v>4900.0</v>
      </c>
      <c r="J27" s="53" t="s">
        <v>70</v>
      </c>
      <c r="K27" s="52">
        <v>24000.0</v>
      </c>
      <c r="L27" s="53" t="s">
        <v>70</v>
      </c>
      <c r="M27" s="53" t="s">
        <v>70</v>
      </c>
      <c r="N27" s="53">
        <v>1700.0</v>
      </c>
      <c r="O27" s="53" t="s">
        <v>70</v>
      </c>
      <c r="P27" s="53" t="s">
        <v>70</v>
      </c>
      <c r="Q27" s="205">
        <f t="shared" si="2"/>
        <v>6304.067194</v>
      </c>
      <c r="R27" s="29">
        <v>200.0</v>
      </c>
    </row>
    <row r="28" ht="15.75" customHeight="1">
      <c r="A28" s="21"/>
      <c r="B28" s="13" t="s">
        <v>126</v>
      </c>
      <c r="C28" s="55">
        <v>1.0</v>
      </c>
      <c r="D28" s="206" t="s">
        <v>122</v>
      </c>
      <c r="E28" s="59" t="s">
        <v>70</v>
      </c>
      <c r="F28" s="102" t="s">
        <v>70</v>
      </c>
      <c r="G28" s="132">
        <v>0.361</v>
      </c>
      <c r="H28" s="102" t="s">
        <v>70</v>
      </c>
      <c r="I28" s="132">
        <v>0.597</v>
      </c>
      <c r="J28" s="102" t="s">
        <v>70</v>
      </c>
      <c r="K28" s="34">
        <v>0.336</v>
      </c>
      <c r="L28" s="102" t="s">
        <v>70</v>
      </c>
      <c r="M28" s="102" t="s">
        <v>70</v>
      </c>
      <c r="N28" s="108">
        <v>0.092</v>
      </c>
      <c r="O28" s="102" t="s">
        <v>70</v>
      </c>
      <c r="P28" s="102" t="s">
        <v>70</v>
      </c>
      <c r="Q28" s="60">
        <f t="shared" ref="Q28:Q36" si="3">AVERAGE(E28:P28)</f>
        <v>0.3465</v>
      </c>
      <c r="R28" s="20">
        <v>7.0</v>
      </c>
    </row>
    <row r="29" ht="14.25" customHeight="1">
      <c r="A29" s="21"/>
      <c r="B29" s="22"/>
      <c r="C29" s="61">
        <v>2.0</v>
      </c>
      <c r="D29" s="62" t="s">
        <v>123</v>
      </c>
      <c r="E29" s="65" t="s">
        <v>70</v>
      </c>
      <c r="F29" s="27" t="s">
        <v>70</v>
      </c>
      <c r="G29" s="133">
        <v>0.424</v>
      </c>
      <c r="H29" s="27" t="s">
        <v>70</v>
      </c>
      <c r="I29" s="133">
        <v>0.702</v>
      </c>
      <c r="J29" s="27" t="s">
        <v>70</v>
      </c>
      <c r="K29" s="64">
        <v>0.29</v>
      </c>
      <c r="L29" s="27" t="s">
        <v>70</v>
      </c>
      <c r="M29" s="27" t="s">
        <v>70</v>
      </c>
      <c r="N29" s="65">
        <v>0.097</v>
      </c>
      <c r="O29" s="27" t="s">
        <v>70</v>
      </c>
      <c r="P29" s="27" t="s">
        <v>70</v>
      </c>
      <c r="Q29" s="67">
        <f t="shared" si="3"/>
        <v>0.37825</v>
      </c>
      <c r="R29" s="29">
        <v>7.0</v>
      </c>
    </row>
    <row r="30" ht="15.75" customHeight="1">
      <c r="A30" s="21"/>
      <c r="B30" s="30"/>
      <c r="C30" s="61">
        <v>3.0</v>
      </c>
      <c r="D30" s="62" t="s">
        <v>124</v>
      </c>
      <c r="E30" s="65" t="s">
        <v>70</v>
      </c>
      <c r="F30" s="27" t="s">
        <v>70</v>
      </c>
      <c r="G30" s="133">
        <v>0.486</v>
      </c>
      <c r="H30" s="27" t="s">
        <v>70</v>
      </c>
      <c r="I30" s="133">
        <v>0.958</v>
      </c>
      <c r="J30" s="27" t="s">
        <v>70</v>
      </c>
      <c r="K30" s="38">
        <v>0.355</v>
      </c>
      <c r="L30" s="27" t="s">
        <v>70</v>
      </c>
      <c r="M30" s="27" t="s">
        <v>70</v>
      </c>
      <c r="N30" s="65">
        <v>0.102</v>
      </c>
      <c r="O30" s="27" t="s">
        <v>70</v>
      </c>
      <c r="P30" s="27" t="s">
        <v>70</v>
      </c>
      <c r="Q30" s="67">
        <f t="shared" si="3"/>
        <v>0.47525</v>
      </c>
      <c r="R30" s="29">
        <v>7.0</v>
      </c>
    </row>
    <row r="31" ht="15.75" customHeight="1">
      <c r="A31" s="21"/>
      <c r="B31" s="13" t="s">
        <v>127</v>
      </c>
      <c r="C31" s="55">
        <v>1.0</v>
      </c>
      <c r="D31" s="206" t="s">
        <v>122</v>
      </c>
      <c r="E31" s="59" t="s">
        <v>70</v>
      </c>
      <c r="F31" s="102" t="s">
        <v>70</v>
      </c>
      <c r="G31" s="132">
        <v>0.131</v>
      </c>
      <c r="H31" s="102" t="s">
        <v>70</v>
      </c>
      <c r="I31" s="132">
        <v>0.248</v>
      </c>
      <c r="J31" s="102" t="s">
        <v>70</v>
      </c>
      <c r="K31" s="34">
        <v>0.395</v>
      </c>
      <c r="L31" s="102" t="s">
        <v>70</v>
      </c>
      <c r="M31" s="102" t="s">
        <v>70</v>
      </c>
      <c r="N31" s="108">
        <v>0.163</v>
      </c>
      <c r="O31" s="102" t="s">
        <v>70</v>
      </c>
      <c r="P31" s="102" t="s">
        <v>70</v>
      </c>
      <c r="Q31" s="60">
        <f t="shared" si="3"/>
        <v>0.23425</v>
      </c>
      <c r="R31" s="20">
        <v>0.5</v>
      </c>
    </row>
    <row r="32" ht="15.75" customHeight="1">
      <c r="A32" s="21"/>
      <c r="B32" s="22"/>
      <c r="C32" s="61">
        <v>2.0</v>
      </c>
      <c r="D32" s="62" t="s">
        <v>123</v>
      </c>
      <c r="E32" s="65" t="s">
        <v>70</v>
      </c>
      <c r="F32" s="27" t="s">
        <v>70</v>
      </c>
      <c r="G32" s="133">
        <v>0.145</v>
      </c>
      <c r="H32" s="27" t="s">
        <v>70</v>
      </c>
      <c r="I32" s="133">
        <v>0.243</v>
      </c>
      <c r="J32" s="27" t="s">
        <v>70</v>
      </c>
      <c r="K32" s="38">
        <v>0.493</v>
      </c>
      <c r="L32" s="27" t="s">
        <v>70</v>
      </c>
      <c r="M32" s="27" t="s">
        <v>70</v>
      </c>
      <c r="N32" s="65">
        <v>0.167</v>
      </c>
      <c r="O32" s="27" t="s">
        <v>70</v>
      </c>
      <c r="P32" s="27" t="s">
        <v>70</v>
      </c>
      <c r="Q32" s="67">
        <f t="shared" si="3"/>
        <v>0.262</v>
      </c>
      <c r="R32" s="29">
        <v>0.5</v>
      </c>
    </row>
    <row r="33" ht="15.75" customHeight="1">
      <c r="A33" s="21"/>
      <c r="B33" s="30"/>
      <c r="C33" s="61">
        <v>3.0</v>
      </c>
      <c r="D33" s="62" t="s">
        <v>124</v>
      </c>
      <c r="E33" s="65" t="s">
        <v>70</v>
      </c>
      <c r="F33" s="27" t="s">
        <v>70</v>
      </c>
      <c r="G33" s="133">
        <v>0.383</v>
      </c>
      <c r="H33" s="27" t="s">
        <v>70</v>
      </c>
      <c r="I33" s="133">
        <v>0.236</v>
      </c>
      <c r="J33" s="27" t="s">
        <v>70</v>
      </c>
      <c r="K33" s="38">
        <v>0.552</v>
      </c>
      <c r="L33" s="27" t="s">
        <v>70</v>
      </c>
      <c r="M33" s="27" t="s">
        <v>70</v>
      </c>
      <c r="N33" s="65">
        <v>0.146</v>
      </c>
      <c r="O33" s="27" t="s">
        <v>70</v>
      </c>
      <c r="P33" s="27" t="s">
        <v>70</v>
      </c>
      <c r="Q33" s="67">
        <f t="shared" si="3"/>
        <v>0.32925</v>
      </c>
      <c r="R33" s="29">
        <v>0.5</v>
      </c>
    </row>
    <row r="34" ht="15.75" customHeight="1">
      <c r="A34" s="21"/>
      <c r="B34" s="13" t="s">
        <v>42</v>
      </c>
      <c r="C34" s="31">
        <v>1.0</v>
      </c>
      <c r="D34" s="153" t="s">
        <v>122</v>
      </c>
      <c r="E34" s="69" t="s">
        <v>70</v>
      </c>
      <c r="F34" s="102" t="s">
        <v>70</v>
      </c>
      <c r="G34" s="125">
        <v>437.0</v>
      </c>
      <c r="H34" s="124" t="s">
        <v>70</v>
      </c>
      <c r="I34" s="125">
        <v>92.0</v>
      </c>
      <c r="J34" s="124" t="s">
        <v>70</v>
      </c>
      <c r="K34" s="34">
        <v>302.0</v>
      </c>
      <c r="L34" s="124" t="s">
        <v>70</v>
      </c>
      <c r="M34" s="124" t="s">
        <v>70</v>
      </c>
      <c r="N34" s="124">
        <v>106.0</v>
      </c>
      <c r="O34" s="124" t="s">
        <v>70</v>
      </c>
      <c r="P34" s="124" t="s">
        <v>70</v>
      </c>
      <c r="Q34" s="36">
        <f t="shared" si="3"/>
        <v>234.25</v>
      </c>
      <c r="R34" s="20">
        <v>350.0</v>
      </c>
    </row>
    <row r="35" ht="15.75" customHeight="1">
      <c r="A35" s="21"/>
      <c r="B35" s="22"/>
      <c r="C35" s="23">
        <v>2.0</v>
      </c>
      <c r="D35" s="24" t="s">
        <v>123</v>
      </c>
      <c r="E35" s="71" t="s">
        <v>70</v>
      </c>
      <c r="F35" s="27" t="s">
        <v>70</v>
      </c>
      <c r="G35" s="126">
        <v>568.0</v>
      </c>
      <c r="H35" s="39" t="s">
        <v>70</v>
      </c>
      <c r="I35" s="126">
        <v>53.0</v>
      </c>
      <c r="J35" s="39" t="s">
        <v>70</v>
      </c>
      <c r="K35" s="38">
        <v>361.0</v>
      </c>
      <c r="L35" s="39" t="s">
        <v>70</v>
      </c>
      <c r="M35" s="39" t="s">
        <v>70</v>
      </c>
      <c r="N35" s="39">
        <v>136.0</v>
      </c>
      <c r="O35" s="39" t="s">
        <v>70</v>
      </c>
      <c r="P35" s="39" t="s">
        <v>70</v>
      </c>
      <c r="Q35" s="40">
        <f t="shared" si="3"/>
        <v>279.5</v>
      </c>
      <c r="R35" s="29">
        <v>350.0</v>
      </c>
    </row>
    <row r="36" ht="15.75" customHeight="1">
      <c r="A36" s="21"/>
      <c r="B36" s="30"/>
      <c r="C36" s="23">
        <v>3.0</v>
      </c>
      <c r="D36" s="24" t="s">
        <v>124</v>
      </c>
      <c r="E36" s="71" t="s">
        <v>70</v>
      </c>
      <c r="F36" s="27" t="s">
        <v>70</v>
      </c>
      <c r="G36" s="126">
        <v>645.0</v>
      </c>
      <c r="H36" s="39" t="s">
        <v>70</v>
      </c>
      <c r="I36" s="126">
        <v>44.0</v>
      </c>
      <c r="J36" s="39" t="s">
        <v>70</v>
      </c>
      <c r="K36" s="38">
        <v>144.0</v>
      </c>
      <c r="L36" s="39" t="s">
        <v>70</v>
      </c>
      <c r="M36" s="39" t="s">
        <v>70</v>
      </c>
      <c r="N36" s="39">
        <v>71.0</v>
      </c>
      <c r="O36" s="39" t="s">
        <v>70</v>
      </c>
      <c r="P36" s="39" t="s">
        <v>70</v>
      </c>
      <c r="Q36" s="40">
        <f t="shared" si="3"/>
        <v>226</v>
      </c>
      <c r="R36" s="29">
        <v>350.0</v>
      </c>
    </row>
    <row r="37" ht="14.2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5"/>
      <c r="M37" s="135"/>
      <c r="N37" s="135"/>
      <c r="O37" s="135"/>
      <c r="P37" s="135"/>
      <c r="Q37" s="134"/>
      <c r="R37" s="134"/>
    </row>
    <row r="38" ht="14.25" customHeight="1">
      <c r="A38" s="136" t="s">
        <v>43</v>
      </c>
      <c r="D38" s="134"/>
      <c r="E38" s="134"/>
      <c r="F38" s="134"/>
      <c r="G38" s="134"/>
      <c r="H38" s="134"/>
      <c r="I38" s="134"/>
      <c r="J38" s="134"/>
      <c r="K38" s="134"/>
      <c r="L38" s="135"/>
      <c r="M38" s="135"/>
      <c r="N38" s="135"/>
      <c r="O38" s="135"/>
      <c r="P38" s="135"/>
      <c r="Q38" s="134"/>
      <c r="R38" s="134"/>
    </row>
    <row r="39" ht="14.25" customHeight="1">
      <c r="D39" s="134"/>
      <c r="E39" s="134"/>
      <c r="F39" s="134"/>
      <c r="G39" s="134"/>
      <c r="H39" s="134"/>
      <c r="I39" s="134"/>
      <c r="J39" s="134"/>
      <c r="K39" s="134"/>
      <c r="L39" s="135"/>
      <c r="M39" s="135"/>
      <c r="N39" s="135"/>
      <c r="O39" s="135"/>
      <c r="P39" s="135"/>
      <c r="Q39" s="134"/>
      <c r="R39" s="134"/>
    </row>
    <row r="40" ht="15.0" hidden="1" customHeight="1">
      <c r="A40" s="159"/>
      <c r="B40" s="159"/>
      <c r="C40" s="159"/>
      <c r="D40" s="136"/>
      <c r="E40" s="136"/>
      <c r="F40" s="136"/>
      <c r="G40" s="134"/>
      <c r="H40" s="134"/>
      <c r="I40" s="134"/>
      <c r="J40" s="134"/>
      <c r="K40" s="134"/>
      <c r="L40" s="134"/>
      <c r="M40" s="134"/>
      <c r="N40" s="134"/>
      <c r="O40" s="135"/>
      <c r="P40" s="135"/>
      <c r="Q40" s="135"/>
      <c r="R40" s="135"/>
    </row>
    <row r="41" ht="14.25" customHeight="1">
      <c r="A41" s="111" t="s">
        <v>76</v>
      </c>
      <c r="D41" s="136"/>
      <c r="E41" s="136"/>
      <c r="F41" s="136"/>
      <c r="G41" s="134"/>
      <c r="H41" s="134"/>
      <c r="I41" s="134"/>
      <c r="J41" s="134"/>
      <c r="K41" s="134"/>
      <c r="L41" s="134"/>
      <c r="M41" s="134"/>
      <c r="N41" s="134"/>
      <c r="O41" s="135"/>
      <c r="P41" s="135"/>
      <c r="Q41" s="135"/>
      <c r="R41" s="135"/>
    </row>
    <row r="42" ht="15.0" hidden="1" customHeight="1">
      <c r="D42" s="136"/>
      <c r="E42" s="136"/>
      <c r="F42" s="136"/>
      <c r="G42" s="134"/>
      <c r="H42" s="134"/>
      <c r="I42" s="134"/>
      <c r="J42" s="134"/>
      <c r="K42" s="134"/>
      <c r="L42" s="134"/>
      <c r="M42" s="134"/>
      <c r="N42" s="134"/>
      <c r="O42" s="135"/>
      <c r="P42" s="135"/>
      <c r="Q42" s="135"/>
      <c r="R42" s="135"/>
    </row>
    <row r="43" ht="15.0" hidden="1" customHeight="1"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5"/>
      <c r="P43" s="135"/>
      <c r="Q43" s="135"/>
      <c r="R43" s="135"/>
    </row>
    <row r="44" ht="14.25" customHeight="1">
      <c r="D44" s="134"/>
      <c r="E44" s="134"/>
      <c r="F44" s="134"/>
      <c r="G44" s="134"/>
      <c r="H44" s="134"/>
      <c r="I44" s="134"/>
      <c r="J44" s="134"/>
      <c r="K44" s="134"/>
      <c r="L44" s="135"/>
      <c r="M44" s="135"/>
      <c r="N44" s="135"/>
      <c r="O44" s="135"/>
      <c r="P44" s="135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1:C44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14"/>
    <col customWidth="1" min="3" max="3" width="8.43"/>
    <col customWidth="1" min="4" max="4" width="31.0"/>
    <col customWidth="1" min="5" max="5" width="8.71" outlineLevel="1"/>
    <col customWidth="1" min="6" max="6" width="9.29" outlineLevel="1"/>
    <col customWidth="1" min="7" max="7" width="8.71" outlineLevel="1"/>
    <col customWidth="1" min="8" max="8" width="5.71" outlineLevel="1"/>
    <col customWidth="1" min="9" max="9" width="10.86" outlineLevel="1"/>
    <col customWidth="1" min="10" max="10" width="7.71" outlineLevel="1"/>
    <col customWidth="1" min="11" max="11" width="9.86" outlineLevel="1"/>
    <col customWidth="1" min="12" max="12" width="7.14" outlineLevel="1"/>
    <col customWidth="1" min="13" max="13" width="11.43" outlineLevel="1"/>
    <col customWidth="1" min="14" max="14" width="8.0" outlineLevel="1"/>
    <col customWidth="1" min="15" max="15" width="9.86" outlineLevel="1"/>
    <col customWidth="1" min="16" max="16" width="10.29" outlineLevel="1"/>
    <col customWidth="1" min="17" max="17" width="23.43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66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147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128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129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4.25" customHeight="1">
      <c r="A7" s="12" t="s">
        <v>23</v>
      </c>
      <c r="B7" s="13" t="s">
        <v>130</v>
      </c>
      <c r="C7" s="202">
        <v>1.0</v>
      </c>
      <c r="D7" s="207" t="s">
        <v>131</v>
      </c>
      <c r="E7" s="176" t="s">
        <v>70</v>
      </c>
      <c r="F7" s="208">
        <v>2.3</v>
      </c>
      <c r="G7" s="176" t="s">
        <v>70</v>
      </c>
      <c r="H7" s="176" t="s">
        <v>70</v>
      </c>
      <c r="I7" s="103">
        <v>1.8</v>
      </c>
      <c r="J7" s="176" t="s">
        <v>70</v>
      </c>
      <c r="K7" s="17">
        <v>2.5</v>
      </c>
      <c r="L7" s="176" t="s">
        <v>70</v>
      </c>
      <c r="M7" s="176" t="s">
        <v>70</v>
      </c>
      <c r="N7" s="176" t="s">
        <v>70</v>
      </c>
      <c r="O7" s="176">
        <v>4.2</v>
      </c>
      <c r="P7" s="176" t="s">
        <v>70</v>
      </c>
      <c r="Q7" s="18">
        <f t="shared" ref="Q7:Q30" si="1">AVERAGE(E7:P7)</f>
        <v>2.7</v>
      </c>
      <c r="R7" s="20">
        <v>5.0</v>
      </c>
    </row>
    <row r="8" ht="14.25" customHeight="1">
      <c r="A8" s="21"/>
      <c r="B8" s="22"/>
      <c r="C8" s="201">
        <v>2.0</v>
      </c>
      <c r="D8" s="155" t="s">
        <v>132</v>
      </c>
      <c r="E8" s="106" t="s">
        <v>70</v>
      </c>
      <c r="F8" s="209">
        <v>1.9</v>
      </c>
      <c r="G8" s="106" t="s">
        <v>70</v>
      </c>
      <c r="H8" s="106" t="s">
        <v>70</v>
      </c>
      <c r="I8" s="210">
        <v>2.2</v>
      </c>
      <c r="J8" s="106" t="s">
        <v>70</v>
      </c>
      <c r="K8" s="26">
        <v>3.0</v>
      </c>
      <c r="L8" s="106" t="s">
        <v>70</v>
      </c>
      <c r="M8" s="106" t="s">
        <v>70</v>
      </c>
      <c r="N8" s="106" t="s">
        <v>70</v>
      </c>
      <c r="O8" s="106">
        <v>3.1</v>
      </c>
      <c r="P8" s="106" t="s">
        <v>70</v>
      </c>
      <c r="Q8" s="27">
        <f t="shared" si="1"/>
        <v>2.55</v>
      </c>
      <c r="R8" s="29">
        <v>5.0</v>
      </c>
    </row>
    <row r="9" ht="14.25" customHeight="1">
      <c r="A9" s="21"/>
      <c r="B9" s="22"/>
      <c r="C9" s="201">
        <v>3.0</v>
      </c>
      <c r="D9" s="155" t="s">
        <v>133</v>
      </c>
      <c r="E9" s="106" t="s">
        <v>70</v>
      </c>
      <c r="F9" s="209">
        <v>2.6</v>
      </c>
      <c r="G9" s="106" t="s">
        <v>70</v>
      </c>
      <c r="H9" s="106" t="s">
        <v>70</v>
      </c>
      <c r="I9" s="210">
        <v>3.4</v>
      </c>
      <c r="J9" s="106" t="s">
        <v>70</v>
      </c>
      <c r="K9" s="26">
        <v>2.8</v>
      </c>
      <c r="L9" s="106" t="s">
        <v>70</v>
      </c>
      <c r="M9" s="106" t="s">
        <v>70</v>
      </c>
      <c r="N9" s="106" t="s">
        <v>70</v>
      </c>
      <c r="O9" s="106">
        <v>2.8</v>
      </c>
      <c r="P9" s="106" t="s">
        <v>70</v>
      </c>
      <c r="Q9" s="27">
        <f t="shared" si="1"/>
        <v>2.9</v>
      </c>
      <c r="R9" s="29">
        <v>5.0</v>
      </c>
    </row>
    <row r="10" ht="14.25" customHeight="1">
      <c r="A10" s="21"/>
      <c r="B10" s="30"/>
      <c r="C10" s="201">
        <v>4.0</v>
      </c>
      <c r="D10" s="155" t="s">
        <v>134</v>
      </c>
      <c r="E10" s="106" t="s">
        <v>70</v>
      </c>
      <c r="F10" s="209">
        <v>3.4</v>
      </c>
      <c r="G10" s="106" t="s">
        <v>70</v>
      </c>
      <c r="H10" s="106" t="s">
        <v>70</v>
      </c>
      <c r="I10" s="210">
        <v>2.0</v>
      </c>
      <c r="J10" s="106" t="s">
        <v>70</v>
      </c>
      <c r="K10" s="26">
        <v>2.9</v>
      </c>
      <c r="L10" s="106" t="s">
        <v>70</v>
      </c>
      <c r="M10" s="106" t="s">
        <v>70</v>
      </c>
      <c r="N10" s="106" t="s">
        <v>70</v>
      </c>
      <c r="O10" s="106">
        <v>2.3</v>
      </c>
      <c r="P10" s="106" t="s">
        <v>70</v>
      </c>
      <c r="Q10" s="27">
        <f t="shared" si="1"/>
        <v>2.65</v>
      </c>
      <c r="R10" s="29">
        <v>5.0</v>
      </c>
    </row>
    <row r="11" ht="14.25" customHeight="1">
      <c r="A11" s="21"/>
      <c r="B11" s="13" t="s">
        <v>30</v>
      </c>
      <c r="C11" s="202">
        <v>1.0</v>
      </c>
      <c r="D11" s="207" t="s">
        <v>131</v>
      </c>
      <c r="E11" s="176" t="s">
        <v>70</v>
      </c>
      <c r="F11" s="211">
        <v>11.0</v>
      </c>
      <c r="G11" s="35" t="s">
        <v>70</v>
      </c>
      <c r="H11" s="35" t="s">
        <v>70</v>
      </c>
      <c r="I11" s="211">
        <v>5.0</v>
      </c>
      <c r="J11" s="35" t="s">
        <v>70</v>
      </c>
      <c r="K11" s="34">
        <v>4.0</v>
      </c>
      <c r="L11" s="35" t="s">
        <v>70</v>
      </c>
      <c r="M11" s="35" t="s">
        <v>70</v>
      </c>
      <c r="N11" s="35" t="s">
        <v>70</v>
      </c>
      <c r="O11" s="176">
        <v>8.0</v>
      </c>
      <c r="P11" s="35" t="s">
        <v>70</v>
      </c>
      <c r="Q11" s="35">
        <f t="shared" si="1"/>
        <v>7</v>
      </c>
      <c r="R11" s="20">
        <v>7.0</v>
      </c>
    </row>
    <row r="12" ht="14.25" customHeight="1">
      <c r="A12" s="21"/>
      <c r="B12" s="22"/>
      <c r="C12" s="201">
        <v>2.0</v>
      </c>
      <c r="D12" s="155" t="s">
        <v>132</v>
      </c>
      <c r="E12" s="106" t="s">
        <v>70</v>
      </c>
      <c r="F12" s="212">
        <v>17.0</v>
      </c>
      <c r="G12" s="39" t="s">
        <v>70</v>
      </c>
      <c r="H12" s="39" t="s">
        <v>70</v>
      </c>
      <c r="I12" s="212">
        <v>7.0</v>
      </c>
      <c r="J12" s="39" t="s">
        <v>70</v>
      </c>
      <c r="K12" s="38">
        <v>3.0</v>
      </c>
      <c r="L12" s="39" t="s">
        <v>70</v>
      </c>
      <c r="M12" s="39" t="s">
        <v>70</v>
      </c>
      <c r="N12" s="39" t="s">
        <v>70</v>
      </c>
      <c r="O12" s="106">
        <v>10.0</v>
      </c>
      <c r="P12" s="39" t="s">
        <v>70</v>
      </c>
      <c r="Q12" s="39">
        <f t="shared" si="1"/>
        <v>9.25</v>
      </c>
      <c r="R12" s="29">
        <v>7.0</v>
      </c>
    </row>
    <row r="13" ht="14.25" customHeight="1">
      <c r="A13" s="21"/>
      <c r="B13" s="22"/>
      <c r="C13" s="201">
        <v>3.0</v>
      </c>
      <c r="D13" s="155" t="s">
        <v>133</v>
      </c>
      <c r="E13" s="106" t="s">
        <v>70</v>
      </c>
      <c r="F13" s="212">
        <v>23.0</v>
      </c>
      <c r="G13" s="39" t="s">
        <v>70</v>
      </c>
      <c r="H13" s="39" t="s">
        <v>70</v>
      </c>
      <c r="I13" s="212">
        <v>11.0</v>
      </c>
      <c r="J13" s="39" t="s">
        <v>70</v>
      </c>
      <c r="K13" s="38">
        <v>4.0</v>
      </c>
      <c r="L13" s="39" t="s">
        <v>70</v>
      </c>
      <c r="M13" s="39" t="s">
        <v>70</v>
      </c>
      <c r="N13" s="39" t="s">
        <v>70</v>
      </c>
      <c r="O13" s="106">
        <v>9.0</v>
      </c>
      <c r="P13" s="39" t="s">
        <v>70</v>
      </c>
      <c r="Q13" s="39">
        <f t="shared" si="1"/>
        <v>11.75</v>
      </c>
      <c r="R13" s="29">
        <v>7.0</v>
      </c>
    </row>
    <row r="14" ht="14.25" customHeight="1">
      <c r="A14" s="21"/>
      <c r="B14" s="30"/>
      <c r="C14" s="201">
        <v>4.0</v>
      </c>
      <c r="D14" s="155" t="s">
        <v>134</v>
      </c>
      <c r="E14" s="106" t="s">
        <v>70</v>
      </c>
      <c r="F14" s="212">
        <v>29.0</v>
      </c>
      <c r="G14" s="39" t="s">
        <v>70</v>
      </c>
      <c r="H14" s="39" t="s">
        <v>70</v>
      </c>
      <c r="I14" s="212">
        <v>33.0</v>
      </c>
      <c r="J14" s="39" t="s">
        <v>70</v>
      </c>
      <c r="K14" s="38">
        <v>4.0</v>
      </c>
      <c r="L14" s="39" t="s">
        <v>70</v>
      </c>
      <c r="M14" s="39" t="s">
        <v>70</v>
      </c>
      <c r="N14" s="39" t="s">
        <v>70</v>
      </c>
      <c r="O14" s="106">
        <v>7.0</v>
      </c>
      <c r="P14" s="39" t="s">
        <v>70</v>
      </c>
      <c r="Q14" s="39">
        <f t="shared" si="1"/>
        <v>18.25</v>
      </c>
      <c r="R14" s="29">
        <v>7.0</v>
      </c>
    </row>
    <row r="15" ht="14.25" customHeight="1">
      <c r="A15" s="21"/>
      <c r="B15" s="13" t="s">
        <v>31</v>
      </c>
      <c r="C15" s="202">
        <v>1.0</v>
      </c>
      <c r="D15" s="207" t="s">
        <v>131</v>
      </c>
      <c r="E15" s="176" t="s">
        <v>70</v>
      </c>
      <c r="F15" s="211">
        <v>8.0</v>
      </c>
      <c r="G15" s="35" t="s">
        <v>70</v>
      </c>
      <c r="H15" s="35" t="s">
        <v>70</v>
      </c>
      <c r="I15" s="211">
        <v>13.0</v>
      </c>
      <c r="J15" s="35" t="s">
        <v>70</v>
      </c>
      <c r="K15" s="34">
        <v>100.0</v>
      </c>
      <c r="L15" s="35" t="s">
        <v>70</v>
      </c>
      <c r="M15" s="35" t="s">
        <v>70</v>
      </c>
      <c r="N15" s="35" t="s">
        <v>70</v>
      </c>
      <c r="O15" s="176">
        <v>89.0</v>
      </c>
      <c r="P15" s="35" t="s">
        <v>70</v>
      </c>
      <c r="Q15" s="35">
        <f t="shared" si="1"/>
        <v>52.5</v>
      </c>
      <c r="R15" s="20">
        <v>80.0</v>
      </c>
    </row>
    <row r="16" ht="14.25" customHeight="1">
      <c r="A16" s="21"/>
      <c r="B16" s="22"/>
      <c r="C16" s="201">
        <v>2.0</v>
      </c>
      <c r="D16" s="155" t="s">
        <v>132</v>
      </c>
      <c r="E16" s="106" t="s">
        <v>70</v>
      </c>
      <c r="F16" s="212">
        <v>16.0</v>
      </c>
      <c r="G16" s="39" t="s">
        <v>70</v>
      </c>
      <c r="H16" s="39" t="s">
        <v>70</v>
      </c>
      <c r="I16" s="212">
        <v>15.0</v>
      </c>
      <c r="J16" s="39" t="s">
        <v>70</v>
      </c>
      <c r="K16" s="38">
        <v>83.0</v>
      </c>
      <c r="L16" s="39" t="s">
        <v>70</v>
      </c>
      <c r="M16" s="39" t="s">
        <v>70</v>
      </c>
      <c r="N16" s="39" t="s">
        <v>70</v>
      </c>
      <c r="O16" s="106">
        <v>89.0</v>
      </c>
      <c r="P16" s="39" t="s">
        <v>70</v>
      </c>
      <c r="Q16" s="39">
        <f t="shared" si="1"/>
        <v>50.75</v>
      </c>
      <c r="R16" s="29">
        <v>80.0</v>
      </c>
    </row>
    <row r="17" ht="14.25" customHeight="1">
      <c r="A17" s="21"/>
      <c r="B17" s="22"/>
      <c r="C17" s="201">
        <v>3.0</v>
      </c>
      <c r="D17" s="155" t="s">
        <v>133</v>
      </c>
      <c r="E17" s="106" t="s">
        <v>70</v>
      </c>
      <c r="F17" s="212">
        <v>15.0</v>
      </c>
      <c r="G17" s="39" t="s">
        <v>70</v>
      </c>
      <c r="H17" s="39" t="s">
        <v>70</v>
      </c>
      <c r="I17" s="212">
        <v>19.0</v>
      </c>
      <c r="J17" s="39" t="s">
        <v>70</v>
      </c>
      <c r="K17" s="38">
        <v>98.0</v>
      </c>
      <c r="L17" s="39" t="s">
        <v>70</v>
      </c>
      <c r="M17" s="39" t="s">
        <v>70</v>
      </c>
      <c r="N17" s="39" t="s">
        <v>70</v>
      </c>
      <c r="O17" s="106">
        <v>71.0</v>
      </c>
      <c r="P17" s="39" t="s">
        <v>70</v>
      </c>
      <c r="Q17" s="39">
        <f t="shared" si="1"/>
        <v>50.75</v>
      </c>
      <c r="R17" s="29">
        <v>80.0</v>
      </c>
    </row>
    <row r="18" ht="14.25" customHeight="1">
      <c r="A18" s="21"/>
      <c r="B18" s="30"/>
      <c r="C18" s="213">
        <v>4.0</v>
      </c>
      <c r="D18" s="155" t="s">
        <v>134</v>
      </c>
      <c r="E18" s="106" t="s">
        <v>70</v>
      </c>
      <c r="F18" s="212">
        <v>28.0</v>
      </c>
      <c r="G18" s="39" t="s">
        <v>70</v>
      </c>
      <c r="H18" s="39" t="s">
        <v>70</v>
      </c>
      <c r="I18" s="212">
        <v>36.0</v>
      </c>
      <c r="J18" s="39" t="s">
        <v>70</v>
      </c>
      <c r="K18" s="38">
        <v>66.0</v>
      </c>
      <c r="L18" s="39" t="s">
        <v>70</v>
      </c>
      <c r="M18" s="39" t="s">
        <v>70</v>
      </c>
      <c r="N18" s="39" t="s">
        <v>70</v>
      </c>
      <c r="O18" s="106">
        <v>48.0</v>
      </c>
      <c r="P18" s="39" t="s">
        <v>70</v>
      </c>
      <c r="Q18" s="39">
        <f t="shared" si="1"/>
        <v>44.5</v>
      </c>
      <c r="R18" s="29">
        <v>80.0</v>
      </c>
    </row>
    <row r="19" ht="14.25" customHeight="1">
      <c r="A19" s="21"/>
      <c r="B19" s="13" t="s">
        <v>33</v>
      </c>
      <c r="C19" s="202">
        <v>1.0</v>
      </c>
      <c r="D19" s="207" t="s">
        <v>131</v>
      </c>
      <c r="E19" s="176" t="s">
        <v>70</v>
      </c>
      <c r="F19" s="214">
        <v>7.0</v>
      </c>
      <c r="G19" s="18" t="s">
        <v>70</v>
      </c>
      <c r="H19" s="18" t="s">
        <v>70</v>
      </c>
      <c r="I19" s="214">
        <v>7.54</v>
      </c>
      <c r="J19" s="18" t="s">
        <v>70</v>
      </c>
      <c r="K19" s="42">
        <v>7.0</v>
      </c>
      <c r="L19" s="18" t="s">
        <v>70</v>
      </c>
      <c r="M19" s="18" t="s">
        <v>70</v>
      </c>
      <c r="N19" s="18" t="s">
        <v>70</v>
      </c>
      <c r="O19" s="176">
        <v>7.0</v>
      </c>
      <c r="P19" s="18" t="s">
        <v>70</v>
      </c>
      <c r="Q19" s="18">
        <f t="shared" si="1"/>
        <v>7.135</v>
      </c>
      <c r="R19" s="18" t="s">
        <v>34</v>
      </c>
    </row>
    <row r="20" ht="14.25" customHeight="1">
      <c r="A20" s="21"/>
      <c r="B20" s="22"/>
      <c r="C20" s="201">
        <v>2.0</v>
      </c>
      <c r="D20" s="155" t="s">
        <v>132</v>
      </c>
      <c r="E20" s="106" t="s">
        <v>70</v>
      </c>
      <c r="F20" s="210">
        <v>7.0</v>
      </c>
      <c r="G20" s="27" t="s">
        <v>70</v>
      </c>
      <c r="H20" s="27" t="s">
        <v>70</v>
      </c>
      <c r="I20" s="210">
        <v>7.6</v>
      </c>
      <c r="J20" s="27" t="s">
        <v>70</v>
      </c>
      <c r="K20" s="26">
        <v>7.0</v>
      </c>
      <c r="L20" s="27" t="s">
        <v>70</v>
      </c>
      <c r="M20" s="27" t="s">
        <v>70</v>
      </c>
      <c r="N20" s="27" t="s">
        <v>70</v>
      </c>
      <c r="O20" s="106">
        <v>7.0</v>
      </c>
      <c r="P20" s="27" t="s">
        <v>70</v>
      </c>
      <c r="Q20" s="27">
        <f t="shared" si="1"/>
        <v>7.15</v>
      </c>
      <c r="R20" s="27" t="s">
        <v>34</v>
      </c>
    </row>
    <row r="21" ht="14.25" customHeight="1">
      <c r="A21" s="21"/>
      <c r="B21" s="22"/>
      <c r="C21" s="201">
        <v>3.0</v>
      </c>
      <c r="D21" s="155" t="s">
        <v>133</v>
      </c>
      <c r="E21" s="106" t="s">
        <v>70</v>
      </c>
      <c r="F21" s="210">
        <v>7.0</v>
      </c>
      <c r="G21" s="27" t="s">
        <v>70</v>
      </c>
      <c r="H21" s="27" t="s">
        <v>70</v>
      </c>
      <c r="I21" s="210">
        <v>7.54</v>
      </c>
      <c r="J21" s="27" t="s">
        <v>70</v>
      </c>
      <c r="K21" s="26">
        <v>7.0</v>
      </c>
      <c r="L21" s="27" t="s">
        <v>70</v>
      </c>
      <c r="M21" s="27" t="s">
        <v>70</v>
      </c>
      <c r="N21" s="27" t="s">
        <v>70</v>
      </c>
      <c r="O21" s="106">
        <v>7.0</v>
      </c>
      <c r="P21" s="27" t="s">
        <v>70</v>
      </c>
      <c r="Q21" s="27">
        <f t="shared" si="1"/>
        <v>7.135</v>
      </c>
      <c r="R21" s="27" t="s">
        <v>34</v>
      </c>
    </row>
    <row r="22" ht="14.25" customHeight="1">
      <c r="A22" s="21"/>
      <c r="B22" s="30"/>
      <c r="C22" s="201">
        <v>4.0</v>
      </c>
      <c r="D22" s="155" t="s">
        <v>134</v>
      </c>
      <c r="E22" s="106" t="s">
        <v>70</v>
      </c>
      <c r="F22" s="210">
        <v>7.0</v>
      </c>
      <c r="G22" s="27" t="s">
        <v>70</v>
      </c>
      <c r="H22" s="27" t="s">
        <v>70</v>
      </c>
      <c r="I22" s="210">
        <v>7.75</v>
      </c>
      <c r="J22" s="27" t="s">
        <v>70</v>
      </c>
      <c r="K22" s="26">
        <v>7.0</v>
      </c>
      <c r="L22" s="27" t="s">
        <v>70</v>
      </c>
      <c r="M22" s="27" t="s">
        <v>70</v>
      </c>
      <c r="N22" s="27" t="s">
        <v>70</v>
      </c>
      <c r="O22" s="106">
        <v>7.0</v>
      </c>
      <c r="P22" s="27" t="s">
        <v>70</v>
      </c>
      <c r="Q22" s="27">
        <f t="shared" si="1"/>
        <v>7.1875</v>
      </c>
      <c r="R22" s="27" t="s">
        <v>34</v>
      </c>
    </row>
    <row r="23" ht="14.25" customHeight="1">
      <c r="A23" s="21"/>
      <c r="B23" s="13" t="s">
        <v>135</v>
      </c>
      <c r="C23" s="202">
        <v>1.0</v>
      </c>
      <c r="D23" s="207" t="s">
        <v>131</v>
      </c>
      <c r="E23" s="176" t="s">
        <v>70</v>
      </c>
      <c r="F23" s="214">
        <v>25.6</v>
      </c>
      <c r="G23" s="176" t="s">
        <v>70</v>
      </c>
      <c r="H23" s="176" t="s">
        <v>70</v>
      </c>
      <c r="I23" s="214">
        <v>28.0</v>
      </c>
      <c r="J23" s="176" t="s">
        <v>70</v>
      </c>
      <c r="K23" s="42">
        <v>26.7</v>
      </c>
      <c r="L23" s="176" t="s">
        <v>70</v>
      </c>
      <c r="M23" s="176" t="s">
        <v>70</v>
      </c>
      <c r="N23" s="176" t="s">
        <v>70</v>
      </c>
      <c r="O23" s="176">
        <v>29.3</v>
      </c>
      <c r="P23" s="176" t="s">
        <v>70</v>
      </c>
      <c r="Q23" s="18">
        <f t="shared" si="1"/>
        <v>27.4</v>
      </c>
      <c r="R23" s="18" t="s">
        <v>36</v>
      </c>
    </row>
    <row r="24" ht="14.25" customHeight="1">
      <c r="A24" s="21"/>
      <c r="B24" s="22"/>
      <c r="C24" s="201">
        <v>2.0</v>
      </c>
      <c r="D24" s="155" t="s">
        <v>132</v>
      </c>
      <c r="E24" s="106" t="s">
        <v>70</v>
      </c>
      <c r="F24" s="210">
        <v>25.8</v>
      </c>
      <c r="G24" s="106" t="s">
        <v>70</v>
      </c>
      <c r="H24" s="106" t="s">
        <v>70</v>
      </c>
      <c r="I24" s="210">
        <v>28.0</v>
      </c>
      <c r="J24" s="106" t="s">
        <v>70</v>
      </c>
      <c r="K24" s="26">
        <v>26.8</v>
      </c>
      <c r="L24" s="106" t="s">
        <v>70</v>
      </c>
      <c r="M24" s="106" t="s">
        <v>70</v>
      </c>
      <c r="N24" s="106" t="s">
        <v>70</v>
      </c>
      <c r="O24" s="106">
        <v>29.7</v>
      </c>
      <c r="P24" s="106" t="s">
        <v>70</v>
      </c>
      <c r="Q24" s="27">
        <f t="shared" si="1"/>
        <v>27.575</v>
      </c>
      <c r="R24" s="27" t="s">
        <v>36</v>
      </c>
    </row>
    <row r="25" ht="14.25" customHeight="1">
      <c r="A25" s="21"/>
      <c r="B25" s="22"/>
      <c r="C25" s="201">
        <v>3.0</v>
      </c>
      <c r="D25" s="155" t="s">
        <v>133</v>
      </c>
      <c r="E25" s="106" t="s">
        <v>70</v>
      </c>
      <c r="F25" s="210">
        <v>25.8</v>
      </c>
      <c r="G25" s="106" t="s">
        <v>70</v>
      </c>
      <c r="H25" s="106" t="s">
        <v>70</v>
      </c>
      <c r="I25" s="210">
        <v>28.2</v>
      </c>
      <c r="J25" s="106" t="s">
        <v>70</v>
      </c>
      <c r="K25" s="26">
        <v>26.5</v>
      </c>
      <c r="L25" s="106" t="s">
        <v>70</v>
      </c>
      <c r="M25" s="106" t="s">
        <v>70</v>
      </c>
      <c r="N25" s="106" t="s">
        <v>70</v>
      </c>
      <c r="O25" s="106">
        <v>29.4</v>
      </c>
      <c r="P25" s="106" t="s">
        <v>70</v>
      </c>
      <c r="Q25" s="27">
        <f t="shared" si="1"/>
        <v>27.475</v>
      </c>
      <c r="R25" s="27" t="s">
        <v>36</v>
      </c>
    </row>
    <row r="26" ht="14.25" customHeight="1">
      <c r="A26" s="21"/>
      <c r="B26" s="30"/>
      <c r="C26" s="201">
        <v>4.0</v>
      </c>
      <c r="D26" s="155" t="s">
        <v>134</v>
      </c>
      <c r="E26" s="106" t="s">
        <v>70</v>
      </c>
      <c r="F26" s="210">
        <v>25.9</v>
      </c>
      <c r="G26" s="106" t="s">
        <v>70</v>
      </c>
      <c r="H26" s="106" t="s">
        <v>70</v>
      </c>
      <c r="I26" s="210">
        <v>28.5</v>
      </c>
      <c r="J26" s="106" t="s">
        <v>70</v>
      </c>
      <c r="K26" s="26">
        <v>26.7</v>
      </c>
      <c r="L26" s="106" t="s">
        <v>70</v>
      </c>
      <c r="M26" s="106" t="s">
        <v>70</v>
      </c>
      <c r="N26" s="106" t="s">
        <v>70</v>
      </c>
      <c r="O26" s="106">
        <v>29.45</v>
      </c>
      <c r="P26" s="106" t="s">
        <v>70</v>
      </c>
      <c r="Q26" s="27">
        <f t="shared" si="1"/>
        <v>27.6375</v>
      </c>
      <c r="R26" s="27" t="s">
        <v>36</v>
      </c>
    </row>
    <row r="27" ht="14.25" customHeight="1">
      <c r="A27" s="21"/>
      <c r="B27" s="13" t="s">
        <v>37</v>
      </c>
      <c r="C27" s="202">
        <v>1.0</v>
      </c>
      <c r="D27" s="207" t="s">
        <v>131</v>
      </c>
      <c r="E27" s="176" t="s">
        <v>70</v>
      </c>
      <c r="F27" s="211">
        <v>30.0</v>
      </c>
      <c r="G27" s="35" t="s">
        <v>70</v>
      </c>
      <c r="H27" s="35" t="s">
        <v>70</v>
      </c>
      <c r="I27" s="211">
        <v>30.0</v>
      </c>
      <c r="J27" s="35" t="s">
        <v>70</v>
      </c>
      <c r="K27" s="34">
        <v>25.0</v>
      </c>
      <c r="L27" s="35" t="s">
        <v>70</v>
      </c>
      <c r="M27" s="35" t="s">
        <v>70</v>
      </c>
      <c r="N27" s="35" t="s">
        <v>70</v>
      </c>
      <c r="O27" s="176">
        <v>15.0</v>
      </c>
      <c r="P27" s="35" t="s">
        <v>70</v>
      </c>
      <c r="Q27" s="35">
        <f t="shared" si="1"/>
        <v>25</v>
      </c>
      <c r="R27" s="20">
        <v>75.0</v>
      </c>
    </row>
    <row r="28" ht="14.25" customHeight="1">
      <c r="A28" s="21"/>
      <c r="B28" s="22"/>
      <c r="C28" s="201">
        <v>2.0</v>
      </c>
      <c r="D28" s="155" t="s">
        <v>132</v>
      </c>
      <c r="E28" s="106" t="s">
        <v>70</v>
      </c>
      <c r="F28" s="212">
        <v>30.0</v>
      </c>
      <c r="G28" s="39" t="s">
        <v>70</v>
      </c>
      <c r="H28" s="39" t="s">
        <v>70</v>
      </c>
      <c r="I28" s="212">
        <v>30.0</v>
      </c>
      <c r="J28" s="39" t="s">
        <v>70</v>
      </c>
      <c r="K28" s="38">
        <v>25.0</v>
      </c>
      <c r="L28" s="39" t="s">
        <v>70</v>
      </c>
      <c r="M28" s="39" t="s">
        <v>70</v>
      </c>
      <c r="N28" s="39" t="s">
        <v>70</v>
      </c>
      <c r="O28" s="106">
        <v>20.0</v>
      </c>
      <c r="P28" s="39" t="s">
        <v>70</v>
      </c>
      <c r="Q28" s="39">
        <f t="shared" si="1"/>
        <v>26.25</v>
      </c>
      <c r="R28" s="29">
        <v>75.0</v>
      </c>
    </row>
    <row r="29" ht="14.25" customHeight="1">
      <c r="A29" s="21"/>
      <c r="B29" s="22"/>
      <c r="C29" s="201">
        <v>3.0</v>
      </c>
      <c r="D29" s="155" t="s">
        <v>133</v>
      </c>
      <c r="E29" s="106" t="s">
        <v>70</v>
      </c>
      <c r="F29" s="212">
        <v>25.0</v>
      </c>
      <c r="G29" s="39" t="s">
        <v>70</v>
      </c>
      <c r="H29" s="39" t="s">
        <v>70</v>
      </c>
      <c r="I29" s="212">
        <v>30.0</v>
      </c>
      <c r="J29" s="39" t="s">
        <v>70</v>
      </c>
      <c r="K29" s="38">
        <v>25.0</v>
      </c>
      <c r="L29" s="39" t="s">
        <v>70</v>
      </c>
      <c r="M29" s="39" t="s">
        <v>70</v>
      </c>
      <c r="N29" s="39" t="s">
        <v>70</v>
      </c>
      <c r="O29" s="106">
        <v>20.0</v>
      </c>
      <c r="P29" s="39" t="s">
        <v>70</v>
      </c>
      <c r="Q29" s="39">
        <f t="shared" si="1"/>
        <v>25</v>
      </c>
      <c r="R29" s="29">
        <v>75.0</v>
      </c>
    </row>
    <row r="30" ht="14.25" customHeight="1">
      <c r="A30" s="21"/>
      <c r="B30" s="30"/>
      <c r="C30" s="201">
        <v>4.0</v>
      </c>
      <c r="D30" s="155" t="s">
        <v>134</v>
      </c>
      <c r="E30" s="106" t="s">
        <v>70</v>
      </c>
      <c r="F30" s="212">
        <v>25.0</v>
      </c>
      <c r="G30" s="39" t="s">
        <v>70</v>
      </c>
      <c r="H30" s="39" t="s">
        <v>70</v>
      </c>
      <c r="I30" s="212">
        <v>20.0</v>
      </c>
      <c r="J30" s="39" t="s">
        <v>70</v>
      </c>
      <c r="K30" s="38">
        <v>25.0</v>
      </c>
      <c r="L30" s="39" t="s">
        <v>70</v>
      </c>
      <c r="M30" s="39" t="s">
        <v>70</v>
      </c>
      <c r="N30" s="39" t="s">
        <v>70</v>
      </c>
      <c r="O30" s="106">
        <v>20.0</v>
      </c>
      <c r="P30" s="39" t="s">
        <v>70</v>
      </c>
      <c r="Q30" s="39">
        <f t="shared" si="1"/>
        <v>22.5</v>
      </c>
      <c r="R30" s="29">
        <v>75.0</v>
      </c>
    </row>
    <row r="31" ht="14.25" customHeight="1">
      <c r="A31" s="21"/>
      <c r="B31" s="13" t="s">
        <v>38</v>
      </c>
      <c r="C31" s="202">
        <v>1.0</v>
      </c>
      <c r="D31" s="207" t="s">
        <v>131</v>
      </c>
      <c r="E31" s="47" t="s">
        <v>70</v>
      </c>
      <c r="F31" s="163">
        <v>9400.0</v>
      </c>
      <c r="G31" s="47" t="s">
        <v>70</v>
      </c>
      <c r="H31" s="47" t="s">
        <v>70</v>
      </c>
      <c r="I31" s="163">
        <v>35000.0</v>
      </c>
      <c r="J31" s="47" t="s">
        <v>70</v>
      </c>
      <c r="K31" s="46">
        <v>24000.0</v>
      </c>
      <c r="L31" s="47" t="s">
        <v>70</v>
      </c>
      <c r="M31" s="47" t="s">
        <v>70</v>
      </c>
      <c r="N31" s="47" t="s">
        <v>70</v>
      </c>
      <c r="O31" s="47">
        <v>11000.0</v>
      </c>
      <c r="P31" s="47" t="s">
        <v>70</v>
      </c>
      <c r="Q31" s="69">
        <f t="shared" ref="Q31:Q34" si="2">GEOMEAN(G31:P31)</f>
        <v>20984.11497</v>
      </c>
      <c r="R31" s="20">
        <v>200.0</v>
      </c>
      <c r="S31" s="50"/>
      <c r="T31" s="50"/>
    </row>
    <row r="32" ht="14.25" customHeight="1">
      <c r="A32" s="21"/>
      <c r="B32" s="22"/>
      <c r="C32" s="201">
        <v>2.0</v>
      </c>
      <c r="D32" s="155" t="s">
        <v>132</v>
      </c>
      <c r="E32" s="53" t="s">
        <v>70</v>
      </c>
      <c r="F32" s="215">
        <v>54000.0</v>
      </c>
      <c r="G32" s="53" t="s">
        <v>70</v>
      </c>
      <c r="H32" s="53" t="s">
        <v>70</v>
      </c>
      <c r="I32" s="215">
        <v>31000.0</v>
      </c>
      <c r="J32" s="53" t="s">
        <v>70</v>
      </c>
      <c r="K32" s="52">
        <v>70000.0</v>
      </c>
      <c r="L32" s="53" t="s">
        <v>70</v>
      </c>
      <c r="M32" s="53" t="s">
        <v>70</v>
      </c>
      <c r="N32" s="53" t="s">
        <v>70</v>
      </c>
      <c r="O32" s="53">
        <v>13000.0</v>
      </c>
      <c r="P32" s="53" t="s">
        <v>70</v>
      </c>
      <c r="Q32" s="71">
        <f t="shared" si="2"/>
        <v>30441.61544</v>
      </c>
      <c r="R32" s="29">
        <v>200.0</v>
      </c>
      <c r="S32" s="50"/>
    </row>
    <row r="33" ht="14.25" customHeight="1">
      <c r="A33" s="21"/>
      <c r="B33" s="22"/>
      <c r="C33" s="201">
        <v>3.0</v>
      </c>
      <c r="D33" s="155" t="s">
        <v>133</v>
      </c>
      <c r="E33" s="53" t="s">
        <v>70</v>
      </c>
      <c r="F33" s="215">
        <v>46000.0</v>
      </c>
      <c r="G33" s="53" t="s">
        <v>70</v>
      </c>
      <c r="H33" s="53" t="s">
        <v>70</v>
      </c>
      <c r="I33" s="215">
        <v>54000.0</v>
      </c>
      <c r="J33" s="53" t="s">
        <v>70</v>
      </c>
      <c r="K33" s="52">
        <v>35000.0</v>
      </c>
      <c r="L33" s="53" t="s">
        <v>70</v>
      </c>
      <c r="M33" s="53" t="s">
        <v>70</v>
      </c>
      <c r="N33" s="53" t="s">
        <v>70</v>
      </c>
      <c r="O33" s="53">
        <v>7900.0</v>
      </c>
      <c r="P33" s="53" t="s">
        <v>70</v>
      </c>
      <c r="Q33" s="71">
        <f t="shared" si="2"/>
        <v>24624.24736</v>
      </c>
      <c r="R33" s="29">
        <v>200.0</v>
      </c>
      <c r="S33" s="50"/>
    </row>
    <row r="34" ht="14.25" customHeight="1">
      <c r="A34" s="21"/>
      <c r="B34" s="30"/>
      <c r="C34" s="201">
        <v>4.0</v>
      </c>
      <c r="D34" s="155" t="s">
        <v>134</v>
      </c>
      <c r="E34" s="53" t="s">
        <v>70</v>
      </c>
      <c r="F34" s="215">
        <v>130000.0</v>
      </c>
      <c r="G34" s="53" t="s">
        <v>70</v>
      </c>
      <c r="H34" s="53" t="s">
        <v>70</v>
      </c>
      <c r="I34" s="215">
        <v>24000.0</v>
      </c>
      <c r="J34" s="53" t="s">
        <v>70</v>
      </c>
      <c r="K34" s="52">
        <v>3500000.0</v>
      </c>
      <c r="L34" s="53" t="s">
        <v>70</v>
      </c>
      <c r="M34" s="53" t="s">
        <v>70</v>
      </c>
      <c r="N34" s="53" t="s">
        <v>70</v>
      </c>
      <c r="O34" s="53">
        <v>24000.0</v>
      </c>
      <c r="P34" s="53" t="s">
        <v>70</v>
      </c>
      <c r="Q34" s="71">
        <f t="shared" si="2"/>
        <v>126327.192</v>
      </c>
      <c r="R34" s="29">
        <v>200.0</v>
      </c>
      <c r="S34" s="50"/>
    </row>
    <row r="35" ht="14.25" customHeight="1">
      <c r="A35" s="21"/>
      <c r="B35" s="13" t="s">
        <v>136</v>
      </c>
      <c r="C35" s="202">
        <v>1.0</v>
      </c>
      <c r="D35" s="207" t="s">
        <v>131</v>
      </c>
      <c r="E35" s="176" t="s">
        <v>70</v>
      </c>
      <c r="F35" s="216">
        <v>0.448</v>
      </c>
      <c r="G35" s="217" t="s">
        <v>70</v>
      </c>
      <c r="H35" s="217" t="s">
        <v>70</v>
      </c>
      <c r="I35" s="216">
        <v>0.2</v>
      </c>
      <c r="J35" s="217" t="s">
        <v>70</v>
      </c>
      <c r="K35" s="34">
        <v>0.752</v>
      </c>
      <c r="L35" s="217" t="s">
        <v>70</v>
      </c>
      <c r="M35" s="217" t="s">
        <v>70</v>
      </c>
      <c r="N35" s="217" t="s">
        <v>70</v>
      </c>
      <c r="O35" s="176">
        <v>0.537</v>
      </c>
      <c r="P35" s="217" t="s">
        <v>70</v>
      </c>
      <c r="Q35" s="59">
        <f t="shared" ref="Q35:Q46" si="3">AVERAGE(G35:P35)</f>
        <v>0.4963333333</v>
      </c>
      <c r="R35" s="20">
        <v>7.0</v>
      </c>
    </row>
    <row r="36" ht="14.25" customHeight="1">
      <c r="A36" s="21"/>
      <c r="B36" s="22"/>
      <c r="C36" s="201">
        <v>2.0</v>
      </c>
      <c r="D36" s="155" t="s">
        <v>132</v>
      </c>
      <c r="E36" s="106" t="s">
        <v>70</v>
      </c>
      <c r="F36" s="218">
        <v>0.069</v>
      </c>
      <c r="G36" s="219" t="s">
        <v>70</v>
      </c>
      <c r="H36" s="219" t="s">
        <v>70</v>
      </c>
      <c r="I36" s="218">
        <v>0.048</v>
      </c>
      <c r="J36" s="219" t="s">
        <v>70</v>
      </c>
      <c r="K36" s="38">
        <v>1.067</v>
      </c>
      <c r="L36" s="219" t="s">
        <v>70</v>
      </c>
      <c r="M36" s="219" t="s">
        <v>70</v>
      </c>
      <c r="N36" s="219" t="s">
        <v>70</v>
      </c>
      <c r="O36" s="106">
        <v>0.62</v>
      </c>
      <c r="P36" s="219" t="s">
        <v>70</v>
      </c>
      <c r="Q36" s="65">
        <f t="shared" si="3"/>
        <v>0.5783333333</v>
      </c>
      <c r="R36" s="29">
        <v>7.0</v>
      </c>
    </row>
    <row r="37" ht="14.25" customHeight="1">
      <c r="A37" s="21"/>
      <c r="B37" s="22"/>
      <c r="C37" s="201">
        <v>3.0</v>
      </c>
      <c r="D37" s="155" t="s">
        <v>133</v>
      </c>
      <c r="E37" s="106" t="s">
        <v>70</v>
      </c>
      <c r="F37" s="218">
        <v>0.103</v>
      </c>
      <c r="G37" s="219" t="s">
        <v>70</v>
      </c>
      <c r="H37" s="219" t="s">
        <v>70</v>
      </c>
      <c r="I37" s="218">
        <v>0.048</v>
      </c>
      <c r="J37" s="219" t="s">
        <v>70</v>
      </c>
      <c r="K37" s="38">
        <v>0.846</v>
      </c>
      <c r="L37" s="219" t="s">
        <v>70</v>
      </c>
      <c r="M37" s="219" t="s">
        <v>70</v>
      </c>
      <c r="N37" s="219" t="s">
        <v>70</v>
      </c>
      <c r="O37" s="106">
        <v>0.521</v>
      </c>
      <c r="P37" s="219" t="s">
        <v>70</v>
      </c>
      <c r="Q37" s="65">
        <f t="shared" si="3"/>
        <v>0.4716666667</v>
      </c>
      <c r="R37" s="29">
        <v>7.0</v>
      </c>
    </row>
    <row r="38" ht="14.25" customHeight="1">
      <c r="A38" s="21"/>
      <c r="B38" s="30"/>
      <c r="C38" s="201">
        <v>4.0</v>
      </c>
      <c r="D38" s="155" t="s">
        <v>134</v>
      </c>
      <c r="E38" s="106" t="s">
        <v>70</v>
      </c>
      <c r="F38" s="218">
        <v>0.552</v>
      </c>
      <c r="G38" s="219" t="s">
        <v>70</v>
      </c>
      <c r="H38" s="219" t="s">
        <v>70</v>
      </c>
      <c r="I38" s="218">
        <v>0.059</v>
      </c>
      <c r="J38" s="219" t="s">
        <v>70</v>
      </c>
      <c r="K38" s="38">
        <v>0.557</v>
      </c>
      <c r="L38" s="219" t="s">
        <v>70</v>
      </c>
      <c r="M38" s="219" t="s">
        <v>70</v>
      </c>
      <c r="N38" s="219" t="s">
        <v>70</v>
      </c>
      <c r="O38" s="106">
        <v>0.616</v>
      </c>
      <c r="P38" s="219" t="s">
        <v>70</v>
      </c>
      <c r="Q38" s="65">
        <f t="shared" si="3"/>
        <v>0.4106666667</v>
      </c>
      <c r="R38" s="29">
        <v>7.0</v>
      </c>
    </row>
    <row r="39" ht="14.25" customHeight="1">
      <c r="A39" s="21"/>
      <c r="B39" s="13" t="s">
        <v>137</v>
      </c>
      <c r="C39" s="202">
        <v>1.0</v>
      </c>
      <c r="D39" s="207" t="s">
        <v>131</v>
      </c>
      <c r="E39" s="176" t="s">
        <v>70</v>
      </c>
      <c r="F39" s="216">
        <v>0.133</v>
      </c>
      <c r="G39" s="217" t="s">
        <v>70</v>
      </c>
      <c r="H39" s="217" t="s">
        <v>70</v>
      </c>
      <c r="I39" s="216">
        <v>0.34</v>
      </c>
      <c r="J39" s="217" t="s">
        <v>70</v>
      </c>
      <c r="K39" s="34">
        <v>0.982</v>
      </c>
      <c r="L39" s="217" t="s">
        <v>70</v>
      </c>
      <c r="M39" s="217" t="s">
        <v>70</v>
      </c>
      <c r="N39" s="217" t="s">
        <v>70</v>
      </c>
      <c r="O39" s="176">
        <v>0.122</v>
      </c>
      <c r="P39" s="217" t="s">
        <v>70</v>
      </c>
      <c r="Q39" s="59">
        <f t="shared" si="3"/>
        <v>0.4813333333</v>
      </c>
      <c r="R39" s="20">
        <v>0.5</v>
      </c>
    </row>
    <row r="40" ht="14.25" customHeight="1">
      <c r="A40" s="21"/>
      <c r="B40" s="22"/>
      <c r="C40" s="201">
        <v>2.0</v>
      </c>
      <c r="D40" s="155" t="s">
        <v>132</v>
      </c>
      <c r="E40" s="106" t="s">
        <v>70</v>
      </c>
      <c r="F40" s="218">
        <v>0.219</v>
      </c>
      <c r="G40" s="219" t="s">
        <v>70</v>
      </c>
      <c r="H40" s="219" t="s">
        <v>70</v>
      </c>
      <c r="I40" s="218">
        <v>0.274</v>
      </c>
      <c r="J40" s="219" t="s">
        <v>70</v>
      </c>
      <c r="K40" s="38">
        <v>1.058</v>
      </c>
      <c r="L40" s="219" t="s">
        <v>70</v>
      </c>
      <c r="M40" s="219" t="s">
        <v>70</v>
      </c>
      <c r="N40" s="219" t="s">
        <v>70</v>
      </c>
      <c r="O40" s="106">
        <v>0.093</v>
      </c>
      <c r="P40" s="219" t="s">
        <v>70</v>
      </c>
      <c r="Q40" s="65">
        <f t="shared" si="3"/>
        <v>0.475</v>
      </c>
      <c r="R40" s="29">
        <v>0.5</v>
      </c>
    </row>
    <row r="41" ht="14.25" customHeight="1">
      <c r="A41" s="21"/>
      <c r="B41" s="22"/>
      <c r="C41" s="201">
        <v>3.0</v>
      </c>
      <c r="D41" s="155" t="s">
        <v>133</v>
      </c>
      <c r="E41" s="106" t="s">
        <v>70</v>
      </c>
      <c r="F41" s="218">
        <v>0.151</v>
      </c>
      <c r="G41" s="219" t="s">
        <v>70</v>
      </c>
      <c r="H41" s="219" t="s">
        <v>70</v>
      </c>
      <c r="I41" s="218">
        <v>0.241</v>
      </c>
      <c r="J41" s="219" t="s">
        <v>70</v>
      </c>
      <c r="K41" s="38">
        <v>1.171</v>
      </c>
      <c r="L41" s="219" t="s">
        <v>70</v>
      </c>
      <c r="M41" s="219" t="s">
        <v>70</v>
      </c>
      <c r="N41" s="219" t="s">
        <v>70</v>
      </c>
      <c r="O41" s="106">
        <v>0.131</v>
      </c>
      <c r="P41" s="219" t="s">
        <v>70</v>
      </c>
      <c r="Q41" s="65">
        <f t="shared" si="3"/>
        <v>0.5143333333</v>
      </c>
      <c r="R41" s="29">
        <v>0.5</v>
      </c>
    </row>
    <row r="42" ht="14.25" customHeight="1">
      <c r="A42" s="21"/>
      <c r="B42" s="30"/>
      <c r="C42" s="201">
        <v>4.0</v>
      </c>
      <c r="D42" s="155" t="s">
        <v>134</v>
      </c>
      <c r="E42" s="106" t="s">
        <v>70</v>
      </c>
      <c r="F42" s="218">
        <v>0.192</v>
      </c>
      <c r="G42" s="219" t="s">
        <v>70</v>
      </c>
      <c r="H42" s="219" t="s">
        <v>70</v>
      </c>
      <c r="I42" s="218">
        <v>0.165</v>
      </c>
      <c r="J42" s="219" t="s">
        <v>70</v>
      </c>
      <c r="K42" s="38">
        <v>1.098</v>
      </c>
      <c r="L42" s="219" t="s">
        <v>70</v>
      </c>
      <c r="M42" s="219" t="s">
        <v>70</v>
      </c>
      <c r="N42" s="219" t="s">
        <v>70</v>
      </c>
      <c r="O42" s="106">
        <v>0.091</v>
      </c>
      <c r="P42" s="219" t="s">
        <v>70</v>
      </c>
      <c r="Q42" s="65">
        <f t="shared" si="3"/>
        <v>0.4513333333</v>
      </c>
      <c r="R42" s="29">
        <v>0.5</v>
      </c>
    </row>
    <row r="43" ht="14.25" customHeight="1">
      <c r="A43" s="21"/>
      <c r="B43" s="13" t="s">
        <v>42</v>
      </c>
      <c r="C43" s="202">
        <v>1.0</v>
      </c>
      <c r="D43" s="207" t="s">
        <v>131</v>
      </c>
      <c r="E43" s="176" t="s">
        <v>70</v>
      </c>
      <c r="F43" s="220">
        <v>50.0</v>
      </c>
      <c r="G43" s="176" t="s">
        <v>70</v>
      </c>
      <c r="H43" s="176" t="s">
        <v>70</v>
      </c>
      <c r="I43" s="220">
        <v>79.0</v>
      </c>
      <c r="J43" s="176" t="s">
        <v>70</v>
      </c>
      <c r="K43" s="34">
        <v>44.0</v>
      </c>
      <c r="L43" s="176" t="s">
        <v>70</v>
      </c>
      <c r="M43" s="176" t="s">
        <v>70</v>
      </c>
      <c r="N43" s="176" t="s">
        <v>70</v>
      </c>
      <c r="O43" s="69">
        <v>165.0</v>
      </c>
      <c r="P43" s="176" t="s">
        <v>70</v>
      </c>
      <c r="Q43" s="35">
        <f t="shared" si="3"/>
        <v>96</v>
      </c>
      <c r="R43" s="20">
        <v>350.0</v>
      </c>
    </row>
    <row r="44" ht="14.25" customHeight="1">
      <c r="A44" s="21"/>
      <c r="B44" s="22"/>
      <c r="C44" s="201">
        <v>2.0</v>
      </c>
      <c r="D44" s="155" t="s">
        <v>132</v>
      </c>
      <c r="E44" s="106" t="s">
        <v>70</v>
      </c>
      <c r="F44" s="209">
        <v>64.0</v>
      </c>
      <c r="G44" s="106" t="s">
        <v>70</v>
      </c>
      <c r="H44" s="106" t="s">
        <v>70</v>
      </c>
      <c r="I44" s="209">
        <v>401.0</v>
      </c>
      <c r="J44" s="106" t="s">
        <v>70</v>
      </c>
      <c r="K44" s="38">
        <v>718.0</v>
      </c>
      <c r="L44" s="106" t="s">
        <v>70</v>
      </c>
      <c r="M44" s="106" t="s">
        <v>70</v>
      </c>
      <c r="N44" s="106" t="s">
        <v>70</v>
      </c>
      <c r="O44" s="71">
        <v>150.0</v>
      </c>
      <c r="P44" s="106" t="s">
        <v>70</v>
      </c>
      <c r="Q44" s="39">
        <f t="shared" si="3"/>
        <v>423</v>
      </c>
      <c r="R44" s="29">
        <v>350.0</v>
      </c>
    </row>
    <row r="45" ht="14.25" customHeight="1">
      <c r="A45" s="21"/>
      <c r="B45" s="22"/>
      <c r="C45" s="201">
        <v>3.0</v>
      </c>
      <c r="D45" s="155" t="s">
        <v>133</v>
      </c>
      <c r="E45" s="106" t="s">
        <v>70</v>
      </c>
      <c r="F45" s="209">
        <v>31.0</v>
      </c>
      <c r="G45" s="106" t="s">
        <v>70</v>
      </c>
      <c r="H45" s="106" t="s">
        <v>70</v>
      </c>
      <c r="I45" s="209">
        <v>515.0</v>
      </c>
      <c r="J45" s="106" t="s">
        <v>70</v>
      </c>
      <c r="K45" s="38">
        <v>636.0</v>
      </c>
      <c r="L45" s="106" t="s">
        <v>70</v>
      </c>
      <c r="M45" s="106" t="s">
        <v>70</v>
      </c>
      <c r="N45" s="106" t="s">
        <v>70</v>
      </c>
      <c r="O45" s="71">
        <v>225.0</v>
      </c>
      <c r="P45" s="106" t="s">
        <v>70</v>
      </c>
      <c r="Q45" s="39">
        <f t="shared" si="3"/>
        <v>458.6666667</v>
      </c>
      <c r="R45" s="29">
        <v>350.0</v>
      </c>
    </row>
    <row r="46" ht="14.25" customHeight="1">
      <c r="A46" s="21"/>
      <c r="B46" s="30"/>
      <c r="C46" s="201">
        <v>4.0</v>
      </c>
      <c r="D46" s="155" t="s">
        <v>134</v>
      </c>
      <c r="E46" s="106" t="s">
        <v>70</v>
      </c>
      <c r="F46" s="209">
        <v>22.0</v>
      </c>
      <c r="G46" s="106" t="s">
        <v>70</v>
      </c>
      <c r="H46" s="106" t="s">
        <v>70</v>
      </c>
      <c r="I46" s="209">
        <v>515.0</v>
      </c>
      <c r="J46" s="106" t="s">
        <v>70</v>
      </c>
      <c r="K46" s="38">
        <v>815.0</v>
      </c>
      <c r="L46" s="106" t="s">
        <v>70</v>
      </c>
      <c r="M46" s="106" t="s">
        <v>70</v>
      </c>
      <c r="N46" s="106" t="s">
        <v>70</v>
      </c>
      <c r="O46" s="71">
        <v>230.0</v>
      </c>
      <c r="P46" s="106" t="s">
        <v>70</v>
      </c>
      <c r="Q46" s="39">
        <f t="shared" si="3"/>
        <v>520</v>
      </c>
      <c r="R46" s="29">
        <v>350.0</v>
      </c>
    </row>
    <row r="47" ht="14.25" customHeight="1">
      <c r="A47" s="134"/>
      <c r="B47" s="134"/>
      <c r="C47" s="134"/>
      <c r="D47" s="134"/>
      <c r="E47" s="134"/>
      <c r="F47" s="134"/>
      <c r="G47" s="135"/>
      <c r="H47" s="135"/>
      <c r="I47" s="135"/>
      <c r="J47" s="135"/>
      <c r="K47" s="135"/>
      <c r="L47" s="135"/>
      <c r="M47" s="135"/>
      <c r="N47" s="135"/>
      <c r="O47" s="135"/>
      <c r="P47" s="134"/>
      <c r="Q47" s="134"/>
      <c r="R47" s="134"/>
    </row>
    <row r="48" ht="14.25" customHeight="1">
      <c r="A48" s="136" t="s">
        <v>43</v>
      </c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</row>
    <row r="49" ht="14.25" customHeight="1"/>
    <row r="50" ht="14.25" customHeight="1">
      <c r="A50" s="136" t="s">
        <v>76</v>
      </c>
    </row>
    <row r="51" ht="14.25" customHeight="1"/>
  </sheetData>
  <mergeCells count="17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A50:C51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30.14"/>
    <col customWidth="1" min="5" max="7" width="10.71" outlineLevel="1"/>
    <col customWidth="1" min="8" max="8" width="5.43" outlineLevel="1"/>
    <col customWidth="1" min="9" max="9" width="7.71" outlineLevel="1"/>
    <col customWidth="1" min="10" max="10" width="9.29" outlineLevel="1"/>
    <col customWidth="1" min="11" max="11" width="6.57" outlineLevel="1"/>
    <col customWidth="1" min="12" max="12" width="7.43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23.57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100" t="s">
        <v>14</v>
      </c>
      <c r="M4" s="100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8" t="s">
        <v>138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53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5.75" customHeight="1">
      <c r="A7" s="12" t="s">
        <v>23</v>
      </c>
      <c r="B7" s="13" t="s">
        <v>24</v>
      </c>
      <c r="C7" s="202">
        <v>1.0</v>
      </c>
      <c r="D7" s="221" t="s">
        <v>139</v>
      </c>
      <c r="E7" s="18">
        <v>3.1</v>
      </c>
      <c r="F7" s="18" t="s">
        <v>70</v>
      </c>
      <c r="G7" s="18" t="s">
        <v>70</v>
      </c>
      <c r="H7" s="18" t="s">
        <v>70</v>
      </c>
      <c r="I7" s="222">
        <v>6.4</v>
      </c>
      <c r="J7" s="18" t="s">
        <v>70</v>
      </c>
      <c r="K7" s="18" t="s">
        <v>70</v>
      </c>
      <c r="L7" s="18" t="s">
        <v>70</v>
      </c>
      <c r="M7" s="18">
        <v>3.11</v>
      </c>
      <c r="N7" s="18">
        <v>2.88</v>
      </c>
      <c r="O7" s="18" t="s">
        <v>70</v>
      </c>
      <c r="P7" s="18" t="s">
        <v>70</v>
      </c>
      <c r="Q7" s="18">
        <f t="shared" ref="Q7:Q24" si="1">AVERAGE(E7:P7)</f>
        <v>3.8725</v>
      </c>
      <c r="R7" s="20">
        <v>5.0</v>
      </c>
    </row>
    <row r="8" ht="15.75" customHeight="1">
      <c r="A8" s="21"/>
      <c r="B8" s="22"/>
      <c r="C8" s="201">
        <v>2.0</v>
      </c>
      <c r="D8" s="223" t="s">
        <v>140</v>
      </c>
      <c r="E8" s="27">
        <v>2.67</v>
      </c>
      <c r="F8" s="27" t="s">
        <v>70</v>
      </c>
      <c r="G8" s="27" t="s">
        <v>70</v>
      </c>
      <c r="H8" s="27" t="s">
        <v>70</v>
      </c>
      <c r="I8" s="224">
        <v>7.0</v>
      </c>
      <c r="J8" s="27" t="s">
        <v>70</v>
      </c>
      <c r="K8" s="27" t="s">
        <v>70</v>
      </c>
      <c r="L8" s="27" t="s">
        <v>70</v>
      </c>
      <c r="M8" s="27">
        <v>1.88</v>
      </c>
      <c r="N8" s="27">
        <v>1.51</v>
      </c>
      <c r="O8" s="27" t="s">
        <v>70</v>
      </c>
      <c r="P8" s="27" t="s">
        <v>70</v>
      </c>
      <c r="Q8" s="27">
        <f t="shared" si="1"/>
        <v>3.265</v>
      </c>
      <c r="R8" s="29">
        <v>5.0</v>
      </c>
    </row>
    <row r="9" ht="15.75" customHeight="1">
      <c r="A9" s="21"/>
      <c r="B9" s="30"/>
      <c r="C9" s="201">
        <v>3.0</v>
      </c>
      <c r="D9" s="223" t="s">
        <v>141</v>
      </c>
      <c r="E9" s="27">
        <v>1.02</v>
      </c>
      <c r="F9" s="27" t="s">
        <v>70</v>
      </c>
      <c r="G9" s="27" t="s">
        <v>70</v>
      </c>
      <c r="H9" s="27" t="s">
        <v>70</v>
      </c>
      <c r="I9" s="224" t="s">
        <v>142</v>
      </c>
      <c r="J9" s="27" t="s">
        <v>70</v>
      </c>
      <c r="K9" s="27" t="s">
        <v>70</v>
      </c>
      <c r="L9" s="27" t="s">
        <v>70</v>
      </c>
      <c r="M9" s="71" t="s">
        <v>142</v>
      </c>
      <c r="N9" s="27">
        <v>1.12</v>
      </c>
      <c r="O9" s="27" t="s">
        <v>70</v>
      </c>
      <c r="P9" s="27" t="s">
        <v>70</v>
      </c>
      <c r="Q9" s="27">
        <f t="shared" si="1"/>
        <v>1.07</v>
      </c>
      <c r="R9" s="29">
        <v>5.0</v>
      </c>
    </row>
    <row r="10" ht="15.75" customHeight="1">
      <c r="A10" s="21"/>
      <c r="B10" s="13" t="s">
        <v>30</v>
      </c>
      <c r="C10" s="202">
        <v>1.0</v>
      </c>
      <c r="D10" s="221" t="s">
        <v>139</v>
      </c>
      <c r="E10" s="35">
        <v>4.0</v>
      </c>
      <c r="F10" s="18" t="s">
        <v>70</v>
      </c>
      <c r="G10" s="18" t="s">
        <v>70</v>
      </c>
      <c r="H10" s="18" t="s">
        <v>70</v>
      </c>
      <c r="I10" s="69">
        <v>3.0</v>
      </c>
      <c r="J10" s="18" t="s">
        <v>70</v>
      </c>
      <c r="K10" s="18" t="s">
        <v>70</v>
      </c>
      <c r="L10" s="18" t="s">
        <v>70</v>
      </c>
      <c r="M10" s="35">
        <v>2.0</v>
      </c>
      <c r="N10" s="35">
        <v>2.0</v>
      </c>
      <c r="O10" s="18" t="s">
        <v>70</v>
      </c>
      <c r="P10" s="18" t="s">
        <v>70</v>
      </c>
      <c r="Q10" s="18">
        <f t="shared" si="1"/>
        <v>2.75</v>
      </c>
      <c r="R10" s="20">
        <v>7.0</v>
      </c>
    </row>
    <row r="11" ht="15.75" customHeight="1">
      <c r="A11" s="21"/>
      <c r="B11" s="22"/>
      <c r="C11" s="201">
        <v>2.0</v>
      </c>
      <c r="D11" s="223" t="s">
        <v>140</v>
      </c>
      <c r="E11" s="39">
        <v>2.0</v>
      </c>
      <c r="F11" s="27" t="s">
        <v>70</v>
      </c>
      <c r="G11" s="27" t="s">
        <v>70</v>
      </c>
      <c r="H11" s="27" t="s">
        <v>70</v>
      </c>
      <c r="I11" s="71">
        <v>5.0</v>
      </c>
      <c r="J11" s="27" t="s">
        <v>70</v>
      </c>
      <c r="K11" s="27" t="s">
        <v>70</v>
      </c>
      <c r="L11" s="27" t="s">
        <v>70</v>
      </c>
      <c r="M11" s="39">
        <v>3.0</v>
      </c>
      <c r="N11" s="39">
        <v>3.0</v>
      </c>
      <c r="O11" s="27" t="s">
        <v>70</v>
      </c>
      <c r="P11" s="27" t="s">
        <v>70</v>
      </c>
      <c r="Q11" s="27">
        <f t="shared" si="1"/>
        <v>3.25</v>
      </c>
      <c r="R11" s="29">
        <v>7.0</v>
      </c>
    </row>
    <row r="12" ht="15.75" customHeight="1">
      <c r="A12" s="21"/>
      <c r="B12" s="30"/>
      <c r="C12" s="201">
        <v>3.0</v>
      </c>
      <c r="D12" s="223" t="s">
        <v>141</v>
      </c>
      <c r="E12" s="39">
        <v>5.0</v>
      </c>
      <c r="F12" s="27" t="s">
        <v>70</v>
      </c>
      <c r="G12" s="27" t="s">
        <v>70</v>
      </c>
      <c r="H12" s="27" t="s">
        <v>70</v>
      </c>
      <c r="I12" s="71" t="s">
        <v>142</v>
      </c>
      <c r="J12" s="27" t="s">
        <v>70</v>
      </c>
      <c r="K12" s="27" t="s">
        <v>70</v>
      </c>
      <c r="L12" s="27" t="s">
        <v>70</v>
      </c>
      <c r="M12" s="71" t="s">
        <v>142</v>
      </c>
      <c r="N12" s="39">
        <v>2.0</v>
      </c>
      <c r="O12" s="27" t="s">
        <v>70</v>
      </c>
      <c r="P12" s="27" t="s">
        <v>70</v>
      </c>
      <c r="Q12" s="27">
        <f t="shared" si="1"/>
        <v>3.5</v>
      </c>
      <c r="R12" s="29">
        <v>7.0</v>
      </c>
    </row>
    <row r="13" ht="15.75" customHeight="1">
      <c r="A13" s="21"/>
      <c r="B13" s="13" t="s">
        <v>31</v>
      </c>
      <c r="C13" s="202">
        <v>1.0</v>
      </c>
      <c r="D13" s="221" t="s">
        <v>139</v>
      </c>
      <c r="E13" s="35">
        <v>141.0</v>
      </c>
      <c r="F13" s="18" t="s">
        <v>70</v>
      </c>
      <c r="G13" s="18" t="s">
        <v>70</v>
      </c>
      <c r="H13" s="18" t="s">
        <v>70</v>
      </c>
      <c r="I13" s="69">
        <v>853.0</v>
      </c>
      <c r="J13" s="18" t="s">
        <v>70</v>
      </c>
      <c r="K13" s="18" t="s">
        <v>70</v>
      </c>
      <c r="L13" s="18" t="s">
        <v>70</v>
      </c>
      <c r="M13" s="35">
        <v>221.0</v>
      </c>
      <c r="N13" s="35">
        <v>10.0</v>
      </c>
      <c r="O13" s="18" t="s">
        <v>70</v>
      </c>
      <c r="P13" s="18" t="s">
        <v>70</v>
      </c>
      <c r="Q13" s="18">
        <f t="shared" si="1"/>
        <v>306.25</v>
      </c>
      <c r="R13" s="20">
        <v>80.0</v>
      </c>
    </row>
    <row r="14" ht="15.75" customHeight="1">
      <c r="A14" s="21"/>
      <c r="B14" s="22"/>
      <c r="C14" s="201">
        <v>2.0</v>
      </c>
      <c r="D14" s="223" t="s">
        <v>140</v>
      </c>
      <c r="E14" s="39">
        <v>37.0</v>
      </c>
      <c r="F14" s="27" t="s">
        <v>70</v>
      </c>
      <c r="G14" s="27" t="s">
        <v>70</v>
      </c>
      <c r="H14" s="27" t="s">
        <v>70</v>
      </c>
      <c r="I14" s="71">
        <v>118.0</v>
      </c>
      <c r="J14" s="27" t="s">
        <v>70</v>
      </c>
      <c r="K14" s="27" t="s">
        <v>70</v>
      </c>
      <c r="L14" s="27" t="s">
        <v>70</v>
      </c>
      <c r="M14" s="39">
        <v>236.0</v>
      </c>
      <c r="N14" s="39">
        <v>41.0</v>
      </c>
      <c r="O14" s="27" t="s">
        <v>70</v>
      </c>
      <c r="P14" s="27" t="s">
        <v>70</v>
      </c>
      <c r="Q14" s="27">
        <f t="shared" si="1"/>
        <v>108</v>
      </c>
      <c r="R14" s="29">
        <v>80.0</v>
      </c>
    </row>
    <row r="15" ht="15.75" customHeight="1">
      <c r="A15" s="21"/>
      <c r="B15" s="30"/>
      <c r="C15" s="201">
        <v>3.0</v>
      </c>
      <c r="D15" s="223" t="s">
        <v>141</v>
      </c>
      <c r="E15" s="39">
        <v>63.0</v>
      </c>
      <c r="F15" s="27" t="s">
        <v>70</v>
      </c>
      <c r="G15" s="27" t="s">
        <v>70</v>
      </c>
      <c r="H15" s="27" t="s">
        <v>70</v>
      </c>
      <c r="I15" s="27" t="s">
        <v>142</v>
      </c>
      <c r="J15" s="27" t="s">
        <v>70</v>
      </c>
      <c r="K15" s="27" t="s">
        <v>70</v>
      </c>
      <c r="L15" s="27" t="s">
        <v>70</v>
      </c>
      <c r="M15" s="71" t="s">
        <v>142</v>
      </c>
      <c r="N15" s="39">
        <v>105.0</v>
      </c>
      <c r="O15" s="27" t="s">
        <v>70</v>
      </c>
      <c r="P15" s="27" t="s">
        <v>70</v>
      </c>
      <c r="Q15" s="27">
        <f t="shared" si="1"/>
        <v>84</v>
      </c>
      <c r="R15" s="29">
        <v>80.0</v>
      </c>
    </row>
    <row r="16" ht="15.75" customHeight="1">
      <c r="A16" s="21"/>
      <c r="B16" s="13" t="s">
        <v>33</v>
      </c>
      <c r="C16" s="202">
        <v>1.0</v>
      </c>
      <c r="D16" s="221" t="s">
        <v>139</v>
      </c>
      <c r="E16" s="18">
        <v>8.49</v>
      </c>
      <c r="F16" s="18" t="s">
        <v>70</v>
      </c>
      <c r="G16" s="18" t="s">
        <v>70</v>
      </c>
      <c r="H16" s="18" t="s">
        <v>70</v>
      </c>
      <c r="I16" s="18">
        <v>7.0</v>
      </c>
      <c r="J16" s="18" t="s">
        <v>70</v>
      </c>
      <c r="K16" s="18" t="s">
        <v>70</v>
      </c>
      <c r="L16" s="18" t="s">
        <v>70</v>
      </c>
      <c r="M16" s="18">
        <v>7.0</v>
      </c>
      <c r="N16" s="18">
        <v>7.0</v>
      </c>
      <c r="O16" s="18" t="s">
        <v>70</v>
      </c>
      <c r="P16" s="18" t="s">
        <v>70</v>
      </c>
      <c r="Q16" s="18">
        <f t="shared" si="1"/>
        <v>7.3725</v>
      </c>
      <c r="R16" s="18" t="s">
        <v>34</v>
      </c>
    </row>
    <row r="17" ht="15.75" customHeight="1">
      <c r="A17" s="21"/>
      <c r="B17" s="22"/>
      <c r="C17" s="201">
        <v>2.0</v>
      </c>
      <c r="D17" s="223" t="s">
        <v>140</v>
      </c>
      <c r="E17" s="27">
        <v>7.29</v>
      </c>
      <c r="F17" s="27" t="s">
        <v>70</v>
      </c>
      <c r="G17" s="27" t="s">
        <v>70</v>
      </c>
      <c r="H17" s="27" t="s">
        <v>70</v>
      </c>
      <c r="I17" s="27">
        <v>7.0</v>
      </c>
      <c r="J17" s="27" t="s">
        <v>70</v>
      </c>
      <c r="K17" s="27" t="s">
        <v>70</v>
      </c>
      <c r="L17" s="27" t="s">
        <v>70</v>
      </c>
      <c r="M17" s="27">
        <v>7.0</v>
      </c>
      <c r="N17" s="27">
        <v>7.0</v>
      </c>
      <c r="O17" s="27" t="s">
        <v>70</v>
      </c>
      <c r="P17" s="27" t="s">
        <v>70</v>
      </c>
      <c r="Q17" s="27">
        <f t="shared" si="1"/>
        <v>7.0725</v>
      </c>
      <c r="R17" s="27" t="s">
        <v>34</v>
      </c>
    </row>
    <row r="18" ht="15.75" customHeight="1">
      <c r="A18" s="21"/>
      <c r="B18" s="30"/>
      <c r="C18" s="201">
        <v>3.0</v>
      </c>
      <c r="D18" s="223" t="s">
        <v>141</v>
      </c>
      <c r="E18" s="27">
        <v>8.36</v>
      </c>
      <c r="F18" s="27" t="s">
        <v>70</v>
      </c>
      <c r="G18" s="27" t="s">
        <v>70</v>
      </c>
      <c r="H18" s="27" t="s">
        <v>70</v>
      </c>
      <c r="I18" s="27" t="s">
        <v>142</v>
      </c>
      <c r="J18" s="27" t="s">
        <v>70</v>
      </c>
      <c r="K18" s="27" t="s">
        <v>70</v>
      </c>
      <c r="L18" s="27" t="s">
        <v>70</v>
      </c>
      <c r="M18" s="71" t="s">
        <v>142</v>
      </c>
      <c r="N18" s="27">
        <v>7.0</v>
      </c>
      <c r="O18" s="27" t="s">
        <v>70</v>
      </c>
      <c r="P18" s="27" t="s">
        <v>70</v>
      </c>
      <c r="Q18" s="27">
        <f t="shared" si="1"/>
        <v>7.68</v>
      </c>
      <c r="R18" s="27" t="s">
        <v>34</v>
      </c>
    </row>
    <row r="19" ht="15.75" customHeight="1">
      <c r="A19" s="21"/>
      <c r="B19" s="13" t="s">
        <v>143</v>
      </c>
      <c r="C19" s="202">
        <v>1.0</v>
      </c>
      <c r="D19" s="221" t="s">
        <v>139</v>
      </c>
      <c r="E19" s="18">
        <v>26.8</v>
      </c>
      <c r="F19" s="18" t="s">
        <v>70</v>
      </c>
      <c r="G19" s="18" t="s">
        <v>70</v>
      </c>
      <c r="H19" s="18" t="s">
        <v>70</v>
      </c>
      <c r="I19" s="18">
        <v>28.2</v>
      </c>
      <c r="J19" s="18" t="s">
        <v>70</v>
      </c>
      <c r="K19" s="18" t="s">
        <v>70</v>
      </c>
      <c r="L19" s="18" t="s">
        <v>70</v>
      </c>
      <c r="M19" s="18">
        <v>28.3</v>
      </c>
      <c r="N19" s="18">
        <v>28.91</v>
      </c>
      <c r="O19" s="18" t="s">
        <v>70</v>
      </c>
      <c r="P19" s="18" t="s">
        <v>70</v>
      </c>
      <c r="Q19" s="18">
        <f t="shared" si="1"/>
        <v>28.0525</v>
      </c>
      <c r="R19" s="18" t="s">
        <v>36</v>
      </c>
    </row>
    <row r="20" ht="15.75" customHeight="1">
      <c r="A20" s="21"/>
      <c r="B20" s="22"/>
      <c r="C20" s="201">
        <v>2.0</v>
      </c>
      <c r="D20" s="223" t="s">
        <v>140</v>
      </c>
      <c r="E20" s="27">
        <v>26.2</v>
      </c>
      <c r="F20" s="27" t="s">
        <v>70</v>
      </c>
      <c r="G20" s="27" t="s">
        <v>70</v>
      </c>
      <c r="H20" s="27" t="s">
        <v>70</v>
      </c>
      <c r="I20" s="27">
        <v>28.67</v>
      </c>
      <c r="J20" s="27" t="s">
        <v>70</v>
      </c>
      <c r="K20" s="27" t="s">
        <v>70</v>
      </c>
      <c r="L20" s="27" t="s">
        <v>70</v>
      </c>
      <c r="M20" s="27">
        <v>28.01</v>
      </c>
      <c r="N20" s="27">
        <v>28.62</v>
      </c>
      <c r="O20" s="27" t="s">
        <v>70</v>
      </c>
      <c r="P20" s="27" t="s">
        <v>70</v>
      </c>
      <c r="Q20" s="27">
        <f t="shared" si="1"/>
        <v>27.875</v>
      </c>
      <c r="R20" s="27" t="s">
        <v>36</v>
      </c>
    </row>
    <row r="21" ht="14.25" customHeight="1">
      <c r="A21" s="21"/>
      <c r="B21" s="30"/>
      <c r="C21" s="201">
        <v>3.0</v>
      </c>
      <c r="D21" s="223" t="s">
        <v>141</v>
      </c>
      <c r="E21" s="27">
        <v>27.2</v>
      </c>
      <c r="F21" s="27" t="s">
        <v>70</v>
      </c>
      <c r="G21" s="27" t="s">
        <v>70</v>
      </c>
      <c r="H21" s="27" t="s">
        <v>70</v>
      </c>
      <c r="I21" s="27" t="s">
        <v>142</v>
      </c>
      <c r="J21" s="27" t="s">
        <v>70</v>
      </c>
      <c r="K21" s="27" t="s">
        <v>70</v>
      </c>
      <c r="L21" s="27" t="s">
        <v>70</v>
      </c>
      <c r="M21" s="71" t="s">
        <v>142</v>
      </c>
      <c r="N21" s="27">
        <v>28.98</v>
      </c>
      <c r="O21" s="27" t="s">
        <v>70</v>
      </c>
      <c r="P21" s="27" t="s">
        <v>70</v>
      </c>
      <c r="Q21" s="27">
        <f t="shared" si="1"/>
        <v>28.09</v>
      </c>
      <c r="R21" s="27" t="s">
        <v>36</v>
      </c>
    </row>
    <row r="22" ht="15.0" customHeight="1">
      <c r="A22" s="21"/>
      <c r="B22" s="13" t="s">
        <v>37</v>
      </c>
      <c r="C22" s="202">
        <v>1.0</v>
      </c>
      <c r="D22" s="221" t="s">
        <v>139</v>
      </c>
      <c r="E22" s="18">
        <v>30.0</v>
      </c>
      <c r="F22" s="18" t="s">
        <v>70</v>
      </c>
      <c r="G22" s="18" t="s">
        <v>70</v>
      </c>
      <c r="H22" s="18" t="s">
        <v>70</v>
      </c>
      <c r="I22" s="35">
        <v>5.0</v>
      </c>
      <c r="J22" s="18" t="s">
        <v>70</v>
      </c>
      <c r="K22" s="18" t="s">
        <v>70</v>
      </c>
      <c r="L22" s="18" t="s">
        <v>70</v>
      </c>
      <c r="M22" s="35">
        <v>10.0</v>
      </c>
      <c r="N22" s="35">
        <v>5.0</v>
      </c>
      <c r="O22" s="18" t="s">
        <v>70</v>
      </c>
      <c r="P22" s="18" t="s">
        <v>70</v>
      </c>
      <c r="Q22" s="18">
        <f t="shared" si="1"/>
        <v>12.5</v>
      </c>
      <c r="R22" s="20">
        <v>75.0</v>
      </c>
    </row>
    <row r="23" ht="14.25" customHeight="1">
      <c r="A23" s="21"/>
      <c r="B23" s="22"/>
      <c r="C23" s="201">
        <v>2.0</v>
      </c>
      <c r="D23" s="223" t="s">
        <v>140</v>
      </c>
      <c r="E23" s="27">
        <v>5.0</v>
      </c>
      <c r="F23" s="27" t="s">
        <v>70</v>
      </c>
      <c r="G23" s="27" t="s">
        <v>70</v>
      </c>
      <c r="H23" s="27" t="s">
        <v>70</v>
      </c>
      <c r="I23" s="39">
        <v>5.0</v>
      </c>
      <c r="J23" s="27" t="s">
        <v>70</v>
      </c>
      <c r="K23" s="27" t="s">
        <v>70</v>
      </c>
      <c r="L23" s="27" t="s">
        <v>70</v>
      </c>
      <c r="M23" s="39">
        <v>10.0</v>
      </c>
      <c r="N23" s="39">
        <v>5.0</v>
      </c>
      <c r="O23" s="27" t="s">
        <v>70</v>
      </c>
      <c r="P23" s="27" t="s">
        <v>70</v>
      </c>
      <c r="Q23" s="27">
        <f t="shared" si="1"/>
        <v>6.25</v>
      </c>
      <c r="R23" s="29">
        <v>75.0</v>
      </c>
    </row>
    <row r="24" ht="14.25" customHeight="1">
      <c r="A24" s="21"/>
      <c r="B24" s="30"/>
      <c r="C24" s="201">
        <v>3.0</v>
      </c>
      <c r="D24" s="223" t="s">
        <v>141</v>
      </c>
      <c r="E24" s="27">
        <v>30.0</v>
      </c>
      <c r="F24" s="27" t="s">
        <v>70</v>
      </c>
      <c r="G24" s="27" t="s">
        <v>70</v>
      </c>
      <c r="H24" s="27" t="s">
        <v>70</v>
      </c>
      <c r="I24" s="27" t="s">
        <v>142</v>
      </c>
      <c r="J24" s="27" t="s">
        <v>70</v>
      </c>
      <c r="K24" s="27" t="s">
        <v>70</v>
      </c>
      <c r="L24" s="27" t="s">
        <v>70</v>
      </c>
      <c r="M24" s="71" t="s">
        <v>142</v>
      </c>
      <c r="N24" s="39">
        <v>5.0</v>
      </c>
      <c r="O24" s="27" t="s">
        <v>70</v>
      </c>
      <c r="P24" s="27" t="s">
        <v>70</v>
      </c>
      <c r="Q24" s="27">
        <f t="shared" si="1"/>
        <v>17.5</v>
      </c>
      <c r="R24" s="29">
        <v>75.0</v>
      </c>
    </row>
    <row r="25" ht="15.75" customHeight="1">
      <c r="A25" s="21"/>
      <c r="B25" s="13" t="s">
        <v>38</v>
      </c>
      <c r="C25" s="202">
        <v>1.0</v>
      </c>
      <c r="D25" s="221" t="s">
        <v>139</v>
      </c>
      <c r="E25" s="47">
        <v>22000.0</v>
      </c>
      <c r="F25" s="47" t="s">
        <v>70</v>
      </c>
      <c r="G25" s="47" t="s">
        <v>70</v>
      </c>
      <c r="H25" s="47" t="s">
        <v>70</v>
      </c>
      <c r="I25" s="47">
        <v>330.0</v>
      </c>
      <c r="J25" s="47" t="s">
        <v>70</v>
      </c>
      <c r="K25" s="47" t="s">
        <v>70</v>
      </c>
      <c r="L25" s="47" t="s">
        <v>70</v>
      </c>
      <c r="M25" s="47">
        <v>22000.0</v>
      </c>
      <c r="N25" s="47">
        <v>54000.0</v>
      </c>
      <c r="O25" s="47" t="s">
        <v>70</v>
      </c>
      <c r="P25" s="47" t="s">
        <v>70</v>
      </c>
      <c r="Q25" s="69">
        <f t="shared" ref="Q25:Q27" si="2">GEOMEAN(E25:P25)</f>
        <v>9636.920257</v>
      </c>
      <c r="R25" s="20">
        <v>200.0</v>
      </c>
      <c r="S25" s="50"/>
    </row>
    <row r="26" ht="15.75" customHeight="1">
      <c r="A26" s="21"/>
      <c r="B26" s="22"/>
      <c r="C26" s="201">
        <v>2.0</v>
      </c>
      <c r="D26" s="223" t="s">
        <v>140</v>
      </c>
      <c r="E26" s="53">
        <v>1400.0</v>
      </c>
      <c r="F26" s="53" t="s">
        <v>70</v>
      </c>
      <c r="G26" s="53" t="s">
        <v>70</v>
      </c>
      <c r="H26" s="53" t="s">
        <v>70</v>
      </c>
      <c r="I26" s="53">
        <v>35000.0</v>
      </c>
      <c r="J26" s="53" t="s">
        <v>70</v>
      </c>
      <c r="K26" s="53" t="s">
        <v>70</v>
      </c>
      <c r="L26" s="53" t="s">
        <v>70</v>
      </c>
      <c r="M26" s="53">
        <v>920000.0</v>
      </c>
      <c r="N26" s="53">
        <v>35000.0</v>
      </c>
      <c r="O26" s="53" t="s">
        <v>70</v>
      </c>
      <c r="P26" s="53" t="s">
        <v>70</v>
      </c>
      <c r="Q26" s="71">
        <f t="shared" si="2"/>
        <v>35441.57292</v>
      </c>
      <c r="R26" s="29">
        <v>200.0</v>
      </c>
    </row>
    <row r="27" ht="15.75" customHeight="1">
      <c r="A27" s="21"/>
      <c r="B27" s="30"/>
      <c r="C27" s="201">
        <v>3.0</v>
      </c>
      <c r="D27" s="223" t="s">
        <v>141</v>
      </c>
      <c r="E27" s="53">
        <v>54000.0</v>
      </c>
      <c r="F27" s="53" t="s">
        <v>70</v>
      </c>
      <c r="G27" s="53" t="s">
        <v>70</v>
      </c>
      <c r="H27" s="53" t="s">
        <v>70</v>
      </c>
      <c r="I27" s="53" t="s">
        <v>142</v>
      </c>
      <c r="J27" s="53" t="s">
        <v>70</v>
      </c>
      <c r="K27" s="53" t="s">
        <v>70</v>
      </c>
      <c r="L27" s="53" t="s">
        <v>70</v>
      </c>
      <c r="M27" s="53" t="s">
        <v>142</v>
      </c>
      <c r="N27" s="53">
        <v>35000.0</v>
      </c>
      <c r="O27" s="53" t="s">
        <v>70</v>
      </c>
      <c r="P27" s="53" t="s">
        <v>70</v>
      </c>
      <c r="Q27" s="71">
        <f t="shared" si="2"/>
        <v>43474.13024</v>
      </c>
      <c r="R27" s="29">
        <v>200.0</v>
      </c>
    </row>
    <row r="28" ht="15.75" customHeight="1">
      <c r="A28" s="21"/>
      <c r="B28" s="13" t="s">
        <v>144</v>
      </c>
      <c r="C28" s="202">
        <v>1.0</v>
      </c>
      <c r="D28" s="221" t="s">
        <v>139</v>
      </c>
      <c r="E28" s="59">
        <v>1.735</v>
      </c>
      <c r="F28" s="18" t="s">
        <v>70</v>
      </c>
      <c r="G28" s="18" t="s">
        <v>70</v>
      </c>
      <c r="H28" s="18" t="s">
        <v>70</v>
      </c>
      <c r="I28" s="59">
        <v>0.965</v>
      </c>
      <c r="J28" s="18" t="s">
        <v>70</v>
      </c>
      <c r="K28" s="18" t="s">
        <v>70</v>
      </c>
      <c r="L28" s="18" t="s">
        <v>70</v>
      </c>
      <c r="M28" s="59">
        <v>0.337</v>
      </c>
      <c r="N28" s="59">
        <v>0.135</v>
      </c>
      <c r="O28" s="18" t="s">
        <v>70</v>
      </c>
      <c r="P28" s="18" t="s">
        <v>70</v>
      </c>
      <c r="Q28" s="59">
        <f t="shared" ref="Q28:Q36" si="3">AVERAGE(E28:P28)</f>
        <v>0.793</v>
      </c>
      <c r="R28" s="20">
        <v>7.0</v>
      </c>
    </row>
    <row r="29" ht="15.75" customHeight="1">
      <c r="A29" s="21"/>
      <c r="B29" s="22"/>
      <c r="C29" s="201">
        <v>2.0</v>
      </c>
      <c r="D29" s="223" t="s">
        <v>140</v>
      </c>
      <c r="E29" s="65">
        <v>0.857</v>
      </c>
      <c r="F29" s="27" t="s">
        <v>70</v>
      </c>
      <c r="G29" s="27" t="s">
        <v>70</v>
      </c>
      <c r="H29" s="27" t="s">
        <v>70</v>
      </c>
      <c r="I29" s="65">
        <v>1.259</v>
      </c>
      <c r="J29" s="27" t="s">
        <v>70</v>
      </c>
      <c r="K29" s="27" t="s">
        <v>70</v>
      </c>
      <c r="L29" s="27" t="s">
        <v>70</v>
      </c>
      <c r="M29" s="65">
        <v>0.669</v>
      </c>
      <c r="N29" s="65">
        <v>0.36</v>
      </c>
      <c r="O29" s="27" t="s">
        <v>70</v>
      </c>
      <c r="P29" s="27" t="s">
        <v>70</v>
      </c>
      <c r="Q29" s="65">
        <f t="shared" si="3"/>
        <v>0.78625</v>
      </c>
      <c r="R29" s="29">
        <v>7.0</v>
      </c>
    </row>
    <row r="30" ht="15.75" customHeight="1">
      <c r="A30" s="21"/>
      <c r="B30" s="30"/>
      <c r="C30" s="201">
        <v>3.0</v>
      </c>
      <c r="D30" s="223" t="s">
        <v>141</v>
      </c>
      <c r="E30" s="65">
        <v>1.842</v>
      </c>
      <c r="F30" s="27" t="s">
        <v>70</v>
      </c>
      <c r="G30" s="27" t="s">
        <v>70</v>
      </c>
      <c r="H30" s="27" t="s">
        <v>70</v>
      </c>
      <c r="I30" s="65" t="s">
        <v>142</v>
      </c>
      <c r="J30" s="27" t="s">
        <v>70</v>
      </c>
      <c r="K30" s="27" t="s">
        <v>70</v>
      </c>
      <c r="L30" s="27" t="s">
        <v>70</v>
      </c>
      <c r="M30" s="65" t="s">
        <v>142</v>
      </c>
      <c r="N30" s="65">
        <v>0.888</v>
      </c>
      <c r="O30" s="27" t="s">
        <v>70</v>
      </c>
      <c r="P30" s="27" t="s">
        <v>70</v>
      </c>
      <c r="Q30" s="65">
        <f t="shared" si="3"/>
        <v>1.365</v>
      </c>
      <c r="R30" s="29">
        <v>7.0</v>
      </c>
    </row>
    <row r="31" ht="15.75" customHeight="1">
      <c r="A31" s="21"/>
      <c r="B31" s="13" t="s">
        <v>145</v>
      </c>
      <c r="C31" s="202">
        <v>1.0</v>
      </c>
      <c r="D31" s="221" t="s">
        <v>139</v>
      </c>
      <c r="E31" s="59">
        <v>0.121</v>
      </c>
      <c r="F31" s="18" t="s">
        <v>70</v>
      </c>
      <c r="G31" s="18" t="s">
        <v>70</v>
      </c>
      <c r="H31" s="18" t="s">
        <v>70</v>
      </c>
      <c r="I31" s="59">
        <v>0.27</v>
      </c>
      <c r="J31" s="18" t="s">
        <v>70</v>
      </c>
      <c r="K31" s="18" t="s">
        <v>70</v>
      </c>
      <c r="L31" s="18" t="s">
        <v>70</v>
      </c>
      <c r="M31" s="59">
        <v>0.186</v>
      </c>
      <c r="N31" s="59">
        <v>0.828</v>
      </c>
      <c r="O31" s="18" t="s">
        <v>70</v>
      </c>
      <c r="P31" s="18" t="s">
        <v>70</v>
      </c>
      <c r="Q31" s="59">
        <f t="shared" si="3"/>
        <v>0.35125</v>
      </c>
      <c r="R31" s="20">
        <v>0.5</v>
      </c>
    </row>
    <row r="32" ht="15.75" customHeight="1">
      <c r="A32" s="21"/>
      <c r="B32" s="22"/>
      <c r="C32" s="201">
        <v>2.0</v>
      </c>
      <c r="D32" s="223" t="s">
        <v>140</v>
      </c>
      <c r="E32" s="65">
        <v>0.059</v>
      </c>
      <c r="F32" s="27" t="s">
        <v>70</v>
      </c>
      <c r="G32" s="27" t="s">
        <v>70</v>
      </c>
      <c r="H32" s="27" t="s">
        <v>70</v>
      </c>
      <c r="I32" s="65">
        <v>0.131</v>
      </c>
      <c r="J32" s="27" t="s">
        <v>70</v>
      </c>
      <c r="K32" s="27" t="s">
        <v>70</v>
      </c>
      <c r="L32" s="27" t="s">
        <v>70</v>
      </c>
      <c r="M32" s="65">
        <v>0.193</v>
      </c>
      <c r="N32" s="65">
        <v>0.574</v>
      </c>
      <c r="O32" s="27" t="s">
        <v>70</v>
      </c>
      <c r="P32" s="27" t="s">
        <v>70</v>
      </c>
      <c r="Q32" s="65">
        <f t="shared" si="3"/>
        <v>0.23925</v>
      </c>
      <c r="R32" s="29">
        <v>0.5</v>
      </c>
    </row>
    <row r="33" ht="15.75" customHeight="1">
      <c r="A33" s="21"/>
      <c r="B33" s="30"/>
      <c r="C33" s="201">
        <v>3.0</v>
      </c>
      <c r="D33" s="223" t="s">
        <v>141</v>
      </c>
      <c r="E33" s="65">
        <v>0.117</v>
      </c>
      <c r="F33" s="27" t="s">
        <v>70</v>
      </c>
      <c r="G33" s="27" t="s">
        <v>70</v>
      </c>
      <c r="H33" s="27" t="s">
        <v>70</v>
      </c>
      <c r="I33" s="65" t="s">
        <v>142</v>
      </c>
      <c r="J33" s="27" t="s">
        <v>70</v>
      </c>
      <c r="K33" s="27" t="s">
        <v>70</v>
      </c>
      <c r="L33" s="27" t="s">
        <v>70</v>
      </c>
      <c r="M33" s="65" t="s">
        <v>142</v>
      </c>
      <c r="N33" s="65">
        <v>0.653</v>
      </c>
      <c r="O33" s="27" t="s">
        <v>70</v>
      </c>
      <c r="P33" s="27" t="s">
        <v>70</v>
      </c>
      <c r="Q33" s="65">
        <f t="shared" si="3"/>
        <v>0.385</v>
      </c>
      <c r="R33" s="29">
        <v>0.5</v>
      </c>
    </row>
    <row r="34" ht="15.75" customHeight="1">
      <c r="A34" s="21"/>
      <c r="B34" s="13" t="s">
        <v>42</v>
      </c>
      <c r="C34" s="202">
        <v>1.0</v>
      </c>
      <c r="D34" s="221" t="s">
        <v>139</v>
      </c>
      <c r="E34" s="69">
        <v>22.0</v>
      </c>
      <c r="F34" s="18" t="s">
        <v>70</v>
      </c>
      <c r="G34" s="18" t="s">
        <v>70</v>
      </c>
      <c r="H34" s="18" t="s">
        <v>70</v>
      </c>
      <c r="I34" s="69">
        <v>24.0</v>
      </c>
      <c r="J34" s="18" t="s">
        <v>70</v>
      </c>
      <c r="K34" s="18" t="s">
        <v>70</v>
      </c>
      <c r="L34" s="18" t="s">
        <v>70</v>
      </c>
      <c r="M34" s="35">
        <v>40.0</v>
      </c>
      <c r="N34" s="35">
        <v>45.0</v>
      </c>
      <c r="O34" s="18" t="s">
        <v>70</v>
      </c>
      <c r="P34" s="18" t="s">
        <v>70</v>
      </c>
      <c r="Q34" s="35">
        <f t="shared" si="3"/>
        <v>32.75</v>
      </c>
      <c r="R34" s="20">
        <v>350.0</v>
      </c>
    </row>
    <row r="35" ht="15.75" customHeight="1">
      <c r="A35" s="21"/>
      <c r="B35" s="22"/>
      <c r="C35" s="201">
        <v>2.0</v>
      </c>
      <c r="D35" s="223" t="s">
        <v>140</v>
      </c>
      <c r="E35" s="71">
        <v>7.0</v>
      </c>
      <c r="F35" s="27" t="s">
        <v>70</v>
      </c>
      <c r="G35" s="27" t="s">
        <v>70</v>
      </c>
      <c r="H35" s="27" t="s">
        <v>70</v>
      </c>
      <c r="I35" s="71">
        <v>24.0</v>
      </c>
      <c r="J35" s="27" t="s">
        <v>70</v>
      </c>
      <c r="K35" s="27" t="s">
        <v>70</v>
      </c>
      <c r="L35" s="27" t="s">
        <v>70</v>
      </c>
      <c r="M35" s="39">
        <v>40.0</v>
      </c>
      <c r="N35" s="39">
        <v>85.0</v>
      </c>
      <c r="O35" s="27" t="s">
        <v>70</v>
      </c>
      <c r="P35" s="27" t="s">
        <v>70</v>
      </c>
      <c r="Q35" s="39">
        <f t="shared" si="3"/>
        <v>39</v>
      </c>
      <c r="R35" s="29">
        <v>350.0</v>
      </c>
    </row>
    <row r="36" ht="15.75" customHeight="1">
      <c r="A36" s="21"/>
      <c r="B36" s="30"/>
      <c r="C36" s="201">
        <v>3.0</v>
      </c>
      <c r="D36" s="223" t="s">
        <v>141</v>
      </c>
      <c r="E36" s="71">
        <v>20.0</v>
      </c>
      <c r="F36" s="27" t="s">
        <v>70</v>
      </c>
      <c r="G36" s="27" t="s">
        <v>70</v>
      </c>
      <c r="H36" s="27" t="s">
        <v>70</v>
      </c>
      <c r="I36" s="71" t="s">
        <v>142</v>
      </c>
      <c r="J36" s="27" t="s">
        <v>70</v>
      </c>
      <c r="K36" s="27" t="s">
        <v>70</v>
      </c>
      <c r="L36" s="27" t="s">
        <v>70</v>
      </c>
      <c r="M36" s="71" t="s">
        <v>142</v>
      </c>
      <c r="N36" s="39">
        <v>45.0</v>
      </c>
      <c r="O36" s="27" t="s">
        <v>70</v>
      </c>
      <c r="P36" s="27" t="s">
        <v>70</v>
      </c>
      <c r="Q36" s="39">
        <f t="shared" si="3"/>
        <v>32.5</v>
      </c>
      <c r="R36" s="29">
        <v>350.0</v>
      </c>
    </row>
    <row r="37" ht="14.2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5"/>
      <c r="M37" s="135"/>
      <c r="N37" s="134"/>
      <c r="O37" s="134"/>
      <c r="P37" s="135"/>
      <c r="Q37" s="134"/>
      <c r="R37" s="134"/>
    </row>
    <row r="38" ht="13.5" customHeight="1">
      <c r="A38" s="136" t="s">
        <v>43</v>
      </c>
      <c r="D38" s="134"/>
      <c r="E38" s="134"/>
      <c r="F38" s="134"/>
      <c r="G38" s="134"/>
      <c r="H38" s="134"/>
      <c r="I38" s="134"/>
      <c r="J38" s="134"/>
      <c r="K38" s="134"/>
      <c r="L38" s="135"/>
      <c r="M38" s="135"/>
      <c r="N38" s="134"/>
      <c r="O38" s="134"/>
      <c r="P38" s="135"/>
      <c r="Q38" s="134"/>
      <c r="R38" s="134"/>
    </row>
    <row r="39" ht="14.25" customHeight="1">
      <c r="D39" s="134"/>
      <c r="E39" s="134"/>
      <c r="F39" s="134"/>
      <c r="G39" s="134"/>
      <c r="H39" s="134"/>
      <c r="I39" s="134"/>
      <c r="J39" s="134"/>
      <c r="K39" s="134"/>
      <c r="L39" s="135"/>
      <c r="M39" s="135"/>
      <c r="N39" s="134"/>
      <c r="O39" s="134"/>
      <c r="P39" s="135"/>
    </row>
    <row r="40" ht="14.25" customHeight="1">
      <c r="A40" s="110" t="s">
        <v>76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5"/>
      <c r="M40" s="135"/>
      <c r="N40" s="134"/>
      <c r="O40" s="134"/>
      <c r="P40" s="135"/>
    </row>
    <row r="41" ht="14.25" customHeight="1">
      <c r="C41" s="134"/>
      <c r="D41" s="134"/>
      <c r="E41" s="134"/>
      <c r="F41" s="134"/>
      <c r="G41" s="134"/>
      <c r="H41" s="134"/>
      <c r="I41" s="134"/>
      <c r="J41" s="134"/>
      <c r="K41" s="134"/>
      <c r="L41" s="135"/>
      <c r="M41" s="135"/>
      <c r="N41" s="134"/>
      <c r="O41" s="134"/>
      <c r="P41" s="135"/>
    </row>
    <row r="42" ht="14.25" customHeight="1">
      <c r="A42" s="136" t="s">
        <v>146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5"/>
      <c r="M42" s="135"/>
      <c r="N42" s="134"/>
      <c r="O42" s="134"/>
      <c r="P42" s="135"/>
    </row>
    <row r="43" ht="14.25" customHeight="1">
      <c r="C43" s="134"/>
      <c r="D43" s="134"/>
      <c r="E43" s="134"/>
      <c r="F43" s="134"/>
      <c r="G43" s="134"/>
      <c r="H43" s="134"/>
      <c r="I43" s="134"/>
      <c r="J43" s="134"/>
      <c r="K43" s="134"/>
      <c r="L43" s="135"/>
      <c r="M43" s="135"/>
      <c r="N43" s="134"/>
      <c r="O43" s="134"/>
      <c r="P43" s="135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B41"/>
    <mergeCell ref="A42:B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19.86"/>
    <col customWidth="1" min="5" max="5" width="15.57" outlineLevel="1"/>
    <col customWidth="1" min="6" max="7" width="11.29" outlineLevel="1"/>
    <col customWidth="1" min="8" max="8" width="12.86" outlineLevel="1"/>
    <col customWidth="1" min="9" max="9" width="11.71" outlineLevel="1"/>
    <col customWidth="1" min="10" max="10" width="10.29" outlineLevel="1"/>
    <col customWidth="1" min="11" max="11" width="11.14" outlineLevel="1"/>
    <col customWidth="1" min="12" max="12" width="9.71" outlineLevel="1"/>
    <col customWidth="1" min="13" max="13" width="10.29" outlineLevel="1"/>
    <col customWidth="1" min="14" max="14" width="9.14" outlineLevel="1"/>
    <col customWidth="1" min="15" max="15" width="11.57" outlineLevel="1"/>
    <col customWidth="1" min="16" max="16" width="9.71" outlineLevel="1"/>
    <col customWidth="1" min="17" max="17" width="18.71"/>
    <col customWidth="1" min="18" max="18" width="7.14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147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 ht="14.25" customHeight="1">
      <c r="A5" s="112" t="s">
        <v>147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 ht="14.25" customHeight="1">
      <c r="A6" s="114" t="s">
        <v>148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ht="15.75" customHeight="1">
      <c r="A7" s="12" t="s">
        <v>23</v>
      </c>
      <c r="B7" s="13" t="s">
        <v>24</v>
      </c>
      <c r="C7" s="202">
        <v>1.0</v>
      </c>
      <c r="D7" s="221" t="s">
        <v>149</v>
      </c>
      <c r="E7" s="18">
        <v>3.1</v>
      </c>
      <c r="F7" s="225">
        <v>3.1</v>
      </c>
      <c r="G7" s="18">
        <v>4.5</v>
      </c>
      <c r="H7" s="18">
        <v>3.1</v>
      </c>
      <c r="I7" s="103">
        <v>4.2</v>
      </c>
      <c r="J7" s="103">
        <v>3.6</v>
      </c>
      <c r="K7" s="226">
        <v>2.1</v>
      </c>
      <c r="L7" s="226">
        <v>2.0</v>
      </c>
      <c r="M7" s="18">
        <v>1.7</v>
      </c>
      <c r="N7" s="18">
        <v>0.3</v>
      </c>
      <c r="O7" s="18">
        <v>3.3</v>
      </c>
      <c r="P7" s="18">
        <v>4.6</v>
      </c>
      <c r="Q7" s="19">
        <f t="shared" ref="Q7:Q48" si="1">AVERAGE(E7:P7)</f>
        <v>2.966666667</v>
      </c>
      <c r="R7" s="20">
        <v>5.0</v>
      </c>
    </row>
    <row r="8" ht="15.75" customHeight="1">
      <c r="A8" s="227"/>
      <c r="B8" s="22"/>
      <c r="C8" s="228">
        <v>3.0</v>
      </c>
      <c r="D8" s="229" t="s">
        <v>150</v>
      </c>
      <c r="E8" s="152">
        <v>3.2</v>
      </c>
      <c r="F8" s="230">
        <v>5.0</v>
      </c>
      <c r="G8" s="152">
        <v>4.5</v>
      </c>
      <c r="H8" s="27">
        <v>3.5</v>
      </c>
      <c r="I8" s="210">
        <v>3.0</v>
      </c>
      <c r="J8" s="210">
        <v>3.8</v>
      </c>
      <c r="K8" s="231">
        <v>2.7</v>
      </c>
      <c r="L8" s="231">
        <v>2.1</v>
      </c>
      <c r="M8" s="152">
        <v>2.3</v>
      </c>
      <c r="N8" s="152">
        <v>2.1</v>
      </c>
      <c r="O8" s="27">
        <v>3.1</v>
      </c>
      <c r="P8" s="27">
        <v>4.4</v>
      </c>
      <c r="Q8" s="28">
        <f t="shared" si="1"/>
        <v>3.308333333</v>
      </c>
      <c r="R8" s="29">
        <v>5.0</v>
      </c>
    </row>
    <row r="9" ht="15.75" customHeight="1">
      <c r="A9" s="227"/>
      <c r="B9" s="22"/>
      <c r="C9" s="228">
        <v>4.0</v>
      </c>
      <c r="D9" s="229" t="s">
        <v>151</v>
      </c>
      <c r="E9" s="152">
        <v>2.0</v>
      </c>
      <c r="F9" s="230">
        <v>2.8</v>
      </c>
      <c r="G9" s="152">
        <v>4.0</v>
      </c>
      <c r="H9" s="27">
        <v>2.9</v>
      </c>
      <c r="I9" s="210">
        <v>1.7</v>
      </c>
      <c r="J9" s="210">
        <v>5.4</v>
      </c>
      <c r="K9" s="231">
        <v>1.1</v>
      </c>
      <c r="L9" s="231">
        <v>1.9</v>
      </c>
      <c r="M9" s="152">
        <v>0.3</v>
      </c>
      <c r="N9" s="152">
        <v>0.1</v>
      </c>
      <c r="O9" s="27">
        <v>2.0</v>
      </c>
      <c r="P9" s="27">
        <v>2.7</v>
      </c>
      <c r="Q9" s="28">
        <f t="shared" si="1"/>
        <v>2.241666667</v>
      </c>
      <c r="R9" s="29">
        <v>5.0</v>
      </c>
    </row>
    <row r="10" ht="15.75" customHeight="1">
      <c r="A10" s="227"/>
      <c r="B10" s="22"/>
      <c r="C10" s="228">
        <v>5.0</v>
      </c>
      <c r="D10" s="229" t="s">
        <v>152</v>
      </c>
      <c r="E10" s="152">
        <v>0.1</v>
      </c>
      <c r="F10" s="230">
        <v>1.4</v>
      </c>
      <c r="G10" s="152">
        <v>2.6</v>
      </c>
      <c r="H10" s="27">
        <v>2.1</v>
      </c>
      <c r="I10" s="210">
        <v>0.1</v>
      </c>
      <c r="J10" s="210">
        <v>1.0</v>
      </c>
      <c r="K10" s="231">
        <v>0.9</v>
      </c>
      <c r="L10" s="231">
        <v>0.1</v>
      </c>
      <c r="M10" s="152">
        <v>0.1</v>
      </c>
      <c r="N10" s="152">
        <v>0.1</v>
      </c>
      <c r="O10" s="27">
        <v>0.1</v>
      </c>
      <c r="P10" s="27">
        <v>2.8</v>
      </c>
      <c r="Q10" s="28">
        <f t="shared" si="1"/>
        <v>0.95</v>
      </c>
      <c r="R10" s="29">
        <v>5.0</v>
      </c>
    </row>
    <row r="11" ht="15.75" customHeight="1">
      <c r="A11" s="227"/>
      <c r="B11" s="22"/>
      <c r="C11" s="228">
        <v>6.0</v>
      </c>
      <c r="D11" s="229" t="s">
        <v>153</v>
      </c>
      <c r="E11" s="27">
        <v>0.1</v>
      </c>
      <c r="F11" s="230">
        <v>0.1</v>
      </c>
      <c r="G11" s="152">
        <v>0.1</v>
      </c>
      <c r="H11" s="27">
        <v>0.1</v>
      </c>
      <c r="I11" s="210">
        <v>0.1</v>
      </c>
      <c r="J11" s="210">
        <v>0.2</v>
      </c>
      <c r="K11" s="231">
        <v>0.1</v>
      </c>
      <c r="L11" s="231">
        <v>0.1</v>
      </c>
      <c r="M11" s="152">
        <v>0.1</v>
      </c>
      <c r="N11" s="152">
        <v>0.1</v>
      </c>
      <c r="O11" s="27">
        <v>0.1</v>
      </c>
      <c r="P11" s="27">
        <v>0.1</v>
      </c>
      <c r="Q11" s="28">
        <f t="shared" si="1"/>
        <v>0.1083333333</v>
      </c>
      <c r="R11" s="29">
        <v>5.0</v>
      </c>
    </row>
    <row r="12" ht="15.75" customHeight="1">
      <c r="A12" s="21"/>
      <c r="B12" s="22"/>
      <c r="C12" s="201">
        <v>7.0</v>
      </c>
      <c r="D12" s="223" t="s">
        <v>154</v>
      </c>
      <c r="E12" s="27">
        <v>8.1</v>
      </c>
      <c r="F12" s="230">
        <v>8.3</v>
      </c>
      <c r="G12" s="152">
        <v>6.0</v>
      </c>
      <c r="H12" s="27">
        <v>5.9</v>
      </c>
      <c r="I12" s="210">
        <v>1.3</v>
      </c>
      <c r="J12" s="210">
        <v>3.6</v>
      </c>
      <c r="K12" s="231">
        <v>5.2</v>
      </c>
      <c r="L12" s="231">
        <v>5.6</v>
      </c>
      <c r="M12" s="152">
        <v>4.9</v>
      </c>
      <c r="N12" s="152">
        <v>5.7</v>
      </c>
      <c r="O12" s="27">
        <v>6.1</v>
      </c>
      <c r="P12" s="27">
        <v>6.2</v>
      </c>
      <c r="Q12" s="28">
        <f t="shared" si="1"/>
        <v>5.575</v>
      </c>
      <c r="R12" s="29">
        <v>5.0</v>
      </c>
    </row>
    <row r="13" ht="15.75" customHeight="1">
      <c r="A13" s="21"/>
      <c r="B13" s="30"/>
      <c r="C13" s="201">
        <v>8.0</v>
      </c>
      <c r="D13" s="223" t="s">
        <v>155</v>
      </c>
      <c r="E13" s="104">
        <v>2.5</v>
      </c>
      <c r="F13" s="232">
        <v>2.6</v>
      </c>
      <c r="G13" s="152">
        <v>2.7</v>
      </c>
      <c r="H13" s="27">
        <v>3.2</v>
      </c>
      <c r="I13" s="210">
        <v>2.2</v>
      </c>
      <c r="J13" s="210">
        <v>3.0</v>
      </c>
      <c r="K13" s="231">
        <v>2.0</v>
      </c>
      <c r="L13" s="231">
        <v>2.2</v>
      </c>
      <c r="M13" s="152">
        <v>3.9</v>
      </c>
      <c r="N13" s="152">
        <v>3.7</v>
      </c>
      <c r="O13" s="27">
        <v>4.9</v>
      </c>
      <c r="P13" s="27">
        <v>3.5</v>
      </c>
      <c r="Q13" s="28">
        <f t="shared" si="1"/>
        <v>3.033333333</v>
      </c>
      <c r="R13" s="29">
        <v>5.0</v>
      </c>
    </row>
    <row r="14" ht="15.75" customHeight="1">
      <c r="A14" s="21"/>
      <c r="B14" s="13" t="s">
        <v>30</v>
      </c>
      <c r="C14" s="202">
        <v>1.0</v>
      </c>
      <c r="D14" s="221" t="s">
        <v>149</v>
      </c>
      <c r="E14" s="176">
        <v>13.0</v>
      </c>
      <c r="F14" s="233">
        <v>13.0</v>
      </c>
      <c r="G14" s="176">
        <v>31.0</v>
      </c>
      <c r="H14" s="176">
        <v>8.0</v>
      </c>
      <c r="I14" s="211">
        <v>12.0</v>
      </c>
      <c r="J14" s="211">
        <v>15.0</v>
      </c>
      <c r="K14" s="234">
        <v>18.0</v>
      </c>
      <c r="L14" s="234">
        <v>2.0</v>
      </c>
      <c r="M14" s="176">
        <v>5.0</v>
      </c>
      <c r="N14" s="176">
        <v>7.0</v>
      </c>
      <c r="O14" s="176">
        <v>4.0</v>
      </c>
      <c r="P14" s="176">
        <v>15.0</v>
      </c>
      <c r="Q14" s="235">
        <f t="shared" si="1"/>
        <v>11.91666667</v>
      </c>
      <c r="R14" s="20">
        <v>7.0</v>
      </c>
    </row>
    <row r="15" ht="15.75" customHeight="1">
      <c r="A15" s="21"/>
      <c r="B15" s="22"/>
      <c r="C15" s="228">
        <v>3.0</v>
      </c>
      <c r="D15" s="229" t="s">
        <v>150</v>
      </c>
      <c r="E15" s="236">
        <v>12.0</v>
      </c>
      <c r="F15" s="237">
        <v>12.0</v>
      </c>
      <c r="G15" s="175">
        <v>19.0</v>
      </c>
      <c r="H15" s="39">
        <v>15.0</v>
      </c>
      <c r="I15" s="212">
        <v>8.0</v>
      </c>
      <c r="J15" s="212">
        <v>10.0</v>
      </c>
      <c r="K15" s="238">
        <v>18.0</v>
      </c>
      <c r="L15" s="238">
        <v>7.0</v>
      </c>
      <c r="M15" s="175">
        <v>5.0</v>
      </c>
      <c r="N15" s="175">
        <v>8.0</v>
      </c>
      <c r="O15" s="175">
        <v>5.0</v>
      </c>
      <c r="P15" s="175">
        <v>17.0</v>
      </c>
      <c r="Q15" s="179">
        <f t="shared" si="1"/>
        <v>11.33333333</v>
      </c>
      <c r="R15" s="29">
        <v>7.0</v>
      </c>
    </row>
    <row r="16" ht="15.75" customHeight="1">
      <c r="A16" s="21"/>
      <c r="B16" s="22"/>
      <c r="C16" s="228">
        <v>4.0</v>
      </c>
      <c r="D16" s="229" t="s">
        <v>151</v>
      </c>
      <c r="E16" s="175">
        <v>13.0</v>
      </c>
      <c r="F16" s="239">
        <v>10.0</v>
      </c>
      <c r="G16" s="175">
        <v>7.0</v>
      </c>
      <c r="H16" s="106">
        <v>15.0</v>
      </c>
      <c r="I16" s="212">
        <v>3.0</v>
      </c>
      <c r="J16" s="212">
        <v>9.0</v>
      </c>
      <c r="K16" s="238">
        <v>5.0</v>
      </c>
      <c r="L16" s="238">
        <v>6.0</v>
      </c>
      <c r="M16" s="175">
        <v>5.0</v>
      </c>
      <c r="N16" s="175">
        <v>7.0</v>
      </c>
      <c r="O16" s="175">
        <v>4.0</v>
      </c>
      <c r="P16" s="175">
        <v>3.0</v>
      </c>
      <c r="Q16" s="40">
        <f t="shared" si="1"/>
        <v>7.25</v>
      </c>
      <c r="R16" s="29">
        <v>7.0</v>
      </c>
    </row>
    <row r="17" ht="15.75" customHeight="1">
      <c r="A17" s="21"/>
      <c r="B17" s="22"/>
      <c r="C17" s="228">
        <v>5.0</v>
      </c>
      <c r="D17" s="229" t="s">
        <v>152</v>
      </c>
      <c r="E17" s="154">
        <v>34.0</v>
      </c>
      <c r="F17" s="239">
        <v>15.0</v>
      </c>
      <c r="G17" s="175">
        <v>7.0</v>
      </c>
      <c r="H17" s="39">
        <v>20.0</v>
      </c>
      <c r="I17" s="212">
        <v>19.0</v>
      </c>
      <c r="J17" s="212">
        <v>16.0</v>
      </c>
      <c r="K17" s="238">
        <v>8.0</v>
      </c>
      <c r="L17" s="238">
        <v>9.0</v>
      </c>
      <c r="M17" s="173">
        <v>5.0</v>
      </c>
      <c r="N17" s="175">
        <v>9.0</v>
      </c>
      <c r="O17" s="175">
        <v>7.0</v>
      </c>
      <c r="P17" s="175">
        <v>36.0</v>
      </c>
      <c r="Q17" s="40">
        <f t="shared" si="1"/>
        <v>15.41666667</v>
      </c>
      <c r="R17" s="29">
        <v>7.0</v>
      </c>
    </row>
    <row r="18" ht="15.75" customHeight="1">
      <c r="A18" s="21"/>
      <c r="B18" s="22"/>
      <c r="C18" s="228">
        <v>6.0</v>
      </c>
      <c r="D18" s="229" t="s">
        <v>153</v>
      </c>
      <c r="E18" s="175">
        <v>35.0</v>
      </c>
      <c r="F18" s="239">
        <v>168.0</v>
      </c>
      <c r="G18" s="175">
        <v>54.0</v>
      </c>
      <c r="H18" s="39">
        <v>55.0</v>
      </c>
      <c r="I18" s="212">
        <v>42.0</v>
      </c>
      <c r="J18" s="212">
        <v>23.0</v>
      </c>
      <c r="K18" s="238">
        <v>59.0</v>
      </c>
      <c r="L18" s="238">
        <v>19.0</v>
      </c>
      <c r="M18" s="173">
        <v>5.0</v>
      </c>
      <c r="N18" s="175">
        <v>16.0</v>
      </c>
      <c r="O18" s="175">
        <v>13.0</v>
      </c>
      <c r="P18" s="175">
        <v>5.0</v>
      </c>
      <c r="Q18" s="40">
        <f t="shared" si="1"/>
        <v>41.16666667</v>
      </c>
      <c r="R18" s="29">
        <v>7.0</v>
      </c>
    </row>
    <row r="19" ht="15.75" customHeight="1">
      <c r="A19" s="21"/>
      <c r="B19" s="22"/>
      <c r="C19" s="201">
        <v>7.0</v>
      </c>
      <c r="D19" s="223" t="s">
        <v>154</v>
      </c>
      <c r="E19" s="39">
        <v>9.0</v>
      </c>
      <c r="F19" s="239">
        <v>2.0</v>
      </c>
      <c r="G19" s="175">
        <v>3.0</v>
      </c>
      <c r="H19" s="39">
        <v>5.0</v>
      </c>
      <c r="I19" s="212">
        <v>4.0</v>
      </c>
      <c r="J19" s="212">
        <v>7.0</v>
      </c>
      <c r="K19" s="238">
        <v>5.0</v>
      </c>
      <c r="L19" s="238">
        <v>4.0</v>
      </c>
      <c r="M19" s="173">
        <v>4.0</v>
      </c>
      <c r="N19" s="175">
        <v>6.0</v>
      </c>
      <c r="O19" s="175">
        <v>14.0</v>
      </c>
      <c r="P19" s="175">
        <v>4.0</v>
      </c>
      <c r="Q19" s="40">
        <f t="shared" si="1"/>
        <v>5.583333333</v>
      </c>
      <c r="R19" s="29">
        <v>7.0</v>
      </c>
    </row>
    <row r="20" ht="15.75" customHeight="1">
      <c r="A20" s="21"/>
      <c r="B20" s="30"/>
      <c r="C20" s="201">
        <v>8.0</v>
      </c>
      <c r="D20" s="223" t="s">
        <v>155</v>
      </c>
      <c r="E20" s="106">
        <v>13.0</v>
      </c>
      <c r="F20" s="239">
        <v>14.0</v>
      </c>
      <c r="G20" s="175">
        <v>20.0</v>
      </c>
      <c r="H20" s="106">
        <v>26.0</v>
      </c>
      <c r="I20" s="212">
        <v>11.0</v>
      </c>
      <c r="J20" s="212">
        <v>13.0</v>
      </c>
      <c r="K20" s="238">
        <v>19.0</v>
      </c>
      <c r="L20" s="238">
        <v>9.0</v>
      </c>
      <c r="M20" s="173">
        <v>9.0</v>
      </c>
      <c r="N20" s="175">
        <v>11.0</v>
      </c>
      <c r="O20" s="175">
        <v>5.0</v>
      </c>
      <c r="P20" s="175">
        <v>7.0</v>
      </c>
      <c r="Q20" s="40">
        <f t="shared" si="1"/>
        <v>13.08333333</v>
      </c>
      <c r="R20" s="29">
        <v>7.0</v>
      </c>
    </row>
    <row r="21" ht="15.75" customHeight="1">
      <c r="A21" s="21"/>
      <c r="B21" s="13" t="s">
        <v>31</v>
      </c>
      <c r="C21" s="202">
        <v>1.0</v>
      </c>
      <c r="D21" s="221" t="s">
        <v>149</v>
      </c>
      <c r="E21" s="176">
        <v>392.0</v>
      </c>
      <c r="F21" s="233">
        <v>381.0</v>
      </c>
      <c r="G21" s="176">
        <v>153.0</v>
      </c>
      <c r="H21" s="35">
        <v>71.0</v>
      </c>
      <c r="I21" s="211">
        <v>68.0</v>
      </c>
      <c r="J21" s="211">
        <v>40.0</v>
      </c>
      <c r="K21" s="234">
        <v>18.0</v>
      </c>
      <c r="L21" s="234">
        <v>22.0</v>
      </c>
      <c r="M21" s="47">
        <v>54.0</v>
      </c>
      <c r="N21" s="176">
        <v>148.0</v>
      </c>
      <c r="O21" s="176">
        <v>94.0</v>
      </c>
      <c r="P21" s="176">
        <v>19.0</v>
      </c>
      <c r="Q21" s="36">
        <f t="shared" si="1"/>
        <v>121.6666667</v>
      </c>
      <c r="R21" s="20">
        <v>80.0</v>
      </c>
    </row>
    <row r="22" ht="15.75" customHeight="1">
      <c r="A22" s="21"/>
      <c r="B22" s="22"/>
      <c r="C22" s="228">
        <v>3.0</v>
      </c>
      <c r="D22" s="229" t="s">
        <v>150</v>
      </c>
      <c r="E22" s="236">
        <v>79.0</v>
      </c>
      <c r="F22" s="239">
        <v>114.0</v>
      </c>
      <c r="G22" s="175">
        <v>126.0</v>
      </c>
      <c r="H22" s="39">
        <v>156.0</v>
      </c>
      <c r="I22" s="212">
        <v>38.0</v>
      </c>
      <c r="J22" s="212">
        <v>35.0</v>
      </c>
      <c r="K22" s="238">
        <v>22.0</v>
      </c>
      <c r="L22" s="238">
        <v>25.0</v>
      </c>
      <c r="M22" s="173">
        <v>17.0</v>
      </c>
      <c r="N22" s="175">
        <v>30.0</v>
      </c>
      <c r="O22" s="175">
        <v>74.0</v>
      </c>
      <c r="P22" s="175">
        <v>18.0</v>
      </c>
      <c r="Q22" s="40">
        <f t="shared" si="1"/>
        <v>61.16666667</v>
      </c>
      <c r="R22" s="29">
        <v>80.0</v>
      </c>
    </row>
    <row r="23" ht="15.75" customHeight="1">
      <c r="A23" s="21"/>
      <c r="B23" s="22"/>
      <c r="C23" s="228">
        <v>4.0</v>
      </c>
      <c r="D23" s="229" t="s">
        <v>151</v>
      </c>
      <c r="E23" s="236">
        <v>39.0</v>
      </c>
      <c r="F23" s="239">
        <v>41.0</v>
      </c>
      <c r="G23" s="175">
        <v>15.0</v>
      </c>
      <c r="H23" s="39">
        <v>37.0</v>
      </c>
      <c r="I23" s="212">
        <v>29.0</v>
      </c>
      <c r="J23" s="212">
        <v>22.0</v>
      </c>
      <c r="K23" s="238">
        <v>21.0</v>
      </c>
      <c r="L23" s="238">
        <v>15.0</v>
      </c>
      <c r="M23" s="175">
        <v>11.0</v>
      </c>
      <c r="N23" s="175">
        <v>8.0</v>
      </c>
      <c r="O23" s="175">
        <v>14.0</v>
      </c>
      <c r="P23" s="175">
        <v>148.0</v>
      </c>
      <c r="Q23" s="40">
        <f t="shared" si="1"/>
        <v>33.33333333</v>
      </c>
      <c r="R23" s="29">
        <v>80.0</v>
      </c>
    </row>
    <row r="24" ht="15.75" customHeight="1">
      <c r="A24" s="21"/>
      <c r="B24" s="22"/>
      <c r="C24" s="228">
        <v>5.0</v>
      </c>
      <c r="D24" s="229" t="s">
        <v>152</v>
      </c>
      <c r="E24" s="236">
        <v>31.0</v>
      </c>
      <c r="F24" s="239">
        <v>46.0</v>
      </c>
      <c r="G24" s="175">
        <v>15.0</v>
      </c>
      <c r="H24" s="39">
        <v>74.0</v>
      </c>
      <c r="I24" s="212">
        <v>25.0</v>
      </c>
      <c r="J24" s="212">
        <v>16.0</v>
      </c>
      <c r="K24" s="238">
        <v>21.0</v>
      </c>
      <c r="L24" s="238">
        <v>31.0</v>
      </c>
      <c r="M24" s="175">
        <v>26.0</v>
      </c>
      <c r="N24" s="175">
        <v>10.0</v>
      </c>
      <c r="O24" s="175">
        <v>9.0</v>
      </c>
      <c r="P24" s="175">
        <v>15.0</v>
      </c>
      <c r="Q24" s="40">
        <f t="shared" si="1"/>
        <v>26.58333333</v>
      </c>
      <c r="R24" s="29">
        <v>80.0</v>
      </c>
    </row>
    <row r="25" ht="15.75" customHeight="1">
      <c r="A25" s="21"/>
      <c r="B25" s="22"/>
      <c r="C25" s="228">
        <v>6.0</v>
      </c>
      <c r="D25" s="229" t="s">
        <v>153</v>
      </c>
      <c r="E25" s="236">
        <v>13.0</v>
      </c>
      <c r="F25" s="239">
        <v>42.0</v>
      </c>
      <c r="G25" s="175">
        <v>20.0</v>
      </c>
      <c r="H25" s="39">
        <v>24.0</v>
      </c>
      <c r="I25" s="212">
        <v>23.0</v>
      </c>
      <c r="J25" s="212">
        <v>13.0</v>
      </c>
      <c r="K25" s="238">
        <v>25.0</v>
      </c>
      <c r="L25" s="238">
        <v>15.0</v>
      </c>
      <c r="M25" s="175">
        <v>10.0</v>
      </c>
      <c r="N25" s="175">
        <v>65.0</v>
      </c>
      <c r="O25" s="175">
        <v>6.0</v>
      </c>
      <c r="P25" s="175">
        <v>22.0</v>
      </c>
      <c r="Q25" s="40">
        <f t="shared" si="1"/>
        <v>23.16666667</v>
      </c>
      <c r="R25" s="29">
        <v>80.0</v>
      </c>
    </row>
    <row r="26" ht="15.75" customHeight="1">
      <c r="A26" s="21"/>
      <c r="B26" s="22"/>
      <c r="C26" s="201">
        <v>7.0</v>
      </c>
      <c r="D26" s="223" t="s">
        <v>154</v>
      </c>
      <c r="E26" s="39">
        <v>27.0</v>
      </c>
      <c r="F26" s="239">
        <v>38.0</v>
      </c>
      <c r="G26" s="175">
        <v>30.0</v>
      </c>
      <c r="H26" s="39">
        <v>11.0</v>
      </c>
      <c r="I26" s="212">
        <v>20.0</v>
      </c>
      <c r="J26" s="212">
        <v>88.0</v>
      </c>
      <c r="K26" s="238">
        <v>81.0</v>
      </c>
      <c r="L26" s="238">
        <v>80.0</v>
      </c>
      <c r="M26" s="175">
        <v>103.0</v>
      </c>
      <c r="N26" s="175">
        <v>141.0</v>
      </c>
      <c r="O26" s="175">
        <v>33.0</v>
      </c>
      <c r="P26" s="175">
        <v>17.0</v>
      </c>
      <c r="Q26" s="40">
        <f t="shared" si="1"/>
        <v>55.75</v>
      </c>
      <c r="R26" s="29">
        <v>80.0</v>
      </c>
    </row>
    <row r="27" ht="15.75" customHeight="1">
      <c r="A27" s="21"/>
      <c r="B27" s="30"/>
      <c r="C27" s="201">
        <v>8.0</v>
      </c>
      <c r="D27" s="223" t="s">
        <v>155</v>
      </c>
      <c r="E27" s="106">
        <v>17.0</v>
      </c>
      <c r="F27" s="239">
        <v>18.0</v>
      </c>
      <c r="G27" s="175">
        <v>17.0</v>
      </c>
      <c r="H27" s="39">
        <v>14.0</v>
      </c>
      <c r="I27" s="212">
        <v>151.0</v>
      </c>
      <c r="J27" s="212">
        <v>35.0</v>
      </c>
      <c r="K27" s="238">
        <v>53.0</v>
      </c>
      <c r="L27" s="238">
        <v>30.0</v>
      </c>
      <c r="M27" s="175">
        <v>181.0</v>
      </c>
      <c r="N27" s="175">
        <v>69.0</v>
      </c>
      <c r="O27" s="175">
        <v>97.0</v>
      </c>
      <c r="P27" s="175">
        <v>67.0</v>
      </c>
      <c r="Q27" s="40">
        <f t="shared" si="1"/>
        <v>62.41666667</v>
      </c>
      <c r="R27" s="29">
        <v>80.0</v>
      </c>
    </row>
    <row r="28" ht="15.75" customHeight="1">
      <c r="A28" s="21"/>
      <c r="B28" s="13" t="s">
        <v>33</v>
      </c>
      <c r="C28" s="202">
        <v>1.0</v>
      </c>
      <c r="D28" s="221" t="s">
        <v>149</v>
      </c>
      <c r="E28" s="18">
        <v>7.0</v>
      </c>
      <c r="F28" s="225">
        <v>7.3</v>
      </c>
      <c r="G28" s="18">
        <v>7.0</v>
      </c>
      <c r="H28" s="18">
        <v>7.0</v>
      </c>
      <c r="I28" s="214">
        <v>7.0</v>
      </c>
      <c r="J28" s="214">
        <v>7.0</v>
      </c>
      <c r="K28" s="240">
        <v>7.0</v>
      </c>
      <c r="L28" s="240">
        <v>7.0</v>
      </c>
      <c r="M28" s="18">
        <v>7.0</v>
      </c>
      <c r="N28" s="18">
        <v>7.0</v>
      </c>
      <c r="O28" s="18">
        <v>7.0</v>
      </c>
      <c r="P28" s="18">
        <v>7.0</v>
      </c>
      <c r="Q28" s="19">
        <f t="shared" si="1"/>
        <v>7.025</v>
      </c>
      <c r="R28" s="208" t="s">
        <v>34</v>
      </c>
    </row>
    <row r="29" ht="15.75" customHeight="1">
      <c r="A29" s="21"/>
      <c r="B29" s="22"/>
      <c r="C29" s="228">
        <v>3.0</v>
      </c>
      <c r="D29" s="229" t="s">
        <v>150</v>
      </c>
      <c r="E29" s="152">
        <v>7.0</v>
      </c>
      <c r="F29" s="230">
        <v>7.3</v>
      </c>
      <c r="G29" s="152">
        <v>7.0</v>
      </c>
      <c r="H29" s="27">
        <v>7.0</v>
      </c>
      <c r="I29" s="210">
        <v>7.0</v>
      </c>
      <c r="J29" s="210">
        <v>7.0</v>
      </c>
      <c r="K29" s="231">
        <v>7.0</v>
      </c>
      <c r="L29" s="231">
        <v>7.0</v>
      </c>
      <c r="M29" s="152">
        <v>7.0</v>
      </c>
      <c r="N29" s="152">
        <v>7.0</v>
      </c>
      <c r="O29" s="27">
        <v>7.0</v>
      </c>
      <c r="P29" s="27">
        <v>7.0</v>
      </c>
      <c r="Q29" s="28">
        <f t="shared" si="1"/>
        <v>7.025</v>
      </c>
      <c r="R29" s="241" t="s">
        <v>34</v>
      </c>
    </row>
    <row r="30" ht="15.75" customHeight="1">
      <c r="A30" s="21"/>
      <c r="B30" s="22"/>
      <c r="C30" s="228">
        <v>4.0</v>
      </c>
      <c r="D30" s="229" t="s">
        <v>151</v>
      </c>
      <c r="E30" s="152">
        <v>7.0</v>
      </c>
      <c r="F30" s="230">
        <v>7.3</v>
      </c>
      <c r="G30" s="152">
        <v>7.0</v>
      </c>
      <c r="H30" s="27">
        <v>7.0</v>
      </c>
      <c r="I30" s="210">
        <v>7.0</v>
      </c>
      <c r="J30" s="210">
        <v>7.0</v>
      </c>
      <c r="K30" s="231">
        <v>7.0</v>
      </c>
      <c r="L30" s="231">
        <v>7.0</v>
      </c>
      <c r="M30" s="152">
        <v>7.0</v>
      </c>
      <c r="N30" s="152">
        <v>7.0</v>
      </c>
      <c r="O30" s="27">
        <v>7.0</v>
      </c>
      <c r="P30" s="27">
        <v>7.0</v>
      </c>
      <c r="Q30" s="28">
        <f t="shared" si="1"/>
        <v>7.025</v>
      </c>
      <c r="R30" s="241" t="s">
        <v>34</v>
      </c>
    </row>
    <row r="31" ht="15.75" customHeight="1">
      <c r="A31" s="21"/>
      <c r="B31" s="22"/>
      <c r="C31" s="228">
        <v>5.0</v>
      </c>
      <c r="D31" s="229" t="s">
        <v>152</v>
      </c>
      <c r="E31" s="152">
        <v>7.0</v>
      </c>
      <c r="F31" s="230">
        <v>7.2</v>
      </c>
      <c r="G31" s="152">
        <v>7.0</v>
      </c>
      <c r="H31" s="27">
        <v>7.0</v>
      </c>
      <c r="I31" s="210">
        <v>7.0</v>
      </c>
      <c r="J31" s="210">
        <v>7.0</v>
      </c>
      <c r="K31" s="231">
        <v>7.0</v>
      </c>
      <c r="L31" s="231">
        <v>7.0</v>
      </c>
      <c r="M31" s="152">
        <v>7.0</v>
      </c>
      <c r="N31" s="152">
        <v>7.0</v>
      </c>
      <c r="O31" s="27">
        <v>7.1</v>
      </c>
      <c r="P31" s="27">
        <v>7.0</v>
      </c>
      <c r="Q31" s="28">
        <f t="shared" si="1"/>
        <v>7.025</v>
      </c>
      <c r="R31" s="241" t="s">
        <v>34</v>
      </c>
    </row>
    <row r="32" ht="15.75" customHeight="1">
      <c r="A32" s="21"/>
      <c r="B32" s="22"/>
      <c r="C32" s="228">
        <v>6.0</v>
      </c>
      <c r="D32" s="229" t="s">
        <v>153</v>
      </c>
      <c r="E32" s="152">
        <v>7.0</v>
      </c>
      <c r="F32" s="230">
        <v>7.3</v>
      </c>
      <c r="G32" s="152">
        <v>7.0</v>
      </c>
      <c r="H32" s="27">
        <v>7.0</v>
      </c>
      <c r="I32" s="210">
        <v>7.0</v>
      </c>
      <c r="J32" s="210">
        <v>7.0</v>
      </c>
      <c r="K32" s="231">
        <v>7.0</v>
      </c>
      <c r="L32" s="231">
        <v>7.0</v>
      </c>
      <c r="M32" s="152">
        <v>7.0</v>
      </c>
      <c r="N32" s="152">
        <v>7.0</v>
      </c>
      <c r="O32" s="27">
        <v>7.1</v>
      </c>
      <c r="P32" s="27">
        <v>7.0</v>
      </c>
      <c r="Q32" s="28">
        <f t="shared" si="1"/>
        <v>7.033333333</v>
      </c>
      <c r="R32" s="241" t="s">
        <v>34</v>
      </c>
    </row>
    <row r="33" ht="15.75" customHeight="1">
      <c r="A33" s="21"/>
      <c r="B33" s="22"/>
      <c r="C33" s="201">
        <v>7.0</v>
      </c>
      <c r="D33" s="223" t="s">
        <v>154</v>
      </c>
      <c r="E33" s="242">
        <v>7.0</v>
      </c>
      <c r="F33" s="230">
        <v>7.0</v>
      </c>
      <c r="G33" s="152">
        <v>7.0</v>
      </c>
      <c r="H33" s="27">
        <v>7.0</v>
      </c>
      <c r="I33" s="210">
        <v>7.0</v>
      </c>
      <c r="J33" s="210">
        <v>7.0</v>
      </c>
      <c r="K33" s="231">
        <v>7.0</v>
      </c>
      <c r="L33" s="231">
        <v>7.0</v>
      </c>
      <c r="M33" s="152">
        <v>7.0</v>
      </c>
      <c r="N33" s="152">
        <v>7.0</v>
      </c>
      <c r="O33" s="27">
        <v>7.0</v>
      </c>
      <c r="P33" s="27">
        <v>7.0</v>
      </c>
      <c r="Q33" s="28">
        <f t="shared" si="1"/>
        <v>7</v>
      </c>
      <c r="R33" s="241" t="s">
        <v>34</v>
      </c>
    </row>
    <row r="34" ht="15.75" customHeight="1">
      <c r="A34" s="21"/>
      <c r="B34" s="30"/>
      <c r="C34" s="201">
        <v>8.0</v>
      </c>
      <c r="D34" s="223" t="s">
        <v>155</v>
      </c>
      <c r="E34" s="27">
        <v>7.0</v>
      </c>
      <c r="F34" s="230">
        <v>7.2</v>
      </c>
      <c r="G34" s="152">
        <v>7.0</v>
      </c>
      <c r="H34" s="27">
        <v>7.0</v>
      </c>
      <c r="I34" s="210">
        <v>7.0</v>
      </c>
      <c r="J34" s="210">
        <v>7.0</v>
      </c>
      <c r="K34" s="231">
        <v>7.0</v>
      </c>
      <c r="L34" s="231">
        <v>7.0</v>
      </c>
      <c r="M34" s="152">
        <v>7.0</v>
      </c>
      <c r="N34" s="152">
        <v>7.0</v>
      </c>
      <c r="O34" s="27">
        <v>7.0</v>
      </c>
      <c r="P34" s="27">
        <v>7.0</v>
      </c>
      <c r="Q34" s="28">
        <f t="shared" si="1"/>
        <v>7.016666667</v>
      </c>
      <c r="R34" s="241" t="s">
        <v>34</v>
      </c>
    </row>
    <row r="35" ht="15.75" customHeight="1">
      <c r="A35" s="21"/>
      <c r="B35" s="13" t="s">
        <v>156</v>
      </c>
      <c r="C35" s="202">
        <v>1.0</v>
      </c>
      <c r="D35" s="221" t="s">
        <v>149</v>
      </c>
      <c r="E35" s="18">
        <v>25.8</v>
      </c>
      <c r="F35" s="225">
        <v>25.6</v>
      </c>
      <c r="G35" s="18">
        <v>26.4</v>
      </c>
      <c r="H35" s="18">
        <v>29.3</v>
      </c>
      <c r="I35" s="214">
        <v>26.7</v>
      </c>
      <c r="J35" s="214">
        <v>26.3</v>
      </c>
      <c r="K35" s="240">
        <v>26.3</v>
      </c>
      <c r="L35" s="240">
        <v>26.5</v>
      </c>
      <c r="M35" s="18">
        <v>27.5</v>
      </c>
      <c r="N35" s="18">
        <v>25.8</v>
      </c>
      <c r="O35" s="18">
        <v>30.0</v>
      </c>
      <c r="P35" s="18">
        <v>29.3</v>
      </c>
      <c r="Q35" s="19">
        <f t="shared" si="1"/>
        <v>27.125</v>
      </c>
      <c r="R35" s="208" t="s">
        <v>36</v>
      </c>
    </row>
    <row r="36" ht="15.75" customHeight="1">
      <c r="A36" s="21"/>
      <c r="B36" s="22"/>
      <c r="C36" s="228">
        <v>3.0</v>
      </c>
      <c r="D36" s="229" t="s">
        <v>150</v>
      </c>
      <c r="E36" s="242">
        <v>26.0</v>
      </c>
      <c r="F36" s="230">
        <v>25.7</v>
      </c>
      <c r="G36" s="152">
        <v>26.3</v>
      </c>
      <c r="H36" s="27">
        <v>29.5</v>
      </c>
      <c r="I36" s="210">
        <v>26.8</v>
      </c>
      <c r="J36" s="210">
        <v>26.7</v>
      </c>
      <c r="K36" s="231">
        <v>26.4</v>
      </c>
      <c r="L36" s="231">
        <v>26.7</v>
      </c>
      <c r="M36" s="152">
        <v>27.5</v>
      </c>
      <c r="N36" s="243">
        <v>25.8</v>
      </c>
      <c r="O36" s="27">
        <v>30.0</v>
      </c>
      <c r="P36" s="27">
        <v>29.29</v>
      </c>
      <c r="Q36" s="28">
        <f t="shared" si="1"/>
        <v>27.22416667</v>
      </c>
      <c r="R36" s="241" t="s">
        <v>36</v>
      </c>
    </row>
    <row r="37" ht="15.75" customHeight="1">
      <c r="A37" s="21"/>
      <c r="B37" s="22"/>
      <c r="C37" s="228">
        <v>4.0</v>
      </c>
      <c r="D37" s="229" t="s">
        <v>151</v>
      </c>
      <c r="E37" s="242">
        <v>26.2</v>
      </c>
      <c r="F37" s="230">
        <v>25.7</v>
      </c>
      <c r="G37" s="152">
        <v>26.4</v>
      </c>
      <c r="H37" s="27">
        <v>29.7</v>
      </c>
      <c r="I37" s="210">
        <v>26.9</v>
      </c>
      <c r="J37" s="210">
        <v>26.8</v>
      </c>
      <c r="K37" s="231">
        <v>26.35</v>
      </c>
      <c r="L37" s="231">
        <v>27.1</v>
      </c>
      <c r="M37" s="152">
        <v>27.8</v>
      </c>
      <c r="N37" s="152">
        <v>26.0</v>
      </c>
      <c r="O37" s="27">
        <v>30.0</v>
      </c>
      <c r="P37" s="27">
        <v>29.13</v>
      </c>
      <c r="Q37" s="28">
        <f t="shared" si="1"/>
        <v>27.34</v>
      </c>
      <c r="R37" s="241" t="s">
        <v>36</v>
      </c>
    </row>
    <row r="38" ht="15.75" customHeight="1">
      <c r="A38" s="21"/>
      <c r="B38" s="22"/>
      <c r="C38" s="228">
        <v>5.0</v>
      </c>
      <c r="D38" s="229" t="s">
        <v>152</v>
      </c>
      <c r="E38" s="242">
        <v>26.2</v>
      </c>
      <c r="F38" s="230">
        <v>25.8</v>
      </c>
      <c r="G38" s="152">
        <v>26.7</v>
      </c>
      <c r="H38" s="27">
        <v>29.9</v>
      </c>
      <c r="I38" s="210">
        <v>26.9</v>
      </c>
      <c r="J38" s="210">
        <v>27.1</v>
      </c>
      <c r="K38" s="231">
        <v>26.42</v>
      </c>
      <c r="L38" s="231">
        <v>27.5</v>
      </c>
      <c r="M38" s="152">
        <v>27.5</v>
      </c>
      <c r="N38" s="152">
        <v>26.2</v>
      </c>
      <c r="O38" s="27">
        <v>30.0</v>
      </c>
      <c r="P38" s="27">
        <v>29.0</v>
      </c>
      <c r="Q38" s="28">
        <f t="shared" si="1"/>
        <v>27.435</v>
      </c>
      <c r="R38" s="241" t="s">
        <v>36</v>
      </c>
    </row>
    <row r="39" ht="15.75" customHeight="1">
      <c r="A39" s="21"/>
      <c r="B39" s="22"/>
      <c r="C39" s="228">
        <v>6.0</v>
      </c>
      <c r="D39" s="229" t="s">
        <v>153</v>
      </c>
      <c r="E39" s="242">
        <v>26.2</v>
      </c>
      <c r="F39" s="230">
        <v>25.8</v>
      </c>
      <c r="G39" s="152">
        <v>26.7</v>
      </c>
      <c r="H39" s="27">
        <v>30.0</v>
      </c>
      <c r="I39" s="210">
        <v>27.0</v>
      </c>
      <c r="J39" s="210">
        <v>27.1</v>
      </c>
      <c r="K39" s="231">
        <v>26.3</v>
      </c>
      <c r="L39" s="231">
        <v>27.3</v>
      </c>
      <c r="M39" s="152">
        <v>27.6</v>
      </c>
      <c r="N39" s="152">
        <v>26.0</v>
      </c>
      <c r="O39" s="27">
        <v>31.0</v>
      </c>
      <c r="P39" s="27">
        <v>29.5</v>
      </c>
      <c r="Q39" s="28">
        <f t="shared" si="1"/>
        <v>27.54166667</v>
      </c>
      <c r="R39" s="241" t="s">
        <v>36</v>
      </c>
    </row>
    <row r="40" ht="15.75" customHeight="1">
      <c r="A40" s="21"/>
      <c r="B40" s="22"/>
      <c r="C40" s="201">
        <v>7.0</v>
      </c>
      <c r="D40" s="223" t="s">
        <v>154</v>
      </c>
      <c r="E40" s="242">
        <v>26.3</v>
      </c>
      <c r="F40" s="230">
        <v>25.8</v>
      </c>
      <c r="G40" s="152">
        <v>26.9</v>
      </c>
      <c r="H40" s="27">
        <v>30.2</v>
      </c>
      <c r="I40" s="210">
        <v>26.9</v>
      </c>
      <c r="J40" s="210">
        <v>27.3</v>
      </c>
      <c r="K40" s="231">
        <v>26.35</v>
      </c>
      <c r="L40" s="231">
        <v>26.8</v>
      </c>
      <c r="M40" s="152">
        <v>27.4</v>
      </c>
      <c r="N40" s="152">
        <v>26.4</v>
      </c>
      <c r="O40" s="27">
        <v>30.5</v>
      </c>
      <c r="P40" s="27">
        <v>29.3</v>
      </c>
      <c r="Q40" s="28">
        <f t="shared" si="1"/>
        <v>27.5125</v>
      </c>
      <c r="R40" s="241" t="s">
        <v>36</v>
      </c>
    </row>
    <row r="41" ht="15.75" customHeight="1">
      <c r="A41" s="21"/>
      <c r="B41" s="30"/>
      <c r="C41" s="201">
        <v>8.0</v>
      </c>
      <c r="D41" s="223" t="s">
        <v>155</v>
      </c>
      <c r="E41" s="27">
        <v>26.5</v>
      </c>
      <c r="F41" s="230">
        <v>25.9</v>
      </c>
      <c r="G41" s="152">
        <v>27.0</v>
      </c>
      <c r="H41" s="27">
        <v>30.3</v>
      </c>
      <c r="I41" s="210">
        <v>26.9</v>
      </c>
      <c r="J41" s="210">
        <v>27.4</v>
      </c>
      <c r="K41" s="231">
        <v>26.35</v>
      </c>
      <c r="L41" s="231">
        <v>26.9</v>
      </c>
      <c r="M41" s="152">
        <v>27.1</v>
      </c>
      <c r="N41" s="152">
        <v>26.5</v>
      </c>
      <c r="O41" s="27">
        <v>30.0</v>
      </c>
      <c r="P41" s="27">
        <v>29.4</v>
      </c>
      <c r="Q41" s="28">
        <f t="shared" si="1"/>
        <v>27.52083333</v>
      </c>
      <c r="R41" s="241" t="s">
        <v>36</v>
      </c>
    </row>
    <row r="42" ht="15.75" customHeight="1">
      <c r="A42" s="21"/>
      <c r="B42" s="13" t="s">
        <v>37</v>
      </c>
      <c r="C42" s="202">
        <v>1.0</v>
      </c>
      <c r="D42" s="221" t="s">
        <v>149</v>
      </c>
      <c r="E42" s="69">
        <v>30.0</v>
      </c>
      <c r="F42" s="233">
        <v>30.0</v>
      </c>
      <c r="G42" s="176">
        <v>40.0</v>
      </c>
      <c r="H42" s="35">
        <v>20.0</v>
      </c>
      <c r="I42" s="211">
        <v>38.0</v>
      </c>
      <c r="J42" s="211">
        <v>35.0</v>
      </c>
      <c r="K42" s="234">
        <v>30.0</v>
      </c>
      <c r="L42" s="234">
        <v>40.0</v>
      </c>
      <c r="M42" s="176">
        <v>40.0</v>
      </c>
      <c r="N42" s="176">
        <v>40.0</v>
      </c>
      <c r="O42" s="176">
        <v>15.0</v>
      </c>
      <c r="P42" s="176">
        <v>10.0</v>
      </c>
      <c r="Q42" s="36">
        <f t="shared" si="1"/>
        <v>30.66666667</v>
      </c>
      <c r="R42" s="20">
        <v>75.0</v>
      </c>
    </row>
    <row r="43" ht="15.75" customHeight="1">
      <c r="A43" s="21"/>
      <c r="B43" s="22"/>
      <c r="C43" s="228">
        <v>3.0</v>
      </c>
      <c r="D43" s="229" t="s">
        <v>150</v>
      </c>
      <c r="E43" s="236">
        <v>30.0</v>
      </c>
      <c r="F43" s="239">
        <v>40.0</v>
      </c>
      <c r="G43" s="175">
        <v>40.0</v>
      </c>
      <c r="H43" s="39">
        <v>40.0</v>
      </c>
      <c r="I43" s="212">
        <v>38.0</v>
      </c>
      <c r="J43" s="212">
        <v>35.0</v>
      </c>
      <c r="K43" s="238">
        <v>30.0</v>
      </c>
      <c r="L43" s="238">
        <v>30.0</v>
      </c>
      <c r="M43" s="175">
        <v>40.0</v>
      </c>
      <c r="N43" s="175">
        <v>40.0</v>
      </c>
      <c r="O43" s="175">
        <v>10.0</v>
      </c>
      <c r="P43" s="175">
        <v>15.0</v>
      </c>
      <c r="Q43" s="40">
        <f t="shared" si="1"/>
        <v>32.33333333</v>
      </c>
      <c r="R43" s="29">
        <v>75.0</v>
      </c>
    </row>
    <row r="44" ht="15.75" customHeight="1">
      <c r="A44" s="21"/>
      <c r="B44" s="22"/>
      <c r="C44" s="228">
        <v>4.0</v>
      </c>
      <c r="D44" s="229" t="s">
        <v>151</v>
      </c>
      <c r="E44" s="236">
        <v>40.0</v>
      </c>
      <c r="F44" s="239">
        <v>40.0</v>
      </c>
      <c r="G44" s="175">
        <v>40.0</v>
      </c>
      <c r="H44" s="39">
        <v>50.0</v>
      </c>
      <c r="I44" s="212">
        <v>38.0</v>
      </c>
      <c r="J44" s="212">
        <v>35.0</v>
      </c>
      <c r="K44" s="238">
        <v>30.0</v>
      </c>
      <c r="L44" s="238">
        <v>50.0</v>
      </c>
      <c r="M44" s="175">
        <v>40.0</v>
      </c>
      <c r="N44" s="175">
        <v>30.0</v>
      </c>
      <c r="O44" s="175">
        <v>30.0</v>
      </c>
      <c r="P44" s="175">
        <v>15.0</v>
      </c>
      <c r="Q44" s="40">
        <f t="shared" si="1"/>
        <v>36.5</v>
      </c>
      <c r="R44" s="29">
        <v>75.0</v>
      </c>
    </row>
    <row r="45" ht="15.75" customHeight="1">
      <c r="A45" s="21"/>
      <c r="B45" s="22"/>
      <c r="C45" s="228">
        <v>5.0</v>
      </c>
      <c r="D45" s="229" t="s">
        <v>152</v>
      </c>
      <c r="E45" s="236">
        <v>40.0</v>
      </c>
      <c r="F45" s="239">
        <v>40.0</v>
      </c>
      <c r="G45" s="175">
        <v>40.0</v>
      </c>
      <c r="H45" s="39">
        <v>50.0</v>
      </c>
      <c r="I45" s="212">
        <v>50.0</v>
      </c>
      <c r="J45" s="212">
        <v>50.0</v>
      </c>
      <c r="K45" s="238">
        <v>50.0</v>
      </c>
      <c r="L45" s="238">
        <v>50.0</v>
      </c>
      <c r="M45" s="175">
        <v>40.0</v>
      </c>
      <c r="N45" s="175">
        <v>30.0</v>
      </c>
      <c r="O45" s="175">
        <v>30.0</v>
      </c>
      <c r="P45" s="175">
        <v>20.0</v>
      </c>
      <c r="Q45" s="40">
        <f t="shared" si="1"/>
        <v>40.83333333</v>
      </c>
      <c r="R45" s="29">
        <v>75.0</v>
      </c>
    </row>
    <row r="46" ht="15.75" customHeight="1">
      <c r="A46" s="21"/>
      <c r="B46" s="22"/>
      <c r="C46" s="228">
        <v>6.0</v>
      </c>
      <c r="D46" s="229" t="s">
        <v>153</v>
      </c>
      <c r="E46" s="236">
        <v>30.0</v>
      </c>
      <c r="F46" s="239">
        <v>30.0</v>
      </c>
      <c r="G46" s="175">
        <v>30.0</v>
      </c>
      <c r="H46" s="39">
        <v>60.0</v>
      </c>
      <c r="I46" s="212">
        <v>50.0</v>
      </c>
      <c r="J46" s="212">
        <v>25.0</v>
      </c>
      <c r="K46" s="238">
        <v>100.0</v>
      </c>
      <c r="L46" s="238">
        <v>30.0</v>
      </c>
      <c r="M46" s="175">
        <v>40.0</v>
      </c>
      <c r="N46" s="175">
        <v>30.0</v>
      </c>
      <c r="O46" s="175">
        <v>30.0</v>
      </c>
      <c r="P46" s="175">
        <v>30.0</v>
      </c>
      <c r="Q46" s="40">
        <f t="shared" si="1"/>
        <v>40.41666667</v>
      </c>
      <c r="R46" s="29">
        <v>75.0</v>
      </c>
    </row>
    <row r="47" ht="15.75" customHeight="1">
      <c r="A47" s="21"/>
      <c r="B47" s="22"/>
      <c r="C47" s="201">
        <v>7.0</v>
      </c>
      <c r="D47" s="223" t="s">
        <v>154</v>
      </c>
      <c r="E47" s="236">
        <v>10.0</v>
      </c>
      <c r="F47" s="239">
        <v>10.0</v>
      </c>
      <c r="G47" s="175">
        <v>10.0</v>
      </c>
      <c r="H47" s="39">
        <v>25.0</v>
      </c>
      <c r="I47" s="212">
        <v>15.0</v>
      </c>
      <c r="J47" s="212">
        <v>10.0</v>
      </c>
      <c r="K47" s="238">
        <v>10.0</v>
      </c>
      <c r="L47" s="238">
        <v>20.0</v>
      </c>
      <c r="M47" s="175">
        <v>20.0</v>
      </c>
      <c r="N47" s="175">
        <v>15.0</v>
      </c>
      <c r="O47" s="175">
        <v>25.0</v>
      </c>
      <c r="P47" s="175">
        <v>30.0</v>
      </c>
      <c r="Q47" s="40">
        <f t="shared" si="1"/>
        <v>16.66666667</v>
      </c>
      <c r="R47" s="29">
        <v>75.0</v>
      </c>
    </row>
    <row r="48" ht="15.75" customHeight="1">
      <c r="A48" s="21"/>
      <c r="B48" s="30"/>
      <c r="C48" s="201">
        <v>8.0</v>
      </c>
      <c r="D48" s="223" t="s">
        <v>155</v>
      </c>
      <c r="E48" s="71">
        <v>15.0</v>
      </c>
      <c r="F48" s="239">
        <v>15.0</v>
      </c>
      <c r="G48" s="175">
        <v>15.0</v>
      </c>
      <c r="H48" s="39">
        <v>15.0</v>
      </c>
      <c r="I48" s="212">
        <v>5.0</v>
      </c>
      <c r="J48" s="212">
        <v>15.0</v>
      </c>
      <c r="K48" s="238">
        <v>15.0</v>
      </c>
      <c r="L48" s="238">
        <v>20.0</v>
      </c>
      <c r="M48" s="175">
        <v>10.0</v>
      </c>
      <c r="N48" s="175">
        <v>10.0</v>
      </c>
      <c r="O48" s="175">
        <v>15.0</v>
      </c>
      <c r="P48" s="175">
        <v>25.0</v>
      </c>
      <c r="Q48" s="40">
        <f t="shared" si="1"/>
        <v>14.58333333</v>
      </c>
      <c r="R48" s="29">
        <v>75.0</v>
      </c>
    </row>
    <row r="49" ht="15.75" customHeight="1">
      <c r="A49" s="21"/>
      <c r="B49" s="13" t="s">
        <v>38</v>
      </c>
      <c r="C49" s="202">
        <v>1.0</v>
      </c>
      <c r="D49" s="221" t="s">
        <v>149</v>
      </c>
      <c r="E49" s="47">
        <v>9200000.0</v>
      </c>
      <c r="F49" s="244">
        <v>1600000.0</v>
      </c>
      <c r="G49" s="47">
        <v>3300.0</v>
      </c>
      <c r="H49" s="245">
        <v>92000.0</v>
      </c>
      <c r="I49" s="163">
        <v>2400.0</v>
      </c>
      <c r="J49" s="163">
        <v>11000.0</v>
      </c>
      <c r="K49" s="246">
        <v>35000.0</v>
      </c>
      <c r="L49" s="246">
        <v>3300.0</v>
      </c>
      <c r="M49" s="47">
        <v>120000.0</v>
      </c>
      <c r="N49" s="47">
        <v>350000.0</v>
      </c>
      <c r="O49" s="47">
        <v>240000.0</v>
      </c>
      <c r="P49" s="47">
        <v>7900.0</v>
      </c>
      <c r="Q49" s="49">
        <f t="shared" ref="Q49:Q55" si="2">GEOMEAN(E49:P49)</f>
        <v>56618.31313</v>
      </c>
      <c r="R49" s="20">
        <v>200.0</v>
      </c>
      <c r="S49" s="50"/>
    </row>
    <row r="50" ht="15.75" customHeight="1">
      <c r="A50" s="21"/>
      <c r="B50" s="22"/>
      <c r="C50" s="228">
        <v>3.0</v>
      </c>
      <c r="D50" s="229" t="s">
        <v>150</v>
      </c>
      <c r="E50" s="247">
        <v>24000.0</v>
      </c>
      <c r="F50" s="248">
        <v>7900.0</v>
      </c>
      <c r="G50" s="173">
        <v>14000.0</v>
      </c>
      <c r="H50" s="215">
        <v>17000.0</v>
      </c>
      <c r="I50" s="215">
        <v>35000.0</v>
      </c>
      <c r="J50" s="215">
        <v>13000.0</v>
      </c>
      <c r="K50" s="249">
        <v>17000.0</v>
      </c>
      <c r="L50" s="249">
        <v>7900.0</v>
      </c>
      <c r="M50" s="173">
        <v>110000.0</v>
      </c>
      <c r="N50" s="173">
        <v>92000.0</v>
      </c>
      <c r="O50" s="173">
        <v>24000.0</v>
      </c>
      <c r="P50" s="173">
        <v>35000.0</v>
      </c>
      <c r="Q50" s="54">
        <f t="shared" si="2"/>
        <v>23129.35604</v>
      </c>
      <c r="R50" s="29">
        <v>200.0</v>
      </c>
    </row>
    <row r="51" ht="15.75" customHeight="1">
      <c r="A51" s="21"/>
      <c r="B51" s="22"/>
      <c r="C51" s="228">
        <v>4.0</v>
      </c>
      <c r="D51" s="229" t="s">
        <v>151</v>
      </c>
      <c r="E51" s="247">
        <v>23000.0</v>
      </c>
      <c r="F51" s="248">
        <v>13000.0</v>
      </c>
      <c r="G51" s="173">
        <v>35000.0</v>
      </c>
      <c r="H51" s="215">
        <v>7900.0</v>
      </c>
      <c r="I51" s="215">
        <v>35000.0</v>
      </c>
      <c r="J51" s="215">
        <v>22000.0</v>
      </c>
      <c r="K51" s="249">
        <v>7000.0</v>
      </c>
      <c r="L51" s="249">
        <v>220000.0</v>
      </c>
      <c r="M51" s="173">
        <v>110000.0</v>
      </c>
      <c r="N51" s="173">
        <v>350000.0</v>
      </c>
      <c r="O51" s="173">
        <v>35000.0</v>
      </c>
      <c r="P51" s="173">
        <v>14000.0</v>
      </c>
      <c r="Q51" s="54">
        <f t="shared" si="2"/>
        <v>33285.33112</v>
      </c>
      <c r="R51" s="29">
        <v>200.0</v>
      </c>
    </row>
    <row r="52" ht="15.75" customHeight="1">
      <c r="A52" s="21"/>
      <c r="B52" s="22"/>
      <c r="C52" s="228">
        <v>5.0</v>
      </c>
      <c r="D52" s="229" t="s">
        <v>152</v>
      </c>
      <c r="E52" s="247">
        <v>33000.0</v>
      </c>
      <c r="F52" s="248">
        <v>49000.0</v>
      </c>
      <c r="G52" s="173">
        <v>110000.0</v>
      </c>
      <c r="H52" s="215">
        <v>33000.0</v>
      </c>
      <c r="I52" s="215">
        <v>3500000.0</v>
      </c>
      <c r="J52" s="215">
        <v>17000.0</v>
      </c>
      <c r="K52" s="249">
        <v>170000.0</v>
      </c>
      <c r="L52" s="249">
        <v>350000.0</v>
      </c>
      <c r="M52" s="173">
        <v>920000.0</v>
      </c>
      <c r="N52" s="173">
        <v>920000.0</v>
      </c>
      <c r="O52" s="173">
        <v>540000.0</v>
      </c>
      <c r="P52" s="173">
        <v>54000.0</v>
      </c>
      <c r="Q52" s="54">
        <f t="shared" si="2"/>
        <v>168203.2873</v>
      </c>
      <c r="R52" s="29">
        <v>200.0</v>
      </c>
    </row>
    <row r="53" ht="15.75" customHeight="1">
      <c r="A53" s="21"/>
      <c r="B53" s="22"/>
      <c r="C53" s="228">
        <v>6.0</v>
      </c>
      <c r="D53" s="229" t="s">
        <v>153</v>
      </c>
      <c r="E53" s="247">
        <v>4600000.0</v>
      </c>
      <c r="F53" s="248">
        <v>9200000.0</v>
      </c>
      <c r="G53" s="173">
        <v>790000.0</v>
      </c>
      <c r="H53" s="215">
        <v>3500000.0</v>
      </c>
      <c r="I53" s="215">
        <v>2.2E7</v>
      </c>
      <c r="J53" s="215">
        <v>1300000.0</v>
      </c>
      <c r="K53" s="249">
        <v>1300000.0</v>
      </c>
      <c r="L53" s="249">
        <v>1100000.0</v>
      </c>
      <c r="M53" s="173">
        <v>1300000.0</v>
      </c>
      <c r="N53" s="173">
        <v>5400000.0</v>
      </c>
      <c r="O53" s="173">
        <v>3.5E8</v>
      </c>
      <c r="P53" s="173">
        <v>1100000.0</v>
      </c>
      <c r="Q53" s="54">
        <f t="shared" si="2"/>
        <v>3914218.443</v>
      </c>
      <c r="R53" s="29">
        <v>200.0</v>
      </c>
    </row>
    <row r="54" ht="15.75" customHeight="1">
      <c r="A54" s="21"/>
      <c r="B54" s="22"/>
      <c r="C54" s="201">
        <v>7.0</v>
      </c>
      <c r="D54" s="223" t="s">
        <v>154</v>
      </c>
      <c r="E54" s="247">
        <v>22000.0</v>
      </c>
      <c r="F54" s="248">
        <v>35000.0</v>
      </c>
      <c r="G54" s="173">
        <v>13000.0</v>
      </c>
      <c r="H54" s="215">
        <v>7900.0</v>
      </c>
      <c r="I54" s="215">
        <v>240000.0</v>
      </c>
      <c r="J54" s="215">
        <v>46000.0</v>
      </c>
      <c r="K54" s="249">
        <v>92000.0</v>
      </c>
      <c r="L54" s="249">
        <v>13000.0</v>
      </c>
      <c r="M54" s="173">
        <v>920000.0</v>
      </c>
      <c r="N54" s="173">
        <v>350000.0</v>
      </c>
      <c r="O54" s="173">
        <v>33000.0</v>
      </c>
      <c r="P54" s="173">
        <v>540000.0</v>
      </c>
      <c r="Q54" s="54">
        <f t="shared" si="2"/>
        <v>65282.04484</v>
      </c>
      <c r="R54" s="29">
        <v>200.0</v>
      </c>
    </row>
    <row r="55" ht="15.75" customHeight="1">
      <c r="A55" s="21"/>
      <c r="B55" s="30"/>
      <c r="C55" s="201">
        <v>8.0</v>
      </c>
      <c r="D55" s="223" t="s">
        <v>155</v>
      </c>
      <c r="E55" s="53">
        <v>330000.0</v>
      </c>
      <c r="F55" s="248">
        <v>330000.0</v>
      </c>
      <c r="G55" s="173">
        <v>790000.0</v>
      </c>
      <c r="H55" s="215">
        <v>1100000.0</v>
      </c>
      <c r="I55" s="215">
        <v>3500000.0</v>
      </c>
      <c r="J55" s="215">
        <v>110000.0</v>
      </c>
      <c r="K55" s="249">
        <v>5400000.0</v>
      </c>
      <c r="L55" s="249">
        <v>1300000.0</v>
      </c>
      <c r="M55" s="173">
        <v>3500000.0</v>
      </c>
      <c r="N55" s="173">
        <v>5400000.0</v>
      </c>
      <c r="O55" s="173">
        <v>1600000.0</v>
      </c>
      <c r="P55" s="173">
        <v>3500000.0</v>
      </c>
      <c r="Q55" s="54">
        <f t="shared" si="2"/>
        <v>1316359.799</v>
      </c>
      <c r="R55" s="29">
        <v>200.0</v>
      </c>
    </row>
    <row r="56" ht="15.75" customHeight="1">
      <c r="A56" s="21"/>
      <c r="B56" s="13" t="s">
        <v>157</v>
      </c>
      <c r="C56" s="202">
        <v>1.0</v>
      </c>
      <c r="D56" s="221" t="s">
        <v>149</v>
      </c>
      <c r="E56" s="59">
        <v>0.63</v>
      </c>
      <c r="F56" s="250">
        <v>0.5</v>
      </c>
      <c r="G56" s="59">
        <v>0.51</v>
      </c>
      <c r="H56" s="217">
        <v>0.14</v>
      </c>
      <c r="I56" s="251">
        <v>0.158</v>
      </c>
      <c r="J56" s="251">
        <v>0.303</v>
      </c>
      <c r="K56" s="234">
        <v>0.235</v>
      </c>
      <c r="L56" s="234">
        <v>0.224</v>
      </c>
      <c r="M56" s="252">
        <v>0.243</v>
      </c>
      <c r="N56" s="76">
        <v>0.36</v>
      </c>
      <c r="O56" s="176">
        <v>1.63</v>
      </c>
      <c r="P56" s="176">
        <v>0.549</v>
      </c>
      <c r="Q56" s="60">
        <f t="shared" ref="Q56:Q76" si="3">AVERAGE(E56:P56)</f>
        <v>0.4568333333</v>
      </c>
      <c r="R56" s="20">
        <v>7.0</v>
      </c>
    </row>
    <row r="57" ht="15.75" customHeight="1">
      <c r="A57" s="21"/>
      <c r="B57" s="22"/>
      <c r="C57" s="228">
        <v>3.0</v>
      </c>
      <c r="D57" s="229" t="s">
        <v>150</v>
      </c>
      <c r="E57" s="253">
        <v>0.36</v>
      </c>
      <c r="F57" s="254">
        <v>0.28</v>
      </c>
      <c r="G57" s="66">
        <v>0.05</v>
      </c>
      <c r="H57" s="219">
        <v>0.2</v>
      </c>
      <c r="I57" s="255">
        <v>0.206</v>
      </c>
      <c r="J57" s="255">
        <v>0.268</v>
      </c>
      <c r="K57" s="238">
        <v>0.189</v>
      </c>
      <c r="L57" s="238">
        <v>0.191</v>
      </c>
      <c r="M57" s="238">
        <v>0.451</v>
      </c>
      <c r="N57" s="175">
        <v>0.39</v>
      </c>
      <c r="O57" s="175">
        <v>0.99</v>
      </c>
      <c r="P57" s="175">
        <v>0.66</v>
      </c>
      <c r="Q57" s="67">
        <f t="shared" si="3"/>
        <v>0.3529166667</v>
      </c>
      <c r="R57" s="29">
        <v>7.0</v>
      </c>
    </row>
    <row r="58" ht="15.75" customHeight="1">
      <c r="A58" s="21"/>
      <c r="B58" s="22"/>
      <c r="C58" s="228">
        <v>4.0</v>
      </c>
      <c r="D58" s="229" t="s">
        <v>151</v>
      </c>
      <c r="E58" s="253">
        <v>0.56</v>
      </c>
      <c r="F58" s="254">
        <v>0.1</v>
      </c>
      <c r="G58" s="66">
        <v>0.05</v>
      </c>
      <c r="H58" s="219">
        <v>0.05</v>
      </c>
      <c r="I58" s="255">
        <v>0.504</v>
      </c>
      <c r="J58" s="255">
        <v>0.234</v>
      </c>
      <c r="K58" s="238">
        <v>0.209</v>
      </c>
      <c r="L58" s="238">
        <v>0.205</v>
      </c>
      <c r="M58" s="238">
        <v>0.897</v>
      </c>
      <c r="N58" s="65">
        <v>0.309</v>
      </c>
      <c r="O58" s="66">
        <v>0.86</v>
      </c>
      <c r="P58" s="66">
        <v>0.643</v>
      </c>
      <c r="Q58" s="67">
        <f t="shared" si="3"/>
        <v>0.3850833333</v>
      </c>
      <c r="R58" s="29">
        <v>7.0</v>
      </c>
    </row>
    <row r="59" ht="15.75" customHeight="1">
      <c r="A59" s="21"/>
      <c r="B59" s="22"/>
      <c r="C59" s="228">
        <v>5.0</v>
      </c>
      <c r="D59" s="229" t="s">
        <v>152</v>
      </c>
      <c r="E59" s="253">
        <v>0.28</v>
      </c>
      <c r="F59" s="254">
        <v>0.38</v>
      </c>
      <c r="G59" s="66">
        <v>0.05</v>
      </c>
      <c r="H59" s="219">
        <v>0.24</v>
      </c>
      <c r="I59" s="255">
        <v>0.28</v>
      </c>
      <c r="J59" s="255">
        <v>0.285</v>
      </c>
      <c r="K59" s="238">
        <v>0.082</v>
      </c>
      <c r="L59" s="238">
        <v>0.263</v>
      </c>
      <c r="M59" s="238">
        <v>0.848</v>
      </c>
      <c r="N59" s="65">
        <v>0.334</v>
      </c>
      <c r="O59" s="66">
        <v>0.78</v>
      </c>
      <c r="P59" s="175">
        <v>0.636</v>
      </c>
      <c r="Q59" s="67">
        <f t="shared" si="3"/>
        <v>0.3715</v>
      </c>
      <c r="R59" s="29">
        <v>7.0</v>
      </c>
    </row>
    <row r="60" ht="15.75" customHeight="1">
      <c r="A60" s="21"/>
      <c r="B60" s="22"/>
      <c r="C60" s="228">
        <v>6.0</v>
      </c>
      <c r="D60" s="229" t="s">
        <v>153</v>
      </c>
      <c r="E60" s="253">
        <v>0.3</v>
      </c>
      <c r="F60" s="254">
        <v>0.26</v>
      </c>
      <c r="G60" s="66">
        <v>0.05</v>
      </c>
      <c r="H60" s="219">
        <v>0.05</v>
      </c>
      <c r="I60" s="255">
        <v>0.155</v>
      </c>
      <c r="J60" s="255">
        <v>0.272</v>
      </c>
      <c r="K60" s="238">
        <v>0.245</v>
      </c>
      <c r="L60" s="238">
        <v>0.184</v>
      </c>
      <c r="M60" s="238">
        <v>0.813</v>
      </c>
      <c r="N60" s="65">
        <v>0.73</v>
      </c>
      <c r="O60" s="66">
        <v>0.32</v>
      </c>
      <c r="P60" s="175">
        <v>0.41</v>
      </c>
      <c r="Q60" s="67">
        <f t="shared" si="3"/>
        <v>0.31575</v>
      </c>
      <c r="R60" s="29">
        <v>7.0</v>
      </c>
    </row>
    <row r="61" ht="15.75" customHeight="1">
      <c r="A61" s="21"/>
      <c r="B61" s="22"/>
      <c r="C61" s="201">
        <v>7.0</v>
      </c>
      <c r="D61" s="223" t="s">
        <v>154</v>
      </c>
      <c r="E61" s="65">
        <v>1.88</v>
      </c>
      <c r="F61" s="254">
        <v>0.37</v>
      </c>
      <c r="G61" s="66">
        <v>1.74</v>
      </c>
      <c r="H61" s="219">
        <v>0.32</v>
      </c>
      <c r="I61" s="255">
        <v>1.071</v>
      </c>
      <c r="J61" s="255">
        <v>0.486</v>
      </c>
      <c r="K61" s="238">
        <v>0.963</v>
      </c>
      <c r="L61" s="238">
        <v>0.601</v>
      </c>
      <c r="M61" s="238">
        <v>1.004</v>
      </c>
      <c r="N61" s="66">
        <v>0.271</v>
      </c>
      <c r="O61" s="66">
        <v>1.57</v>
      </c>
      <c r="P61" s="175">
        <v>0.389</v>
      </c>
      <c r="Q61" s="67">
        <f t="shared" si="3"/>
        <v>0.88875</v>
      </c>
      <c r="R61" s="29">
        <v>7.0</v>
      </c>
    </row>
    <row r="62" ht="15.75" customHeight="1">
      <c r="A62" s="21"/>
      <c r="B62" s="30"/>
      <c r="C62" s="201">
        <v>8.0</v>
      </c>
      <c r="D62" s="223" t="s">
        <v>155</v>
      </c>
      <c r="E62" s="65">
        <v>0.33</v>
      </c>
      <c r="F62" s="254">
        <v>0.25</v>
      </c>
      <c r="G62" s="66">
        <v>0.09</v>
      </c>
      <c r="H62" s="219">
        <v>0.35</v>
      </c>
      <c r="I62" s="255">
        <v>0.539</v>
      </c>
      <c r="J62" s="255">
        <v>0.272</v>
      </c>
      <c r="K62" s="256">
        <v>0.42</v>
      </c>
      <c r="L62" s="256">
        <v>0.58</v>
      </c>
      <c r="M62" s="238">
        <v>1.108</v>
      </c>
      <c r="N62" s="66">
        <v>0.373</v>
      </c>
      <c r="O62" s="66">
        <v>0.89</v>
      </c>
      <c r="P62" s="175">
        <v>0.326</v>
      </c>
      <c r="Q62" s="67">
        <f t="shared" si="3"/>
        <v>0.4606666667</v>
      </c>
      <c r="R62" s="29">
        <v>7.0</v>
      </c>
    </row>
    <row r="63" ht="15.75" customHeight="1">
      <c r="A63" s="21"/>
      <c r="B63" s="13" t="s">
        <v>158</v>
      </c>
      <c r="C63" s="202">
        <v>1.0</v>
      </c>
      <c r="D63" s="221" t="s">
        <v>149</v>
      </c>
      <c r="E63" s="59">
        <v>0.71</v>
      </c>
      <c r="F63" s="250">
        <v>1.1</v>
      </c>
      <c r="G63" s="217">
        <v>1.16</v>
      </c>
      <c r="H63" s="217">
        <v>1.24</v>
      </c>
      <c r="I63" s="251">
        <v>0.883</v>
      </c>
      <c r="J63" s="251">
        <v>0.661</v>
      </c>
      <c r="K63" s="234">
        <v>0.662</v>
      </c>
      <c r="L63" s="234">
        <v>0.927</v>
      </c>
      <c r="M63" s="59">
        <v>1.01</v>
      </c>
      <c r="N63" s="59">
        <v>1.005</v>
      </c>
      <c r="O63" s="176">
        <v>0.32</v>
      </c>
      <c r="P63" s="176">
        <v>0.536</v>
      </c>
      <c r="Q63" s="60">
        <f t="shared" si="3"/>
        <v>0.8511666667</v>
      </c>
      <c r="R63" s="20">
        <v>0.5</v>
      </c>
    </row>
    <row r="64" ht="15.75" customHeight="1">
      <c r="A64" s="21"/>
      <c r="B64" s="22"/>
      <c r="C64" s="228">
        <v>3.0</v>
      </c>
      <c r="D64" s="229" t="s">
        <v>150</v>
      </c>
      <c r="E64" s="253">
        <v>0.28</v>
      </c>
      <c r="F64" s="254">
        <v>0.72</v>
      </c>
      <c r="G64" s="257">
        <v>1.17</v>
      </c>
      <c r="H64" s="219">
        <v>0.77</v>
      </c>
      <c r="I64" s="255">
        <v>0.553</v>
      </c>
      <c r="J64" s="255">
        <v>0.818</v>
      </c>
      <c r="K64" s="238">
        <v>0.635</v>
      </c>
      <c r="L64" s="256">
        <v>1.07</v>
      </c>
      <c r="M64" s="66">
        <v>0.814</v>
      </c>
      <c r="N64" s="66">
        <v>0.627</v>
      </c>
      <c r="O64" s="175">
        <v>0.34</v>
      </c>
      <c r="P64" s="175">
        <v>0.532</v>
      </c>
      <c r="Q64" s="67">
        <f t="shared" si="3"/>
        <v>0.6940833333</v>
      </c>
      <c r="R64" s="29">
        <v>0.5</v>
      </c>
    </row>
    <row r="65" ht="15.75" customHeight="1">
      <c r="A65" s="21"/>
      <c r="B65" s="22"/>
      <c r="C65" s="228">
        <v>4.0</v>
      </c>
      <c r="D65" s="229" t="s">
        <v>151</v>
      </c>
      <c r="E65" s="253">
        <v>0.34</v>
      </c>
      <c r="F65" s="254">
        <v>0.95</v>
      </c>
      <c r="G65" s="257">
        <v>0.83</v>
      </c>
      <c r="H65" s="219">
        <v>1.09</v>
      </c>
      <c r="I65" s="255">
        <v>0.499</v>
      </c>
      <c r="J65" s="255">
        <v>0.697</v>
      </c>
      <c r="K65" s="238">
        <v>0.794</v>
      </c>
      <c r="L65" s="238">
        <v>1.111</v>
      </c>
      <c r="M65" s="66">
        <v>0.857</v>
      </c>
      <c r="N65" s="66">
        <v>0.794</v>
      </c>
      <c r="O65" s="175">
        <v>0.29</v>
      </c>
      <c r="P65" s="66">
        <v>0.455</v>
      </c>
      <c r="Q65" s="67">
        <f t="shared" si="3"/>
        <v>0.7255833333</v>
      </c>
      <c r="R65" s="29">
        <v>0.5</v>
      </c>
    </row>
    <row r="66" ht="15.75" customHeight="1">
      <c r="A66" s="21"/>
      <c r="B66" s="22"/>
      <c r="C66" s="228">
        <v>5.0</v>
      </c>
      <c r="D66" s="229" t="s">
        <v>152</v>
      </c>
      <c r="E66" s="253">
        <v>0.83</v>
      </c>
      <c r="F66" s="254">
        <v>1.59</v>
      </c>
      <c r="G66" s="257">
        <v>1.11</v>
      </c>
      <c r="H66" s="219">
        <v>1.75</v>
      </c>
      <c r="I66" s="255">
        <v>1.122</v>
      </c>
      <c r="J66" s="255">
        <v>1.056</v>
      </c>
      <c r="K66" s="238">
        <v>1.182</v>
      </c>
      <c r="L66" s="256">
        <v>1.26</v>
      </c>
      <c r="M66" s="66">
        <v>1.043</v>
      </c>
      <c r="N66" s="66">
        <v>0.83</v>
      </c>
      <c r="O66" s="175">
        <v>0.24</v>
      </c>
      <c r="P66" s="175">
        <v>0.847</v>
      </c>
      <c r="Q66" s="67">
        <f t="shared" si="3"/>
        <v>1.071666667</v>
      </c>
      <c r="R66" s="29">
        <v>0.5</v>
      </c>
    </row>
    <row r="67" ht="15.75" customHeight="1">
      <c r="A67" s="21"/>
      <c r="B67" s="22"/>
      <c r="C67" s="228">
        <v>6.0</v>
      </c>
      <c r="D67" s="229" t="s">
        <v>153</v>
      </c>
      <c r="E67" s="253">
        <v>0.72</v>
      </c>
      <c r="F67" s="254">
        <v>0.99</v>
      </c>
      <c r="G67" s="257">
        <v>1.48</v>
      </c>
      <c r="H67" s="219">
        <v>0.89</v>
      </c>
      <c r="I67" s="255">
        <v>0.973</v>
      </c>
      <c r="J67" s="255">
        <v>1.412</v>
      </c>
      <c r="K67" s="238">
        <v>1.946</v>
      </c>
      <c r="L67" s="238">
        <v>2.058</v>
      </c>
      <c r="M67" s="66">
        <v>1.722</v>
      </c>
      <c r="N67" s="66">
        <v>1.392</v>
      </c>
      <c r="O67" s="175">
        <v>0.7</v>
      </c>
      <c r="P67" s="66">
        <v>0.69</v>
      </c>
      <c r="Q67" s="67">
        <f t="shared" si="3"/>
        <v>1.24775</v>
      </c>
      <c r="R67" s="29">
        <v>0.5</v>
      </c>
    </row>
    <row r="68" ht="15.75" customHeight="1">
      <c r="A68" s="21"/>
      <c r="B68" s="22"/>
      <c r="C68" s="201">
        <v>7.0</v>
      </c>
      <c r="D68" s="223" t="s">
        <v>154</v>
      </c>
      <c r="E68" s="253">
        <v>1.29</v>
      </c>
      <c r="F68" s="254">
        <v>0.54</v>
      </c>
      <c r="G68" s="257">
        <v>0.47</v>
      </c>
      <c r="H68" s="219">
        <v>1.14</v>
      </c>
      <c r="I68" s="255">
        <v>0.589</v>
      </c>
      <c r="J68" s="255">
        <v>0.96</v>
      </c>
      <c r="K68" s="238">
        <v>0.808</v>
      </c>
      <c r="L68" s="238">
        <v>0.692</v>
      </c>
      <c r="M68" s="66">
        <v>0.54</v>
      </c>
      <c r="N68" s="66">
        <v>0.529</v>
      </c>
      <c r="O68" s="66">
        <v>0.72</v>
      </c>
      <c r="P68" s="175">
        <v>0.649</v>
      </c>
      <c r="Q68" s="67">
        <f t="shared" si="3"/>
        <v>0.7439166667</v>
      </c>
      <c r="R68" s="29">
        <v>0.5</v>
      </c>
    </row>
    <row r="69" ht="15.75" customHeight="1">
      <c r="A69" s="21"/>
      <c r="B69" s="30"/>
      <c r="C69" s="201">
        <v>8.0</v>
      </c>
      <c r="D69" s="223" t="s">
        <v>155</v>
      </c>
      <c r="E69" s="65">
        <v>1.26</v>
      </c>
      <c r="F69" s="254">
        <v>0.71</v>
      </c>
      <c r="G69" s="257">
        <v>0.96</v>
      </c>
      <c r="H69" s="219">
        <v>2.55</v>
      </c>
      <c r="I69" s="255">
        <v>0.575</v>
      </c>
      <c r="J69" s="255">
        <v>0.917</v>
      </c>
      <c r="K69" s="238">
        <v>0.917</v>
      </c>
      <c r="L69" s="238">
        <v>1.501</v>
      </c>
      <c r="M69" s="66">
        <v>0.796</v>
      </c>
      <c r="N69" s="66">
        <v>0.558</v>
      </c>
      <c r="O69" s="175">
        <v>0.5</v>
      </c>
      <c r="P69" s="175">
        <v>0.371</v>
      </c>
      <c r="Q69" s="67">
        <f t="shared" si="3"/>
        <v>0.9679166667</v>
      </c>
      <c r="R69" s="29">
        <v>0.5</v>
      </c>
    </row>
    <row r="70" ht="15.75" customHeight="1">
      <c r="A70" s="21"/>
      <c r="B70" s="13" t="s">
        <v>42</v>
      </c>
      <c r="C70" s="202">
        <v>1.0</v>
      </c>
      <c r="D70" s="221" t="s">
        <v>149</v>
      </c>
      <c r="E70" s="176">
        <v>970.0</v>
      </c>
      <c r="F70" s="233">
        <v>728.0</v>
      </c>
      <c r="G70" s="47">
        <v>379.0</v>
      </c>
      <c r="H70" s="69">
        <v>670.0</v>
      </c>
      <c r="I70" s="211">
        <v>194.0</v>
      </c>
      <c r="J70" s="211">
        <v>284.0</v>
      </c>
      <c r="K70" s="234">
        <v>356.0</v>
      </c>
      <c r="L70" s="234">
        <v>573.0</v>
      </c>
      <c r="M70" s="176">
        <v>721.0</v>
      </c>
      <c r="N70" s="176">
        <v>325.0</v>
      </c>
      <c r="O70" s="176">
        <v>408.0</v>
      </c>
      <c r="P70" s="176">
        <v>337.0</v>
      </c>
      <c r="Q70" s="49">
        <f t="shared" si="3"/>
        <v>495.4166667</v>
      </c>
      <c r="R70" s="20">
        <v>350.0</v>
      </c>
    </row>
    <row r="71" ht="15.75" customHeight="1">
      <c r="A71" s="21"/>
      <c r="B71" s="22"/>
      <c r="C71" s="228">
        <v>3.0</v>
      </c>
      <c r="D71" s="229" t="s">
        <v>150</v>
      </c>
      <c r="E71" s="236">
        <v>853.0</v>
      </c>
      <c r="F71" s="239">
        <v>699.0</v>
      </c>
      <c r="G71" s="173">
        <v>320.0</v>
      </c>
      <c r="H71" s="71">
        <v>290.0</v>
      </c>
      <c r="I71" s="212">
        <v>141.0</v>
      </c>
      <c r="J71" s="212">
        <v>191.0</v>
      </c>
      <c r="K71" s="238">
        <v>203.0</v>
      </c>
      <c r="L71" s="238">
        <v>539.0</v>
      </c>
      <c r="M71" s="175">
        <v>1082.0</v>
      </c>
      <c r="N71" s="175">
        <v>805.0</v>
      </c>
      <c r="O71" s="175">
        <v>388.0</v>
      </c>
      <c r="P71" s="175">
        <v>327.0</v>
      </c>
      <c r="Q71" s="54">
        <f t="shared" si="3"/>
        <v>486.5</v>
      </c>
      <c r="R71" s="29">
        <v>350.0</v>
      </c>
    </row>
    <row r="72" ht="15.75" customHeight="1">
      <c r="A72" s="21"/>
      <c r="B72" s="22"/>
      <c r="C72" s="228">
        <v>4.0</v>
      </c>
      <c r="D72" s="229" t="s">
        <v>151</v>
      </c>
      <c r="E72" s="236">
        <v>539.0</v>
      </c>
      <c r="F72" s="239">
        <v>675.0</v>
      </c>
      <c r="G72" s="173">
        <v>544.0</v>
      </c>
      <c r="H72" s="71">
        <v>560.0</v>
      </c>
      <c r="I72" s="212">
        <v>180.0</v>
      </c>
      <c r="J72" s="212">
        <v>696.0</v>
      </c>
      <c r="K72" s="238">
        <v>54.0</v>
      </c>
      <c r="L72" s="238">
        <v>265.0</v>
      </c>
      <c r="M72" s="175">
        <v>309.0</v>
      </c>
      <c r="N72" s="175">
        <v>130.0</v>
      </c>
      <c r="O72" s="175">
        <v>228.0</v>
      </c>
      <c r="P72" s="175">
        <v>287.0</v>
      </c>
      <c r="Q72" s="54">
        <f t="shared" si="3"/>
        <v>372.25</v>
      </c>
      <c r="R72" s="29">
        <v>350.0</v>
      </c>
    </row>
    <row r="73" ht="15.75" customHeight="1">
      <c r="A73" s="21"/>
      <c r="B73" s="22"/>
      <c r="C73" s="228">
        <v>5.0</v>
      </c>
      <c r="D73" s="229" t="s">
        <v>152</v>
      </c>
      <c r="E73" s="236">
        <v>167.0</v>
      </c>
      <c r="F73" s="258">
        <v>345.0</v>
      </c>
      <c r="G73" s="173">
        <v>466.0</v>
      </c>
      <c r="H73" s="71">
        <v>55.0</v>
      </c>
      <c r="I73" s="212">
        <v>476.0</v>
      </c>
      <c r="J73" s="212">
        <v>662.0</v>
      </c>
      <c r="K73" s="238">
        <v>134.0</v>
      </c>
      <c r="L73" s="238">
        <v>83.0</v>
      </c>
      <c r="M73" s="175">
        <v>258.0</v>
      </c>
      <c r="N73" s="175">
        <v>50.0</v>
      </c>
      <c r="O73" s="175">
        <v>44.0</v>
      </c>
      <c r="P73" s="173">
        <v>89.0</v>
      </c>
      <c r="Q73" s="54">
        <f t="shared" si="3"/>
        <v>235.75</v>
      </c>
      <c r="R73" s="29">
        <v>350.0</v>
      </c>
    </row>
    <row r="74" ht="15.75" customHeight="1">
      <c r="A74" s="21"/>
      <c r="B74" s="22"/>
      <c r="C74" s="228">
        <v>6.0</v>
      </c>
      <c r="D74" s="229" t="s">
        <v>153</v>
      </c>
      <c r="E74" s="236">
        <v>83.0</v>
      </c>
      <c r="F74" s="258">
        <v>68.0</v>
      </c>
      <c r="G74" s="173">
        <v>87.0</v>
      </c>
      <c r="H74" s="71">
        <v>55.0</v>
      </c>
      <c r="I74" s="212">
        <v>58.0</v>
      </c>
      <c r="J74" s="212">
        <v>93.0</v>
      </c>
      <c r="K74" s="238">
        <v>104.0</v>
      </c>
      <c r="L74" s="238">
        <v>49.0</v>
      </c>
      <c r="M74" s="175">
        <v>206.0</v>
      </c>
      <c r="N74" s="175">
        <v>45.0</v>
      </c>
      <c r="O74" s="175">
        <v>44.0</v>
      </c>
      <c r="P74" s="173">
        <v>322.0</v>
      </c>
      <c r="Q74" s="54">
        <f t="shared" si="3"/>
        <v>101.1666667</v>
      </c>
      <c r="R74" s="29">
        <v>350.0</v>
      </c>
    </row>
    <row r="75" ht="15.75" customHeight="1">
      <c r="A75" s="21"/>
      <c r="B75" s="22"/>
      <c r="C75" s="201">
        <v>7.0</v>
      </c>
      <c r="D75" s="223" t="s">
        <v>154</v>
      </c>
      <c r="E75" s="236">
        <v>44.0</v>
      </c>
      <c r="F75" s="248">
        <v>39.0</v>
      </c>
      <c r="G75" s="173">
        <v>39.0</v>
      </c>
      <c r="H75" s="71">
        <v>40.0</v>
      </c>
      <c r="I75" s="212">
        <v>24.0</v>
      </c>
      <c r="J75" s="212">
        <v>83.0</v>
      </c>
      <c r="K75" s="238">
        <v>64.0</v>
      </c>
      <c r="L75" s="238">
        <v>49.0</v>
      </c>
      <c r="M75" s="173">
        <v>309.0</v>
      </c>
      <c r="N75" s="175">
        <v>50.0</v>
      </c>
      <c r="O75" s="173">
        <v>92.0</v>
      </c>
      <c r="P75" s="173">
        <v>341.0</v>
      </c>
      <c r="Q75" s="54">
        <f t="shared" si="3"/>
        <v>97.83333333</v>
      </c>
      <c r="R75" s="29">
        <v>350.0</v>
      </c>
    </row>
    <row r="76" ht="15.75" customHeight="1">
      <c r="A76" s="21"/>
      <c r="B76" s="30"/>
      <c r="C76" s="201">
        <v>8.0</v>
      </c>
      <c r="D76" s="223" t="s">
        <v>155</v>
      </c>
      <c r="E76" s="106">
        <v>64.0</v>
      </c>
      <c r="F76" s="248">
        <v>39.0</v>
      </c>
      <c r="G76" s="173">
        <v>82.0</v>
      </c>
      <c r="H76" s="71">
        <v>695.0</v>
      </c>
      <c r="I76" s="212">
        <v>39.0</v>
      </c>
      <c r="J76" s="212">
        <v>108.0</v>
      </c>
      <c r="K76" s="238">
        <v>124.0</v>
      </c>
      <c r="L76" s="238">
        <v>49.0</v>
      </c>
      <c r="M76" s="173">
        <v>258.0</v>
      </c>
      <c r="N76" s="175">
        <v>40.0</v>
      </c>
      <c r="O76" s="175">
        <v>44.0</v>
      </c>
      <c r="P76" s="173">
        <v>247.0</v>
      </c>
      <c r="Q76" s="54">
        <f t="shared" si="3"/>
        <v>149.0833333</v>
      </c>
      <c r="R76" s="29">
        <v>350.0</v>
      </c>
    </row>
    <row r="77" ht="14.25" customHeight="1">
      <c r="A77" s="134"/>
      <c r="B77" s="134"/>
      <c r="C77" s="134"/>
      <c r="D77" s="134"/>
      <c r="E77" s="134"/>
      <c r="F77" s="134"/>
      <c r="G77" s="134"/>
      <c r="H77" s="134"/>
      <c r="I77" s="259"/>
      <c r="J77" s="259"/>
      <c r="K77" s="134"/>
      <c r="L77" s="135"/>
      <c r="M77" s="135"/>
      <c r="N77" s="135"/>
      <c r="O77" s="135"/>
      <c r="P77" s="135"/>
    </row>
    <row r="78" ht="14.25" customHeight="1">
      <c r="A78" s="136" t="s">
        <v>43</v>
      </c>
      <c r="D78" s="134"/>
      <c r="E78" s="134"/>
      <c r="F78" s="134"/>
      <c r="G78" s="134"/>
      <c r="H78" s="134"/>
      <c r="I78" s="134"/>
      <c r="J78" s="134"/>
      <c r="K78" s="134"/>
      <c r="L78" s="135"/>
      <c r="M78" s="135"/>
      <c r="N78" s="135"/>
      <c r="O78" s="135"/>
      <c r="P78" s="135"/>
    </row>
    <row r="79" ht="14.25" customHeight="1">
      <c r="D79" s="134"/>
      <c r="E79" s="134"/>
      <c r="F79" s="134"/>
      <c r="G79" s="134"/>
      <c r="H79" s="134"/>
      <c r="I79" s="134"/>
      <c r="J79" s="134"/>
      <c r="K79" s="134"/>
      <c r="L79" s="135"/>
      <c r="M79" s="135"/>
      <c r="N79" s="135"/>
      <c r="O79" s="135"/>
      <c r="P79" s="135"/>
    </row>
    <row r="81" ht="14.25" customHeight="1">
      <c r="A81" s="260"/>
    </row>
  </sheetData>
  <mergeCells count="17">
    <mergeCell ref="A1:R1"/>
    <mergeCell ref="A2:R2"/>
    <mergeCell ref="A3:R3"/>
    <mergeCell ref="A5:R5"/>
    <mergeCell ref="A6:R6"/>
    <mergeCell ref="B7:B13"/>
    <mergeCell ref="B14:B20"/>
    <mergeCell ref="B70:B76"/>
    <mergeCell ref="A78:C79"/>
    <mergeCell ref="A81:E81"/>
    <mergeCell ref="B21:B27"/>
    <mergeCell ref="B28:B34"/>
    <mergeCell ref="B35:B41"/>
    <mergeCell ref="B42:B48"/>
    <mergeCell ref="B49:B55"/>
    <mergeCell ref="B56:B62"/>
    <mergeCell ref="B63:B69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67.14"/>
    <col customWidth="1" min="5" max="5" width="10.71" outlineLevel="1"/>
    <col customWidth="1" min="6" max="6" width="9.14" outlineLevel="1"/>
    <col customWidth="1" min="7" max="8" width="7.29" outlineLevel="1"/>
    <col customWidth="1" min="9" max="9" width="6.71" outlineLevel="1"/>
    <col customWidth="1" min="10" max="10" width="7.29" outlineLevel="1"/>
    <col customWidth="1" min="11" max="11" width="8.0" outlineLevel="1"/>
    <col customWidth="1" min="12" max="12" width="7.43" outlineLevel="1"/>
    <col customWidth="1" min="13" max="13" width="10.29" outlineLevel="1"/>
    <col customWidth="1" min="14" max="14" width="10.71" outlineLevel="1"/>
    <col customWidth="1" min="15" max="15" width="12.86" outlineLevel="1"/>
    <col customWidth="1" min="16" max="16" width="13.0" outlineLevel="1"/>
    <col customWidth="1" min="17" max="17" width="23.57"/>
    <col customWidth="1" min="18" max="18" width="10.0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66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62" t="s">
        <v>19</v>
      </c>
      <c r="R4" s="262" t="s">
        <v>20</v>
      </c>
    </row>
    <row r="5" ht="14.25" customHeight="1">
      <c r="A5" s="8" t="s">
        <v>159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160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5.75" customHeight="1">
      <c r="A7" s="101" t="s">
        <v>23</v>
      </c>
      <c r="B7" s="74" t="s">
        <v>24</v>
      </c>
      <c r="C7" s="199">
        <v>1.0</v>
      </c>
      <c r="D7" s="263" t="s">
        <v>161</v>
      </c>
      <c r="E7" s="105">
        <v>3.85</v>
      </c>
      <c r="F7" s="102">
        <v>6.58</v>
      </c>
      <c r="G7" s="102">
        <v>14.47</v>
      </c>
      <c r="H7" s="105">
        <v>6.08</v>
      </c>
      <c r="I7" s="102">
        <v>8.7</v>
      </c>
      <c r="J7" s="264">
        <v>5.67</v>
      </c>
      <c r="K7" s="102">
        <v>3.01</v>
      </c>
      <c r="L7" s="102">
        <v>2.3</v>
      </c>
      <c r="M7" s="102" t="s">
        <v>70</v>
      </c>
      <c r="N7" s="102">
        <v>2.05</v>
      </c>
      <c r="O7" s="102">
        <v>1.89</v>
      </c>
      <c r="P7" s="102">
        <v>4.91</v>
      </c>
      <c r="Q7" s="265">
        <f t="shared" ref="Q7:Q21" si="1">AVERAGE(E7:P7)</f>
        <v>5.41</v>
      </c>
      <c r="R7" s="200">
        <v>6.0</v>
      </c>
    </row>
    <row r="8" ht="15.75" customHeight="1">
      <c r="A8" s="21"/>
      <c r="B8" s="22"/>
      <c r="C8" s="201">
        <v>2.0</v>
      </c>
      <c r="D8" s="266" t="s">
        <v>162</v>
      </c>
      <c r="E8" s="106">
        <v>2.31</v>
      </c>
      <c r="F8" s="27">
        <v>6.13</v>
      </c>
      <c r="G8" s="27">
        <v>12.49</v>
      </c>
      <c r="H8" s="106">
        <v>5.97</v>
      </c>
      <c r="I8" s="27">
        <v>6.0</v>
      </c>
      <c r="J8" s="267">
        <v>6.06</v>
      </c>
      <c r="K8" s="27">
        <v>3.0</v>
      </c>
      <c r="L8" s="27">
        <v>3.0</v>
      </c>
      <c r="M8" s="27" t="s">
        <v>70</v>
      </c>
      <c r="N8" s="27">
        <v>2.61</v>
      </c>
      <c r="O8" s="27">
        <v>2.03</v>
      </c>
      <c r="P8" s="27">
        <v>5.01</v>
      </c>
      <c r="Q8" s="268">
        <f t="shared" si="1"/>
        <v>4.964545455</v>
      </c>
      <c r="R8" s="29">
        <v>6.0</v>
      </c>
    </row>
    <row r="9" ht="15.75" customHeight="1">
      <c r="A9" s="21"/>
      <c r="B9" s="30"/>
      <c r="C9" s="201">
        <v>3.0</v>
      </c>
      <c r="D9" s="266" t="s">
        <v>163</v>
      </c>
      <c r="E9" s="27">
        <v>4.6</v>
      </c>
      <c r="F9" s="27">
        <v>7.07</v>
      </c>
      <c r="G9" s="27">
        <v>16.58</v>
      </c>
      <c r="H9" s="27">
        <v>5.64</v>
      </c>
      <c r="I9" s="27">
        <v>7.4</v>
      </c>
      <c r="J9" s="210">
        <v>6.62</v>
      </c>
      <c r="K9" s="27">
        <v>2.14</v>
      </c>
      <c r="L9" s="27">
        <v>3.0</v>
      </c>
      <c r="M9" s="106" t="s">
        <v>70</v>
      </c>
      <c r="N9" s="27">
        <v>2.74</v>
      </c>
      <c r="O9" s="27">
        <v>2.11</v>
      </c>
      <c r="P9" s="27">
        <v>5.02</v>
      </c>
      <c r="Q9" s="268">
        <f t="shared" si="1"/>
        <v>5.72</v>
      </c>
      <c r="R9" s="29">
        <v>6.0</v>
      </c>
    </row>
    <row r="10" ht="15.75" customHeight="1">
      <c r="A10" s="21"/>
      <c r="B10" s="13" t="s">
        <v>31</v>
      </c>
      <c r="C10" s="202">
        <v>1.0</v>
      </c>
      <c r="D10" s="269" t="s">
        <v>161</v>
      </c>
      <c r="E10" s="124">
        <v>15.0</v>
      </c>
      <c r="F10" s="105">
        <v>18.0</v>
      </c>
      <c r="G10" s="105">
        <v>25.0</v>
      </c>
      <c r="H10" s="105">
        <v>24.0</v>
      </c>
      <c r="I10" s="105">
        <v>46.0</v>
      </c>
      <c r="J10" s="270">
        <v>16.0</v>
      </c>
      <c r="K10" s="105">
        <v>14.0</v>
      </c>
      <c r="L10" s="105">
        <v>17.0</v>
      </c>
      <c r="M10" s="102" t="s">
        <v>70</v>
      </c>
      <c r="N10" s="176">
        <v>5.0</v>
      </c>
      <c r="O10" s="176">
        <v>7.0</v>
      </c>
      <c r="P10" s="176">
        <v>11.0</v>
      </c>
      <c r="Q10" s="265">
        <f t="shared" si="1"/>
        <v>18</v>
      </c>
      <c r="R10" s="20">
        <v>50.0</v>
      </c>
    </row>
    <row r="11" ht="15.75" customHeight="1">
      <c r="A11" s="21"/>
      <c r="B11" s="22"/>
      <c r="C11" s="201">
        <v>2.0</v>
      </c>
      <c r="D11" s="266" t="s">
        <v>162</v>
      </c>
      <c r="E11" s="39">
        <v>17.0</v>
      </c>
      <c r="F11" s="106">
        <v>32.0</v>
      </c>
      <c r="G11" s="106">
        <v>44.0</v>
      </c>
      <c r="H11" s="106">
        <v>18.0</v>
      </c>
      <c r="I11" s="106">
        <v>46.0</v>
      </c>
      <c r="J11" s="271">
        <v>35.0</v>
      </c>
      <c r="K11" s="106">
        <v>13.0</v>
      </c>
      <c r="L11" s="106">
        <v>17.0</v>
      </c>
      <c r="M11" s="27" t="s">
        <v>70</v>
      </c>
      <c r="N11" s="106">
        <v>8.0</v>
      </c>
      <c r="O11" s="106">
        <v>8.0</v>
      </c>
      <c r="P11" s="106">
        <v>13.0</v>
      </c>
      <c r="Q11" s="268">
        <f t="shared" si="1"/>
        <v>22.81818182</v>
      </c>
      <c r="R11" s="29">
        <v>50.0</v>
      </c>
    </row>
    <row r="12" ht="15.75" customHeight="1">
      <c r="A12" s="21"/>
      <c r="B12" s="30"/>
      <c r="C12" s="201">
        <v>3.0</v>
      </c>
      <c r="D12" s="266" t="s">
        <v>163</v>
      </c>
      <c r="E12" s="39">
        <v>25.0</v>
      </c>
      <c r="F12" s="106">
        <v>13.0</v>
      </c>
      <c r="G12" s="106">
        <v>19.0</v>
      </c>
      <c r="H12" s="39">
        <v>19.0</v>
      </c>
      <c r="I12" s="39">
        <v>47.0</v>
      </c>
      <c r="J12" s="212">
        <v>17.0</v>
      </c>
      <c r="K12" s="39">
        <v>11.0</v>
      </c>
      <c r="L12" s="106">
        <v>15.0</v>
      </c>
      <c r="M12" s="106" t="s">
        <v>70</v>
      </c>
      <c r="N12" s="106">
        <v>6.0</v>
      </c>
      <c r="O12" s="106">
        <v>12.0</v>
      </c>
      <c r="P12" s="106">
        <v>13.0</v>
      </c>
      <c r="Q12" s="268">
        <f t="shared" si="1"/>
        <v>17.90909091</v>
      </c>
      <c r="R12" s="29">
        <v>50.0</v>
      </c>
    </row>
    <row r="13" ht="15.75" customHeight="1">
      <c r="A13" s="21"/>
      <c r="B13" s="13" t="s">
        <v>33</v>
      </c>
      <c r="C13" s="202">
        <v>1.0</v>
      </c>
      <c r="D13" s="269" t="s">
        <v>161</v>
      </c>
      <c r="E13" s="105">
        <v>8.81</v>
      </c>
      <c r="F13" s="102">
        <v>27.3</v>
      </c>
      <c r="G13" s="102">
        <v>8.79</v>
      </c>
      <c r="H13" s="105">
        <v>8.23</v>
      </c>
      <c r="I13" s="102">
        <v>7.0</v>
      </c>
      <c r="J13" s="264">
        <v>8.21</v>
      </c>
      <c r="K13" s="105">
        <v>7.12</v>
      </c>
      <c r="L13" s="102">
        <v>7.0</v>
      </c>
      <c r="M13" s="102" t="s">
        <v>70</v>
      </c>
      <c r="N13" s="102">
        <v>7.0</v>
      </c>
      <c r="O13" s="18">
        <v>7.0</v>
      </c>
      <c r="P13" s="18">
        <v>7.0</v>
      </c>
      <c r="Q13" s="265">
        <f t="shared" si="1"/>
        <v>9.405454545</v>
      </c>
      <c r="R13" s="208" t="s">
        <v>164</v>
      </c>
    </row>
    <row r="14" ht="15.75" customHeight="1">
      <c r="A14" s="21"/>
      <c r="B14" s="22"/>
      <c r="C14" s="201">
        <v>2.0</v>
      </c>
      <c r="D14" s="266" t="s">
        <v>162</v>
      </c>
      <c r="E14" s="106">
        <v>8.63</v>
      </c>
      <c r="F14" s="27">
        <v>27.1</v>
      </c>
      <c r="G14" s="27">
        <v>8.64</v>
      </c>
      <c r="H14" s="106">
        <v>8.44</v>
      </c>
      <c r="I14" s="27">
        <v>7.0</v>
      </c>
      <c r="J14" s="267">
        <v>8.11</v>
      </c>
      <c r="K14" s="106">
        <v>7.01</v>
      </c>
      <c r="L14" s="27">
        <v>7.0</v>
      </c>
      <c r="M14" s="27" t="s">
        <v>70</v>
      </c>
      <c r="N14" s="27">
        <v>7.0</v>
      </c>
      <c r="O14" s="27">
        <v>7.0</v>
      </c>
      <c r="P14" s="27">
        <v>7.0</v>
      </c>
      <c r="Q14" s="268">
        <f t="shared" si="1"/>
        <v>9.357272727</v>
      </c>
      <c r="R14" s="241" t="s">
        <v>164</v>
      </c>
    </row>
    <row r="15" ht="15.75" customHeight="1">
      <c r="A15" s="21"/>
      <c r="B15" s="30"/>
      <c r="C15" s="201">
        <v>3.0</v>
      </c>
      <c r="D15" s="266" t="s">
        <v>163</v>
      </c>
      <c r="E15" s="106">
        <v>9.02</v>
      </c>
      <c r="F15" s="27">
        <v>27.4</v>
      </c>
      <c r="G15" s="27">
        <v>8.76</v>
      </c>
      <c r="H15" s="27">
        <v>8.36</v>
      </c>
      <c r="I15" s="27">
        <v>7.0</v>
      </c>
      <c r="J15" s="210">
        <v>8.24</v>
      </c>
      <c r="K15" s="27">
        <v>7.09</v>
      </c>
      <c r="L15" s="27">
        <v>7.0</v>
      </c>
      <c r="M15" s="106" t="s">
        <v>70</v>
      </c>
      <c r="N15" s="27">
        <v>7.0</v>
      </c>
      <c r="O15" s="27">
        <v>7.0</v>
      </c>
      <c r="P15" s="27">
        <v>7.0</v>
      </c>
      <c r="Q15" s="268">
        <f t="shared" si="1"/>
        <v>9.442727273</v>
      </c>
      <c r="R15" s="241" t="s">
        <v>164</v>
      </c>
    </row>
    <row r="16" ht="15.75" customHeight="1">
      <c r="A16" s="21"/>
      <c r="B16" s="13" t="s">
        <v>165</v>
      </c>
      <c r="C16" s="202">
        <v>1.0</v>
      </c>
      <c r="D16" s="269" t="s">
        <v>161</v>
      </c>
      <c r="E16" s="102">
        <v>28.5</v>
      </c>
      <c r="F16" s="102">
        <v>27.3</v>
      </c>
      <c r="G16" s="102">
        <v>29.5</v>
      </c>
      <c r="H16" s="102">
        <v>30.9</v>
      </c>
      <c r="I16" s="105">
        <v>29.34</v>
      </c>
      <c r="J16" s="264">
        <v>30.4</v>
      </c>
      <c r="K16" s="102">
        <v>29.3</v>
      </c>
      <c r="L16" s="102">
        <v>29.3</v>
      </c>
      <c r="M16" s="102" t="s">
        <v>70</v>
      </c>
      <c r="N16" s="102">
        <v>29.8</v>
      </c>
      <c r="O16" s="18">
        <v>29.5</v>
      </c>
      <c r="P16" s="222">
        <v>29.95</v>
      </c>
      <c r="Q16" s="265">
        <f t="shared" si="1"/>
        <v>29.43545455</v>
      </c>
      <c r="R16" s="18" t="s">
        <v>166</v>
      </c>
    </row>
    <row r="17" ht="15.75" customHeight="1">
      <c r="A17" s="21"/>
      <c r="B17" s="22"/>
      <c r="C17" s="201">
        <v>2.0</v>
      </c>
      <c r="D17" s="266" t="s">
        <v>162</v>
      </c>
      <c r="E17" s="27">
        <v>28.7</v>
      </c>
      <c r="F17" s="27">
        <v>27.1</v>
      </c>
      <c r="G17" s="27">
        <v>29.18</v>
      </c>
      <c r="H17" s="27">
        <v>39.45</v>
      </c>
      <c r="I17" s="27">
        <v>28.1</v>
      </c>
      <c r="J17" s="267">
        <v>30.3</v>
      </c>
      <c r="K17" s="27">
        <v>29.0</v>
      </c>
      <c r="L17" s="27">
        <v>30.0</v>
      </c>
      <c r="M17" s="27" t="s">
        <v>70</v>
      </c>
      <c r="N17" s="27">
        <v>29.56</v>
      </c>
      <c r="O17" s="27">
        <v>29.23</v>
      </c>
      <c r="P17" s="243">
        <v>29.71</v>
      </c>
      <c r="Q17" s="268">
        <f t="shared" si="1"/>
        <v>30.03</v>
      </c>
      <c r="R17" s="27" t="s">
        <v>166</v>
      </c>
    </row>
    <row r="18" ht="14.25" customHeight="1">
      <c r="A18" s="21"/>
      <c r="B18" s="30"/>
      <c r="C18" s="201">
        <v>3.0</v>
      </c>
      <c r="D18" s="266" t="s">
        <v>163</v>
      </c>
      <c r="E18" s="27">
        <v>29.6</v>
      </c>
      <c r="F18" s="27">
        <v>27.4</v>
      </c>
      <c r="G18" s="27">
        <v>29.18</v>
      </c>
      <c r="H18" s="27">
        <v>30.25</v>
      </c>
      <c r="I18" s="27">
        <v>27.98</v>
      </c>
      <c r="J18" s="210">
        <v>30.08</v>
      </c>
      <c r="K18" s="27">
        <v>29.5</v>
      </c>
      <c r="L18" s="106">
        <v>30.01</v>
      </c>
      <c r="M18" s="106" t="s">
        <v>70</v>
      </c>
      <c r="N18" s="27">
        <v>29.41</v>
      </c>
      <c r="O18" s="106">
        <v>29.19</v>
      </c>
      <c r="P18" s="243">
        <v>29.77</v>
      </c>
      <c r="Q18" s="268">
        <f t="shared" si="1"/>
        <v>29.30636364</v>
      </c>
      <c r="R18" s="27" t="s">
        <v>166</v>
      </c>
    </row>
    <row r="19" ht="14.25" customHeight="1">
      <c r="A19" s="21"/>
      <c r="B19" s="13" t="s">
        <v>37</v>
      </c>
      <c r="C19" s="202">
        <v>1.0</v>
      </c>
      <c r="D19" s="269" t="s">
        <v>161</v>
      </c>
      <c r="E19" s="124">
        <v>10.0</v>
      </c>
      <c r="F19" s="105">
        <v>5.0</v>
      </c>
      <c r="G19" s="105">
        <v>5.0</v>
      </c>
      <c r="H19" s="105">
        <v>5.0</v>
      </c>
      <c r="I19" s="105">
        <v>5.0</v>
      </c>
      <c r="J19" s="270">
        <v>5.0</v>
      </c>
      <c r="K19" s="105">
        <v>5.0</v>
      </c>
      <c r="L19" s="105">
        <v>5.0</v>
      </c>
      <c r="M19" s="102" t="s">
        <v>70</v>
      </c>
      <c r="N19" s="176">
        <v>10.0</v>
      </c>
      <c r="O19" s="176">
        <v>5.0</v>
      </c>
      <c r="P19" s="176">
        <v>5.0</v>
      </c>
      <c r="Q19" s="265">
        <f t="shared" si="1"/>
        <v>5.909090909</v>
      </c>
      <c r="R19" s="35">
        <v>50.0</v>
      </c>
    </row>
    <row r="20" ht="14.25" customHeight="1">
      <c r="A20" s="21"/>
      <c r="B20" s="22"/>
      <c r="C20" s="201">
        <v>2.0</v>
      </c>
      <c r="D20" s="266" t="s">
        <v>162</v>
      </c>
      <c r="E20" s="106">
        <v>10.0</v>
      </c>
      <c r="F20" s="106">
        <v>5.0</v>
      </c>
      <c r="G20" s="106">
        <v>5.0</v>
      </c>
      <c r="H20" s="106">
        <v>5.0</v>
      </c>
      <c r="I20" s="106">
        <v>5.0</v>
      </c>
      <c r="J20" s="271">
        <v>5.0</v>
      </c>
      <c r="K20" s="106">
        <v>5.0</v>
      </c>
      <c r="L20" s="106">
        <v>5.0</v>
      </c>
      <c r="M20" s="27" t="s">
        <v>70</v>
      </c>
      <c r="N20" s="106">
        <v>10.0</v>
      </c>
      <c r="O20" s="106">
        <v>5.0</v>
      </c>
      <c r="P20" s="106">
        <v>5.0</v>
      </c>
      <c r="Q20" s="268">
        <f t="shared" si="1"/>
        <v>5.909090909</v>
      </c>
      <c r="R20" s="39">
        <v>50.0</v>
      </c>
    </row>
    <row r="21" ht="14.25" customHeight="1">
      <c r="A21" s="21"/>
      <c r="B21" s="30"/>
      <c r="C21" s="201">
        <v>3.0</v>
      </c>
      <c r="D21" s="266" t="s">
        <v>163</v>
      </c>
      <c r="E21" s="39">
        <v>5.0</v>
      </c>
      <c r="F21" s="106">
        <v>5.0</v>
      </c>
      <c r="G21" s="106">
        <v>5.0</v>
      </c>
      <c r="H21" s="106">
        <v>5.0</v>
      </c>
      <c r="I21" s="39">
        <v>5.0</v>
      </c>
      <c r="J21" s="212">
        <v>5.0</v>
      </c>
      <c r="K21" s="39">
        <v>5.0</v>
      </c>
      <c r="L21" s="106">
        <v>5.0</v>
      </c>
      <c r="M21" s="106" t="s">
        <v>70</v>
      </c>
      <c r="N21" s="106">
        <v>10.0</v>
      </c>
      <c r="O21" s="106">
        <v>5.0</v>
      </c>
      <c r="P21" s="106">
        <v>7.0</v>
      </c>
      <c r="Q21" s="268">
        <f t="shared" si="1"/>
        <v>5.636363636</v>
      </c>
      <c r="R21" s="39">
        <v>50.0</v>
      </c>
    </row>
    <row r="22" ht="15.75" customHeight="1">
      <c r="A22" s="21"/>
      <c r="B22" s="13" t="s">
        <v>38</v>
      </c>
      <c r="C22" s="202">
        <v>1.0</v>
      </c>
      <c r="D22" s="269" t="s">
        <v>161</v>
      </c>
      <c r="E22" s="107">
        <v>1600.0</v>
      </c>
      <c r="F22" s="47">
        <v>110.0</v>
      </c>
      <c r="G22" s="107">
        <v>22.0</v>
      </c>
      <c r="H22" s="107">
        <v>79.0</v>
      </c>
      <c r="I22" s="107">
        <v>7.8</v>
      </c>
      <c r="J22" s="272">
        <v>33.0</v>
      </c>
      <c r="K22" s="107">
        <v>2400.0</v>
      </c>
      <c r="L22" s="107">
        <v>79.0</v>
      </c>
      <c r="M22" s="107" t="s">
        <v>70</v>
      </c>
      <c r="N22" s="47">
        <v>9200.0</v>
      </c>
      <c r="O22" s="47">
        <v>46.0</v>
      </c>
      <c r="P22" s="47">
        <v>70.0</v>
      </c>
      <c r="Q22" s="273">
        <f t="shared" ref="Q22:Q24" si="2">GEOMEAN(E22:P22)</f>
        <v>141.1252809</v>
      </c>
      <c r="R22" s="20">
        <v>100.0</v>
      </c>
      <c r="S22" s="274"/>
    </row>
    <row r="23" ht="15.75" customHeight="1">
      <c r="A23" s="21"/>
      <c r="B23" s="22"/>
      <c r="C23" s="201">
        <v>2.0</v>
      </c>
      <c r="D23" s="266" t="s">
        <v>162</v>
      </c>
      <c r="E23" s="53">
        <v>9200.0</v>
      </c>
      <c r="F23" s="53">
        <v>79.0</v>
      </c>
      <c r="G23" s="53">
        <v>49.0</v>
      </c>
      <c r="H23" s="53">
        <v>46.0</v>
      </c>
      <c r="I23" s="53">
        <v>11.0</v>
      </c>
      <c r="J23" s="275">
        <v>1700.0</v>
      </c>
      <c r="K23" s="53">
        <v>2400.0</v>
      </c>
      <c r="L23" s="53">
        <v>46.0</v>
      </c>
      <c r="M23" s="53" t="s">
        <v>70</v>
      </c>
      <c r="N23" s="53">
        <v>54000.0</v>
      </c>
      <c r="O23" s="53">
        <v>350.0</v>
      </c>
      <c r="P23" s="53">
        <v>40.0</v>
      </c>
      <c r="Q23" s="276">
        <f t="shared" si="2"/>
        <v>310.1767275</v>
      </c>
      <c r="R23" s="29">
        <v>100.0</v>
      </c>
    </row>
    <row r="24" ht="15.75" customHeight="1">
      <c r="A24" s="21"/>
      <c r="B24" s="30"/>
      <c r="C24" s="201">
        <v>3.0</v>
      </c>
      <c r="D24" s="266" t="s">
        <v>163</v>
      </c>
      <c r="E24" s="53">
        <v>240.0</v>
      </c>
      <c r="F24" s="53">
        <v>49.0</v>
      </c>
      <c r="G24" s="53">
        <v>4.0</v>
      </c>
      <c r="H24" s="53">
        <v>31.0</v>
      </c>
      <c r="I24" s="53">
        <v>6.8</v>
      </c>
      <c r="J24" s="215">
        <v>540.0</v>
      </c>
      <c r="K24" s="53">
        <v>2400.0</v>
      </c>
      <c r="L24" s="53">
        <v>70.0</v>
      </c>
      <c r="M24" s="53" t="s">
        <v>70</v>
      </c>
      <c r="N24" s="53">
        <v>9200.0</v>
      </c>
      <c r="O24" s="53">
        <v>240.0</v>
      </c>
      <c r="P24" s="53">
        <v>79.0</v>
      </c>
      <c r="Q24" s="276">
        <f t="shared" si="2"/>
        <v>128.4390282</v>
      </c>
      <c r="R24" s="29">
        <v>100.0</v>
      </c>
    </row>
    <row r="25" ht="15.75" customHeight="1">
      <c r="A25" s="21"/>
      <c r="B25" s="13" t="s">
        <v>167</v>
      </c>
      <c r="C25" s="202">
        <v>1.0</v>
      </c>
      <c r="D25" s="269" t="s">
        <v>161</v>
      </c>
      <c r="E25" s="108">
        <v>0.208</v>
      </c>
      <c r="F25" s="108">
        <v>0.413</v>
      </c>
      <c r="G25" s="105">
        <v>0.048</v>
      </c>
      <c r="H25" s="108">
        <v>0.133</v>
      </c>
      <c r="I25" s="108">
        <v>0.241</v>
      </c>
      <c r="J25" s="277">
        <v>0.23</v>
      </c>
      <c r="K25" s="105">
        <v>0.459</v>
      </c>
      <c r="L25" s="105">
        <v>0.048</v>
      </c>
      <c r="M25" s="102" t="s">
        <v>70</v>
      </c>
      <c r="N25" s="105">
        <v>0.322</v>
      </c>
      <c r="O25" s="108">
        <v>0.62</v>
      </c>
      <c r="P25" s="108">
        <v>0.41</v>
      </c>
      <c r="Q25" s="278">
        <f t="shared" ref="Q25:Q30" si="3">AVERAGE(E25:P25)</f>
        <v>0.2847272727</v>
      </c>
      <c r="R25" s="20">
        <v>10.0</v>
      </c>
    </row>
    <row r="26" ht="15.75" customHeight="1">
      <c r="A26" s="21"/>
      <c r="B26" s="22"/>
      <c r="C26" s="201">
        <v>2.0</v>
      </c>
      <c r="D26" s="266" t="s">
        <v>162</v>
      </c>
      <c r="E26" s="65">
        <v>0.492</v>
      </c>
      <c r="F26" s="65">
        <v>0.468</v>
      </c>
      <c r="G26" s="106">
        <v>0.117</v>
      </c>
      <c r="H26" s="65">
        <v>0.118</v>
      </c>
      <c r="I26" s="65">
        <v>0.344</v>
      </c>
      <c r="J26" s="279">
        <v>0.05</v>
      </c>
      <c r="K26" s="106">
        <v>0.599</v>
      </c>
      <c r="L26" s="106">
        <v>0.048</v>
      </c>
      <c r="M26" s="27" t="s">
        <v>70</v>
      </c>
      <c r="N26" s="65">
        <v>0.26</v>
      </c>
      <c r="O26" s="65">
        <v>0.799</v>
      </c>
      <c r="P26" s="65">
        <v>0.472</v>
      </c>
      <c r="Q26" s="280">
        <f t="shared" si="3"/>
        <v>0.3424545455</v>
      </c>
      <c r="R26" s="29">
        <v>10.0</v>
      </c>
    </row>
    <row r="27" ht="15.75" customHeight="1">
      <c r="A27" s="21"/>
      <c r="B27" s="30"/>
      <c r="C27" s="201">
        <v>3.0</v>
      </c>
      <c r="D27" s="266" t="s">
        <v>163</v>
      </c>
      <c r="E27" s="65">
        <v>0.341</v>
      </c>
      <c r="F27" s="65">
        <v>0.45</v>
      </c>
      <c r="G27" s="65">
        <v>0.076</v>
      </c>
      <c r="H27" s="65">
        <v>0.138</v>
      </c>
      <c r="I27" s="65">
        <v>0.424</v>
      </c>
      <c r="J27" s="255">
        <v>0.092</v>
      </c>
      <c r="K27" s="65">
        <v>0.703</v>
      </c>
      <c r="L27" s="106">
        <v>0.048</v>
      </c>
      <c r="M27" s="106" t="s">
        <v>70</v>
      </c>
      <c r="N27" s="65">
        <v>0.464</v>
      </c>
      <c r="O27" s="106">
        <v>0.481</v>
      </c>
      <c r="P27" s="65">
        <v>0.41</v>
      </c>
      <c r="Q27" s="280">
        <f t="shared" si="3"/>
        <v>0.3297272727</v>
      </c>
      <c r="R27" s="29">
        <v>10.0</v>
      </c>
    </row>
    <row r="28" ht="15.75" customHeight="1">
      <c r="A28" s="21"/>
      <c r="B28" s="13" t="s">
        <v>168</v>
      </c>
      <c r="C28" s="202">
        <v>1.0</v>
      </c>
      <c r="D28" s="269" t="s">
        <v>161</v>
      </c>
      <c r="E28" s="108">
        <v>0.348</v>
      </c>
      <c r="F28" s="108">
        <v>0.163</v>
      </c>
      <c r="G28" s="105">
        <v>0.063</v>
      </c>
      <c r="H28" s="108">
        <v>0.065</v>
      </c>
      <c r="I28" s="108">
        <v>0.089</v>
      </c>
      <c r="J28" s="277">
        <v>0.026</v>
      </c>
      <c r="K28" s="108">
        <v>0.27</v>
      </c>
      <c r="L28" s="108">
        <v>0.49</v>
      </c>
      <c r="M28" s="102" t="s">
        <v>70</v>
      </c>
      <c r="N28" s="59">
        <v>0.362</v>
      </c>
      <c r="O28" s="59">
        <v>0.205</v>
      </c>
      <c r="P28" s="59">
        <v>0.11</v>
      </c>
      <c r="Q28" s="278">
        <f t="shared" si="3"/>
        <v>0.1991818182</v>
      </c>
      <c r="R28" s="20">
        <v>0.5</v>
      </c>
    </row>
    <row r="29" ht="15.75" customHeight="1">
      <c r="A29" s="21"/>
      <c r="B29" s="22"/>
      <c r="C29" s="201">
        <v>2.0</v>
      </c>
      <c r="D29" s="266" t="s">
        <v>162</v>
      </c>
      <c r="E29" s="65">
        <v>0.272</v>
      </c>
      <c r="F29" s="65">
        <v>0.18</v>
      </c>
      <c r="G29" s="106">
        <v>0.077</v>
      </c>
      <c r="H29" s="65">
        <v>0.05</v>
      </c>
      <c r="I29" s="65">
        <v>0.069</v>
      </c>
      <c r="J29" s="279">
        <v>0.022</v>
      </c>
      <c r="K29" s="65">
        <v>0.281</v>
      </c>
      <c r="L29" s="106">
        <v>0.736</v>
      </c>
      <c r="M29" s="27" t="s">
        <v>70</v>
      </c>
      <c r="N29" s="65">
        <v>0.403</v>
      </c>
      <c r="O29" s="65">
        <v>0.58</v>
      </c>
      <c r="P29" s="65">
        <v>0.149</v>
      </c>
      <c r="Q29" s="280">
        <f t="shared" si="3"/>
        <v>0.2562727273</v>
      </c>
      <c r="R29" s="29">
        <v>0.5</v>
      </c>
    </row>
    <row r="30" ht="15.75" customHeight="1">
      <c r="A30" s="21"/>
      <c r="B30" s="30"/>
      <c r="C30" s="201">
        <v>3.0</v>
      </c>
      <c r="D30" s="266" t="s">
        <v>163</v>
      </c>
      <c r="E30" s="65">
        <v>0.209</v>
      </c>
      <c r="F30" s="65">
        <v>0.15</v>
      </c>
      <c r="G30" s="106">
        <v>0.074</v>
      </c>
      <c r="H30" s="65">
        <v>0.075</v>
      </c>
      <c r="I30" s="65">
        <v>0.071</v>
      </c>
      <c r="J30" s="255">
        <v>0.015</v>
      </c>
      <c r="K30" s="65">
        <v>0.239</v>
      </c>
      <c r="L30" s="106">
        <v>0.894</v>
      </c>
      <c r="M30" s="106" t="s">
        <v>70</v>
      </c>
      <c r="N30" s="65">
        <v>0.399</v>
      </c>
      <c r="O30" s="65">
        <v>0.529</v>
      </c>
      <c r="P30" s="65">
        <v>0.136</v>
      </c>
      <c r="Q30" s="280">
        <f t="shared" si="3"/>
        <v>0.2537272727</v>
      </c>
      <c r="R30" s="29">
        <v>0.5</v>
      </c>
    </row>
    <row r="31" ht="15.75" hidden="1" customHeight="1">
      <c r="A31" s="21"/>
      <c r="B31" s="13" t="s">
        <v>42</v>
      </c>
      <c r="C31" s="202">
        <v>1.0</v>
      </c>
      <c r="D31" s="269" t="s">
        <v>161</v>
      </c>
      <c r="E31" s="281"/>
      <c r="F31" s="105" t="s">
        <v>169</v>
      </c>
      <c r="G31" s="281"/>
      <c r="H31" s="282" t="s">
        <v>170</v>
      </c>
      <c r="I31" s="281"/>
      <c r="J31" s="281"/>
      <c r="K31" s="281"/>
      <c r="L31" s="281"/>
      <c r="M31" s="281"/>
      <c r="N31" s="283"/>
      <c r="O31" s="283"/>
      <c r="P31" s="283"/>
      <c r="Q31" s="60" t="str">
        <f t="shared" ref="Q31:Q33" si="4">AVERAGE(I31)</f>
        <v>#DIV/0!</v>
      </c>
      <c r="R31" s="20">
        <v>0.5</v>
      </c>
    </row>
    <row r="32" ht="15.75" hidden="1" customHeight="1">
      <c r="A32" s="21"/>
      <c r="B32" s="22"/>
      <c r="C32" s="201">
        <v>2.0</v>
      </c>
      <c r="D32" s="266" t="s">
        <v>162</v>
      </c>
      <c r="E32" s="21"/>
      <c r="F32" s="106" t="s">
        <v>169</v>
      </c>
      <c r="G32" s="21"/>
      <c r="H32" s="284" t="s">
        <v>171</v>
      </c>
      <c r="I32" s="21"/>
      <c r="J32" s="21"/>
      <c r="K32" s="21"/>
      <c r="L32" s="21"/>
      <c r="M32" s="21"/>
      <c r="N32" s="285"/>
      <c r="O32" s="285"/>
      <c r="P32" s="285"/>
      <c r="Q32" s="67" t="str">
        <f t="shared" si="4"/>
        <v>#DIV/0!</v>
      </c>
      <c r="R32" s="29">
        <v>0.5</v>
      </c>
    </row>
    <row r="33" ht="15.75" hidden="1" customHeight="1">
      <c r="A33" s="21"/>
      <c r="B33" s="30"/>
      <c r="C33" s="201">
        <v>3.0</v>
      </c>
      <c r="D33" s="266" t="s">
        <v>163</v>
      </c>
      <c r="E33" s="21"/>
      <c r="F33" s="27" t="s">
        <v>169</v>
      </c>
      <c r="G33" s="21"/>
      <c r="H33" s="284" t="s">
        <v>172</v>
      </c>
      <c r="I33" s="21"/>
      <c r="J33" s="21"/>
      <c r="K33" s="21"/>
      <c r="L33" s="21"/>
      <c r="M33" s="21"/>
      <c r="N33" s="285"/>
      <c r="O33" s="285"/>
      <c r="P33" s="285"/>
      <c r="Q33" s="67" t="str">
        <f t="shared" si="4"/>
        <v>#DIV/0!</v>
      </c>
      <c r="R33" s="29">
        <v>0.5</v>
      </c>
    </row>
    <row r="34" ht="14.2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5"/>
      <c r="M34" s="135"/>
      <c r="N34" s="135"/>
      <c r="O34" s="135"/>
      <c r="P34" s="135"/>
      <c r="Q34" s="134"/>
      <c r="R34" s="134"/>
    </row>
    <row r="35" ht="15.0" customHeight="1">
      <c r="A35" s="110" t="s">
        <v>43</v>
      </c>
      <c r="E35" s="134"/>
      <c r="F35" s="134"/>
      <c r="G35" s="134"/>
      <c r="H35" s="134"/>
      <c r="I35" s="134"/>
      <c r="J35" s="134"/>
      <c r="K35" s="134"/>
      <c r="L35" s="135"/>
      <c r="M35" s="135"/>
      <c r="N35" s="135"/>
      <c r="O35" s="135"/>
      <c r="P35" s="135"/>
      <c r="Q35" s="134"/>
      <c r="R35" s="134"/>
    </row>
    <row r="36" ht="14.25" customHeight="1">
      <c r="E36" s="134"/>
      <c r="F36" s="134"/>
      <c r="G36" s="134"/>
      <c r="H36" s="134"/>
      <c r="I36" s="134"/>
      <c r="J36" s="134"/>
      <c r="K36" s="134"/>
      <c r="L36" s="135"/>
      <c r="M36" s="135"/>
      <c r="N36" s="135"/>
      <c r="O36" s="135"/>
      <c r="P36" s="135"/>
      <c r="Q36" s="134"/>
      <c r="R36" s="134"/>
    </row>
    <row r="37" ht="14.25" customHeight="1">
      <c r="A37" s="136" t="s">
        <v>173</v>
      </c>
      <c r="E37" s="134"/>
      <c r="F37" s="134"/>
      <c r="G37" s="134"/>
      <c r="H37" s="134"/>
      <c r="I37" s="134"/>
      <c r="J37" s="134"/>
      <c r="K37" s="134"/>
      <c r="L37" s="135"/>
      <c r="M37" s="135"/>
      <c r="N37" s="135"/>
      <c r="O37" s="135"/>
      <c r="P37" s="135"/>
      <c r="Q37" s="134"/>
      <c r="R37" s="134"/>
    </row>
    <row r="38" ht="14.25" customHeight="1">
      <c r="E38" s="134"/>
      <c r="F38" s="134"/>
      <c r="G38" s="134"/>
      <c r="H38" s="134"/>
      <c r="I38" s="134"/>
      <c r="J38" s="134"/>
      <c r="K38" s="134"/>
      <c r="L38" s="135"/>
      <c r="M38" s="135"/>
      <c r="N38" s="135"/>
      <c r="O38" s="135"/>
      <c r="P38" s="135"/>
      <c r="Q38" s="134"/>
      <c r="R38" s="134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D36"/>
    <mergeCell ref="A37:D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70.71"/>
    <col customWidth="1" min="5" max="6" width="10.71" outlineLevel="1"/>
    <col customWidth="1" min="7" max="8" width="6.71" outlineLevel="1"/>
    <col customWidth="1" min="9" max="9" width="7.71" outlineLevel="1"/>
    <col customWidth="1" min="10" max="10" width="6.86" outlineLevel="1"/>
    <col customWidth="1" min="11" max="11" width="10.43" outlineLevel="1"/>
    <col customWidth="1" min="12" max="12" width="9.57" outlineLevel="1"/>
    <col customWidth="1" min="13" max="13" width="13.86" outlineLevel="1"/>
    <col customWidth="1" min="14" max="14" width="10.71" outlineLevel="1"/>
    <col customWidth="1" min="15" max="15" width="12.86" outlineLevel="1"/>
    <col customWidth="1" min="16" max="16" width="13.0" outlineLevel="1"/>
    <col customWidth="1" min="17" max="17" width="27.0"/>
    <col customWidth="1" min="18" max="18" width="14.0"/>
    <col customWidth="1" min="19" max="3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7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86" t="s">
        <v>19</v>
      </c>
      <c r="R4" s="262" t="s">
        <v>20</v>
      </c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</row>
    <row r="5" ht="14.25" customHeight="1">
      <c r="A5" s="8" t="s">
        <v>174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 t="s">
        <v>32</v>
      </c>
    </row>
    <row r="6" ht="14.25" customHeight="1">
      <c r="A6" s="11" t="s">
        <v>160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</row>
    <row r="7" ht="15.75" customHeight="1">
      <c r="A7" s="101" t="s">
        <v>23</v>
      </c>
      <c r="B7" s="74" t="s">
        <v>24</v>
      </c>
      <c r="C7" s="199">
        <v>1.0</v>
      </c>
      <c r="D7" s="287" t="s">
        <v>175</v>
      </c>
      <c r="E7" s="102">
        <v>4.5</v>
      </c>
      <c r="F7" s="102">
        <v>8.0</v>
      </c>
      <c r="G7" s="102">
        <v>9.83</v>
      </c>
      <c r="H7" s="102">
        <v>6.43</v>
      </c>
      <c r="I7" s="102">
        <v>6.4</v>
      </c>
      <c r="J7" s="288">
        <v>7.02</v>
      </c>
      <c r="K7" s="105">
        <v>5.47</v>
      </c>
      <c r="L7" s="102">
        <v>2.1</v>
      </c>
      <c r="M7" s="102">
        <v>2.05</v>
      </c>
      <c r="N7" s="102">
        <v>1.9</v>
      </c>
      <c r="O7" s="102">
        <v>1.83</v>
      </c>
      <c r="P7" s="105">
        <v>5.01</v>
      </c>
      <c r="Q7" s="265">
        <f t="shared" ref="Q7:Q21" si="1">AVERAGE(E7:P7)</f>
        <v>5.045</v>
      </c>
      <c r="R7" s="200">
        <v>6.0</v>
      </c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</row>
    <row r="8" ht="15.75" customHeight="1">
      <c r="A8" s="21"/>
      <c r="B8" s="22"/>
      <c r="C8" s="201">
        <v>2.0</v>
      </c>
      <c r="D8" s="289" t="s">
        <v>176</v>
      </c>
      <c r="E8" s="106">
        <v>4.72</v>
      </c>
      <c r="F8" s="27">
        <v>7.62</v>
      </c>
      <c r="G8" s="27">
        <v>8.67</v>
      </c>
      <c r="H8" s="27">
        <v>6.78</v>
      </c>
      <c r="I8" s="27">
        <v>6.5</v>
      </c>
      <c r="J8" s="210">
        <v>6.64</v>
      </c>
      <c r="K8" s="27">
        <v>5.27</v>
      </c>
      <c r="L8" s="27">
        <v>2.58</v>
      </c>
      <c r="M8" s="27">
        <v>2.31</v>
      </c>
      <c r="N8" s="27">
        <v>2.2</v>
      </c>
      <c r="O8" s="27">
        <v>1.91</v>
      </c>
      <c r="P8" s="27">
        <v>5.0</v>
      </c>
      <c r="Q8" s="268">
        <f t="shared" si="1"/>
        <v>5.016666667</v>
      </c>
      <c r="R8" s="29">
        <v>6.0</v>
      </c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</row>
    <row r="9" ht="15.75" customHeight="1">
      <c r="A9" s="21"/>
      <c r="B9" s="30"/>
      <c r="C9" s="201">
        <v>3.0</v>
      </c>
      <c r="D9" s="289" t="s">
        <v>177</v>
      </c>
      <c r="E9" s="27">
        <v>5.7</v>
      </c>
      <c r="F9" s="27">
        <v>7.7</v>
      </c>
      <c r="G9" s="106">
        <v>8.71</v>
      </c>
      <c r="H9" s="27">
        <v>6.31</v>
      </c>
      <c r="I9" s="27">
        <v>5.9</v>
      </c>
      <c r="J9" s="210">
        <v>6.32</v>
      </c>
      <c r="K9" s="106">
        <v>5.02</v>
      </c>
      <c r="L9" s="27">
        <v>2.33</v>
      </c>
      <c r="M9" s="27">
        <v>2.26</v>
      </c>
      <c r="N9" s="27">
        <v>2.15</v>
      </c>
      <c r="O9" s="27">
        <v>1.98</v>
      </c>
      <c r="P9" s="27">
        <v>4.99</v>
      </c>
      <c r="Q9" s="268">
        <f t="shared" si="1"/>
        <v>4.9475</v>
      </c>
      <c r="R9" s="29">
        <v>6.0</v>
      </c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</row>
    <row r="10" ht="15.75" customHeight="1">
      <c r="A10" s="21"/>
      <c r="B10" s="13" t="s">
        <v>31</v>
      </c>
      <c r="C10" s="202">
        <v>1.0</v>
      </c>
      <c r="D10" s="290" t="s">
        <v>175</v>
      </c>
      <c r="E10" s="105">
        <v>21.0</v>
      </c>
      <c r="F10" s="124">
        <v>24.0</v>
      </c>
      <c r="G10" s="124">
        <v>38.0</v>
      </c>
      <c r="H10" s="105">
        <v>13.0</v>
      </c>
      <c r="I10" s="105">
        <v>34.0</v>
      </c>
      <c r="J10" s="291">
        <v>19.0</v>
      </c>
      <c r="K10" s="176">
        <v>452.0</v>
      </c>
      <c r="L10" s="176">
        <v>25.0</v>
      </c>
      <c r="M10" s="176">
        <v>60.0</v>
      </c>
      <c r="N10" s="176">
        <v>74.0</v>
      </c>
      <c r="O10" s="105">
        <v>1030.0</v>
      </c>
      <c r="P10" s="105">
        <v>31.0</v>
      </c>
      <c r="Q10" s="273">
        <f t="shared" si="1"/>
        <v>151.75</v>
      </c>
      <c r="R10" s="20">
        <v>50.0</v>
      </c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</row>
    <row r="11" ht="15.75" customHeight="1">
      <c r="A11" s="21"/>
      <c r="B11" s="22"/>
      <c r="C11" s="201">
        <v>2.0</v>
      </c>
      <c r="D11" s="289" t="s">
        <v>176</v>
      </c>
      <c r="E11" s="39">
        <v>16.0</v>
      </c>
      <c r="F11" s="39">
        <v>23.0</v>
      </c>
      <c r="G11" s="39">
        <v>9.0</v>
      </c>
      <c r="H11" s="106">
        <v>18.0</v>
      </c>
      <c r="I11" s="106">
        <v>29.0</v>
      </c>
      <c r="J11" s="209">
        <v>24.0</v>
      </c>
      <c r="K11" s="106">
        <v>460.0</v>
      </c>
      <c r="L11" s="106">
        <v>17.0</v>
      </c>
      <c r="M11" s="106">
        <v>77.0</v>
      </c>
      <c r="N11" s="106">
        <v>42.0</v>
      </c>
      <c r="O11" s="106">
        <v>635.0</v>
      </c>
      <c r="P11" s="106">
        <v>29.0</v>
      </c>
      <c r="Q11" s="276">
        <f t="shared" si="1"/>
        <v>114.9166667</v>
      </c>
      <c r="R11" s="29">
        <v>50.0</v>
      </c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</row>
    <row r="12" ht="15.75" customHeight="1">
      <c r="A12" s="21"/>
      <c r="B12" s="30"/>
      <c r="C12" s="201">
        <v>3.0</v>
      </c>
      <c r="D12" s="289" t="s">
        <v>177</v>
      </c>
      <c r="E12" s="39">
        <v>42.0</v>
      </c>
      <c r="F12" s="106">
        <v>172.0</v>
      </c>
      <c r="G12" s="39">
        <v>34.0</v>
      </c>
      <c r="H12" s="39">
        <v>10.0</v>
      </c>
      <c r="I12" s="39">
        <v>22.0</v>
      </c>
      <c r="J12" s="212">
        <v>15.0</v>
      </c>
      <c r="K12" s="106">
        <v>232.0</v>
      </c>
      <c r="L12" s="106">
        <v>33.0</v>
      </c>
      <c r="M12" s="106">
        <v>48.0</v>
      </c>
      <c r="N12" s="106">
        <v>26.0</v>
      </c>
      <c r="O12" s="106">
        <v>740.0</v>
      </c>
      <c r="P12" s="106">
        <v>35.0</v>
      </c>
      <c r="Q12" s="276">
        <f t="shared" si="1"/>
        <v>117.4166667</v>
      </c>
      <c r="R12" s="29">
        <v>50.0</v>
      </c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5.75" customHeight="1">
      <c r="A13" s="21"/>
      <c r="B13" s="13" t="s">
        <v>33</v>
      </c>
      <c r="C13" s="202">
        <v>1.0</v>
      </c>
      <c r="D13" s="290" t="s">
        <v>175</v>
      </c>
      <c r="E13" s="105">
        <v>9.02</v>
      </c>
      <c r="F13" s="102">
        <v>7.0</v>
      </c>
      <c r="G13" s="102">
        <v>8.09</v>
      </c>
      <c r="H13" s="102">
        <v>8.22</v>
      </c>
      <c r="I13" s="102">
        <v>7.0</v>
      </c>
      <c r="J13" s="288">
        <v>7.99</v>
      </c>
      <c r="K13" s="18">
        <v>7.0</v>
      </c>
      <c r="L13" s="18">
        <v>7.0</v>
      </c>
      <c r="M13" s="18">
        <v>7.0</v>
      </c>
      <c r="N13" s="102">
        <v>7.0</v>
      </c>
      <c r="O13" s="102">
        <v>7.0</v>
      </c>
      <c r="P13" s="18">
        <v>8.01</v>
      </c>
      <c r="Q13" s="265">
        <f t="shared" si="1"/>
        <v>7.5275</v>
      </c>
      <c r="R13" s="292" t="s">
        <v>164</v>
      </c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5.75" customHeight="1">
      <c r="A14" s="21"/>
      <c r="B14" s="22"/>
      <c r="C14" s="201">
        <v>2.0</v>
      </c>
      <c r="D14" s="289" t="s">
        <v>176</v>
      </c>
      <c r="E14" s="27">
        <v>8.91</v>
      </c>
      <c r="F14" s="27">
        <v>7.0</v>
      </c>
      <c r="G14" s="27">
        <v>8.04</v>
      </c>
      <c r="H14" s="27">
        <v>8.15</v>
      </c>
      <c r="I14" s="27">
        <v>7.0</v>
      </c>
      <c r="J14" s="210">
        <v>8.02</v>
      </c>
      <c r="K14" s="27">
        <v>7.0</v>
      </c>
      <c r="L14" s="27">
        <v>7.0</v>
      </c>
      <c r="M14" s="27">
        <v>7.0</v>
      </c>
      <c r="N14" s="27">
        <v>7.0</v>
      </c>
      <c r="O14" s="27">
        <v>7.0</v>
      </c>
      <c r="P14" s="27">
        <v>8.1</v>
      </c>
      <c r="Q14" s="268">
        <f t="shared" si="1"/>
        <v>7.518333333</v>
      </c>
      <c r="R14" s="293" t="s">
        <v>164</v>
      </c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</row>
    <row r="15" ht="15.75" customHeight="1">
      <c r="A15" s="21"/>
      <c r="B15" s="30"/>
      <c r="C15" s="201">
        <v>3.0</v>
      </c>
      <c r="D15" s="289" t="s">
        <v>177</v>
      </c>
      <c r="E15" s="27">
        <v>8.96</v>
      </c>
      <c r="F15" s="27">
        <v>7.0</v>
      </c>
      <c r="G15" s="106">
        <v>8.02</v>
      </c>
      <c r="H15" s="27">
        <v>8.48</v>
      </c>
      <c r="I15" s="27">
        <v>7.0</v>
      </c>
      <c r="J15" s="210">
        <v>8.23</v>
      </c>
      <c r="K15" s="27">
        <v>7.0</v>
      </c>
      <c r="L15" s="27">
        <v>7.0</v>
      </c>
      <c r="M15" s="27">
        <v>7.0</v>
      </c>
      <c r="N15" s="27">
        <v>7.0</v>
      </c>
      <c r="O15" s="27">
        <v>7.0</v>
      </c>
      <c r="P15" s="27">
        <v>8.13</v>
      </c>
      <c r="Q15" s="268">
        <f t="shared" si="1"/>
        <v>7.568333333</v>
      </c>
      <c r="R15" s="293" t="s">
        <v>164</v>
      </c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</row>
    <row r="16" ht="15.75" customHeight="1">
      <c r="A16" s="21"/>
      <c r="B16" s="13" t="s">
        <v>178</v>
      </c>
      <c r="C16" s="202">
        <v>1.0</v>
      </c>
      <c r="D16" s="290" t="s">
        <v>175</v>
      </c>
      <c r="E16" s="102">
        <v>28.95</v>
      </c>
      <c r="F16" s="102">
        <v>30.0</v>
      </c>
      <c r="G16" s="102">
        <v>29.7</v>
      </c>
      <c r="H16" s="102">
        <v>29.89</v>
      </c>
      <c r="I16" s="102">
        <v>28.34</v>
      </c>
      <c r="J16" s="288">
        <v>30.3</v>
      </c>
      <c r="K16" s="18">
        <v>27.2</v>
      </c>
      <c r="L16" s="18">
        <v>28.1</v>
      </c>
      <c r="M16" s="18">
        <v>28.25</v>
      </c>
      <c r="N16" s="102">
        <v>28.5</v>
      </c>
      <c r="O16" s="102">
        <v>28.4</v>
      </c>
      <c r="P16" s="18">
        <v>28.95</v>
      </c>
      <c r="Q16" s="265">
        <f t="shared" si="1"/>
        <v>28.88166667</v>
      </c>
      <c r="R16" s="18" t="s">
        <v>166</v>
      </c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</row>
    <row r="17" ht="15.75" customHeight="1">
      <c r="A17" s="21"/>
      <c r="B17" s="22"/>
      <c r="C17" s="201">
        <v>2.0</v>
      </c>
      <c r="D17" s="289" t="s">
        <v>176</v>
      </c>
      <c r="E17" s="27">
        <v>29.53</v>
      </c>
      <c r="F17" s="27">
        <v>30.0</v>
      </c>
      <c r="G17" s="27">
        <v>29.6</v>
      </c>
      <c r="H17" s="27">
        <v>28.67</v>
      </c>
      <c r="I17" s="27">
        <v>28.05</v>
      </c>
      <c r="J17" s="210">
        <v>30.53</v>
      </c>
      <c r="K17" s="27">
        <v>26.93</v>
      </c>
      <c r="L17" s="27">
        <v>28.29</v>
      </c>
      <c r="M17" s="27">
        <v>28.37</v>
      </c>
      <c r="N17" s="27">
        <v>28.62</v>
      </c>
      <c r="O17" s="27">
        <v>28.48</v>
      </c>
      <c r="P17" s="27">
        <v>28.9</v>
      </c>
      <c r="Q17" s="268">
        <f t="shared" si="1"/>
        <v>28.83083333</v>
      </c>
      <c r="R17" s="27" t="s">
        <v>166</v>
      </c>
    </row>
    <row r="18" ht="15.75" customHeight="1">
      <c r="A18" s="21"/>
      <c r="B18" s="30"/>
      <c r="C18" s="201">
        <v>3.0</v>
      </c>
      <c r="D18" s="289" t="s">
        <v>177</v>
      </c>
      <c r="E18" s="27">
        <v>29.9</v>
      </c>
      <c r="F18" s="27">
        <v>30.15</v>
      </c>
      <c r="G18" s="27">
        <v>29.7</v>
      </c>
      <c r="H18" s="27">
        <v>28.85</v>
      </c>
      <c r="I18" s="27">
        <v>29.87</v>
      </c>
      <c r="J18" s="210">
        <v>30.38</v>
      </c>
      <c r="K18" s="27">
        <v>27.3</v>
      </c>
      <c r="L18" s="27">
        <v>28.03</v>
      </c>
      <c r="M18" s="27">
        <v>28.1</v>
      </c>
      <c r="N18" s="27">
        <v>28.58</v>
      </c>
      <c r="O18" s="27">
        <v>28.31</v>
      </c>
      <c r="P18" s="27">
        <v>28.89</v>
      </c>
      <c r="Q18" s="268">
        <f t="shared" si="1"/>
        <v>29.005</v>
      </c>
      <c r="R18" s="27" t="s">
        <v>166</v>
      </c>
    </row>
    <row r="19" ht="14.25" customHeight="1">
      <c r="A19" s="21"/>
      <c r="B19" s="13" t="s">
        <v>37</v>
      </c>
      <c r="C19" s="202">
        <v>1.0</v>
      </c>
      <c r="D19" s="290" t="s">
        <v>175</v>
      </c>
      <c r="E19" s="105">
        <v>15.0</v>
      </c>
      <c r="F19" s="124">
        <v>15.0</v>
      </c>
      <c r="G19" s="124">
        <v>10.0</v>
      </c>
      <c r="H19" s="105">
        <v>5.0</v>
      </c>
      <c r="I19" s="105">
        <v>5.0</v>
      </c>
      <c r="J19" s="291">
        <v>5.0</v>
      </c>
      <c r="K19" s="176">
        <v>5.0</v>
      </c>
      <c r="L19" s="176">
        <v>5.0</v>
      </c>
      <c r="M19" s="176">
        <v>5.0</v>
      </c>
      <c r="N19" s="176">
        <v>15.0</v>
      </c>
      <c r="O19" s="105">
        <v>5.0</v>
      </c>
      <c r="P19" s="176">
        <v>5.0</v>
      </c>
      <c r="Q19" s="273">
        <f t="shared" si="1"/>
        <v>7.916666667</v>
      </c>
      <c r="R19" s="35">
        <v>50.0</v>
      </c>
    </row>
    <row r="20" ht="14.25" customHeight="1">
      <c r="A20" s="21"/>
      <c r="B20" s="22"/>
      <c r="C20" s="201">
        <v>2.0</v>
      </c>
      <c r="D20" s="289" t="s">
        <v>176</v>
      </c>
      <c r="E20" s="39">
        <v>15.0</v>
      </c>
      <c r="F20" s="39">
        <v>5.0</v>
      </c>
      <c r="G20" s="39">
        <v>15.0</v>
      </c>
      <c r="H20" s="106">
        <v>5.0</v>
      </c>
      <c r="I20" s="106">
        <v>5.0</v>
      </c>
      <c r="J20" s="209">
        <v>5.0</v>
      </c>
      <c r="K20" s="106">
        <v>5.0</v>
      </c>
      <c r="L20" s="106">
        <v>5.0</v>
      </c>
      <c r="M20" s="106">
        <v>5.0</v>
      </c>
      <c r="N20" s="106">
        <v>15.0</v>
      </c>
      <c r="O20" s="106">
        <v>5.0</v>
      </c>
      <c r="P20" s="106">
        <v>5.0</v>
      </c>
      <c r="Q20" s="276">
        <f t="shared" si="1"/>
        <v>7.5</v>
      </c>
      <c r="R20" s="39">
        <v>50.0</v>
      </c>
    </row>
    <row r="21" ht="14.25" customHeight="1">
      <c r="A21" s="21"/>
      <c r="B21" s="30"/>
      <c r="C21" s="201">
        <v>3.0</v>
      </c>
      <c r="D21" s="289" t="s">
        <v>177</v>
      </c>
      <c r="E21" s="39">
        <v>15.0</v>
      </c>
      <c r="F21" s="106">
        <v>5.0</v>
      </c>
      <c r="G21" s="39">
        <v>10.0</v>
      </c>
      <c r="H21" s="39">
        <v>5.0</v>
      </c>
      <c r="I21" s="39">
        <v>5.0</v>
      </c>
      <c r="J21" s="212">
        <v>5.0</v>
      </c>
      <c r="K21" s="106">
        <v>5.0</v>
      </c>
      <c r="L21" s="106">
        <v>5.0</v>
      </c>
      <c r="M21" s="106">
        <v>5.0</v>
      </c>
      <c r="N21" s="106">
        <v>15.0</v>
      </c>
      <c r="O21" s="106">
        <v>5.0</v>
      </c>
      <c r="P21" s="106">
        <v>5.0</v>
      </c>
      <c r="Q21" s="276">
        <f t="shared" si="1"/>
        <v>7.083333333</v>
      </c>
      <c r="R21" s="39">
        <v>50.0</v>
      </c>
    </row>
    <row r="22" ht="15.75" customHeight="1">
      <c r="A22" s="21"/>
      <c r="B22" s="13" t="s">
        <v>38</v>
      </c>
      <c r="C22" s="202">
        <v>1.0</v>
      </c>
      <c r="D22" s="290" t="s">
        <v>175</v>
      </c>
      <c r="E22" s="107">
        <v>540.0</v>
      </c>
      <c r="F22" s="107">
        <v>22.0</v>
      </c>
      <c r="G22" s="47">
        <v>79.0</v>
      </c>
      <c r="H22" s="107">
        <v>79.0</v>
      </c>
      <c r="I22" s="107">
        <v>11.0</v>
      </c>
      <c r="J22" s="294">
        <v>2400.0</v>
      </c>
      <c r="K22" s="47">
        <v>160000.0</v>
      </c>
      <c r="L22" s="47">
        <v>540.0</v>
      </c>
      <c r="M22" s="47">
        <v>1700.0</v>
      </c>
      <c r="N22" s="47">
        <v>920.0</v>
      </c>
      <c r="O22" s="107">
        <v>35000.0</v>
      </c>
      <c r="P22" s="47">
        <v>70.0</v>
      </c>
      <c r="Q22" s="295">
        <f t="shared" ref="Q22:Q24" si="2">GEOMEAN(E22:P22)</f>
        <v>542.3744971</v>
      </c>
      <c r="R22" s="20">
        <v>100.0</v>
      </c>
      <c r="S22" s="50">
        <f>GEOMEAN(Q22:Q24)</f>
        <v>445.0888181</v>
      </c>
    </row>
    <row r="23" ht="15.75" customHeight="1">
      <c r="A23" s="21"/>
      <c r="B23" s="22"/>
      <c r="C23" s="201">
        <v>2.0</v>
      </c>
      <c r="D23" s="289" t="s">
        <v>176</v>
      </c>
      <c r="E23" s="53">
        <v>350.0</v>
      </c>
      <c r="F23" s="53">
        <v>4.5</v>
      </c>
      <c r="G23" s="53">
        <v>79.0</v>
      </c>
      <c r="H23" s="53">
        <v>240.0</v>
      </c>
      <c r="I23" s="53">
        <v>17.0</v>
      </c>
      <c r="J23" s="215">
        <v>3500.0</v>
      </c>
      <c r="K23" s="173">
        <v>160000.0</v>
      </c>
      <c r="L23" s="53">
        <v>1700.0</v>
      </c>
      <c r="M23" s="173">
        <v>2400.0</v>
      </c>
      <c r="N23" s="173">
        <v>1700.0</v>
      </c>
      <c r="O23" s="53">
        <v>9200.0</v>
      </c>
      <c r="P23" s="173">
        <v>94.0</v>
      </c>
      <c r="Q23" s="296">
        <f t="shared" si="2"/>
        <v>587.9156898</v>
      </c>
      <c r="R23" s="29">
        <v>100.0</v>
      </c>
    </row>
    <row r="24" ht="15.75" customHeight="1">
      <c r="A24" s="21"/>
      <c r="B24" s="30"/>
      <c r="C24" s="201">
        <v>3.0</v>
      </c>
      <c r="D24" s="289" t="s">
        <v>177</v>
      </c>
      <c r="E24" s="53">
        <v>33.0</v>
      </c>
      <c r="F24" s="53">
        <v>13.0</v>
      </c>
      <c r="G24" s="53">
        <v>79.0</v>
      </c>
      <c r="H24" s="53">
        <v>49.0</v>
      </c>
      <c r="I24" s="53">
        <v>13.0</v>
      </c>
      <c r="J24" s="215">
        <v>79.0</v>
      </c>
      <c r="K24" s="173">
        <v>92000.0</v>
      </c>
      <c r="L24" s="53">
        <v>540.0</v>
      </c>
      <c r="M24" s="173">
        <v>1300.0</v>
      </c>
      <c r="N24" s="173">
        <v>540.0</v>
      </c>
      <c r="O24" s="53">
        <v>24000.0</v>
      </c>
      <c r="P24" s="173">
        <v>140.0</v>
      </c>
      <c r="Q24" s="296">
        <f t="shared" si="2"/>
        <v>276.5194856</v>
      </c>
      <c r="R24" s="29">
        <v>100.0</v>
      </c>
    </row>
    <row r="25" ht="15.75" customHeight="1">
      <c r="A25" s="21"/>
      <c r="B25" s="13" t="s">
        <v>179</v>
      </c>
      <c r="C25" s="202">
        <v>1.0</v>
      </c>
      <c r="D25" s="290" t="s">
        <v>175</v>
      </c>
      <c r="E25" s="105">
        <v>0.149</v>
      </c>
      <c r="F25" s="108">
        <v>0.091</v>
      </c>
      <c r="G25" s="108">
        <v>0.138</v>
      </c>
      <c r="H25" s="108">
        <v>0.326</v>
      </c>
      <c r="I25" s="108">
        <v>0.048</v>
      </c>
      <c r="J25" s="291">
        <v>0.208</v>
      </c>
      <c r="K25" s="188">
        <v>0.378</v>
      </c>
      <c r="L25" s="176">
        <v>0.193</v>
      </c>
      <c r="M25" s="59">
        <v>0.409</v>
      </c>
      <c r="N25" s="59">
        <v>0.273</v>
      </c>
      <c r="O25" s="297">
        <v>0.298</v>
      </c>
      <c r="P25" s="105">
        <v>0.298</v>
      </c>
      <c r="Q25" s="278">
        <f t="shared" ref="Q25:Q30" si="3">AVERAGE(E25:P25)</f>
        <v>0.2340833333</v>
      </c>
      <c r="R25" s="20">
        <v>10.0</v>
      </c>
    </row>
    <row r="26" ht="15.75" customHeight="1">
      <c r="A26" s="21"/>
      <c r="B26" s="22"/>
      <c r="C26" s="201">
        <v>2.0</v>
      </c>
      <c r="D26" s="289" t="s">
        <v>176</v>
      </c>
      <c r="E26" s="65">
        <v>0.328</v>
      </c>
      <c r="F26" s="65">
        <v>0.048</v>
      </c>
      <c r="G26" s="65">
        <v>0.166</v>
      </c>
      <c r="H26" s="65">
        <v>0.048</v>
      </c>
      <c r="I26" s="65">
        <v>0.133</v>
      </c>
      <c r="J26" s="209">
        <v>0.086</v>
      </c>
      <c r="K26" s="195">
        <v>0.42</v>
      </c>
      <c r="L26" s="106">
        <v>0.197</v>
      </c>
      <c r="M26" s="106">
        <v>0.322</v>
      </c>
      <c r="N26" s="65">
        <v>0.171</v>
      </c>
      <c r="O26" s="298">
        <v>0.183</v>
      </c>
      <c r="P26" s="65">
        <v>0.267</v>
      </c>
      <c r="Q26" s="280">
        <f t="shared" si="3"/>
        <v>0.1974166667</v>
      </c>
      <c r="R26" s="29">
        <v>10.0</v>
      </c>
    </row>
    <row r="27" ht="15.75" customHeight="1">
      <c r="A27" s="21"/>
      <c r="B27" s="30"/>
      <c r="C27" s="201">
        <v>3.0</v>
      </c>
      <c r="D27" s="289" t="s">
        <v>177</v>
      </c>
      <c r="E27" s="65">
        <v>0.359</v>
      </c>
      <c r="F27" s="106">
        <v>0.274</v>
      </c>
      <c r="G27" s="106">
        <v>0.264</v>
      </c>
      <c r="H27" s="65">
        <v>0.128</v>
      </c>
      <c r="I27" s="65">
        <v>0.104</v>
      </c>
      <c r="J27" s="255">
        <v>0.128</v>
      </c>
      <c r="K27" s="195">
        <v>0.368</v>
      </c>
      <c r="L27" s="106">
        <v>0.048</v>
      </c>
      <c r="M27" s="106">
        <v>0.226</v>
      </c>
      <c r="N27" s="65">
        <v>0.235</v>
      </c>
      <c r="O27" s="298">
        <v>0.076</v>
      </c>
      <c r="P27" s="106">
        <v>0.277</v>
      </c>
      <c r="Q27" s="280">
        <f t="shared" si="3"/>
        <v>0.20725</v>
      </c>
      <c r="R27" s="29">
        <v>10.0</v>
      </c>
    </row>
    <row r="28" ht="15.75" customHeight="1">
      <c r="A28" s="21"/>
      <c r="B28" s="13" t="s">
        <v>180</v>
      </c>
      <c r="C28" s="202">
        <v>1.0</v>
      </c>
      <c r="D28" s="290" t="s">
        <v>175</v>
      </c>
      <c r="E28" s="105">
        <v>0.135</v>
      </c>
      <c r="F28" s="108">
        <v>0.013</v>
      </c>
      <c r="G28" s="108">
        <v>0.182</v>
      </c>
      <c r="H28" s="108">
        <v>0.156</v>
      </c>
      <c r="I28" s="108">
        <v>0.156</v>
      </c>
      <c r="J28" s="299">
        <v>0.144</v>
      </c>
      <c r="K28" s="59">
        <v>0.509</v>
      </c>
      <c r="L28" s="176">
        <v>0.192</v>
      </c>
      <c r="M28" s="59">
        <v>0.188</v>
      </c>
      <c r="N28" s="59">
        <v>0.191</v>
      </c>
      <c r="O28" s="297">
        <v>0.147</v>
      </c>
      <c r="P28" s="105">
        <v>0.063</v>
      </c>
      <c r="Q28" s="278">
        <f t="shared" si="3"/>
        <v>0.173</v>
      </c>
      <c r="R28" s="20">
        <v>0.5</v>
      </c>
    </row>
    <row r="29" ht="15.75" customHeight="1">
      <c r="A29" s="21"/>
      <c r="B29" s="22"/>
      <c r="C29" s="201">
        <v>2.0</v>
      </c>
      <c r="D29" s="289" t="s">
        <v>176</v>
      </c>
      <c r="E29" s="65">
        <v>0.133</v>
      </c>
      <c r="F29" s="65">
        <v>0.089</v>
      </c>
      <c r="G29" s="65">
        <v>0.19</v>
      </c>
      <c r="H29" s="65">
        <v>0.135</v>
      </c>
      <c r="I29" s="65">
        <v>0.134</v>
      </c>
      <c r="J29" s="209">
        <v>0.232</v>
      </c>
      <c r="K29" s="65">
        <v>0.768</v>
      </c>
      <c r="L29" s="65">
        <v>0.169</v>
      </c>
      <c r="M29" s="65">
        <v>0.21</v>
      </c>
      <c r="N29" s="65">
        <v>0.179</v>
      </c>
      <c r="O29" s="298">
        <v>0.194</v>
      </c>
      <c r="P29" s="65">
        <v>0.07</v>
      </c>
      <c r="Q29" s="280">
        <f t="shared" si="3"/>
        <v>0.2085833333</v>
      </c>
      <c r="R29" s="29">
        <v>0.5</v>
      </c>
    </row>
    <row r="30" ht="15.75" customHeight="1">
      <c r="A30" s="21"/>
      <c r="B30" s="30"/>
      <c r="C30" s="201">
        <v>3.0</v>
      </c>
      <c r="D30" s="289" t="s">
        <v>177</v>
      </c>
      <c r="E30" s="65">
        <v>0.146</v>
      </c>
      <c r="F30" s="65">
        <v>0.088</v>
      </c>
      <c r="G30" s="65">
        <v>0.179</v>
      </c>
      <c r="H30" s="65">
        <v>0.191</v>
      </c>
      <c r="I30" s="65">
        <v>0.134</v>
      </c>
      <c r="J30" s="255">
        <v>0.186</v>
      </c>
      <c r="K30" s="65">
        <v>0.31</v>
      </c>
      <c r="L30" s="106">
        <v>0.201</v>
      </c>
      <c r="M30" s="106">
        <v>0.197</v>
      </c>
      <c r="N30" s="65">
        <v>0.185</v>
      </c>
      <c r="O30" s="298">
        <v>0.129</v>
      </c>
      <c r="P30" s="106">
        <v>0.081</v>
      </c>
      <c r="Q30" s="280">
        <f t="shared" si="3"/>
        <v>0.1689166667</v>
      </c>
      <c r="R30" s="29">
        <v>0.5</v>
      </c>
    </row>
    <row r="31" ht="15.75" hidden="1" customHeight="1">
      <c r="A31" s="21"/>
      <c r="B31" s="13" t="s">
        <v>42</v>
      </c>
      <c r="C31" s="202">
        <v>1.0</v>
      </c>
      <c r="D31" s="290" t="s">
        <v>175</v>
      </c>
      <c r="E31" s="281"/>
      <c r="F31" s="281"/>
      <c r="G31" s="176"/>
      <c r="H31" s="300">
        <v>0.223</v>
      </c>
      <c r="I31" s="281"/>
      <c r="J31" s="281"/>
      <c r="K31" s="281"/>
      <c r="L31" s="281"/>
      <c r="M31" s="281"/>
      <c r="N31" s="281"/>
      <c r="O31" s="281"/>
      <c r="P31" s="281"/>
      <c r="Q31" s="60" t="str">
        <f t="shared" ref="Q31:Q33" si="4">AVERAGE(I31)</f>
        <v>#DIV/0!</v>
      </c>
      <c r="R31" s="20">
        <v>0.5</v>
      </c>
    </row>
    <row r="32" ht="15.75" hidden="1" customHeight="1">
      <c r="A32" s="21"/>
      <c r="B32" s="22"/>
      <c r="C32" s="201">
        <v>2.0</v>
      </c>
      <c r="D32" s="289" t="s">
        <v>176</v>
      </c>
      <c r="E32" s="21"/>
      <c r="F32" s="21"/>
      <c r="G32" s="106"/>
      <c r="H32" s="301">
        <v>0.246</v>
      </c>
      <c r="I32" s="21"/>
      <c r="J32" s="21"/>
      <c r="K32" s="21"/>
      <c r="L32" s="21"/>
      <c r="M32" s="21"/>
      <c r="N32" s="21"/>
      <c r="O32" s="21"/>
      <c r="P32" s="21"/>
      <c r="Q32" s="67" t="str">
        <f t="shared" si="4"/>
        <v>#DIV/0!</v>
      </c>
      <c r="R32" s="29">
        <v>0.5</v>
      </c>
    </row>
    <row r="33" ht="15.75" hidden="1" customHeight="1">
      <c r="A33" s="21"/>
      <c r="B33" s="30"/>
      <c r="C33" s="201">
        <v>3.0</v>
      </c>
      <c r="D33" s="289" t="s">
        <v>177</v>
      </c>
      <c r="E33" s="21"/>
      <c r="F33" s="21"/>
      <c r="G33" s="106"/>
      <c r="H33" s="301">
        <v>0.322</v>
      </c>
      <c r="I33" s="21"/>
      <c r="J33" s="21"/>
      <c r="K33" s="21"/>
      <c r="L33" s="21"/>
      <c r="M33" s="21"/>
      <c r="N33" s="21"/>
      <c r="O33" s="21"/>
      <c r="P33" s="21"/>
      <c r="Q33" s="67" t="str">
        <f t="shared" si="4"/>
        <v>#DIV/0!</v>
      </c>
      <c r="R33" s="29">
        <v>0.5</v>
      </c>
    </row>
    <row r="34" ht="14.2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</row>
    <row r="35" ht="14.25" customHeight="1">
      <c r="A35" s="136" t="s">
        <v>43</v>
      </c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</row>
    <row r="36" ht="14.25" customHeight="1"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</row>
    <row r="37" ht="14.2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</row>
    <row r="38" ht="14.25" customHeight="1">
      <c r="A38" s="110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</row>
    <row r="39" ht="14.25" customHeight="1"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25.29"/>
    <col customWidth="1" min="5" max="5" width="11.29" outlineLevel="1"/>
    <col customWidth="1" min="6" max="8" width="9.29" outlineLevel="1"/>
    <col customWidth="1" min="9" max="9" width="10.29" outlineLevel="1"/>
    <col customWidth="1" min="10" max="10" width="11.71" outlineLevel="1"/>
    <col customWidth="1" min="11" max="11" width="8.0" outlineLevel="1"/>
    <col customWidth="1" min="12" max="12" width="9.57" outlineLevel="1"/>
    <col customWidth="1" min="13" max="13" width="13.86" outlineLevel="1"/>
    <col customWidth="1" min="14" max="14" width="10.71" outlineLevel="1"/>
    <col customWidth="1" min="15" max="15" width="12.86" outlineLevel="1"/>
    <col customWidth="1" min="16" max="16" width="13.0" outlineLevel="1"/>
    <col customWidth="1" min="17" max="17" width="27.14"/>
    <col customWidth="1" min="18" max="18" width="10.57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7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86" t="s">
        <v>15</v>
      </c>
      <c r="N4" s="262" t="s">
        <v>16</v>
      </c>
      <c r="O4" s="262" t="s">
        <v>17</v>
      </c>
      <c r="P4" s="262" t="s">
        <v>18</v>
      </c>
      <c r="Q4" s="286" t="s">
        <v>19</v>
      </c>
      <c r="R4" s="262" t="s">
        <v>20</v>
      </c>
    </row>
    <row r="5" ht="14.25" customHeight="1">
      <c r="A5" s="8" t="s">
        <v>181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160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5.75" customHeight="1">
      <c r="A7" s="101" t="s">
        <v>23</v>
      </c>
      <c r="B7" s="74" t="s">
        <v>24</v>
      </c>
      <c r="C7" s="199">
        <v>1.0</v>
      </c>
      <c r="D7" s="287" t="s">
        <v>182</v>
      </c>
      <c r="E7" s="102">
        <v>10.9</v>
      </c>
      <c r="F7" s="102">
        <v>6.6</v>
      </c>
      <c r="G7" s="102">
        <v>6.6</v>
      </c>
      <c r="H7" s="102">
        <v>5.5</v>
      </c>
      <c r="I7" s="120">
        <v>5.5</v>
      </c>
      <c r="J7" s="120">
        <v>8.8</v>
      </c>
      <c r="K7" s="17">
        <v>5.4</v>
      </c>
      <c r="L7" s="17">
        <v>3.7</v>
      </c>
      <c r="M7" s="102">
        <v>6.5</v>
      </c>
      <c r="N7" s="102">
        <v>4.4</v>
      </c>
      <c r="O7" s="102">
        <v>4.4</v>
      </c>
      <c r="P7" s="102">
        <v>4.8</v>
      </c>
      <c r="Q7" s="265">
        <f t="shared" ref="Q7:Q21" si="1">AVERAGE(E7:P7)</f>
        <v>6.091666667</v>
      </c>
      <c r="R7" s="302">
        <v>6.0</v>
      </c>
    </row>
    <row r="8" ht="15.75" customHeight="1">
      <c r="A8" s="21"/>
      <c r="B8" s="22"/>
      <c r="C8" s="201">
        <v>2.0</v>
      </c>
      <c r="D8" s="289" t="s">
        <v>183</v>
      </c>
      <c r="E8" s="27">
        <v>8.6</v>
      </c>
      <c r="F8" s="27">
        <v>5.7</v>
      </c>
      <c r="G8" s="27">
        <v>5.7</v>
      </c>
      <c r="H8" s="27">
        <v>5.5</v>
      </c>
      <c r="I8" s="122">
        <v>5.5</v>
      </c>
      <c r="J8" s="122">
        <v>8.1</v>
      </c>
      <c r="K8" s="26">
        <v>6.4</v>
      </c>
      <c r="L8" s="26">
        <v>4.0</v>
      </c>
      <c r="M8" s="27">
        <v>6.5</v>
      </c>
      <c r="N8" s="27">
        <v>4.9</v>
      </c>
      <c r="O8" s="27">
        <v>4.9</v>
      </c>
      <c r="P8" s="27">
        <v>4.8</v>
      </c>
      <c r="Q8" s="268">
        <f t="shared" si="1"/>
        <v>5.883333333</v>
      </c>
      <c r="R8" s="303">
        <v>6.0</v>
      </c>
    </row>
    <row r="9" ht="15.75" customHeight="1">
      <c r="A9" s="21"/>
      <c r="B9" s="30"/>
      <c r="C9" s="201">
        <v>3.0</v>
      </c>
      <c r="D9" s="289" t="s">
        <v>184</v>
      </c>
      <c r="E9" s="27">
        <v>10.1</v>
      </c>
      <c r="F9" s="27">
        <v>5.5</v>
      </c>
      <c r="G9" s="27">
        <v>5.5</v>
      </c>
      <c r="H9" s="27">
        <v>5.3</v>
      </c>
      <c r="I9" s="122">
        <v>5.3</v>
      </c>
      <c r="J9" s="122">
        <v>8.6</v>
      </c>
      <c r="K9" s="26">
        <v>5.6</v>
      </c>
      <c r="L9" s="26">
        <v>4.4</v>
      </c>
      <c r="M9" s="106">
        <v>6.3</v>
      </c>
      <c r="N9" s="106">
        <v>5.7</v>
      </c>
      <c r="O9" s="27">
        <v>5.7</v>
      </c>
      <c r="P9" s="27">
        <v>4.8</v>
      </c>
      <c r="Q9" s="268">
        <f t="shared" si="1"/>
        <v>6.066666667</v>
      </c>
      <c r="R9" s="303">
        <v>6.0</v>
      </c>
    </row>
    <row r="10" ht="15.75" customHeight="1">
      <c r="A10" s="21"/>
      <c r="B10" s="13" t="s">
        <v>31</v>
      </c>
      <c r="C10" s="202">
        <v>1.0</v>
      </c>
      <c r="D10" s="290" t="s">
        <v>182</v>
      </c>
      <c r="E10" s="124">
        <v>44.0</v>
      </c>
      <c r="F10" s="176">
        <v>63.0</v>
      </c>
      <c r="G10" s="105">
        <v>25.0</v>
      </c>
      <c r="H10" s="105">
        <v>24.0</v>
      </c>
      <c r="I10" s="121">
        <v>6.0</v>
      </c>
      <c r="J10" s="125">
        <v>12.0</v>
      </c>
      <c r="K10" s="34">
        <v>10.0</v>
      </c>
      <c r="L10" s="34">
        <v>7.0</v>
      </c>
      <c r="M10" s="176">
        <v>19.0</v>
      </c>
      <c r="N10" s="176">
        <v>12.0</v>
      </c>
      <c r="O10" s="176">
        <v>72.0</v>
      </c>
      <c r="P10" s="105">
        <v>17.0</v>
      </c>
      <c r="Q10" s="273">
        <f t="shared" si="1"/>
        <v>25.91666667</v>
      </c>
      <c r="R10" s="304">
        <v>50.0</v>
      </c>
    </row>
    <row r="11" ht="15.75" customHeight="1">
      <c r="A11" s="21"/>
      <c r="B11" s="22"/>
      <c r="C11" s="201">
        <v>2.0</v>
      </c>
      <c r="D11" s="289" t="s">
        <v>183</v>
      </c>
      <c r="E11" s="39">
        <v>112.0</v>
      </c>
      <c r="F11" s="106">
        <v>75.0</v>
      </c>
      <c r="G11" s="106">
        <v>18.0</v>
      </c>
      <c r="H11" s="106">
        <v>21.0</v>
      </c>
      <c r="I11" s="122">
        <v>5.0</v>
      </c>
      <c r="J11" s="126">
        <v>15.0</v>
      </c>
      <c r="K11" s="38">
        <v>10.0</v>
      </c>
      <c r="L11" s="38">
        <v>8.0</v>
      </c>
      <c r="M11" s="106">
        <v>16.0</v>
      </c>
      <c r="N11" s="106">
        <v>5.0</v>
      </c>
      <c r="O11" s="106">
        <v>76.0</v>
      </c>
      <c r="P11" s="106">
        <v>15.0</v>
      </c>
      <c r="Q11" s="276">
        <f t="shared" si="1"/>
        <v>31.33333333</v>
      </c>
      <c r="R11" s="303">
        <v>50.0</v>
      </c>
    </row>
    <row r="12" ht="15.75" customHeight="1">
      <c r="A12" s="21"/>
      <c r="B12" s="30"/>
      <c r="C12" s="201">
        <v>3.0</v>
      </c>
      <c r="D12" s="289" t="s">
        <v>184</v>
      </c>
      <c r="E12" s="39">
        <v>122.0</v>
      </c>
      <c r="F12" s="106">
        <v>116.0</v>
      </c>
      <c r="G12" s="106">
        <v>28.0</v>
      </c>
      <c r="H12" s="106">
        <v>16.0</v>
      </c>
      <c r="I12" s="122">
        <v>6.0</v>
      </c>
      <c r="J12" s="126">
        <v>12.0</v>
      </c>
      <c r="K12" s="38">
        <v>10.0</v>
      </c>
      <c r="L12" s="38">
        <v>9.0</v>
      </c>
      <c r="M12" s="106">
        <v>16.0</v>
      </c>
      <c r="N12" s="106">
        <v>6.0</v>
      </c>
      <c r="O12" s="106">
        <v>55.0</v>
      </c>
      <c r="P12" s="106">
        <v>8.0</v>
      </c>
      <c r="Q12" s="276">
        <f t="shared" si="1"/>
        <v>33.66666667</v>
      </c>
      <c r="R12" s="303">
        <v>50.0</v>
      </c>
    </row>
    <row r="13" ht="15.75" customHeight="1">
      <c r="A13" s="21"/>
      <c r="B13" s="13" t="s">
        <v>33</v>
      </c>
      <c r="C13" s="202">
        <v>1.0</v>
      </c>
      <c r="D13" s="290" t="s">
        <v>182</v>
      </c>
      <c r="E13" s="102">
        <v>7.0</v>
      </c>
      <c r="F13" s="18">
        <v>7.2</v>
      </c>
      <c r="G13" s="102">
        <v>7.0</v>
      </c>
      <c r="H13" s="102">
        <v>7.0</v>
      </c>
      <c r="I13" s="121">
        <v>7.0</v>
      </c>
      <c r="J13" s="121">
        <v>7.0</v>
      </c>
      <c r="K13" s="42">
        <v>7.0</v>
      </c>
      <c r="L13" s="42">
        <v>7.0</v>
      </c>
      <c r="M13" s="102">
        <v>7.0</v>
      </c>
      <c r="N13" s="102">
        <v>7.0</v>
      </c>
      <c r="O13" s="102">
        <v>7.0</v>
      </c>
      <c r="P13" s="102">
        <v>7.0</v>
      </c>
      <c r="Q13" s="265">
        <f t="shared" si="1"/>
        <v>7.016666667</v>
      </c>
      <c r="R13" s="292" t="s">
        <v>164</v>
      </c>
    </row>
    <row r="14" ht="15.75" customHeight="1">
      <c r="A14" s="21"/>
      <c r="B14" s="22"/>
      <c r="C14" s="201">
        <v>2.0</v>
      </c>
      <c r="D14" s="289" t="s">
        <v>183</v>
      </c>
      <c r="E14" s="27">
        <v>7.0</v>
      </c>
      <c r="F14" s="27">
        <v>7.2</v>
      </c>
      <c r="G14" s="27">
        <v>7.0</v>
      </c>
      <c r="H14" s="27">
        <v>7.0</v>
      </c>
      <c r="I14" s="122">
        <v>7.0</v>
      </c>
      <c r="J14" s="122">
        <v>7.0</v>
      </c>
      <c r="K14" s="26">
        <v>7.0</v>
      </c>
      <c r="L14" s="26">
        <v>7.0</v>
      </c>
      <c r="M14" s="27">
        <v>7.0</v>
      </c>
      <c r="N14" s="27">
        <v>7.0</v>
      </c>
      <c r="O14" s="27">
        <v>7.0</v>
      </c>
      <c r="P14" s="27">
        <v>7.0</v>
      </c>
      <c r="Q14" s="268">
        <f t="shared" si="1"/>
        <v>7.016666667</v>
      </c>
      <c r="R14" s="293" t="s">
        <v>164</v>
      </c>
    </row>
    <row r="15" ht="15.75" customHeight="1">
      <c r="A15" s="21"/>
      <c r="B15" s="30"/>
      <c r="C15" s="201">
        <v>3.0</v>
      </c>
      <c r="D15" s="289" t="s">
        <v>184</v>
      </c>
      <c r="E15" s="27">
        <v>7.0</v>
      </c>
      <c r="F15" s="27">
        <v>7.2</v>
      </c>
      <c r="G15" s="27">
        <v>7.0</v>
      </c>
      <c r="H15" s="27">
        <v>7.0</v>
      </c>
      <c r="I15" s="122">
        <v>7.0</v>
      </c>
      <c r="J15" s="122">
        <v>7.0</v>
      </c>
      <c r="K15" s="26">
        <v>7.0</v>
      </c>
      <c r="L15" s="26">
        <v>7.0</v>
      </c>
      <c r="M15" s="27">
        <v>7.0</v>
      </c>
      <c r="N15" s="27">
        <v>7.0</v>
      </c>
      <c r="O15" s="27">
        <v>7.0</v>
      </c>
      <c r="P15" s="27">
        <v>7.0</v>
      </c>
      <c r="Q15" s="268">
        <f t="shared" si="1"/>
        <v>7.016666667</v>
      </c>
      <c r="R15" s="293" t="s">
        <v>164</v>
      </c>
    </row>
    <row r="16" ht="15.75" customHeight="1">
      <c r="A16" s="21"/>
      <c r="B16" s="13" t="s">
        <v>185</v>
      </c>
      <c r="C16" s="202">
        <v>1.0</v>
      </c>
      <c r="D16" s="290" t="s">
        <v>182</v>
      </c>
      <c r="E16" s="102">
        <v>26.1</v>
      </c>
      <c r="F16" s="120">
        <v>26.15</v>
      </c>
      <c r="G16" s="102">
        <v>26.15</v>
      </c>
      <c r="H16" s="102">
        <v>30.0</v>
      </c>
      <c r="I16" s="121">
        <v>30.0</v>
      </c>
      <c r="J16" s="121">
        <v>28.0</v>
      </c>
      <c r="K16" s="42">
        <v>26.0</v>
      </c>
      <c r="L16" s="42">
        <v>26.3</v>
      </c>
      <c r="M16" s="102">
        <v>27.0</v>
      </c>
      <c r="N16" s="102">
        <v>27.1</v>
      </c>
      <c r="O16" s="102">
        <v>27.1</v>
      </c>
      <c r="P16" s="102">
        <v>29.0</v>
      </c>
      <c r="Q16" s="265">
        <f t="shared" si="1"/>
        <v>27.40833333</v>
      </c>
      <c r="R16" s="18" t="s">
        <v>166</v>
      </c>
    </row>
    <row r="17" ht="15.75" customHeight="1">
      <c r="A17" s="21"/>
      <c r="B17" s="22"/>
      <c r="C17" s="201">
        <v>2.0</v>
      </c>
      <c r="D17" s="289" t="s">
        <v>183</v>
      </c>
      <c r="E17" s="27">
        <v>26.3</v>
      </c>
      <c r="F17" s="122">
        <v>26.2</v>
      </c>
      <c r="G17" s="27">
        <v>26.2</v>
      </c>
      <c r="H17" s="27">
        <v>30.2</v>
      </c>
      <c r="I17" s="122">
        <v>30.2</v>
      </c>
      <c r="J17" s="122">
        <v>28.3</v>
      </c>
      <c r="K17" s="26">
        <v>26.4</v>
      </c>
      <c r="L17" s="26">
        <v>26.5</v>
      </c>
      <c r="M17" s="27">
        <v>27.1</v>
      </c>
      <c r="N17" s="27">
        <v>27.4</v>
      </c>
      <c r="O17" s="27">
        <v>27.4</v>
      </c>
      <c r="P17" s="27">
        <v>29.8</v>
      </c>
      <c r="Q17" s="268">
        <f t="shared" si="1"/>
        <v>27.66666667</v>
      </c>
      <c r="R17" s="27" t="s">
        <v>166</v>
      </c>
    </row>
    <row r="18" ht="15.75" customHeight="1">
      <c r="A18" s="21"/>
      <c r="B18" s="30"/>
      <c r="C18" s="201">
        <v>3.0</v>
      </c>
      <c r="D18" s="289" t="s">
        <v>184</v>
      </c>
      <c r="E18" s="27">
        <v>26.3</v>
      </c>
      <c r="F18" s="122">
        <v>26.2</v>
      </c>
      <c r="G18" s="27">
        <v>26.2</v>
      </c>
      <c r="H18" s="27">
        <v>30.0</v>
      </c>
      <c r="I18" s="122">
        <v>30.0</v>
      </c>
      <c r="J18" s="122">
        <v>28.4</v>
      </c>
      <c r="K18" s="26">
        <v>26.5</v>
      </c>
      <c r="L18" s="26">
        <v>26.5</v>
      </c>
      <c r="M18" s="27">
        <v>27.1</v>
      </c>
      <c r="N18" s="27">
        <v>27.3</v>
      </c>
      <c r="O18" s="106">
        <v>27.3</v>
      </c>
      <c r="P18" s="106">
        <v>29.45</v>
      </c>
      <c r="Q18" s="268">
        <f t="shared" si="1"/>
        <v>27.60416667</v>
      </c>
      <c r="R18" s="27" t="s">
        <v>166</v>
      </c>
    </row>
    <row r="19" ht="14.25" customHeight="1">
      <c r="A19" s="21"/>
      <c r="B19" s="13" t="s">
        <v>37</v>
      </c>
      <c r="C19" s="202">
        <v>1.0</v>
      </c>
      <c r="D19" s="290" t="s">
        <v>182</v>
      </c>
      <c r="E19" s="124">
        <v>10.0</v>
      </c>
      <c r="F19" s="176">
        <v>5.0</v>
      </c>
      <c r="G19" s="105">
        <v>5.0</v>
      </c>
      <c r="H19" s="105">
        <v>5.0</v>
      </c>
      <c r="I19" s="125">
        <v>5.0</v>
      </c>
      <c r="J19" s="125">
        <v>5.0</v>
      </c>
      <c r="K19" s="34">
        <v>5.0</v>
      </c>
      <c r="L19" s="34">
        <v>5.0</v>
      </c>
      <c r="M19" s="176">
        <v>5.0</v>
      </c>
      <c r="N19" s="176">
        <v>5.0</v>
      </c>
      <c r="O19" s="176">
        <v>5.0</v>
      </c>
      <c r="P19" s="105">
        <v>5.0</v>
      </c>
      <c r="Q19" s="273">
        <f t="shared" si="1"/>
        <v>5.416666667</v>
      </c>
      <c r="R19" s="35">
        <v>50.0</v>
      </c>
    </row>
    <row r="20" ht="15.0" customHeight="1">
      <c r="A20" s="21"/>
      <c r="B20" s="22"/>
      <c r="C20" s="201">
        <v>2.0</v>
      </c>
      <c r="D20" s="289" t="s">
        <v>183</v>
      </c>
      <c r="E20" s="39">
        <v>10.0</v>
      </c>
      <c r="F20" s="106">
        <v>5.0</v>
      </c>
      <c r="G20" s="106">
        <v>5.0</v>
      </c>
      <c r="H20" s="106">
        <v>5.0</v>
      </c>
      <c r="I20" s="126">
        <v>5.0</v>
      </c>
      <c r="J20" s="126">
        <v>5.0</v>
      </c>
      <c r="K20" s="38">
        <v>5.0</v>
      </c>
      <c r="L20" s="38">
        <v>5.0</v>
      </c>
      <c r="M20" s="106">
        <v>5.0</v>
      </c>
      <c r="N20" s="106">
        <v>5.0</v>
      </c>
      <c r="O20" s="106">
        <v>5.0</v>
      </c>
      <c r="P20" s="106">
        <v>5.0</v>
      </c>
      <c r="Q20" s="276">
        <f t="shared" si="1"/>
        <v>5.416666667</v>
      </c>
      <c r="R20" s="39">
        <v>50.0</v>
      </c>
    </row>
    <row r="21" ht="17.25" customHeight="1">
      <c r="A21" s="21"/>
      <c r="B21" s="30"/>
      <c r="C21" s="201">
        <v>3.0</v>
      </c>
      <c r="D21" s="289" t="s">
        <v>184</v>
      </c>
      <c r="E21" s="39">
        <v>10.0</v>
      </c>
      <c r="F21" s="106">
        <v>5.0</v>
      </c>
      <c r="G21" s="106">
        <v>5.0</v>
      </c>
      <c r="H21" s="106">
        <v>5.0</v>
      </c>
      <c r="I21" s="126">
        <v>5.0</v>
      </c>
      <c r="J21" s="126">
        <v>5.0</v>
      </c>
      <c r="K21" s="38">
        <v>5.0</v>
      </c>
      <c r="L21" s="38">
        <v>5.0</v>
      </c>
      <c r="M21" s="106">
        <v>5.0</v>
      </c>
      <c r="N21" s="106">
        <v>5.0</v>
      </c>
      <c r="O21" s="106">
        <v>5.0</v>
      </c>
      <c r="P21" s="106">
        <v>5.0</v>
      </c>
      <c r="Q21" s="276">
        <f t="shared" si="1"/>
        <v>5.416666667</v>
      </c>
      <c r="R21" s="39">
        <v>50.0</v>
      </c>
    </row>
    <row r="22" ht="15.75" customHeight="1">
      <c r="A22" s="21"/>
      <c r="B22" s="13" t="s">
        <v>38</v>
      </c>
      <c r="C22" s="202">
        <v>1.0</v>
      </c>
      <c r="D22" s="290" t="s">
        <v>182</v>
      </c>
      <c r="E22" s="107">
        <v>35000.0</v>
      </c>
      <c r="F22" s="47">
        <v>3300.0</v>
      </c>
      <c r="G22" s="107">
        <v>2400.0</v>
      </c>
      <c r="H22" s="107">
        <v>540.0</v>
      </c>
      <c r="I22" s="128">
        <v>92000.0</v>
      </c>
      <c r="J22" s="128">
        <v>92000.0</v>
      </c>
      <c r="K22" s="46">
        <v>9200.0</v>
      </c>
      <c r="L22" s="46">
        <v>130.0</v>
      </c>
      <c r="M22" s="47">
        <v>54000.0</v>
      </c>
      <c r="N22" s="47">
        <v>24000.0</v>
      </c>
      <c r="O22" s="47">
        <v>35000.0</v>
      </c>
      <c r="P22" s="107">
        <v>35000.0</v>
      </c>
      <c r="Q22" s="305">
        <f t="shared" ref="Q22:Q24" si="2">GEOMEAN(E22:P22)</f>
        <v>10758.94224</v>
      </c>
      <c r="R22" s="304">
        <v>100.0</v>
      </c>
      <c r="S22" s="306"/>
    </row>
    <row r="23" ht="15.75" customHeight="1">
      <c r="A23" s="21"/>
      <c r="B23" s="22"/>
      <c r="C23" s="201">
        <v>2.0</v>
      </c>
      <c r="D23" s="289" t="s">
        <v>183</v>
      </c>
      <c r="E23" s="53">
        <v>230.0</v>
      </c>
      <c r="F23" s="53">
        <v>4900.0</v>
      </c>
      <c r="G23" s="53">
        <v>490.0</v>
      </c>
      <c r="H23" s="53">
        <v>49.0</v>
      </c>
      <c r="I23" s="130">
        <v>35000.0</v>
      </c>
      <c r="J23" s="130">
        <v>35000.0</v>
      </c>
      <c r="K23" s="52">
        <v>330.0</v>
      </c>
      <c r="L23" s="52">
        <v>79.0</v>
      </c>
      <c r="M23" s="53">
        <v>54000.0</v>
      </c>
      <c r="N23" s="53">
        <v>54000.0</v>
      </c>
      <c r="O23" s="53">
        <v>17000.0</v>
      </c>
      <c r="P23" s="53">
        <v>70000.0</v>
      </c>
      <c r="Q23" s="307">
        <f t="shared" si="2"/>
        <v>3465.325011</v>
      </c>
      <c r="R23" s="303">
        <v>100.0</v>
      </c>
    </row>
    <row r="24" ht="15.75" customHeight="1">
      <c r="A24" s="21"/>
      <c r="B24" s="30"/>
      <c r="C24" s="201">
        <v>3.0</v>
      </c>
      <c r="D24" s="289" t="s">
        <v>184</v>
      </c>
      <c r="E24" s="53">
        <v>790.0</v>
      </c>
      <c r="F24" s="53">
        <v>22000.0</v>
      </c>
      <c r="G24" s="53">
        <v>330.0</v>
      </c>
      <c r="H24" s="53">
        <v>33.0</v>
      </c>
      <c r="I24" s="130">
        <v>49000.0</v>
      </c>
      <c r="J24" s="130">
        <v>49000.0</v>
      </c>
      <c r="K24" s="52">
        <v>460.0</v>
      </c>
      <c r="L24" s="52">
        <v>49.0</v>
      </c>
      <c r="M24" s="53">
        <v>92000.0</v>
      </c>
      <c r="N24" s="53">
        <v>54000.0</v>
      </c>
      <c r="O24" s="53">
        <v>92000.0</v>
      </c>
      <c r="P24" s="53">
        <v>92000.0</v>
      </c>
      <c r="Q24" s="307">
        <f t="shared" si="2"/>
        <v>5242.218038</v>
      </c>
      <c r="R24" s="303">
        <v>100.0</v>
      </c>
    </row>
    <row r="25" ht="15.75" customHeight="1">
      <c r="A25" s="21"/>
      <c r="B25" s="13" t="s">
        <v>186</v>
      </c>
      <c r="C25" s="202">
        <v>1.0</v>
      </c>
      <c r="D25" s="290" t="s">
        <v>182</v>
      </c>
      <c r="E25" s="108">
        <v>0.407</v>
      </c>
      <c r="F25" s="59">
        <v>0.164</v>
      </c>
      <c r="G25" s="108">
        <v>0.152</v>
      </c>
      <c r="H25" s="108">
        <v>0.058</v>
      </c>
      <c r="I25" s="132">
        <v>0.048</v>
      </c>
      <c r="J25" s="132">
        <v>0.263</v>
      </c>
      <c r="K25" s="34">
        <v>0.352</v>
      </c>
      <c r="L25" s="34">
        <v>0.085</v>
      </c>
      <c r="M25" s="59">
        <v>0.27</v>
      </c>
      <c r="N25" s="176">
        <v>0.541</v>
      </c>
      <c r="O25" s="176">
        <v>0.632</v>
      </c>
      <c r="P25" s="176">
        <v>0.486</v>
      </c>
      <c r="Q25" s="278">
        <f t="shared" ref="Q25:Q30" si="3">AVERAGE(E25:P25)</f>
        <v>0.2881666667</v>
      </c>
      <c r="R25" s="304">
        <v>10.0</v>
      </c>
    </row>
    <row r="26" ht="15.75" customHeight="1">
      <c r="A26" s="21"/>
      <c r="B26" s="22"/>
      <c r="C26" s="201">
        <v>2.0</v>
      </c>
      <c r="D26" s="289" t="s">
        <v>183</v>
      </c>
      <c r="E26" s="65">
        <v>0.145</v>
      </c>
      <c r="F26" s="65">
        <v>0.116</v>
      </c>
      <c r="G26" s="65">
        <v>0.048</v>
      </c>
      <c r="H26" s="65">
        <v>0.092</v>
      </c>
      <c r="I26" s="133">
        <v>0.501</v>
      </c>
      <c r="J26" s="133">
        <v>0.263</v>
      </c>
      <c r="K26" s="38">
        <v>0.323</v>
      </c>
      <c r="L26" s="38">
        <v>0.108</v>
      </c>
      <c r="M26" s="106">
        <v>0.231</v>
      </c>
      <c r="N26" s="106">
        <v>0.378</v>
      </c>
      <c r="O26" s="106">
        <v>0.632</v>
      </c>
      <c r="P26" s="65">
        <v>0.298</v>
      </c>
      <c r="Q26" s="280">
        <f t="shared" si="3"/>
        <v>0.26125</v>
      </c>
      <c r="R26" s="303">
        <v>10.0</v>
      </c>
    </row>
    <row r="27" ht="15.75" customHeight="1">
      <c r="A27" s="21"/>
      <c r="B27" s="30"/>
      <c r="C27" s="201">
        <v>3.0</v>
      </c>
      <c r="D27" s="289" t="s">
        <v>184</v>
      </c>
      <c r="E27" s="65">
        <v>0.529</v>
      </c>
      <c r="F27" s="65">
        <v>0.471</v>
      </c>
      <c r="G27" s="65">
        <v>0.107</v>
      </c>
      <c r="H27" s="65">
        <v>0.182</v>
      </c>
      <c r="I27" s="133">
        <v>0.181</v>
      </c>
      <c r="J27" s="133">
        <v>0.046</v>
      </c>
      <c r="K27" s="38">
        <v>0.537</v>
      </c>
      <c r="L27" s="38">
        <v>0.048</v>
      </c>
      <c r="M27" s="106">
        <v>0.243</v>
      </c>
      <c r="N27" s="65">
        <v>0.362</v>
      </c>
      <c r="O27" s="106">
        <v>0.56</v>
      </c>
      <c r="P27" s="106">
        <v>0.389</v>
      </c>
      <c r="Q27" s="280">
        <f t="shared" si="3"/>
        <v>0.3045833333</v>
      </c>
      <c r="R27" s="303">
        <v>10.0</v>
      </c>
    </row>
    <row r="28" ht="15.75" customHeight="1">
      <c r="A28" s="21"/>
      <c r="B28" s="13" t="s">
        <v>187</v>
      </c>
      <c r="C28" s="202">
        <v>1.0</v>
      </c>
      <c r="D28" s="290" t="s">
        <v>182</v>
      </c>
      <c r="E28" s="108">
        <v>0.148</v>
      </c>
      <c r="F28" s="59">
        <v>0.047</v>
      </c>
      <c r="G28" s="108">
        <v>0.105</v>
      </c>
      <c r="H28" s="108">
        <v>0.075</v>
      </c>
      <c r="I28" s="132">
        <v>0.109</v>
      </c>
      <c r="J28" s="132">
        <v>0.085</v>
      </c>
      <c r="K28" s="34">
        <v>0.037</v>
      </c>
      <c r="L28" s="34">
        <v>0.013</v>
      </c>
      <c r="M28" s="176">
        <v>0.111</v>
      </c>
      <c r="N28" s="176">
        <v>0.049</v>
      </c>
      <c r="O28" s="176">
        <v>0.013</v>
      </c>
      <c r="P28" s="105">
        <v>0.035</v>
      </c>
      <c r="Q28" s="278">
        <f t="shared" si="3"/>
        <v>0.06891666667</v>
      </c>
      <c r="R28" s="304">
        <v>0.5</v>
      </c>
    </row>
    <row r="29" ht="15.75" customHeight="1">
      <c r="A29" s="21"/>
      <c r="B29" s="22"/>
      <c r="C29" s="201">
        <v>2.0</v>
      </c>
      <c r="D29" s="289" t="s">
        <v>183</v>
      </c>
      <c r="E29" s="65">
        <v>0.112</v>
      </c>
      <c r="F29" s="65">
        <v>0.066</v>
      </c>
      <c r="G29" s="65">
        <v>0.127</v>
      </c>
      <c r="H29" s="65">
        <v>0.075</v>
      </c>
      <c r="I29" s="133">
        <v>0.113</v>
      </c>
      <c r="J29" s="133">
        <v>0.08</v>
      </c>
      <c r="K29" s="38">
        <v>0.035</v>
      </c>
      <c r="L29" s="64">
        <v>0.04</v>
      </c>
      <c r="M29" s="65">
        <v>0.15</v>
      </c>
      <c r="N29" s="106">
        <v>0.043</v>
      </c>
      <c r="O29" s="106">
        <v>0.021</v>
      </c>
      <c r="P29" s="106">
        <v>0.03</v>
      </c>
      <c r="Q29" s="280">
        <f t="shared" si="3"/>
        <v>0.07433333333</v>
      </c>
      <c r="R29" s="303">
        <v>0.5</v>
      </c>
    </row>
    <row r="30" ht="15.75" customHeight="1">
      <c r="A30" s="21"/>
      <c r="B30" s="30"/>
      <c r="C30" s="201">
        <v>3.0</v>
      </c>
      <c r="D30" s="289" t="s">
        <v>184</v>
      </c>
      <c r="E30" s="65">
        <v>0.128</v>
      </c>
      <c r="F30" s="65">
        <v>0.056</v>
      </c>
      <c r="G30" s="65">
        <v>0.123</v>
      </c>
      <c r="H30" s="65">
        <v>0.069</v>
      </c>
      <c r="I30" s="133">
        <v>0.118</v>
      </c>
      <c r="J30" s="133">
        <v>0.087</v>
      </c>
      <c r="K30" s="38">
        <v>0.032</v>
      </c>
      <c r="L30" s="38">
        <v>0.013</v>
      </c>
      <c r="M30" s="65">
        <v>0.11</v>
      </c>
      <c r="N30" s="106">
        <v>0.061</v>
      </c>
      <c r="O30" s="65">
        <v>0.032</v>
      </c>
      <c r="P30" s="106">
        <v>0.037</v>
      </c>
      <c r="Q30" s="280">
        <f t="shared" si="3"/>
        <v>0.07216666667</v>
      </c>
      <c r="R30" s="303">
        <v>0.5</v>
      </c>
    </row>
    <row r="31" ht="15.75" hidden="1" customHeight="1">
      <c r="A31" s="21"/>
      <c r="B31" s="13" t="s">
        <v>42</v>
      </c>
      <c r="C31" s="202">
        <v>1.0</v>
      </c>
      <c r="D31" s="308" t="s">
        <v>182</v>
      </c>
      <c r="E31" s="281"/>
      <c r="F31" s="281"/>
      <c r="G31" s="281"/>
      <c r="H31" s="309">
        <v>0.065</v>
      </c>
      <c r="I31" s="281"/>
      <c r="J31" s="281"/>
      <c r="K31" s="281"/>
      <c r="L31" s="281"/>
      <c r="M31" s="281"/>
      <c r="N31" s="281"/>
      <c r="O31" s="281"/>
      <c r="P31" s="281"/>
      <c r="Q31" s="60" t="str">
        <f t="shared" ref="Q31:Q33" si="4">AVERAGE(I31)</f>
        <v>#DIV/0!</v>
      </c>
      <c r="R31" s="20">
        <v>0.5</v>
      </c>
    </row>
    <row r="32" ht="15.75" hidden="1" customHeight="1">
      <c r="A32" s="21"/>
      <c r="B32" s="22"/>
      <c r="C32" s="201">
        <v>2.0</v>
      </c>
      <c r="D32" s="310" t="s">
        <v>183</v>
      </c>
      <c r="E32" s="21"/>
      <c r="F32" s="21"/>
      <c r="G32" s="21"/>
      <c r="H32" s="311">
        <v>0.053</v>
      </c>
      <c r="I32" s="21"/>
      <c r="J32" s="21"/>
      <c r="K32" s="21"/>
      <c r="L32" s="21"/>
      <c r="M32" s="21"/>
      <c r="N32" s="21"/>
      <c r="O32" s="21"/>
      <c r="P32" s="21"/>
      <c r="Q32" s="67" t="str">
        <f t="shared" si="4"/>
        <v>#DIV/0!</v>
      </c>
      <c r="R32" s="29">
        <v>0.5</v>
      </c>
    </row>
    <row r="33" ht="15.75" hidden="1" customHeight="1">
      <c r="A33" s="21"/>
      <c r="B33" s="30"/>
      <c r="C33" s="201">
        <v>3.0</v>
      </c>
      <c r="D33" s="310" t="s">
        <v>184</v>
      </c>
      <c r="E33" s="21"/>
      <c r="F33" s="21"/>
      <c r="G33" s="21"/>
      <c r="H33" s="311">
        <v>0.061</v>
      </c>
      <c r="I33" s="21"/>
      <c r="J33" s="21"/>
      <c r="K33" s="21"/>
      <c r="L33" s="21"/>
      <c r="M33" s="21"/>
      <c r="N33" s="21"/>
      <c r="O33" s="21"/>
      <c r="P33" s="21"/>
      <c r="Q33" s="67" t="str">
        <f t="shared" si="4"/>
        <v>#DIV/0!</v>
      </c>
      <c r="R33" s="29">
        <v>0.5</v>
      </c>
    </row>
    <row r="34" ht="14.2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5"/>
      <c r="M34" s="134"/>
      <c r="N34" s="134"/>
      <c r="O34" s="134"/>
      <c r="P34" s="134"/>
      <c r="Q34" s="134"/>
      <c r="R34" s="134"/>
    </row>
    <row r="35" ht="14.25" customHeight="1">
      <c r="A35" s="136" t="s">
        <v>43</v>
      </c>
      <c r="D35" s="134"/>
      <c r="E35" s="134"/>
      <c r="F35" s="134"/>
      <c r="G35" s="134"/>
      <c r="H35" s="134"/>
      <c r="I35" s="134"/>
      <c r="J35" s="134"/>
      <c r="K35" s="134"/>
      <c r="L35" s="135"/>
      <c r="M35" s="134"/>
      <c r="N35" s="134"/>
      <c r="O35" s="134"/>
      <c r="P35" s="134"/>
      <c r="Q35" s="134"/>
      <c r="R35" s="134"/>
    </row>
    <row r="36" ht="14.25" customHeight="1">
      <c r="D36" s="134"/>
      <c r="E36" s="134"/>
      <c r="F36" s="134"/>
      <c r="G36" s="134"/>
      <c r="H36" s="134"/>
      <c r="I36" s="134"/>
      <c r="J36" s="134"/>
      <c r="K36" s="134"/>
      <c r="L36" s="135"/>
      <c r="M36" s="134"/>
      <c r="N36" s="134"/>
      <c r="O36" s="134"/>
      <c r="P36" s="134"/>
      <c r="Q36" s="134"/>
      <c r="R36" s="134"/>
    </row>
    <row r="37" ht="14.25" customHeight="1">
      <c r="A37" s="312"/>
      <c r="D37" s="134"/>
      <c r="E37" s="134"/>
      <c r="F37" s="134"/>
      <c r="G37" s="134"/>
      <c r="H37" s="134"/>
      <c r="I37" s="134"/>
      <c r="J37" s="134"/>
      <c r="K37" s="134"/>
      <c r="L37" s="135"/>
      <c r="M37" s="134"/>
      <c r="N37" s="134"/>
      <c r="O37" s="134"/>
      <c r="P37" s="134"/>
      <c r="Q37" s="134"/>
      <c r="R37" s="134"/>
    </row>
    <row r="38" ht="30.0" customHeight="1">
      <c r="D38" s="134"/>
      <c r="E38" s="134"/>
      <c r="F38" s="134"/>
      <c r="G38" s="134"/>
      <c r="H38" s="134"/>
      <c r="I38" s="134"/>
      <c r="J38" s="134"/>
      <c r="K38" s="134"/>
      <c r="L38" s="135"/>
      <c r="M38" s="134"/>
      <c r="N38" s="134"/>
      <c r="O38" s="134"/>
      <c r="P38" s="134"/>
      <c r="Q38" s="134"/>
      <c r="R38" s="134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C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7.14"/>
    <col customWidth="1" min="3" max="3" width="8.71"/>
    <col customWidth="1" min="4" max="4" width="21.29"/>
    <col customWidth="1" min="5" max="6" width="10.71" outlineLevel="1"/>
    <col customWidth="1" min="7" max="7" width="7.29" outlineLevel="1"/>
    <col customWidth="1" min="8" max="8" width="6.57" outlineLevel="1"/>
    <col customWidth="1" min="9" max="9" width="6.86" outlineLevel="1"/>
    <col customWidth="1" min="10" max="10" width="6.57" outlineLevel="1"/>
    <col customWidth="1" min="11" max="11" width="8.86" outlineLevel="1"/>
    <col customWidth="1" min="12" max="12" width="7.43" outlineLevel="1"/>
    <col customWidth="1" min="13" max="13" width="13.71" outlineLevel="1"/>
    <col customWidth="1" min="14" max="14" width="10.43" outlineLevel="1"/>
    <col customWidth="1" min="15" max="16" width="12.86" outlineLevel="1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7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62" t="s">
        <v>19</v>
      </c>
      <c r="R4" s="262" t="s">
        <v>20</v>
      </c>
    </row>
    <row r="5" ht="14.25" customHeight="1">
      <c r="A5" s="8" t="s">
        <v>188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160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4.25" customHeight="1">
      <c r="A7" s="101" t="s">
        <v>23</v>
      </c>
      <c r="B7" s="74" t="s">
        <v>24</v>
      </c>
      <c r="C7" s="199">
        <v>1.0</v>
      </c>
      <c r="D7" s="287" t="s">
        <v>189</v>
      </c>
      <c r="E7" s="102">
        <v>5.02</v>
      </c>
      <c r="F7" s="102">
        <v>1.58</v>
      </c>
      <c r="G7" s="102">
        <v>8.15</v>
      </c>
      <c r="H7" s="102">
        <v>6.01</v>
      </c>
      <c r="I7" s="102">
        <v>6.3</v>
      </c>
      <c r="J7" s="288">
        <v>6.61</v>
      </c>
      <c r="K7" s="105">
        <v>5.41</v>
      </c>
      <c r="L7" s="102">
        <v>2.09</v>
      </c>
      <c r="M7" s="102">
        <v>2.01</v>
      </c>
      <c r="N7" s="102">
        <v>1.81</v>
      </c>
      <c r="O7" s="102">
        <v>1.73</v>
      </c>
      <c r="P7" s="102">
        <v>5.04</v>
      </c>
      <c r="Q7" s="265">
        <f t="shared" ref="Q7:Q21" si="1">AVERAGE(E7:P7)</f>
        <v>4.313333333</v>
      </c>
      <c r="R7" s="200">
        <v>6.0</v>
      </c>
    </row>
    <row r="8" ht="14.25" customHeight="1">
      <c r="A8" s="21"/>
      <c r="B8" s="22"/>
      <c r="C8" s="201">
        <v>2.0</v>
      </c>
      <c r="D8" s="289" t="s">
        <v>190</v>
      </c>
      <c r="E8" s="27">
        <v>4.47</v>
      </c>
      <c r="F8" s="27">
        <v>1.67</v>
      </c>
      <c r="G8" s="27">
        <v>9.56</v>
      </c>
      <c r="H8" s="313">
        <v>6.31</v>
      </c>
      <c r="I8" s="313">
        <v>5.5</v>
      </c>
      <c r="J8" s="210">
        <v>7.34</v>
      </c>
      <c r="K8" s="313">
        <v>6.37</v>
      </c>
      <c r="L8" s="27">
        <v>2.31</v>
      </c>
      <c r="M8" s="106">
        <v>2.35</v>
      </c>
      <c r="N8" s="27">
        <v>1.96</v>
      </c>
      <c r="O8" s="27">
        <v>1.81</v>
      </c>
      <c r="P8" s="106">
        <v>4.99</v>
      </c>
      <c r="Q8" s="268">
        <f t="shared" si="1"/>
        <v>4.553333333</v>
      </c>
      <c r="R8" s="29">
        <v>6.0</v>
      </c>
    </row>
    <row r="9" ht="14.25" customHeight="1">
      <c r="A9" s="21"/>
      <c r="B9" s="30"/>
      <c r="C9" s="201">
        <v>3.0</v>
      </c>
      <c r="D9" s="289" t="s">
        <v>191</v>
      </c>
      <c r="E9" s="27">
        <v>4.46</v>
      </c>
      <c r="F9" s="27">
        <v>2.7</v>
      </c>
      <c r="G9" s="27">
        <v>9.29</v>
      </c>
      <c r="H9" s="313">
        <v>6.86</v>
      </c>
      <c r="I9" s="313">
        <v>2.4</v>
      </c>
      <c r="J9" s="210">
        <v>6.1</v>
      </c>
      <c r="K9" s="313">
        <v>5.02</v>
      </c>
      <c r="L9" s="106">
        <v>2.03</v>
      </c>
      <c r="M9" s="27">
        <v>1.8</v>
      </c>
      <c r="N9" s="27">
        <v>1.54</v>
      </c>
      <c r="O9" s="27">
        <v>1.5</v>
      </c>
      <c r="P9" s="27">
        <v>5.01</v>
      </c>
      <c r="Q9" s="268">
        <f t="shared" si="1"/>
        <v>4.059166667</v>
      </c>
      <c r="R9" s="29">
        <v>6.0</v>
      </c>
    </row>
    <row r="10" ht="14.25" customHeight="1">
      <c r="A10" s="21"/>
      <c r="B10" s="13" t="s">
        <v>31</v>
      </c>
      <c r="C10" s="202">
        <v>1.0</v>
      </c>
      <c r="D10" s="290" t="s">
        <v>189</v>
      </c>
      <c r="E10" s="176">
        <v>14.0</v>
      </c>
      <c r="F10" s="105">
        <v>24.0</v>
      </c>
      <c r="G10" s="105">
        <v>14.0</v>
      </c>
      <c r="H10" s="105">
        <v>23.0</v>
      </c>
      <c r="I10" s="105">
        <v>30.0</v>
      </c>
      <c r="J10" s="291">
        <v>25.0</v>
      </c>
      <c r="K10" s="105">
        <v>50.0</v>
      </c>
      <c r="L10" s="105">
        <v>16.0</v>
      </c>
      <c r="M10" s="176">
        <v>63.0</v>
      </c>
      <c r="N10" s="176">
        <v>35.0</v>
      </c>
      <c r="O10" s="176">
        <v>40.0</v>
      </c>
      <c r="P10" s="176">
        <v>17.0</v>
      </c>
      <c r="Q10" s="273">
        <f t="shared" si="1"/>
        <v>29.25</v>
      </c>
      <c r="R10" s="20">
        <v>50.0</v>
      </c>
    </row>
    <row r="11" ht="14.25" customHeight="1">
      <c r="A11" s="21"/>
      <c r="B11" s="22"/>
      <c r="C11" s="201">
        <v>2.0</v>
      </c>
      <c r="D11" s="289" t="s">
        <v>190</v>
      </c>
      <c r="E11" s="106">
        <v>32.0</v>
      </c>
      <c r="F11" s="106">
        <v>49.0</v>
      </c>
      <c r="G11" s="314">
        <v>39.0</v>
      </c>
      <c r="H11" s="314">
        <v>26.0</v>
      </c>
      <c r="I11" s="314">
        <v>37.0</v>
      </c>
      <c r="J11" s="209">
        <v>41.0</v>
      </c>
      <c r="K11" s="314">
        <v>52.0</v>
      </c>
      <c r="L11" s="314">
        <v>12.0</v>
      </c>
      <c r="M11" s="106">
        <v>83.0</v>
      </c>
      <c r="N11" s="106">
        <v>20.0</v>
      </c>
      <c r="O11" s="106">
        <v>322.0</v>
      </c>
      <c r="P11" s="106">
        <v>22.0</v>
      </c>
      <c r="Q11" s="276">
        <f t="shared" si="1"/>
        <v>61.25</v>
      </c>
      <c r="R11" s="29">
        <v>50.0</v>
      </c>
    </row>
    <row r="12" ht="14.25" customHeight="1">
      <c r="A12" s="21"/>
      <c r="B12" s="30"/>
      <c r="C12" s="201">
        <v>3.0</v>
      </c>
      <c r="D12" s="289" t="s">
        <v>191</v>
      </c>
      <c r="E12" s="39">
        <v>79.0</v>
      </c>
      <c r="F12" s="39">
        <v>52.0</v>
      </c>
      <c r="G12" s="314">
        <v>30.0</v>
      </c>
      <c r="H12" s="314">
        <v>36.0</v>
      </c>
      <c r="I12" s="314">
        <v>29.0</v>
      </c>
      <c r="J12" s="209">
        <v>26.0</v>
      </c>
      <c r="K12" s="314">
        <v>133.0</v>
      </c>
      <c r="L12" s="314">
        <v>16.0</v>
      </c>
      <c r="M12" s="106">
        <v>105.0</v>
      </c>
      <c r="N12" s="106">
        <v>85.0</v>
      </c>
      <c r="O12" s="106">
        <v>85.0</v>
      </c>
      <c r="P12" s="106">
        <v>20.0</v>
      </c>
      <c r="Q12" s="276">
        <f t="shared" si="1"/>
        <v>58</v>
      </c>
      <c r="R12" s="29">
        <v>50.0</v>
      </c>
    </row>
    <row r="13" ht="14.25" customHeight="1">
      <c r="A13" s="21"/>
      <c r="B13" s="13" t="s">
        <v>33</v>
      </c>
      <c r="C13" s="202">
        <v>1.0</v>
      </c>
      <c r="D13" s="290" t="s">
        <v>189</v>
      </c>
      <c r="E13" s="176">
        <v>8.83</v>
      </c>
      <c r="F13" s="105">
        <v>8.51</v>
      </c>
      <c r="G13" s="102">
        <v>8.4</v>
      </c>
      <c r="H13" s="102">
        <v>8.36</v>
      </c>
      <c r="I13" s="102">
        <v>7.0</v>
      </c>
      <c r="J13" s="288">
        <v>8.15</v>
      </c>
      <c r="K13" s="102">
        <v>7.0</v>
      </c>
      <c r="L13" s="18">
        <v>7.0</v>
      </c>
      <c r="M13" s="18">
        <v>7.0</v>
      </c>
      <c r="N13" s="102">
        <v>7.0</v>
      </c>
      <c r="O13" s="18">
        <v>7.0</v>
      </c>
      <c r="P13" s="18">
        <v>8.1</v>
      </c>
      <c r="Q13" s="265">
        <f t="shared" si="1"/>
        <v>7.695833333</v>
      </c>
      <c r="R13" s="208" t="s">
        <v>164</v>
      </c>
    </row>
    <row r="14" ht="14.25" customHeight="1">
      <c r="A14" s="21"/>
      <c r="B14" s="22"/>
      <c r="C14" s="201">
        <v>2.0</v>
      </c>
      <c r="D14" s="289" t="s">
        <v>190</v>
      </c>
      <c r="E14" s="106">
        <v>8.88</v>
      </c>
      <c r="F14" s="106">
        <v>8.52</v>
      </c>
      <c r="G14" s="27">
        <v>8.13</v>
      </c>
      <c r="H14" s="313">
        <v>8.26</v>
      </c>
      <c r="I14" s="313">
        <v>7.0</v>
      </c>
      <c r="J14" s="210">
        <v>8.07</v>
      </c>
      <c r="K14" s="313">
        <v>7.0</v>
      </c>
      <c r="L14" s="27">
        <v>7.0</v>
      </c>
      <c r="M14" s="27">
        <v>7.0</v>
      </c>
      <c r="N14" s="27">
        <v>7.0</v>
      </c>
      <c r="O14" s="27">
        <v>7.0</v>
      </c>
      <c r="P14" s="27">
        <v>8.13</v>
      </c>
      <c r="Q14" s="268">
        <f t="shared" si="1"/>
        <v>7.665833333</v>
      </c>
      <c r="R14" s="241" t="s">
        <v>164</v>
      </c>
    </row>
    <row r="15" ht="14.25" customHeight="1">
      <c r="A15" s="21"/>
      <c r="B15" s="30"/>
      <c r="C15" s="201">
        <v>3.0</v>
      </c>
      <c r="D15" s="289" t="s">
        <v>191</v>
      </c>
      <c r="E15" s="27">
        <v>8.9</v>
      </c>
      <c r="F15" s="27">
        <v>5.69</v>
      </c>
      <c r="G15" s="27">
        <v>8.12</v>
      </c>
      <c r="H15" s="313">
        <v>8.04</v>
      </c>
      <c r="I15" s="313">
        <v>7.0</v>
      </c>
      <c r="J15" s="210">
        <v>8.12</v>
      </c>
      <c r="K15" s="313">
        <v>7.0</v>
      </c>
      <c r="L15" s="27">
        <v>7.0</v>
      </c>
      <c r="M15" s="27">
        <v>7.0</v>
      </c>
      <c r="N15" s="27">
        <v>7.0</v>
      </c>
      <c r="O15" s="27">
        <v>7.0</v>
      </c>
      <c r="P15" s="27">
        <v>8.25</v>
      </c>
      <c r="Q15" s="268">
        <f t="shared" si="1"/>
        <v>7.426666667</v>
      </c>
      <c r="R15" s="241" t="s">
        <v>164</v>
      </c>
    </row>
    <row r="16" ht="14.25" customHeight="1">
      <c r="A16" s="21"/>
      <c r="B16" s="13" t="s">
        <v>192</v>
      </c>
      <c r="C16" s="202">
        <v>1.0</v>
      </c>
      <c r="D16" s="290" t="s">
        <v>189</v>
      </c>
      <c r="E16" s="18">
        <v>29.13</v>
      </c>
      <c r="F16" s="102">
        <v>27.6</v>
      </c>
      <c r="G16" s="102">
        <v>29.38</v>
      </c>
      <c r="H16" s="102">
        <v>29.33</v>
      </c>
      <c r="I16" s="102">
        <v>28.43</v>
      </c>
      <c r="J16" s="288">
        <v>30.38</v>
      </c>
      <c r="K16" s="102">
        <v>26.93</v>
      </c>
      <c r="L16" s="18">
        <v>28.83</v>
      </c>
      <c r="M16" s="18">
        <v>28.56</v>
      </c>
      <c r="N16" s="102">
        <v>29.0</v>
      </c>
      <c r="O16" s="18">
        <v>28.21</v>
      </c>
      <c r="P16" s="18">
        <v>29.1</v>
      </c>
      <c r="Q16" s="265">
        <f t="shared" si="1"/>
        <v>28.74</v>
      </c>
      <c r="R16" s="18" t="s">
        <v>166</v>
      </c>
    </row>
    <row r="17" ht="14.25" customHeight="1">
      <c r="A17" s="21"/>
      <c r="B17" s="22"/>
      <c r="C17" s="201">
        <v>2.0</v>
      </c>
      <c r="D17" s="289" t="s">
        <v>190</v>
      </c>
      <c r="E17" s="27">
        <v>28.7</v>
      </c>
      <c r="F17" s="27">
        <v>27.7</v>
      </c>
      <c r="G17" s="27">
        <v>29.93</v>
      </c>
      <c r="H17" s="313">
        <v>28.49</v>
      </c>
      <c r="I17" s="313">
        <v>29.4</v>
      </c>
      <c r="J17" s="209">
        <v>30.18</v>
      </c>
      <c r="K17" s="313">
        <v>27.68</v>
      </c>
      <c r="L17" s="27">
        <v>29.23</v>
      </c>
      <c r="M17" s="27">
        <v>28.89</v>
      </c>
      <c r="N17" s="27">
        <v>28.8</v>
      </c>
      <c r="O17" s="27">
        <v>28.34</v>
      </c>
      <c r="P17" s="27">
        <v>29.1</v>
      </c>
      <c r="Q17" s="268">
        <f t="shared" si="1"/>
        <v>28.87</v>
      </c>
      <c r="R17" s="27" t="s">
        <v>166</v>
      </c>
    </row>
    <row r="18" ht="14.25" customHeight="1">
      <c r="A18" s="21"/>
      <c r="B18" s="30"/>
      <c r="C18" s="201">
        <v>3.0</v>
      </c>
      <c r="D18" s="289" t="s">
        <v>191</v>
      </c>
      <c r="E18" s="27">
        <v>29.7</v>
      </c>
      <c r="F18" s="27">
        <v>28.1</v>
      </c>
      <c r="G18" s="27">
        <v>29.55</v>
      </c>
      <c r="H18" s="313">
        <v>28.77</v>
      </c>
      <c r="I18" s="313">
        <v>29.78</v>
      </c>
      <c r="J18" s="210">
        <v>29.9</v>
      </c>
      <c r="K18" s="313">
        <v>27.2</v>
      </c>
      <c r="L18" s="27">
        <v>28.71</v>
      </c>
      <c r="M18" s="27">
        <v>28.38</v>
      </c>
      <c r="N18" s="27">
        <v>28.91</v>
      </c>
      <c r="O18" s="27">
        <v>28.14</v>
      </c>
      <c r="P18" s="27">
        <v>29.15</v>
      </c>
      <c r="Q18" s="268">
        <f t="shared" si="1"/>
        <v>28.8575</v>
      </c>
      <c r="R18" s="27" t="s">
        <v>166</v>
      </c>
    </row>
    <row r="19" ht="14.25" customHeight="1">
      <c r="A19" s="21"/>
      <c r="B19" s="13" t="s">
        <v>37</v>
      </c>
      <c r="C19" s="202">
        <v>1.0</v>
      </c>
      <c r="D19" s="290" t="s">
        <v>189</v>
      </c>
      <c r="E19" s="176">
        <v>15.0</v>
      </c>
      <c r="F19" s="105">
        <v>15.0</v>
      </c>
      <c r="G19" s="105">
        <v>15.0</v>
      </c>
      <c r="H19" s="105">
        <v>5.0</v>
      </c>
      <c r="I19" s="105">
        <v>5.0</v>
      </c>
      <c r="J19" s="291">
        <v>5.0</v>
      </c>
      <c r="K19" s="105">
        <v>5.0</v>
      </c>
      <c r="L19" s="105">
        <v>5.0</v>
      </c>
      <c r="M19" s="176">
        <v>5.0</v>
      </c>
      <c r="N19" s="176">
        <v>20.0</v>
      </c>
      <c r="O19" s="176">
        <v>5.0</v>
      </c>
      <c r="P19" s="176">
        <v>5.0</v>
      </c>
      <c r="Q19" s="273">
        <f t="shared" si="1"/>
        <v>8.75</v>
      </c>
      <c r="R19" s="35">
        <v>50.0</v>
      </c>
    </row>
    <row r="20" ht="14.25" customHeight="1">
      <c r="A20" s="21"/>
      <c r="B20" s="22"/>
      <c r="C20" s="201">
        <v>2.0</v>
      </c>
      <c r="D20" s="289" t="s">
        <v>190</v>
      </c>
      <c r="E20" s="106">
        <v>15.0</v>
      </c>
      <c r="F20" s="106">
        <v>10.0</v>
      </c>
      <c r="G20" s="314">
        <v>15.0</v>
      </c>
      <c r="H20" s="314">
        <v>5.0</v>
      </c>
      <c r="I20" s="314">
        <v>5.0</v>
      </c>
      <c r="J20" s="209">
        <v>5.0</v>
      </c>
      <c r="K20" s="314">
        <v>5.0</v>
      </c>
      <c r="L20" s="314">
        <v>5.0</v>
      </c>
      <c r="M20" s="106">
        <v>5.0</v>
      </c>
      <c r="N20" s="106">
        <v>20.0</v>
      </c>
      <c r="O20" s="106">
        <v>5.0</v>
      </c>
      <c r="P20" s="106">
        <v>5.0</v>
      </c>
      <c r="Q20" s="276">
        <f t="shared" si="1"/>
        <v>8.333333333</v>
      </c>
      <c r="R20" s="39">
        <v>50.0</v>
      </c>
    </row>
    <row r="21" ht="14.25" customHeight="1">
      <c r="A21" s="21"/>
      <c r="B21" s="30"/>
      <c r="C21" s="201">
        <v>3.0</v>
      </c>
      <c r="D21" s="289" t="s">
        <v>191</v>
      </c>
      <c r="E21" s="39">
        <v>10.0</v>
      </c>
      <c r="F21" s="39">
        <v>15.0</v>
      </c>
      <c r="G21" s="314">
        <v>15.0</v>
      </c>
      <c r="H21" s="314">
        <v>5.0</v>
      </c>
      <c r="I21" s="314">
        <v>5.0</v>
      </c>
      <c r="J21" s="209">
        <v>5.0</v>
      </c>
      <c r="K21" s="314">
        <v>5.0</v>
      </c>
      <c r="L21" s="314">
        <v>5.0</v>
      </c>
      <c r="M21" s="106">
        <v>5.0</v>
      </c>
      <c r="N21" s="106">
        <v>15.0</v>
      </c>
      <c r="O21" s="106">
        <v>5.0</v>
      </c>
      <c r="P21" s="106">
        <v>5.0</v>
      </c>
      <c r="Q21" s="276">
        <f t="shared" si="1"/>
        <v>7.916666667</v>
      </c>
      <c r="R21" s="39">
        <v>50.0</v>
      </c>
    </row>
    <row r="22" ht="14.25" customHeight="1">
      <c r="A22" s="21"/>
      <c r="B22" s="13" t="s">
        <v>38</v>
      </c>
      <c r="C22" s="202">
        <v>1.0</v>
      </c>
      <c r="D22" s="290" t="s">
        <v>189</v>
      </c>
      <c r="E22" s="47">
        <v>23.0</v>
      </c>
      <c r="F22" s="107">
        <v>130.0</v>
      </c>
      <c r="G22" s="107">
        <v>33.0</v>
      </c>
      <c r="H22" s="107">
        <v>49.0</v>
      </c>
      <c r="I22" s="107">
        <v>33.0</v>
      </c>
      <c r="J22" s="294">
        <v>21.0</v>
      </c>
      <c r="K22" s="107">
        <v>16000.0</v>
      </c>
      <c r="L22" s="47">
        <v>49.0</v>
      </c>
      <c r="M22" s="47">
        <v>11000.0</v>
      </c>
      <c r="N22" s="47">
        <v>350.0</v>
      </c>
      <c r="O22" s="47">
        <v>1700.0</v>
      </c>
      <c r="P22" s="47">
        <v>130.0</v>
      </c>
      <c r="Q22" s="305">
        <f t="shared" ref="Q22:Q24" si="2">GEOMEAN(E22:P22)</f>
        <v>190.154654</v>
      </c>
      <c r="R22" s="20">
        <v>100.0</v>
      </c>
      <c r="S22" s="306"/>
    </row>
    <row r="23" ht="14.25" customHeight="1">
      <c r="A23" s="21"/>
      <c r="B23" s="22"/>
      <c r="C23" s="201">
        <v>2.0</v>
      </c>
      <c r="D23" s="289" t="s">
        <v>190</v>
      </c>
      <c r="E23" s="53">
        <v>540.0</v>
      </c>
      <c r="F23" s="53">
        <v>130.0</v>
      </c>
      <c r="G23" s="315">
        <v>79.0</v>
      </c>
      <c r="H23" s="315">
        <v>79.0</v>
      </c>
      <c r="I23" s="315">
        <v>23.0</v>
      </c>
      <c r="J23" s="215">
        <v>130.0</v>
      </c>
      <c r="K23" s="316">
        <v>16000.0</v>
      </c>
      <c r="L23" s="53">
        <v>540.0</v>
      </c>
      <c r="M23" s="53">
        <v>1600.0</v>
      </c>
      <c r="N23" s="53">
        <v>1600.0</v>
      </c>
      <c r="O23" s="53">
        <v>3500.0</v>
      </c>
      <c r="P23" s="53">
        <v>49.0</v>
      </c>
      <c r="Q23" s="307">
        <f t="shared" si="2"/>
        <v>361.4293025</v>
      </c>
      <c r="R23" s="29">
        <v>100.0</v>
      </c>
    </row>
    <row r="24" ht="14.25" customHeight="1">
      <c r="A24" s="21"/>
      <c r="B24" s="30"/>
      <c r="C24" s="201">
        <v>3.0</v>
      </c>
      <c r="D24" s="289" t="s">
        <v>191</v>
      </c>
      <c r="E24" s="53">
        <v>130.0</v>
      </c>
      <c r="F24" s="53">
        <v>23.0</v>
      </c>
      <c r="G24" s="315">
        <v>23.0</v>
      </c>
      <c r="H24" s="315">
        <v>23.0</v>
      </c>
      <c r="I24" s="315">
        <v>7.8</v>
      </c>
      <c r="J24" s="215">
        <v>70.0</v>
      </c>
      <c r="K24" s="315">
        <v>92000.0</v>
      </c>
      <c r="L24" s="53">
        <v>490.0</v>
      </c>
      <c r="M24" s="53">
        <v>920.0</v>
      </c>
      <c r="N24" s="53">
        <v>240.0</v>
      </c>
      <c r="O24" s="53">
        <v>350.0</v>
      </c>
      <c r="P24" s="53">
        <v>79.0</v>
      </c>
      <c r="Q24" s="307">
        <f t="shared" si="2"/>
        <v>157.7610548</v>
      </c>
      <c r="R24" s="29">
        <v>100.0</v>
      </c>
    </row>
    <row r="25" ht="14.25" customHeight="1">
      <c r="A25" s="21"/>
      <c r="B25" s="13" t="s">
        <v>193</v>
      </c>
      <c r="C25" s="202">
        <v>1.0</v>
      </c>
      <c r="D25" s="290" t="s">
        <v>189</v>
      </c>
      <c r="E25" s="59">
        <v>0.152</v>
      </c>
      <c r="F25" s="108">
        <v>0.134</v>
      </c>
      <c r="G25" s="108">
        <v>0.083</v>
      </c>
      <c r="H25" s="108">
        <v>0.241</v>
      </c>
      <c r="I25" s="108">
        <v>0.081</v>
      </c>
      <c r="J25" s="299">
        <v>0.274</v>
      </c>
      <c r="K25" s="317">
        <v>0.365</v>
      </c>
      <c r="L25" s="105">
        <v>0.048</v>
      </c>
      <c r="M25" s="59">
        <v>0.233</v>
      </c>
      <c r="N25" s="59">
        <v>0.263</v>
      </c>
      <c r="O25" s="176">
        <v>0.219</v>
      </c>
      <c r="P25" s="108">
        <v>0.33</v>
      </c>
      <c r="Q25" s="278">
        <f t="shared" ref="Q25:Q30" si="3">AVERAGE(E25:P25)</f>
        <v>0.2019166667</v>
      </c>
      <c r="R25" s="20">
        <v>10.0</v>
      </c>
    </row>
    <row r="26" ht="14.25" customHeight="1">
      <c r="A26" s="21"/>
      <c r="B26" s="22"/>
      <c r="C26" s="201">
        <v>2.0</v>
      </c>
      <c r="D26" s="289" t="s">
        <v>190</v>
      </c>
      <c r="E26" s="65">
        <v>0.082</v>
      </c>
      <c r="F26" s="65">
        <v>0.137</v>
      </c>
      <c r="G26" s="318">
        <v>0.159</v>
      </c>
      <c r="H26" s="318">
        <v>0.239</v>
      </c>
      <c r="I26" s="318">
        <v>0.225</v>
      </c>
      <c r="J26" s="255">
        <v>0.234</v>
      </c>
      <c r="K26" s="319">
        <v>0.436</v>
      </c>
      <c r="L26" s="318">
        <v>0.048</v>
      </c>
      <c r="M26" s="65">
        <v>0.193</v>
      </c>
      <c r="N26" s="65">
        <v>0.271</v>
      </c>
      <c r="O26" s="106">
        <v>0.969</v>
      </c>
      <c r="P26" s="106">
        <v>0.257</v>
      </c>
      <c r="Q26" s="280">
        <f t="shared" si="3"/>
        <v>0.2708333333</v>
      </c>
      <c r="R26" s="29">
        <v>10.0</v>
      </c>
    </row>
    <row r="27" ht="14.25" customHeight="1">
      <c r="A27" s="21"/>
      <c r="B27" s="30"/>
      <c r="C27" s="201">
        <v>3.0</v>
      </c>
      <c r="D27" s="289" t="s">
        <v>191</v>
      </c>
      <c r="E27" s="65">
        <v>0.312</v>
      </c>
      <c r="F27" s="65">
        <v>0.325</v>
      </c>
      <c r="G27" s="318">
        <v>0.048</v>
      </c>
      <c r="H27" s="318">
        <v>0.136</v>
      </c>
      <c r="I27" s="318">
        <v>0.129</v>
      </c>
      <c r="J27" s="255">
        <v>0.108</v>
      </c>
      <c r="K27" s="319">
        <v>0.527</v>
      </c>
      <c r="L27" s="314">
        <v>0.051</v>
      </c>
      <c r="M27" s="65">
        <v>0.193</v>
      </c>
      <c r="N27" s="65">
        <v>0.301</v>
      </c>
      <c r="O27" s="106">
        <v>0.354</v>
      </c>
      <c r="P27" s="65">
        <v>0.298</v>
      </c>
      <c r="Q27" s="280">
        <f t="shared" si="3"/>
        <v>0.2318333333</v>
      </c>
      <c r="R27" s="29">
        <v>10.0</v>
      </c>
    </row>
    <row r="28" ht="14.25" customHeight="1">
      <c r="A28" s="21"/>
      <c r="B28" s="13" t="s">
        <v>194</v>
      </c>
      <c r="C28" s="202">
        <v>1.0</v>
      </c>
      <c r="D28" s="290" t="s">
        <v>189</v>
      </c>
      <c r="E28" s="59">
        <v>0.261</v>
      </c>
      <c r="F28" s="108">
        <v>0.222</v>
      </c>
      <c r="G28" s="108">
        <v>0.223</v>
      </c>
      <c r="H28" s="108">
        <v>0.272</v>
      </c>
      <c r="I28" s="108">
        <v>0.104</v>
      </c>
      <c r="J28" s="299">
        <v>0.286</v>
      </c>
      <c r="K28" s="317">
        <v>0.217</v>
      </c>
      <c r="L28" s="176">
        <v>0.196</v>
      </c>
      <c r="M28" s="59">
        <v>0.242</v>
      </c>
      <c r="N28" s="59">
        <v>0.214</v>
      </c>
      <c r="O28" s="59">
        <v>0.104</v>
      </c>
      <c r="P28" s="176">
        <v>0.017</v>
      </c>
      <c r="Q28" s="278">
        <f t="shared" si="3"/>
        <v>0.1965</v>
      </c>
      <c r="R28" s="20">
        <v>0.5</v>
      </c>
    </row>
    <row r="29" ht="14.25" customHeight="1">
      <c r="A29" s="21"/>
      <c r="B29" s="22"/>
      <c r="C29" s="201">
        <v>2.0</v>
      </c>
      <c r="D29" s="289" t="s">
        <v>190</v>
      </c>
      <c r="E29" s="65">
        <v>0.337</v>
      </c>
      <c r="F29" s="65">
        <v>0.155</v>
      </c>
      <c r="G29" s="318">
        <v>0.228</v>
      </c>
      <c r="H29" s="318">
        <v>0.198</v>
      </c>
      <c r="I29" s="318">
        <v>0.203</v>
      </c>
      <c r="J29" s="255">
        <v>0.417</v>
      </c>
      <c r="K29" s="319">
        <v>0.21</v>
      </c>
      <c r="L29" s="65">
        <v>0.192</v>
      </c>
      <c r="M29" s="65">
        <v>0.238</v>
      </c>
      <c r="N29" s="65">
        <v>0.226</v>
      </c>
      <c r="O29" s="65">
        <v>0.122</v>
      </c>
      <c r="P29" s="106">
        <v>0.055</v>
      </c>
      <c r="Q29" s="280">
        <f t="shared" si="3"/>
        <v>0.2150833333</v>
      </c>
      <c r="R29" s="29">
        <v>0.5</v>
      </c>
    </row>
    <row r="30" ht="14.25" customHeight="1">
      <c r="A30" s="21"/>
      <c r="B30" s="30"/>
      <c r="C30" s="201">
        <v>3.0</v>
      </c>
      <c r="D30" s="289" t="s">
        <v>191</v>
      </c>
      <c r="E30" s="65">
        <v>0.245</v>
      </c>
      <c r="F30" s="65">
        <v>0.23</v>
      </c>
      <c r="G30" s="318">
        <v>0.239</v>
      </c>
      <c r="H30" s="318">
        <v>0.245</v>
      </c>
      <c r="I30" s="318">
        <v>0.236</v>
      </c>
      <c r="J30" s="255">
        <v>0.399</v>
      </c>
      <c r="K30" s="319">
        <v>0.252</v>
      </c>
      <c r="L30" s="106">
        <v>0.297</v>
      </c>
      <c r="M30" s="65">
        <v>0.384</v>
      </c>
      <c r="N30" s="65">
        <v>0.212</v>
      </c>
      <c r="O30" s="106">
        <v>0.279</v>
      </c>
      <c r="P30" s="106">
        <v>0.077</v>
      </c>
      <c r="Q30" s="280">
        <f t="shared" si="3"/>
        <v>0.2579166667</v>
      </c>
      <c r="R30" s="29">
        <v>0.5</v>
      </c>
    </row>
    <row r="31" ht="14.25" customHeight="1">
      <c r="K31" s="320"/>
    </row>
    <row r="32" ht="14.25" customHeight="1">
      <c r="A32" s="110" t="s">
        <v>43</v>
      </c>
    </row>
    <row r="33" ht="14.25" customHeight="1"/>
    <row r="34" ht="33.0" customHeight="1">
      <c r="A34" s="110" t="s">
        <v>195</v>
      </c>
    </row>
    <row r="35" ht="14.25" customHeight="1">
      <c r="A35" s="110"/>
    </row>
    <row r="36" ht="14.2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A34:C34"/>
    <mergeCell ref="A35:C36"/>
    <mergeCell ref="B13:B15"/>
    <mergeCell ref="B16:B18"/>
    <mergeCell ref="B19:B21"/>
    <mergeCell ref="B22:B24"/>
    <mergeCell ref="B25:B27"/>
    <mergeCell ref="B28:B30"/>
    <mergeCell ref="A32:C33"/>
  </mergeCells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7.57"/>
    <col customWidth="1" min="3" max="3" width="8.71"/>
    <col customWidth="1" min="4" max="4" width="24.29"/>
    <col customWidth="1" min="5" max="5" width="10.71" outlineLevel="1"/>
    <col customWidth="1" min="6" max="6" width="9.0" outlineLevel="1"/>
    <col customWidth="1" min="7" max="7" width="10.71" outlineLevel="1"/>
    <col customWidth="1" min="8" max="8" width="5.71" outlineLevel="1"/>
    <col customWidth="1" min="9" max="9" width="6.43" outlineLevel="1"/>
    <col customWidth="1" min="10" max="10" width="6.57" outlineLevel="1"/>
    <col customWidth="1" min="11" max="11" width="9.86" outlineLevel="1"/>
    <col customWidth="1" min="12" max="12" width="7.43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16.86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7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62" t="s">
        <v>19</v>
      </c>
      <c r="R4" s="262" t="s">
        <v>20</v>
      </c>
    </row>
    <row r="5" ht="14.25" customHeight="1">
      <c r="A5" s="8" t="s">
        <v>196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197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4.25" customHeight="1">
      <c r="A7" s="101" t="s">
        <v>23</v>
      </c>
      <c r="B7" s="74" t="s">
        <v>24</v>
      </c>
      <c r="C7" s="199">
        <v>1.0</v>
      </c>
      <c r="D7" s="287" t="s">
        <v>198</v>
      </c>
      <c r="E7" s="105">
        <v>8.91</v>
      </c>
      <c r="F7" s="105">
        <v>9.37</v>
      </c>
      <c r="G7" s="102">
        <v>12.39</v>
      </c>
      <c r="H7" s="102">
        <v>7.98</v>
      </c>
      <c r="I7" s="102">
        <v>8.6</v>
      </c>
      <c r="J7" s="288">
        <v>5.4</v>
      </c>
      <c r="K7" s="105">
        <v>1.02</v>
      </c>
      <c r="L7" s="102">
        <v>3.0</v>
      </c>
      <c r="M7" s="102" t="s">
        <v>142</v>
      </c>
      <c r="N7" s="102">
        <v>2.45</v>
      </c>
      <c r="O7" s="105">
        <v>1.81</v>
      </c>
      <c r="P7" s="102">
        <v>4.85</v>
      </c>
      <c r="Q7" s="265">
        <f t="shared" ref="Q7:Q36" si="1">AVERAGE(E7:P7)</f>
        <v>5.98</v>
      </c>
      <c r="R7" s="200">
        <v>6.0</v>
      </c>
    </row>
    <row r="8" ht="14.25" customHeight="1">
      <c r="A8" s="21"/>
      <c r="B8" s="22"/>
      <c r="C8" s="228">
        <v>2.0</v>
      </c>
      <c r="D8" s="289" t="s">
        <v>199</v>
      </c>
      <c r="E8" s="106">
        <v>5.89</v>
      </c>
      <c r="F8" s="106">
        <v>7.11</v>
      </c>
      <c r="G8" s="27">
        <v>13.7</v>
      </c>
      <c r="H8" s="313">
        <v>9.47</v>
      </c>
      <c r="I8" s="313">
        <v>10.5</v>
      </c>
      <c r="J8" s="210">
        <v>5.12</v>
      </c>
      <c r="K8" s="313">
        <v>1.1</v>
      </c>
      <c r="L8" s="106">
        <v>3.01</v>
      </c>
      <c r="M8" s="27" t="s">
        <v>142</v>
      </c>
      <c r="N8" s="27">
        <v>2.51</v>
      </c>
      <c r="O8" s="106">
        <v>1.22</v>
      </c>
      <c r="P8" s="27">
        <v>4.96</v>
      </c>
      <c r="Q8" s="268">
        <f t="shared" si="1"/>
        <v>5.871818182</v>
      </c>
      <c r="R8" s="29">
        <v>6.0</v>
      </c>
    </row>
    <row r="9" ht="14.25" customHeight="1">
      <c r="A9" s="21"/>
      <c r="B9" s="22"/>
      <c r="C9" s="228">
        <v>3.0</v>
      </c>
      <c r="D9" s="289" t="s">
        <v>200</v>
      </c>
      <c r="E9" s="27">
        <v>5.3</v>
      </c>
      <c r="F9" s="106">
        <v>6.99</v>
      </c>
      <c r="G9" s="27">
        <v>9.35</v>
      </c>
      <c r="H9" s="313">
        <v>10.42</v>
      </c>
      <c r="I9" s="313">
        <v>6.5</v>
      </c>
      <c r="J9" s="210">
        <v>6.38</v>
      </c>
      <c r="K9" s="314">
        <v>1.42</v>
      </c>
      <c r="L9" s="106">
        <v>2.22</v>
      </c>
      <c r="M9" s="27" t="s">
        <v>142</v>
      </c>
      <c r="N9" s="27">
        <v>2.42</v>
      </c>
      <c r="O9" s="106">
        <v>1.04</v>
      </c>
      <c r="P9" s="27">
        <v>4.41</v>
      </c>
      <c r="Q9" s="268">
        <f t="shared" si="1"/>
        <v>5.131818182</v>
      </c>
      <c r="R9" s="29">
        <v>6.0</v>
      </c>
    </row>
    <row r="10" ht="14.25" customHeight="1">
      <c r="A10" s="21"/>
      <c r="B10" s="22"/>
      <c r="C10" s="228">
        <v>4.0</v>
      </c>
      <c r="D10" s="289" t="s">
        <v>201</v>
      </c>
      <c r="E10" s="106">
        <v>4.86</v>
      </c>
      <c r="F10" s="106">
        <v>9.33</v>
      </c>
      <c r="G10" s="313">
        <v>8.74</v>
      </c>
      <c r="H10" s="313">
        <v>8.1</v>
      </c>
      <c r="I10" s="313">
        <v>7.7</v>
      </c>
      <c r="J10" s="210">
        <v>7.67</v>
      </c>
      <c r="K10" s="313">
        <v>1.5</v>
      </c>
      <c r="L10" s="106">
        <v>2.16</v>
      </c>
      <c r="M10" s="27" t="s">
        <v>142</v>
      </c>
      <c r="N10" s="313">
        <v>2.47</v>
      </c>
      <c r="O10" s="106">
        <v>1.48</v>
      </c>
      <c r="P10" s="27">
        <v>4.39</v>
      </c>
      <c r="Q10" s="268">
        <f t="shared" si="1"/>
        <v>5.309090909</v>
      </c>
      <c r="R10" s="321">
        <v>6.0</v>
      </c>
    </row>
    <row r="11" ht="14.25" customHeight="1">
      <c r="A11" s="21"/>
      <c r="B11" s="22"/>
      <c r="C11" s="228">
        <v>5.0</v>
      </c>
      <c r="D11" s="289" t="s">
        <v>202</v>
      </c>
      <c r="E11" s="106" t="s">
        <v>70</v>
      </c>
      <c r="F11" s="106" t="s">
        <v>70</v>
      </c>
      <c r="G11" s="106" t="s">
        <v>70</v>
      </c>
      <c r="H11" s="313" t="s">
        <v>70</v>
      </c>
      <c r="I11" s="313" t="s">
        <v>70</v>
      </c>
      <c r="J11" s="210" t="s">
        <v>70</v>
      </c>
      <c r="K11" s="314" t="s">
        <v>70</v>
      </c>
      <c r="L11" s="106" t="s">
        <v>70</v>
      </c>
      <c r="M11" s="106" t="s">
        <v>70</v>
      </c>
      <c r="N11" s="313" t="s">
        <v>70</v>
      </c>
      <c r="O11" s="106" t="s">
        <v>70</v>
      </c>
      <c r="P11" s="106" t="s">
        <v>70</v>
      </c>
      <c r="Q11" s="268" t="str">
        <f t="shared" si="1"/>
        <v>#DIV/0!</v>
      </c>
      <c r="R11" s="29">
        <v>6.0</v>
      </c>
    </row>
    <row r="12" ht="14.25" customHeight="1">
      <c r="A12" s="21"/>
      <c r="B12" s="30"/>
      <c r="C12" s="228">
        <v>6.0</v>
      </c>
      <c r="D12" s="289" t="s">
        <v>203</v>
      </c>
      <c r="E12" s="27">
        <v>3.9</v>
      </c>
      <c r="F12" s="27">
        <v>7.66</v>
      </c>
      <c r="G12" s="313">
        <v>6.52</v>
      </c>
      <c r="H12" s="313">
        <v>7.06</v>
      </c>
      <c r="I12" s="313">
        <v>6.8</v>
      </c>
      <c r="J12" s="210">
        <v>7.42</v>
      </c>
      <c r="K12" s="314">
        <v>1.25</v>
      </c>
      <c r="L12" s="106">
        <v>2.15</v>
      </c>
      <c r="M12" s="106" t="s">
        <v>142</v>
      </c>
      <c r="N12" s="313">
        <v>2.21</v>
      </c>
      <c r="O12" s="27">
        <v>1.2</v>
      </c>
      <c r="P12" s="27">
        <v>4.78</v>
      </c>
      <c r="Q12" s="268">
        <f t="shared" si="1"/>
        <v>4.631818182</v>
      </c>
      <c r="R12" s="29">
        <v>6.0</v>
      </c>
    </row>
    <row r="13" ht="14.25" customHeight="1">
      <c r="A13" s="21"/>
      <c r="B13" s="13" t="s">
        <v>31</v>
      </c>
      <c r="C13" s="202">
        <v>1.0</v>
      </c>
      <c r="D13" s="290" t="s">
        <v>198</v>
      </c>
      <c r="E13" s="176">
        <v>26.0</v>
      </c>
      <c r="F13" s="105">
        <v>39.0</v>
      </c>
      <c r="G13" s="105">
        <v>49.0</v>
      </c>
      <c r="H13" s="105">
        <v>37.0</v>
      </c>
      <c r="I13" s="105">
        <v>56.0</v>
      </c>
      <c r="J13" s="291">
        <v>13.0</v>
      </c>
      <c r="K13" s="105">
        <v>78.0</v>
      </c>
      <c r="L13" s="105">
        <v>118.0</v>
      </c>
      <c r="M13" s="102" t="s">
        <v>142</v>
      </c>
      <c r="N13" s="105">
        <v>15.0</v>
      </c>
      <c r="O13" s="176">
        <v>32.0</v>
      </c>
      <c r="P13" s="105">
        <v>17.0</v>
      </c>
      <c r="Q13" s="273">
        <f t="shared" si="1"/>
        <v>43.63636364</v>
      </c>
      <c r="R13" s="20">
        <v>50.0</v>
      </c>
    </row>
    <row r="14" ht="14.25" customHeight="1">
      <c r="A14" s="21"/>
      <c r="B14" s="22"/>
      <c r="C14" s="228">
        <v>2.0</v>
      </c>
      <c r="D14" s="289" t="s">
        <v>199</v>
      </c>
      <c r="E14" s="106">
        <v>14.0</v>
      </c>
      <c r="F14" s="106">
        <v>14.0</v>
      </c>
      <c r="G14" s="314">
        <v>20.0</v>
      </c>
      <c r="H14" s="314">
        <v>17.0</v>
      </c>
      <c r="I14" s="314">
        <v>51.0</v>
      </c>
      <c r="J14" s="209">
        <v>12.0</v>
      </c>
      <c r="K14" s="314">
        <v>22.0</v>
      </c>
      <c r="L14" s="106">
        <v>24.0</v>
      </c>
      <c r="M14" s="27" t="s">
        <v>142</v>
      </c>
      <c r="N14" s="106">
        <v>16.0</v>
      </c>
      <c r="O14" s="106">
        <v>35.0</v>
      </c>
      <c r="P14" s="106">
        <v>17.0</v>
      </c>
      <c r="Q14" s="276">
        <f t="shared" si="1"/>
        <v>22</v>
      </c>
      <c r="R14" s="29">
        <v>50.0</v>
      </c>
    </row>
    <row r="15" ht="14.25" customHeight="1">
      <c r="A15" s="21"/>
      <c r="B15" s="22"/>
      <c r="C15" s="228">
        <v>3.0</v>
      </c>
      <c r="D15" s="289" t="s">
        <v>200</v>
      </c>
      <c r="E15" s="106">
        <v>18.0</v>
      </c>
      <c r="F15" s="106">
        <v>50.0</v>
      </c>
      <c r="G15" s="314">
        <v>10.0</v>
      </c>
      <c r="H15" s="314">
        <v>21.0</v>
      </c>
      <c r="I15" s="314">
        <v>19.0</v>
      </c>
      <c r="J15" s="209">
        <v>15.0</v>
      </c>
      <c r="K15" s="314">
        <v>78.0</v>
      </c>
      <c r="L15" s="106">
        <v>25.0</v>
      </c>
      <c r="M15" s="27" t="s">
        <v>142</v>
      </c>
      <c r="N15" s="106">
        <v>23.0</v>
      </c>
      <c r="O15" s="106">
        <v>442.0</v>
      </c>
      <c r="P15" s="106">
        <v>21.0</v>
      </c>
      <c r="Q15" s="276">
        <f t="shared" si="1"/>
        <v>65.63636364</v>
      </c>
      <c r="R15" s="29">
        <v>50.0</v>
      </c>
    </row>
    <row r="16" ht="14.25" customHeight="1">
      <c r="A16" s="21"/>
      <c r="B16" s="22"/>
      <c r="C16" s="228">
        <v>4.0</v>
      </c>
      <c r="D16" s="289" t="s">
        <v>201</v>
      </c>
      <c r="E16" s="106">
        <v>29.0</v>
      </c>
      <c r="F16" s="106">
        <v>16.0</v>
      </c>
      <c r="G16" s="314">
        <v>14.0</v>
      </c>
      <c r="H16" s="314">
        <v>26.0</v>
      </c>
      <c r="I16" s="314">
        <v>20.0</v>
      </c>
      <c r="J16" s="209">
        <v>6.0</v>
      </c>
      <c r="K16" s="314">
        <v>68.0</v>
      </c>
      <c r="L16" s="106">
        <v>15.0</v>
      </c>
      <c r="M16" s="27" t="s">
        <v>142</v>
      </c>
      <c r="N16" s="106">
        <v>7.0</v>
      </c>
      <c r="O16" s="106">
        <v>52.0</v>
      </c>
      <c r="P16" s="106">
        <v>25.0</v>
      </c>
      <c r="Q16" s="276">
        <f t="shared" si="1"/>
        <v>25.27272727</v>
      </c>
      <c r="R16" s="29">
        <v>50.0</v>
      </c>
    </row>
    <row r="17" ht="14.25" customHeight="1">
      <c r="A17" s="21"/>
      <c r="B17" s="22"/>
      <c r="C17" s="228">
        <v>5.0</v>
      </c>
      <c r="D17" s="289" t="s">
        <v>202</v>
      </c>
      <c r="E17" s="106" t="s">
        <v>70</v>
      </c>
      <c r="F17" s="106" t="s">
        <v>70</v>
      </c>
      <c r="G17" s="314" t="s">
        <v>70</v>
      </c>
      <c r="H17" s="314" t="s">
        <v>70</v>
      </c>
      <c r="I17" s="314" t="s">
        <v>70</v>
      </c>
      <c r="J17" s="209" t="s">
        <v>70</v>
      </c>
      <c r="K17" s="314" t="s">
        <v>70</v>
      </c>
      <c r="L17" s="106" t="s">
        <v>70</v>
      </c>
      <c r="M17" s="106" t="s">
        <v>70</v>
      </c>
      <c r="N17" s="106" t="s">
        <v>70</v>
      </c>
      <c r="O17" s="106" t="s">
        <v>70</v>
      </c>
      <c r="P17" s="106" t="s">
        <v>70</v>
      </c>
      <c r="Q17" s="276" t="str">
        <f t="shared" si="1"/>
        <v>#DIV/0!</v>
      </c>
      <c r="R17" s="29">
        <v>50.0</v>
      </c>
    </row>
    <row r="18" ht="14.25" customHeight="1">
      <c r="A18" s="21"/>
      <c r="B18" s="30"/>
      <c r="C18" s="228">
        <v>6.0</v>
      </c>
      <c r="D18" s="289" t="s">
        <v>203</v>
      </c>
      <c r="E18" s="106">
        <v>29.0</v>
      </c>
      <c r="F18" s="39">
        <v>33.0</v>
      </c>
      <c r="G18" s="314">
        <v>25.0</v>
      </c>
      <c r="H18" s="314">
        <v>23.0</v>
      </c>
      <c r="I18" s="314">
        <v>43.0</v>
      </c>
      <c r="J18" s="209">
        <v>10.0</v>
      </c>
      <c r="K18" s="314">
        <v>23.0</v>
      </c>
      <c r="L18" s="106">
        <v>20.0</v>
      </c>
      <c r="M18" s="106" t="s">
        <v>142</v>
      </c>
      <c r="N18" s="106">
        <v>15.0</v>
      </c>
      <c r="O18" s="106">
        <v>23.0</v>
      </c>
      <c r="P18" s="39">
        <v>24.0</v>
      </c>
      <c r="Q18" s="276">
        <f t="shared" si="1"/>
        <v>24.36363636</v>
      </c>
      <c r="R18" s="29">
        <v>50.0</v>
      </c>
    </row>
    <row r="19" ht="14.25" customHeight="1">
      <c r="A19" s="21"/>
      <c r="B19" s="13" t="s">
        <v>33</v>
      </c>
      <c r="C19" s="202">
        <v>1.0</v>
      </c>
      <c r="D19" s="290" t="s">
        <v>198</v>
      </c>
      <c r="E19" s="18">
        <v>9.24</v>
      </c>
      <c r="F19" s="102">
        <v>8.2</v>
      </c>
      <c r="G19" s="102">
        <v>8.74</v>
      </c>
      <c r="H19" s="102">
        <v>8.11</v>
      </c>
      <c r="I19" s="102">
        <v>7.0</v>
      </c>
      <c r="J19" s="288">
        <v>8.37</v>
      </c>
      <c r="K19" s="102">
        <v>7.0</v>
      </c>
      <c r="L19" s="102">
        <v>7.0</v>
      </c>
      <c r="M19" s="102" t="s">
        <v>142</v>
      </c>
      <c r="N19" s="102">
        <v>7.0</v>
      </c>
      <c r="O19" s="18">
        <v>7.0</v>
      </c>
      <c r="P19" s="102">
        <v>7.0</v>
      </c>
      <c r="Q19" s="265">
        <f t="shared" si="1"/>
        <v>7.696363636</v>
      </c>
      <c r="R19" s="208" t="s">
        <v>164</v>
      </c>
    </row>
    <row r="20" ht="14.25" customHeight="1">
      <c r="A20" s="21"/>
      <c r="B20" s="22"/>
      <c r="C20" s="228">
        <v>2.0</v>
      </c>
      <c r="D20" s="289" t="s">
        <v>199</v>
      </c>
      <c r="E20" s="27">
        <v>9.1</v>
      </c>
      <c r="F20" s="27">
        <v>8.36</v>
      </c>
      <c r="G20" s="27">
        <v>9.04</v>
      </c>
      <c r="H20" s="313">
        <v>8.68</v>
      </c>
      <c r="I20" s="313">
        <v>7.0</v>
      </c>
      <c r="J20" s="210">
        <v>8.28</v>
      </c>
      <c r="K20" s="313">
        <v>7.0</v>
      </c>
      <c r="L20" s="27">
        <v>7.0</v>
      </c>
      <c r="M20" s="27" t="s">
        <v>142</v>
      </c>
      <c r="N20" s="27">
        <v>7.0</v>
      </c>
      <c r="O20" s="27">
        <v>7.0</v>
      </c>
      <c r="P20" s="27">
        <v>7.0</v>
      </c>
      <c r="Q20" s="268">
        <f t="shared" si="1"/>
        <v>7.769090909</v>
      </c>
      <c r="R20" s="241" t="s">
        <v>164</v>
      </c>
    </row>
    <row r="21" ht="14.25" customHeight="1">
      <c r="A21" s="21"/>
      <c r="B21" s="22"/>
      <c r="C21" s="228">
        <v>3.0</v>
      </c>
      <c r="D21" s="289" t="s">
        <v>200</v>
      </c>
      <c r="E21" s="27">
        <v>8.83</v>
      </c>
      <c r="F21" s="27">
        <v>8.43</v>
      </c>
      <c r="G21" s="27">
        <v>8.45</v>
      </c>
      <c r="H21" s="313">
        <v>8.32</v>
      </c>
      <c r="I21" s="313">
        <v>7.0</v>
      </c>
      <c r="J21" s="210">
        <v>8.04</v>
      </c>
      <c r="K21" s="313">
        <v>7.0</v>
      </c>
      <c r="L21" s="27">
        <v>7.0</v>
      </c>
      <c r="M21" s="27" t="s">
        <v>142</v>
      </c>
      <c r="N21" s="27">
        <v>7.0</v>
      </c>
      <c r="O21" s="27">
        <v>7.0</v>
      </c>
      <c r="P21" s="27">
        <v>7.0</v>
      </c>
      <c r="Q21" s="268">
        <f t="shared" si="1"/>
        <v>7.642727273</v>
      </c>
      <c r="R21" s="241" t="s">
        <v>164</v>
      </c>
    </row>
    <row r="22" ht="14.25" customHeight="1">
      <c r="A22" s="21"/>
      <c r="B22" s="22"/>
      <c r="C22" s="228">
        <v>4.0</v>
      </c>
      <c r="D22" s="289" t="s">
        <v>201</v>
      </c>
      <c r="E22" s="27">
        <v>8.8</v>
      </c>
      <c r="F22" s="27">
        <v>8.21</v>
      </c>
      <c r="G22" s="313">
        <v>8.37</v>
      </c>
      <c r="H22" s="313">
        <v>8.41</v>
      </c>
      <c r="I22" s="313">
        <v>7.0</v>
      </c>
      <c r="J22" s="210">
        <v>7.96</v>
      </c>
      <c r="K22" s="313">
        <v>7.0</v>
      </c>
      <c r="L22" s="27">
        <v>7.0</v>
      </c>
      <c r="M22" s="27" t="s">
        <v>142</v>
      </c>
      <c r="N22" s="313">
        <v>7.0</v>
      </c>
      <c r="O22" s="27">
        <v>7.0</v>
      </c>
      <c r="P22" s="27">
        <v>7.0</v>
      </c>
      <c r="Q22" s="268">
        <f t="shared" si="1"/>
        <v>7.613636364</v>
      </c>
      <c r="R22" s="241" t="s">
        <v>164</v>
      </c>
    </row>
    <row r="23" ht="14.25" customHeight="1">
      <c r="A23" s="21"/>
      <c r="B23" s="22"/>
      <c r="C23" s="228">
        <v>5.0</v>
      </c>
      <c r="D23" s="289" t="s">
        <v>202</v>
      </c>
      <c r="E23" s="27" t="s">
        <v>70</v>
      </c>
      <c r="F23" s="27" t="s">
        <v>70</v>
      </c>
      <c r="G23" s="313" t="s">
        <v>70</v>
      </c>
      <c r="H23" s="313" t="s">
        <v>70</v>
      </c>
      <c r="I23" s="313" t="s">
        <v>70</v>
      </c>
      <c r="J23" s="210" t="s">
        <v>70</v>
      </c>
      <c r="K23" s="313" t="s">
        <v>70</v>
      </c>
      <c r="L23" s="27" t="s">
        <v>70</v>
      </c>
      <c r="M23" s="27" t="s">
        <v>70</v>
      </c>
      <c r="N23" s="313" t="s">
        <v>70</v>
      </c>
      <c r="O23" s="27" t="s">
        <v>70</v>
      </c>
      <c r="P23" s="27" t="s">
        <v>70</v>
      </c>
      <c r="Q23" s="268" t="str">
        <f t="shared" si="1"/>
        <v>#DIV/0!</v>
      </c>
      <c r="R23" s="241" t="s">
        <v>164</v>
      </c>
    </row>
    <row r="24" ht="14.25" customHeight="1">
      <c r="A24" s="21"/>
      <c r="B24" s="30"/>
      <c r="C24" s="228">
        <v>6.0</v>
      </c>
      <c r="D24" s="289" t="s">
        <v>203</v>
      </c>
      <c r="E24" s="27">
        <v>8.77</v>
      </c>
      <c r="F24" s="27">
        <v>8.3</v>
      </c>
      <c r="G24" s="313">
        <v>8.38</v>
      </c>
      <c r="H24" s="313">
        <v>8.77</v>
      </c>
      <c r="I24" s="313">
        <v>7.0</v>
      </c>
      <c r="J24" s="210">
        <v>8.16</v>
      </c>
      <c r="K24" s="313">
        <v>7.0</v>
      </c>
      <c r="L24" s="27">
        <v>7.01</v>
      </c>
      <c r="M24" s="27" t="s">
        <v>142</v>
      </c>
      <c r="N24" s="313">
        <v>7.0</v>
      </c>
      <c r="O24" s="27">
        <v>7.0</v>
      </c>
      <c r="P24" s="27">
        <v>7.0</v>
      </c>
      <c r="Q24" s="268">
        <f t="shared" si="1"/>
        <v>7.671818182</v>
      </c>
      <c r="R24" s="241" t="s">
        <v>164</v>
      </c>
    </row>
    <row r="25" ht="14.25" customHeight="1">
      <c r="A25" s="21"/>
      <c r="B25" s="13" t="s">
        <v>204</v>
      </c>
      <c r="C25" s="202">
        <v>1.0</v>
      </c>
      <c r="D25" s="290" t="s">
        <v>198</v>
      </c>
      <c r="E25" s="18">
        <v>29.1</v>
      </c>
      <c r="F25" s="102">
        <v>27.6</v>
      </c>
      <c r="G25" s="102">
        <v>29.2</v>
      </c>
      <c r="H25" s="102">
        <v>29.78</v>
      </c>
      <c r="I25" s="102">
        <v>28.72</v>
      </c>
      <c r="J25" s="288">
        <v>30.1</v>
      </c>
      <c r="K25" s="102">
        <v>29.3</v>
      </c>
      <c r="L25" s="102">
        <v>29.3</v>
      </c>
      <c r="M25" s="102" t="s">
        <v>142</v>
      </c>
      <c r="N25" s="102">
        <v>29.45</v>
      </c>
      <c r="O25" s="18">
        <v>29.01</v>
      </c>
      <c r="P25" s="105">
        <v>29.89</v>
      </c>
      <c r="Q25" s="265">
        <f t="shared" si="1"/>
        <v>29.22272727</v>
      </c>
      <c r="R25" s="18" t="s">
        <v>166</v>
      </c>
    </row>
    <row r="26" ht="14.25" customHeight="1">
      <c r="A26" s="21"/>
      <c r="B26" s="22"/>
      <c r="C26" s="228">
        <v>2.0</v>
      </c>
      <c r="D26" s="289" t="s">
        <v>199</v>
      </c>
      <c r="E26" s="27">
        <v>28.6</v>
      </c>
      <c r="F26" s="27">
        <v>27.9</v>
      </c>
      <c r="G26" s="27">
        <v>28.65</v>
      </c>
      <c r="H26" s="313">
        <v>31.4</v>
      </c>
      <c r="I26" s="313">
        <v>27.23</v>
      </c>
      <c r="J26" s="210">
        <v>30.7</v>
      </c>
      <c r="K26" s="313">
        <v>29.0</v>
      </c>
      <c r="L26" s="27">
        <v>29.4</v>
      </c>
      <c r="M26" s="27" t="s">
        <v>142</v>
      </c>
      <c r="N26" s="27">
        <v>29.52</v>
      </c>
      <c r="O26" s="27">
        <v>29.33</v>
      </c>
      <c r="P26" s="106">
        <v>29.72</v>
      </c>
      <c r="Q26" s="268">
        <f t="shared" si="1"/>
        <v>29.22272727</v>
      </c>
      <c r="R26" s="27" t="s">
        <v>166</v>
      </c>
    </row>
    <row r="27" ht="14.25" customHeight="1">
      <c r="A27" s="21"/>
      <c r="B27" s="22"/>
      <c r="C27" s="228">
        <v>3.0</v>
      </c>
      <c r="D27" s="289" t="s">
        <v>200</v>
      </c>
      <c r="E27" s="27">
        <v>29.63</v>
      </c>
      <c r="F27" s="27">
        <v>28.2</v>
      </c>
      <c r="G27" s="27">
        <v>29.3</v>
      </c>
      <c r="H27" s="313">
        <v>31.25</v>
      </c>
      <c r="I27" s="313">
        <v>29.7</v>
      </c>
      <c r="J27" s="210">
        <v>30.8</v>
      </c>
      <c r="K27" s="313">
        <v>29.73</v>
      </c>
      <c r="L27" s="27">
        <v>30.0</v>
      </c>
      <c r="M27" s="27" t="s">
        <v>142</v>
      </c>
      <c r="N27" s="27">
        <v>29.89</v>
      </c>
      <c r="O27" s="27">
        <v>29.28</v>
      </c>
      <c r="P27" s="106">
        <v>29.6</v>
      </c>
      <c r="Q27" s="268">
        <f t="shared" si="1"/>
        <v>29.76181818</v>
      </c>
      <c r="R27" s="27" t="s">
        <v>166</v>
      </c>
    </row>
    <row r="28" ht="14.25" customHeight="1">
      <c r="A28" s="21"/>
      <c r="B28" s="22"/>
      <c r="C28" s="228">
        <v>4.0</v>
      </c>
      <c r="D28" s="289" t="s">
        <v>201</v>
      </c>
      <c r="E28" s="27">
        <v>29.15</v>
      </c>
      <c r="F28" s="27">
        <v>28.0</v>
      </c>
      <c r="G28" s="313">
        <v>28.4</v>
      </c>
      <c r="H28" s="313">
        <v>31.33</v>
      </c>
      <c r="I28" s="314">
        <v>28.15</v>
      </c>
      <c r="J28" s="209">
        <v>29.78</v>
      </c>
      <c r="K28" s="313">
        <v>29.29</v>
      </c>
      <c r="L28" s="27">
        <v>30.2</v>
      </c>
      <c r="M28" s="27" t="s">
        <v>142</v>
      </c>
      <c r="N28" s="313">
        <v>29.91</v>
      </c>
      <c r="O28" s="27">
        <v>29.37</v>
      </c>
      <c r="P28" s="106">
        <v>29.51</v>
      </c>
      <c r="Q28" s="268">
        <f t="shared" si="1"/>
        <v>29.37181818</v>
      </c>
      <c r="R28" s="27" t="s">
        <v>166</v>
      </c>
    </row>
    <row r="29" ht="14.25" customHeight="1">
      <c r="A29" s="21"/>
      <c r="B29" s="22"/>
      <c r="C29" s="228">
        <v>5.0</v>
      </c>
      <c r="D29" s="289" t="s">
        <v>202</v>
      </c>
      <c r="E29" s="27" t="s">
        <v>70</v>
      </c>
      <c r="F29" s="27" t="s">
        <v>70</v>
      </c>
      <c r="G29" s="313" t="s">
        <v>70</v>
      </c>
      <c r="H29" s="313" t="s">
        <v>70</v>
      </c>
      <c r="I29" s="314" t="s">
        <v>70</v>
      </c>
      <c r="J29" s="209" t="s">
        <v>70</v>
      </c>
      <c r="K29" s="313" t="s">
        <v>70</v>
      </c>
      <c r="L29" s="27" t="s">
        <v>70</v>
      </c>
      <c r="M29" s="106" t="s">
        <v>70</v>
      </c>
      <c r="N29" s="313" t="s">
        <v>70</v>
      </c>
      <c r="O29" s="27" t="s">
        <v>70</v>
      </c>
      <c r="P29" s="106" t="s">
        <v>70</v>
      </c>
      <c r="Q29" s="268" t="str">
        <f t="shared" si="1"/>
        <v>#DIV/0!</v>
      </c>
      <c r="R29" s="27" t="s">
        <v>166</v>
      </c>
    </row>
    <row r="30" ht="14.25" customHeight="1">
      <c r="A30" s="21"/>
      <c r="B30" s="30"/>
      <c r="C30" s="228">
        <v>6.0</v>
      </c>
      <c r="D30" s="289" t="s">
        <v>203</v>
      </c>
      <c r="E30" s="27">
        <v>28.5</v>
      </c>
      <c r="F30" s="27">
        <v>27.6</v>
      </c>
      <c r="G30" s="313">
        <v>28.48</v>
      </c>
      <c r="H30" s="313">
        <v>31.1</v>
      </c>
      <c r="I30" s="313">
        <v>29.21</v>
      </c>
      <c r="J30" s="209">
        <v>30.08</v>
      </c>
      <c r="K30" s="313">
        <v>29.1</v>
      </c>
      <c r="L30" s="27">
        <v>30.0</v>
      </c>
      <c r="M30" s="106" t="s">
        <v>142</v>
      </c>
      <c r="N30" s="313">
        <v>29.78</v>
      </c>
      <c r="O30" s="27">
        <v>29.18</v>
      </c>
      <c r="P30" s="27">
        <v>29.49</v>
      </c>
      <c r="Q30" s="268">
        <f t="shared" si="1"/>
        <v>29.32</v>
      </c>
      <c r="R30" s="27" t="s">
        <v>166</v>
      </c>
    </row>
    <row r="31" ht="14.25" customHeight="1">
      <c r="A31" s="21"/>
      <c r="B31" s="13" t="s">
        <v>37</v>
      </c>
      <c r="C31" s="202">
        <v>1.0</v>
      </c>
      <c r="D31" s="290" t="s">
        <v>198</v>
      </c>
      <c r="E31" s="176">
        <v>5.0</v>
      </c>
      <c r="F31" s="105">
        <v>5.0</v>
      </c>
      <c r="G31" s="105">
        <v>5.0</v>
      </c>
      <c r="H31" s="105">
        <v>5.0</v>
      </c>
      <c r="I31" s="105">
        <v>5.0</v>
      </c>
      <c r="J31" s="291">
        <v>5.0</v>
      </c>
      <c r="K31" s="105">
        <v>5.0</v>
      </c>
      <c r="L31" s="105">
        <v>5.0</v>
      </c>
      <c r="M31" s="102" t="s">
        <v>142</v>
      </c>
      <c r="N31" s="105">
        <v>10.0</v>
      </c>
      <c r="O31" s="176">
        <v>5.0</v>
      </c>
      <c r="P31" s="105">
        <v>5.0</v>
      </c>
      <c r="Q31" s="273">
        <f t="shared" si="1"/>
        <v>5.454545455</v>
      </c>
      <c r="R31" s="35">
        <v>50.0</v>
      </c>
    </row>
    <row r="32" ht="14.25" customHeight="1">
      <c r="A32" s="21"/>
      <c r="B32" s="22"/>
      <c r="C32" s="228">
        <v>2.0</v>
      </c>
      <c r="D32" s="289" t="s">
        <v>199</v>
      </c>
      <c r="E32" s="106">
        <v>5.0</v>
      </c>
      <c r="F32" s="106">
        <v>5.0</v>
      </c>
      <c r="G32" s="314">
        <v>5.0</v>
      </c>
      <c r="H32" s="314">
        <v>5.0</v>
      </c>
      <c r="I32" s="314">
        <v>10.0</v>
      </c>
      <c r="J32" s="209">
        <v>5.0</v>
      </c>
      <c r="K32" s="314">
        <v>5.0</v>
      </c>
      <c r="L32" s="106">
        <v>5.0</v>
      </c>
      <c r="M32" s="27" t="s">
        <v>142</v>
      </c>
      <c r="N32" s="106">
        <v>15.0</v>
      </c>
      <c r="O32" s="106">
        <v>5.0</v>
      </c>
      <c r="P32" s="106">
        <v>5.0</v>
      </c>
      <c r="Q32" s="276">
        <f t="shared" si="1"/>
        <v>6.363636364</v>
      </c>
      <c r="R32" s="39">
        <v>50.0</v>
      </c>
    </row>
    <row r="33" ht="14.25" customHeight="1">
      <c r="A33" s="21"/>
      <c r="B33" s="22"/>
      <c r="C33" s="228">
        <v>3.0</v>
      </c>
      <c r="D33" s="289" t="s">
        <v>200</v>
      </c>
      <c r="E33" s="106">
        <v>5.0</v>
      </c>
      <c r="F33" s="106">
        <v>5.0</v>
      </c>
      <c r="G33" s="314">
        <v>10.0</v>
      </c>
      <c r="H33" s="314">
        <v>5.0</v>
      </c>
      <c r="I33" s="315">
        <v>5.0</v>
      </c>
      <c r="J33" s="209">
        <v>5.0</v>
      </c>
      <c r="K33" s="314">
        <v>5.0</v>
      </c>
      <c r="L33" s="106">
        <v>5.0</v>
      </c>
      <c r="M33" s="27" t="s">
        <v>142</v>
      </c>
      <c r="N33" s="106">
        <v>10.0</v>
      </c>
      <c r="O33" s="106">
        <v>5.0</v>
      </c>
      <c r="P33" s="106">
        <v>5.0</v>
      </c>
      <c r="Q33" s="276">
        <f t="shared" si="1"/>
        <v>5.909090909</v>
      </c>
      <c r="R33" s="39">
        <v>50.0</v>
      </c>
    </row>
    <row r="34" ht="14.25" customHeight="1">
      <c r="A34" s="21"/>
      <c r="B34" s="22"/>
      <c r="C34" s="228">
        <v>4.0</v>
      </c>
      <c r="D34" s="289" t="s">
        <v>201</v>
      </c>
      <c r="E34" s="106">
        <v>5.0</v>
      </c>
      <c r="F34" s="106">
        <v>5.0</v>
      </c>
      <c r="G34" s="314">
        <v>5.0</v>
      </c>
      <c r="H34" s="314">
        <v>5.0</v>
      </c>
      <c r="I34" s="314">
        <v>5.0</v>
      </c>
      <c r="J34" s="209">
        <v>5.0</v>
      </c>
      <c r="K34" s="314">
        <v>5.0</v>
      </c>
      <c r="L34" s="106">
        <v>5.0</v>
      </c>
      <c r="M34" s="27" t="s">
        <v>142</v>
      </c>
      <c r="N34" s="106">
        <v>10.0</v>
      </c>
      <c r="O34" s="106">
        <v>5.0</v>
      </c>
      <c r="P34" s="106">
        <v>5.0</v>
      </c>
      <c r="Q34" s="276">
        <f t="shared" si="1"/>
        <v>5.454545455</v>
      </c>
      <c r="R34" s="39">
        <v>50.0</v>
      </c>
    </row>
    <row r="35" ht="14.25" customHeight="1">
      <c r="A35" s="21"/>
      <c r="B35" s="22"/>
      <c r="C35" s="228">
        <v>5.0</v>
      </c>
      <c r="D35" s="289" t="s">
        <v>202</v>
      </c>
      <c r="E35" s="106" t="s">
        <v>70</v>
      </c>
      <c r="F35" s="106" t="s">
        <v>70</v>
      </c>
      <c r="G35" s="314" t="s">
        <v>70</v>
      </c>
      <c r="H35" s="314" t="s">
        <v>70</v>
      </c>
      <c r="I35" s="314" t="s">
        <v>70</v>
      </c>
      <c r="J35" s="209" t="s">
        <v>70</v>
      </c>
      <c r="K35" s="314" t="s">
        <v>70</v>
      </c>
      <c r="L35" s="106" t="s">
        <v>70</v>
      </c>
      <c r="M35" s="106" t="s">
        <v>70</v>
      </c>
      <c r="N35" s="106" t="s">
        <v>70</v>
      </c>
      <c r="O35" s="106" t="s">
        <v>70</v>
      </c>
      <c r="P35" s="106" t="s">
        <v>70</v>
      </c>
      <c r="Q35" s="276" t="str">
        <f t="shared" si="1"/>
        <v>#DIV/0!</v>
      </c>
      <c r="R35" s="39">
        <v>50.0</v>
      </c>
    </row>
    <row r="36" ht="14.25" customHeight="1">
      <c r="A36" s="21"/>
      <c r="B36" s="30"/>
      <c r="C36" s="228">
        <v>6.0</v>
      </c>
      <c r="D36" s="289" t="s">
        <v>203</v>
      </c>
      <c r="E36" s="106">
        <v>10.0</v>
      </c>
      <c r="F36" s="39">
        <v>5.0</v>
      </c>
      <c r="G36" s="314">
        <v>10.0</v>
      </c>
      <c r="H36" s="314">
        <v>5.0</v>
      </c>
      <c r="I36" s="314">
        <v>5.0</v>
      </c>
      <c r="J36" s="209">
        <v>5.0</v>
      </c>
      <c r="K36" s="314">
        <v>5.0</v>
      </c>
      <c r="L36" s="106">
        <v>5.0</v>
      </c>
      <c r="M36" s="106" t="s">
        <v>142</v>
      </c>
      <c r="N36" s="106">
        <v>10.0</v>
      </c>
      <c r="O36" s="106">
        <v>5.0</v>
      </c>
      <c r="P36" s="39">
        <v>5.0</v>
      </c>
      <c r="Q36" s="276">
        <f t="shared" si="1"/>
        <v>6.363636364</v>
      </c>
      <c r="R36" s="39">
        <v>50.0</v>
      </c>
    </row>
    <row r="37" ht="14.25" customHeight="1">
      <c r="A37" s="21"/>
      <c r="B37" s="13" t="s">
        <v>38</v>
      </c>
      <c r="C37" s="202">
        <v>1.0</v>
      </c>
      <c r="D37" s="290" t="s">
        <v>198</v>
      </c>
      <c r="E37" s="47">
        <v>79.0</v>
      </c>
      <c r="F37" s="107">
        <v>33.0</v>
      </c>
      <c r="G37" s="322">
        <v>2.0</v>
      </c>
      <c r="H37" s="107">
        <v>33.0</v>
      </c>
      <c r="I37" s="107">
        <v>4.5</v>
      </c>
      <c r="J37" s="294">
        <v>4.5</v>
      </c>
      <c r="K37" s="107">
        <v>350.0</v>
      </c>
      <c r="L37" s="107">
        <v>110.0</v>
      </c>
      <c r="M37" s="107" t="s">
        <v>142</v>
      </c>
      <c r="N37" s="107">
        <v>130.0</v>
      </c>
      <c r="O37" s="47">
        <v>110.0</v>
      </c>
      <c r="P37" s="107">
        <v>79.0</v>
      </c>
      <c r="Q37" s="305">
        <f t="shared" ref="Q37:Q42" si="2">GEOMEAN(E37:P37)</f>
        <v>36.46420201</v>
      </c>
      <c r="R37" s="20">
        <v>100.0</v>
      </c>
      <c r="S37" s="306"/>
    </row>
    <row r="38" ht="14.25" customHeight="1">
      <c r="A38" s="21"/>
      <c r="B38" s="22"/>
      <c r="C38" s="228">
        <v>2.0</v>
      </c>
      <c r="D38" s="289" t="s">
        <v>199</v>
      </c>
      <c r="E38" s="53">
        <v>110.0</v>
      </c>
      <c r="F38" s="53">
        <v>27.0</v>
      </c>
      <c r="G38" s="323">
        <v>49.0</v>
      </c>
      <c r="H38" s="315">
        <v>110.0</v>
      </c>
      <c r="I38" s="315">
        <v>4.5</v>
      </c>
      <c r="J38" s="215">
        <v>49.0</v>
      </c>
      <c r="K38" s="315">
        <v>350.0</v>
      </c>
      <c r="L38" s="53">
        <v>130.0</v>
      </c>
      <c r="M38" s="53" t="s">
        <v>142</v>
      </c>
      <c r="N38" s="53">
        <v>1600.0</v>
      </c>
      <c r="O38" s="53">
        <v>70.0</v>
      </c>
      <c r="P38" s="53">
        <v>46.0</v>
      </c>
      <c r="Q38" s="307">
        <f t="shared" si="2"/>
        <v>79.72835867</v>
      </c>
      <c r="R38" s="29">
        <v>100.0</v>
      </c>
    </row>
    <row r="39" ht="14.25" customHeight="1">
      <c r="A39" s="21"/>
      <c r="B39" s="22"/>
      <c r="C39" s="228">
        <v>3.0</v>
      </c>
      <c r="D39" s="289" t="s">
        <v>200</v>
      </c>
      <c r="E39" s="53">
        <v>540.0</v>
      </c>
      <c r="F39" s="53">
        <v>79.0</v>
      </c>
      <c r="G39" s="323">
        <v>110.0</v>
      </c>
      <c r="H39" s="315">
        <v>240.0</v>
      </c>
      <c r="I39" s="315">
        <v>220.0</v>
      </c>
      <c r="J39" s="215">
        <v>2.0</v>
      </c>
      <c r="K39" s="315">
        <v>1600.0</v>
      </c>
      <c r="L39" s="53">
        <v>220.0</v>
      </c>
      <c r="M39" s="53" t="s">
        <v>142</v>
      </c>
      <c r="N39" s="53">
        <v>92000.0</v>
      </c>
      <c r="O39" s="53">
        <v>79.0</v>
      </c>
      <c r="P39" s="53">
        <v>130.0</v>
      </c>
      <c r="Q39" s="307">
        <f t="shared" si="2"/>
        <v>241.747322</v>
      </c>
      <c r="R39" s="29">
        <v>100.0</v>
      </c>
    </row>
    <row r="40" ht="14.25" customHeight="1">
      <c r="A40" s="21"/>
      <c r="B40" s="22"/>
      <c r="C40" s="228">
        <v>4.0</v>
      </c>
      <c r="D40" s="289" t="s">
        <v>201</v>
      </c>
      <c r="E40" s="53">
        <v>23.0</v>
      </c>
      <c r="F40" s="53">
        <v>350.0</v>
      </c>
      <c r="G40" s="323">
        <v>23.0</v>
      </c>
      <c r="H40" s="315">
        <v>13.0</v>
      </c>
      <c r="I40" s="315">
        <v>49.0</v>
      </c>
      <c r="J40" s="215">
        <v>7.8</v>
      </c>
      <c r="K40" s="315">
        <v>1600.0</v>
      </c>
      <c r="L40" s="53">
        <v>78.0</v>
      </c>
      <c r="M40" s="53" t="s">
        <v>142</v>
      </c>
      <c r="N40" s="53">
        <v>2400.0</v>
      </c>
      <c r="O40" s="53">
        <v>220.0</v>
      </c>
      <c r="P40" s="53">
        <v>27.0</v>
      </c>
      <c r="Q40" s="307">
        <f t="shared" si="2"/>
        <v>84.82868397</v>
      </c>
      <c r="R40" s="29">
        <v>100.0</v>
      </c>
    </row>
    <row r="41" ht="14.25" customHeight="1">
      <c r="A41" s="21"/>
      <c r="B41" s="22"/>
      <c r="C41" s="228">
        <v>5.0</v>
      </c>
      <c r="D41" s="289" t="s">
        <v>202</v>
      </c>
      <c r="E41" s="53" t="s">
        <v>70</v>
      </c>
      <c r="F41" s="53" t="s">
        <v>70</v>
      </c>
      <c r="G41" s="53" t="s">
        <v>70</v>
      </c>
      <c r="H41" s="315" t="s">
        <v>70</v>
      </c>
      <c r="I41" s="315" t="s">
        <v>70</v>
      </c>
      <c r="J41" s="215" t="s">
        <v>70</v>
      </c>
      <c r="K41" s="315" t="s">
        <v>70</v>
      </c>
      <c r="L41" s="53" t="s">
        <v>70</v>
      </c>
      <c r="M41" s="53" t="s">
        <v>70</v>
      </c>
      <c r="N41" s="53" t="s">
        <v>70</v>
      </c>
      <c r="O41" s="53" t="s">
        <v>70</v>
      </c>
      <c r="P41" s="53" t="s">
        <v>70</v>
      </c>
      <c r="Q41" s="307" t="str">
        <f t="shared" si="2"/>
        <v>#NUM!</v>
      </c>
      <c r="R41" s="29">
        <v>100.0</v>
      </c>
    </row>
    <row r="42" ht="14.25" customHeight="1">
      <c r="A42" s="21"/>
      <c r="B42" s="30"/>
      <c r="C42" s="228">
        <v>6.0</v>
      </c>
      <c r="D42" s="289" t="s">
        <v>203</v>
      </c>
      <c r="E42" s="53">
        <v>130.0</v>
      </c>
      <c r="F42" s="53">
        <v>23.0</v>
      </c>
      <c r="G42" s="323">
        <v>49.0</v>
      </c>
      <c r="H42" s="315">
        <v>49.0</v>
      </c>
      <c r="I42" s="315">
        <v>70.0</v>
      </c>
      <c r="J42" s="215">
        <v>14.0</v>
      </c>
      <c r="K42" s="315">
        <v>92.0</v>
      </c>
      <c r="L42" s="53">
        <v>140.0</v>
      </c>
      <c r="M42" s="53" t="s">
        <v>142</v>
      </c>
      <c r="N42" s="53">
        <v>33.0</v>
      </c>
      <c r="O42" s="53">
        <v>140.0</v>
      </c>
      <c r="P42" s="53">
        <v>140.0</v>
      </c>
      <c r="Q42" s="307">
        <f t="shared" si="2"/>
        <v>62.67418042</v>
      </c>
      <c r="R42" s="29">
        <v>100.0</v>
      </c>
    </row>
    <row r="43" ht="14.25" customHeight="1">
      <c r="A43" s="21"/>
      <c r="B43" s="13" t="s">
        <v>205</v>
      </c>
      <c r="C43" s="202">
        <v>1.0</v>
      </c>
      <c r="D43" s="290" t="s">
        <v>198</v>
      </c>
      <c r="E43" s="176">
        <v>0.328</v>
      </c>
      <c r="F43" s="105">
        <v>0.201</v>
      </c>
      <c r="G43" s="176">
        <v>0.187</v>
      </c>
      <c r="H43" s="108">
        <v>0.092</v>
      </c>
      <c r="I43" s="176">
        <v>0.318</v>
      </c>
      <c r="J43" s="291">
        <v>0.106</v>
      </c>
      <c r="K43" s="105">
        <v>0.622</v>
      </c>
      <c r="L43" s="105">
        <v>0.112</v>
      </c>
      <c r="M43" s="102" t="s">
        <v>142</v>
      </c>
      <c r="N43" s="59">
        <v>0.26</v>
      </c>
      <c r="O43" s="176">
        <v>0.695</v>
      </c>
      <c r="P43" s="105">
        <v>0.403</v>
      </c>
      <c r="Q43" s="278">
        <f t="shared" ref="Q43:Q54" si="3">AVERAGE(E43:P43)</f>
        <v>0.3021818182</v>
      </c>
      <c r="R43" s="20">
        <v>10.0</v>
      </c>
    </row>
    <row r="44" ht="14.25" customHeight="1">
      <c r="A44" s="21"/>
      <c r="B44" s="22"/>
      <c r="C44" s="228">
        <v>2.0</v>
      </c>
      <c r="D44" s="289" t="s">
        <v>199</v>
      </c>
      <c r="E44" s="106">
        <v>0.315</v>
      </c>
      <c r="F44" s="106">
        <v>0.048</v>
      </c>
      <c r="G44" s="106">
        <v>0.079</v>
      </c>
      <c r="H44" s="318">
        <v>0.123</v>
      </c>
      <c r="I44" s="314">
        <v>0.325</v>
      </c>
      <c r="J44" s="209">
        <v>0.048</v>
      </c>
      <c r="K44" s="314">
        <v>0.622</v>
      </c>
      <c r="L44" s="314">
        <v>0.048</v>
      </c>
      <c r="M44" s="27" t="s">
        <v>142</v>
      </c>
      <c r="N44" s="106">
        <v>0.237</v>
      </c>
      <c r="O44" s="106">
        <v>0.564</v>
      </c>
      <c r="P44" s="106">
        <v>0.486</v>
      </c>
      <c r="Q44" s="280">
        <f t="shared" si="3"/>
        <v>0.2631818182</v>
      </c>
      <c r="R44" s="29">
        <v>10.0</v>
      </c>
    </row>
    <row r="45" ht="14.25" customHeight="1">
      <c r="A45" s="21"/>
      <c r="B45" s="22"/>
      <c r="C45" s="228">
        <v>3.0</v>
      </c>
      <c r="D45" s="289" t="s">
        <v>200</v>
      </c>
      <c r="E45" s="106">
        <v>0.136</v>
      </c>
      <c r="F45" s="106">
        <v>0.213</v>
      </c>
      <c r="G45" s="65">
        <v>0.11</v>
      </c>
      <c r="H45" s="318">
        <v>0.133</v>
      </c>
      <c r="I45" s="314">
        <v>0.197</v>
      </c>
      <c r="J45" s="209">
        <v>0.116</v>
      </c>
      <c r="K45" s="314">
        <v>0.121</v>
      </c>
      <c r="L45" s="314">
        <v>0.248</v>
      </c>
      <c r="M45" s="27" t="s">
        <v>142</v>
      </c>
      <c r="N45" s="65">
        <v>0.263</v>
      </c>
      <c r="O45" s="106">
        <v>0.334</v>
      </c>
      <c r="P45" s="106">
        <v>0.441</v>
      </c>
      <c r="Q45" s="280">
        <f t="shared" si="3"/>
        <v>0.2101818182</v>
      </c>
      <c r="R45" s="29">
        <v>10.0</v>
      </c>
    </row>
    <row r="46" ht="14.25" customHeight="1">
      <c r="A46" s="21"/>
      <c r="B46" s="22"/>
      <c r="C46" s="228">
        <v>4.0</v>
      </c>
      <c r="D46" s="289" t="s">
        <v>201</v>
      </c>
      <c r="E46" s="106">
        <v>0.126</v>
      </c>
      <c r="F46" s="106">
        <v>0.048</v>
      </c>
      <c r="G46" s="106">
        <v>0.048</v>
      </c>
      <c r="H46" s="318">
        <v>0.097</v>
      </c>
      <c r="I46" s="314">
        <v>0.277</v>
      </c>
      <c r="J46" s="209">
        <v>0.048</v>
      </c>
      <c r="K46" s="314">
        <v>0.157</v>
      </c>
      <c r="L46" s="314">
        <v>0.055</v>
      </c>
      <c r="M46" s="27" t="s">
        <v>142</v>
      </c>
      <c r="N46" s="106">
        <v>0.291</v>
      </c>
      <c r="O46" s="106">
        <v>1.43</v>
      </c>
      <c r="P46" s="106">
        <v>0.413</v>
      </c>
      <c r="Q46" s="280">
        <f t="shared" si="3"/>
        <v>0.2718181818</v>
      </c>
      <c r="R46" s="29">
        <v>10.0</v>
      </c>
    </row>
    <row r="47" ht="14.25" customHeight="1">
      <c r="A47" s="21"/>
      <c r="B47" s="22"/>
      <c r="C47" s="228">
        <v>5.0</v>
      </c>
      <c r="D47" s="289" t="s">
        <v>202</v>
      </c>
      <c r="E47" s="106" t="s">
        <v>70</v>
      </c>
      <c r="F47" s="65" t="s">
        <v>70</v>
      </c>
      <c r="G47" s="65" t="s">
        <v>70</v>
      </c>
      <c r="H47" s="318" t="s">
        <v>70</v>
      </c>
      <c r="I47" s="314" t="s">
        <v>70</v>
      </c>
      <c r="J47" s="271" t="s">
        <v>70</v>
      </c>
      <c r="K47" s="314" t="s">
        <v>70</v>
      </c>
      <c r="L47" s="314" t="s">
        <v>70</v>
      </c>
      <c r="M47" s="106" t="s">
        <v>70</v>
      </c>
      <c r="N47" s="106" t="s">
        <v>70</v>
      </c>
      <c r="O47" s="106" t="s">
        <v>70</v>
      </c>
      <c r="P47" s="106" t="s">
        <v>70</v>
      </c>
      <c r="Q47" s="280" t="str">
        <f t="shared" si="3"/>
        <v>#DIV/0!</v>
      </c>
      <c r="R47" s="29">
        <v>10.0</v>
      </c>
    </row>
    <row r="48" ht="14.25" customHeight="1">
      <c r="A48" s="21"/>
      <c r="B48" s="30"/>
      <c r="C48" s="228">
        <v>6.0</v>
      </c>
      <c r="D48" s="289" t="s">
        <v>203</v>
      </c>
      <c r="E48" s="65">
        <v>0.13</v>
      </c>
      <c r="F48" s="65">
        <v>0.048</v>
      </c>
      <c r="G48" s="106">
        <v>0.076</v>
      </c>
      <c r="H48" s="318">
        <v>0.128</v>
      </c>
      <c r="I48" s="314">
        <v>0.309</v>
      </c>
      <c r="J48" s="271">
        <v>0.056</v>
      </c>
      <c r="K48" s="314">
        <v>0.121</v>
      </c>
      <c r="L48" s="314">
        <v>0.048</v>
      </c>
      <c r="M48" s="106" t="s">
        <v>142</v>
      </c>
      <c r="N48" s="106">
        <v>0.286</v>
      </c>
      <c r="O48" s="106">
        <v>0.267</v>
      </c>
      <c r="P48" s="65">
        <v>0.347</v>
      </c>
      <c r="Q48" s="280">
        <f t="shared" si="3"/>
        <v>0.1650909091</v>
      </c>
      <c r="R48" s="29">
        <v>10.0</v>
      </c>
    </row>
    <row r="49" ht="14.25" customHeight="1">
      <c r="A49" s="21"/>
      <c r="B49" s="13" t="s">
        <v>206</v>
      </c>
      <c r="C49" s="202">
        <v>1.0</v>
      </c>
      <c r="D49" s="290" t="s">
        <v>198</v>
      </c>
      <c r="E49" s="176">
        <v>0.133</v>
      </c>
      <c r="F49" s="105">
        <v>0.094</v>
      </c>
      <c r="G49" s="108">
        <v>0.033</v>
      </c>
      <c r="H49" s="108">
        <v>0.056</v>
      </c>
      <c r="I49" s="105">
        <v>0.069</v>
      </c>
      <c r="J49" s="299">
        <v>0.024</v>
      </c>
      <c r="K49" s="108">
        <v>0.25</v>
      </c>
      <c r="L49" s="105">
        <v>0.919</v>
      </c>
      <c r="M49" s="102" t="s">
        <v>142</v>
      </c>
      <c r="N49" s="105">
        <v>0.368</v>
      </c>
      <c r="O49" s="188">
        <v>0.24</v>
      </c>
      <c r="P49" s="105">
        <v>0.356</v>
      </c>
      <c r="Q49" s="278">
        <f t="shared" si="3"/>
        <v>0.2310909091</v>
      </c>
      <c r="R49" s="20">
        <v>0.5</v>
      </c>
    </row>
    <row r="50" ht="14.25" customHeight="1">
      <c r="A50" s="21"/>
      <c r="B50" s="22"/>
      <c r="C50" s="228">
        <v>2.0</v>
      </c>
      <c r="D50" s="289" t="s">
        <v>199</v>
      </c>
      <c r="E50" s="65">
        <v>0.099</v>
      </c>
      <c r="F50" s="106">
        <v>0.046</v>
      </c>
      <c r="G50" s="314">
        <v>0.055</v>
      </c>
      <c r="H50" s="318">
        <v>0.089</v>
      </c>
      <c r="I50" s="314">
        <v>0.067</v>
      </c>
      <c r="J50" s="255">
        <v>0.019</v>
      </c>
      <c r="K50" s="318">
        <v>0.163</v>
      </c>
      <c r="L50" s="106">
        <v>0.674</v>
      </c>
      <c r="M50" s="27" t="s">
        <v>142</v>
      </c>
      <c r="N50" s="106">
        <v>0.214</v>
      </c>
      <c r="O50" s="298">
        <v>0.225</v>
      </c>
      <c r="P50" s="106">
        <v>0.105</v>
      </c>
      <c r="Q50" s="280">
        <f t="shared" si="3"/>
        <v>0.1596363636</v>
      </c>
      <c r="R50" s="29">
        <v>0.5</v>
      </c>
    </row>
    <row r="51" ht="14.25" customHeight="1">
      <c r="A51" s="21"/>
      <c r="B51" s="22"/>
      <c r="C51" s="228">
        <v>3.0</v>
      </c>
      <c r="D51" s="289" t="s">
        <v>200</v>
      </c>
      <c r="E51" s="106">
        <v>0.144</v>
      </c>
      <c r="F51" s="106">
        <v>0.116</v>
      </c>
      <c r="G51" s="314">
        <v>0.123</v>
      </c>
      <c r="H51" s="318">
        <v>0.065</v>
      </c>
      <c r="I51" s="314">
        <v>0.095</v>
      </c>
      <c r="J51" s="255">
        <v>0.073</v>
      </c>
      <c r="K51" s="318">
        <v>0.13</v>
      </c>
      <c r="L51" s="106">
        <v>0.444</v>
      </c>
      <c r="M51" s="27" t="s">
        <v>142</v>
      </c>
      <c r="N51" s="106">
        <v>0.165</v>
      </c>
      <c r="O51" s="298">
        <v>0.247</v>
      </c>
      <c r="P51" s="106">
        <v>0.141</v>
      </c>
      <c r="Q51" s="280">
        <f t="shared" si="3"/>
        <v>0.1584545455</v>
      </c>
      <c r="R51" s="29">
        <v>0.5</v>
      </c>
    </row>
    <row r="52" ht="14.25" customHeight="1">
      <c r="A52" s="21"/>
      <c r="B52" s="22"/>
      <c r="C52" s="228">
        <v>4.0</v>
      </c>
      <c r="D52" s="289" t="s">
        <v>201</v>
      </c>
      <c r="E52" s="106">
        <v>0.103</v>
      </c>
      <c r="F52" s="106">
        <v>0.076</v>
      </c>
      <c r="G52" s="318">
        <v>0.05</v>
      </c>
      <c r="H52" s="318">
        <v>0.135</v>
      </c>
      <c r="I52" s="314">
        <v>0.073</v>
      </c>
      <c r="J52" s="255">
        <v>0.026</v>
      </c>
      <c r="K52" s="318">
        <v>0.139</v>
      </c>
      <c r="L52" s="106">
        <v>0.669</v>
      </c>
      <c r="M52" s="27" t="s">
        <v>142</v>
      </c>
      <c r="N52" s="106">
        <v>0.159</v>
      </c>
      <c r="O52" s="298">
        <v>0.303</v>
      </c>
      <c r="P52" s="106">
        <v>0.112</v>
      </c>
      <c r="Q52" s="280">
        <f t="shared" si="3"/>
        <v>0.1677272727</v>
      </c>
      <c r="R52" s="29">
        <v>0.5</v>
      </c>
    </row>
    <row r="53" ht="14.25" customHeight="1">
      <c r="A53" s="21"/>
      <c r="B53" s="22"/>
      <c r="C53" s="228">
        <v>5.0</v>
      </c>
      <c r="D53" s="289" t="s">
        <v>202</v>
      </c>
      <c r="E53" s="65" t="s">
        <v>70</v>
      </c>
      <c r="F53" s="106" t="s">
        <v>70</v>
      </c>
      <c r="G53" s="314" t="s">
        <v>70</v>
      </c>
      <c r="H53" s="318" t="s">
        <v>70</v>
      </c>
      <c r="I53" s="314" t="s">
        <v>70</v>
      </c>
      <c r="J53" s="255" t="s">
        <v>70</v>
      </c>
      <c r="K53" s="318" t="s">
        <v>70</v>
      </c>
      <c r="L53" s="106" t="s">
        <v>70</v>
      </c>
      <c r="M53" s="106" t="s">
        <v>70</v>
      </c>
      <c r="N53" s="106" t="s">
        <v>70</v>
      </c>
      <c r="O53" s="298" t="s">
        <v>70</v>
      </c>
      <c r="P53" s="106" t="s">
        <v>70</v>
      </c>
      <c r="Q53" s="280" t="str">
        <f t="shared" si="3"/>
        <v>#DIV/0!</v>
      </c>
      <c r="R53" s="29">
        <v>0.5</v>
      </c>
    </row>
    <row r="54" ht="14.25" customHeight="1">
      <c r="A54" s="21"/>
      <c r="B54" s="30"/>
      <c r="C54" s="228">
        <v>6.0</v>
      </c>
      <c r="D54" s="289" t="s">
        <v>203</v>
      </c>
      <c r="E54" s="106">
        <v>0.137</v>
      </c>
      <c r="F54" s="65">
        <v>0.066</v>
      </c>
      <c r="G54" s="318">
        <v>0.083</v>
      </c>
      <c r="H54" s="318">
        <v>0.085</v>
      </c>
      <c r="I54" s="314">
        <v>0.077</v>
      </c>
      <c r="J54" s="255">
        <v>0.022</v>
      </c>
      <c r="K54" s="318">
        <v>0.123</v>
      </c>
      <c r="L54" s="106">
        <v>0.752</v>
      </c>
      <c r="M54" s="106" t="s">
        <v>142</v>
      </c>
      <c r="N54" s="106">
        <v>0.177</v>
      </c>
      <c r="O54" s="298">
        <v>0.207</v>
      </c>
      <c r="P54" s="65">
        <v>0.14</v>
      </c>
      <c r="Q54" s="280">
        <f t="shared" si="3"/>
        <v>0.1699090909</v>
      </c>
      <c r="R54" s="29">
        <v>0.5</v>
      </c>
    </row>
    <row r="55" ht="14.25" customHeight="1"/>
    <row r="56" ht="14.25" customHeight="1">
      <c r="A56" s="72" t="s">
        <v>43</v>
      </c>
    </row>
    <row r="57" ht="14.25" customHeight="1"/>
    <row r="58" ht="14.25" customHeight="1">
      <c r="A58" s="260" t="s">
        <v>207</v>
      </c>
    </row>
    <row r="59" ht="15.0" customHeight="1">
      <c r="A59" s="324" t="s">
        <v>208</v>
      </c>
    </row>
    <row r="60" ht="14.25" customHeight="1"/>
  </sheetData>
  <mergeCells count="16">
    <mergeCell ref="A1:R1"/>
    <mergeCell ref="A2:R2"/>
    <mergeCell ref="A3:R3"/>
    <mergeCell ref="A5:R5"/>
    <mergeCell ref="A6:R6"/>
    <mergeCell ref="B7:B12"/>
    <mergeCell ref="B13:B18"/>
    <mergeCell ref="A58:D58"/>
    <mergeCell ref="A59:D60"/>
    <mergeCell ref="B19:B24"/>
    <mergeCell ref="B25:B30"/>
    <mergeCell ref="B31:B36"/>
    <mergeCell ref="B37:B42"/>
    <mergeCell ref="B43:B48"/>
    <mergeCell ref="B49:B54"/>
    <mergeCell ref="A56:C57"/>
  </mergeCells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8.57"/>
    <col customWidth="1" min="3" max="3" width="8.71"/>
    <col customWidth="1" min="4" max="4" width="28.0"/>
    <col customWidth="1" min="5" max="6" width="10.71" outlineLevel="1"/>
    <col customWidth="1" min="7" max="7" width="10.43" outlineLevel="1"/>
    <col customWidth="1" min="8" max="8" width="8.71" outlineLevel="1"/>
    <col customWidth="1" min="9" max="9" width="11.29" outlineLevel="1"/>
    <col customWidth="1" min="10" max="10" width="7.86" outlineLevel="1"/>
    <col customWidth="1" min="11" max="11" width="9.29" outlineLevel="1"/>
    <col customWidth="1" min="12" max="12" width="9.14" outlineLevel="1"/>
    <col customWidth="1" min="13" max="13" width="10.29" outlineLevel="1"/>
    <col customWidth="1" min="14" max="14" width="10.71" outlineLevel="1"/>
    <col customWidth="1" min="15" max="15" width="12.86" outlineLevel="1"/>
    <col customWidth="1" min="16" max="16" width="13.0" outlineLevel="1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7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62" t="s">
        <v>19</v>
      </c>
      <c r="R4" s="262" t="s">
        <v>20</v>
      </c>
    </row>
    <row r="5" ht="14.25" customHeight="1">
      <c r="A5" s="8" t="s">
        <v>209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210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4.25" customHeight="1">
      <c r="A7" s="101" t="s">
        <v>23</v>
      </c>
      <c r="B7" s="74" t="s">
        <v>24</v>
      </c>
      <c r="C7" s="199">
        <v>1.0</v>
      </c>
      <c r="D7" s="287" t="s">
        <v>211</v>
      </c>
      <c r="E7" s="102">
        <v>4.51</v>
      </c>
      <c r="F7" s="105">
        <v>7.74</v>
      </c>
      <c r="G7" s="102">
        <v>7.2</v>
      </c>
      <c r="H7" s="102">
        <v>5.97</v>
      </c>
      <c r="I7" s="102">
        <v>5.1</v>
      </c>
      <c r="J7" s="264">
        <v>6.64</v>
      </c>
      <c r="K7" s="102">
        <v>2.01</v>
      </c>
      <c r="L7" s="102">
        <v>2.01</v>
      </c>
      <c r="M7" s="105">
        <v>1.89</v>
      </c>
      <c r="N7" s="102">
        <v>2.29</v>
      </c>
      <c r="O7" s="102">
        <v>2.01</v>
      </c>
      <c r="P7" s="102">
        <v>4.12</v>
      </c>
      <c r="Q7" s="265">
        <f t="shared" ref="Q7:Q32" si="1">AVERAGE(E7:P7)</f>
        <v>4.290833333</v>
      </c>
      <c r="R7" s="200">
        <v>6.0</v>
      </c>
    </row>
    <row r="8" ht="14.25" customHeight="1">
      <c r="A8" s="21"/>
      <c r="B8" s="22"/>
      <c r="C8" s="228">
        <v>2.0</v>
      </c>
      <c r="D8" s="289" t="s">
        <v>212</v>
      </c>
      <c r="E8" s="27">
        <v>5.25</v>
      </c>
      <c r="F8" s="106">
        <v>7.35</v>
      </c>
      <c r="G8" s="27">
        <v>6.63</v>
      </c>
      <c r="H8" s="313">
        <v>6.77</v>
      </c>
      <c r="I8" s="313">
        <v>5.0</v>
      </c>
      <c r="J8" s="267">
        <v>6.51</v>
      </c>
      <c r="K8" s="27">
        <v>3.18</v>
      </c>
      <c r="L8" s="27">
        <v>2.54</v>
      </c>
      <c r="M8" s="106">
        <v>2.32</v>
      </c>
      <c r="N8" s="27">
        <v>2.51</v>
      </c>
      <c r="O8" s="27">
        <v>2.11</v>
      </c>
      <c r="P8" s="27">
        <v>4.0</v>
      </c>
      <c r="Q8" s="268">
        <f t="shared" si="1"/>
        <v>4.514166667</v>
      </c>
      <c r="R8" s="29">
        <v>6.0</v>
      </c>
    </row>
    <row r="9" ht="14.25" customHeight="1">
      <c r="A9" s="21"/>
      <c r="B9" s="22"/>
      <c r="C9" s="228">
        <v>3.0</v>
      </c>
      <c r="D9" s="289" t="s">
        <v>213</v>
      </c>
      <c r="E9" s="27">
        <v>5.68</v>
      </c>
      <c r="F9" s="106">
        <v>8.78</v>
      </c>
      <c r="G9" s="27">
        <v>3.92</v>
      </c>
      <c r="H9" s="313">
        <v>6.8</v>
      </c>
      <c r="I9" s="313">
        <v>5.2</v>
      </c>
      <c r="J9" s="267">
        <v>6.62</v>
      </c>
      <c r="K9" s="27">
        <v>2.54</v>
      </c>
      <c r="L9" s="27">
        <v>2.36</v>
      </c>
      <c r="M9" s="27">
        <v>2.01</v>
      </c>
      <c r="N9" s="27">
        <v>2.18</v>
      </c>
      <c r="O9" s="27">
        <v>2.08</v>
      </c>
      <c r="P9" s="27">
        <v>4.05</v>
      </c>
      <c r="Q9" s="268">
        <f t="shared" si="1"/>
        <v>4.351666667</v>
      </c>
      <c r="R9" s="29">
        <v>6.0</v>
      </c>
    </row>
    <row r="10" ht="14.25" customHeight="1">
      <c r="A10" s="21"/>
      <c r="B10" s="22"/>
      <c r="C10" s="228">
        <v>4.0</v>
      </c>
      <c r="D10" s="289" t="s">
        <v>214</v>
      </c>
      <c r="E10" s="27">
        <v>5.77</v>
      </c>
      <c r="F10" s="106">
        <v>9.05</v>
      </c>
      <c r="G10" s="313">
        <v>9.59</v>
      </c>
      <c r="H10" s="313">
        <v>6.71</v>
      </c>
      <c r="I10" s="313">
        <v>5.7</v>
      </c>
      <c r="J10" s="267">
        <v>6.85</v>
      </c>
      <c r="K10" s="27">
        <v>2.29</v>
      </c>
      <c r="L10" s="27">
        <v>3.02</v>
      </c>
      <c r="M10" s="27">
        <v>2.91</v>
      </c>
      <c r="N10" s="27">
        <v>2.78</v>
      </c>
      <c r="O10" s="27">
        <v>2.15</v>
      </c>
      <c r="P10" s="27">
        <v>5.01</v>
      </c>
      <c r="Q10" s="268">
        <f t="shared" si="1"/>
        <v>5.1525</v>
      </c>
      <c r="R10" s="321">
        <v>6.0</v>
      </c>
    </row>
    <row r="11" ht="14.25" customHeight="1">
      <c r="A11" s="21"/>
      <c r="B11" s="22"/>
      <c r="C11" s="228">
        <v>5.0</v>
      </c>
      <c r="D11" s="289" t="s">
        <v>215</v>
      </c>
      <c r="E11" s="27">
        <v>6.79</v>
      </c>
      <c r="F11" s="106">
        <v>7.54</v>
      </c>
      <c r="G11" s="313">
        <v>10.54</v>
      </c>
      <c r="H11" s="313">
        <v>6.02</v>
      </c>
      <c r="I11" s="313">
        <v>5.2</v>
      </c>
      <c r="J11" s="267">
        <v>5.14</v>
      </c>
      <c r="K11" s="27">
        <v>4.54</v>
      </c>
      <c r="L11" s="27">
        <v>2.77</v>
      </c>
      <c r="M11" s="106">
        <v>2.55</v>
      </c>
      <c r="N11" s="27">
        <v>2.95</v>
      </c>
      <c r="O11" s="27">
        <v>2.43</v>
      </c>
      <c r="P11" s="27">
        <v>4.24</v>
      </c>
      <c r="Q11" s="268">
        <f t="shared" si="1"/>
        <v>5.059166667</v>
      </c>
      <c r="R11" s="29">
        <v>6.0</v>
      </c>
    </row>
    <row r="12" ht="14.25" customHeight="1">
      <c r="A12" s="21"/>
      <c r="B12" s="22"/>
      <c r="C12" s="228">
        <v>6.0</v>
      </c>
      <c r="D12" s="289" t="s">
        <v>216</v>
      </c>
      <c r="E12" s="27">
        <v>7.37</v>
      </c>
      <c r="F12" s="27">
        <v>7.01</v>
      </c>
      <c r="G12" s="313">
        <v>8.97</v>
      </c>
      <c r="H12" s="313">
        <v>2.27</v>
      </c>
      <c r="I12" s="313">
        <v>6.4</v>
      </c>
      <c r="J12" s="267">
        <v>6.58</v>
      </c>
      <c r="K12" s="27">
        <v>1.08</v>
      </c>
      <c r="L12" s="27">
        <v>3.1</v>
      </c>
      <c r="M12" s="27">
        <v>2.85</v>
      </c>
      <c r="N12" s="27">
        <v>2.73</v>
      </c>
      <c r="O12" s="27">
        <v>1.77</v>
      </c>
      <c r="P12" s="106">
        <v>4.46</v>
      </c>
      <c r="Q12" s="268">
        <f t="shared" si="1"/>
        <v>4.549166667</v>
      </c>
      <c r="R12" s="29">
        <v>6.0</v>
      </c>
    </row>
    <row r="13" ht="14.25" customHeight="1">
      <c r="A13" s="21"/>
      <c r="B13" s="30"/>
      <c r="C13" s="228">
        <v>7.0</v>
      </c>
      <c r="D13" s="289" t="s">
        <v>217</v>
      </c>
      <c r="E13" s="27">
        <v>8.15</v>
      </c>
      <c r="F13" s="27">
        <v>4.82</v>
      </c>
      <c r="G13" s="313">
        <v>5.29</v>
      </c>
      <c r="H13" s="313">
        <v>6.38</v>
      </c>
      <c r="I13" s="313">
        <v>6.6</v>
      </c>
      <c r="J13" s="267">
        <v>6.25</v>
      </c>
      <c r="K13" s="27">
        <v>4.83</v>
      </c>
      <c r="L13" s="27">
        <v>2.05</v>
      </c>
      <c r="M13" s="106">
        <v>1.89</v>
      </c>
      <c r="N13" s="27">
        <v>1.54</v>
      </c>
      <c r="O13" s="27">
        <v>1.48</v>
      </c>
      <c r="P13" s="106">
        <v>3.63</v>
      </c>
      <c r="Q13" s="268">
        <f t="shared" si="1"/>
        <v>4.409166667</v>
      </c>
      <c r="R13" s="29">
        <v>6.0</v>
      </c>
    </row>
    <row r="14" ht="14.25" customHeight="1">
      <c r="A14" s="21"/>
      <c r="B14" s="13" t="s">
        <v>31</v>
      </c>
      <c r="C14" s="202">
        <v>1.0</v>
      </c>
      <c r="D14" s="287" t="s">
        <v>211</v>
      </c>
      <c r="E14" s="176">
        <v>41.0</v>
      </c>
      <c r="F14" s="105">
        <v>38.0</v>
      </c>
      <c r="G14" s="124">
        <v>25.0</v>
      </c>
      <c r="H14" s="105">
        <v>26.0</v>
      </c>
      <c r="I14" s="105">
        <v>27.0</v>
      </c>
      <c r="J14" s="325">
        <v>24.0</v>
      </c>
      <c r="K14" s="124">
        <v>13.0</v>
      </c>
      <c r="L14" s="124">
        <v>14.0</v>
      </c>
      <c r="M14" s="176">
        <v>91.0</v>
      </c>
      <c r="N14" s="176">
        <v>21.0</v>
      </c>
      <c r="O14" s="176">
        <v>71.0</v>
      </c>
      <c r="P14" s="124">
        <v>7.0</v>
      </c>
      <c r="Q14" s="273">
        <f t="shared" si="1"/>
        <v>33.16666667</v>
      </c>
      <c r="R14" s="20">
        <v>50.0</v>
      </c>
    </row>
    <row r="15" ht="14.25" customHeight="1">
      <c r="A15" s="21"/>
      <c r="B15" s="22"/>
      <c r="C15" s="228">
        <v>2.0</v>
      </c>
      <c r="D15" s="289" t="s">
        <v>212</v>
      </c>
      <c r="E15" s="106">
        <v>31.0</v>
      </c>
      <c r="F15" s="106">
        <v>64.0</v>
      </c>
      <c r="G15" s="314">
        <v>31.0</v>
      </c>
      <c r="H15" s="314">
        <v>41.0</v>
      </c>
      <c r="I15" s="314">
        <v>30.0</v>
      </c>
      <c r="J15" s="326">
        <v>23.0</v>
      </c>
      <c r="K15" s="39">
        <v>20.0</v>
      </c>
      <c r="L15" s="39">
        <v>18.0</v>
      </c>
      <c r="M15" s="106">
        <v>17.0</v>
      </c>
      <c r="N15" s="106">
        <v>11.0</v>
      </c>
      <c r="O15" s="106">
        <v>28.0</v>
      </c>
      <c r="P15" s="39">
        <v>7.0</v>
      </c>
      <c r="Q15" s="276">
        <f t="shared" si="1"/>
        <v>26.75</v>
      </c>
      <c r="R15" s="29">
        <v>50.0</v>
      </c>
    </row>
    <row r="16" ht="14.25" customHeight="1">
      <c r="A16" s="21"/>
      <c r="B16" s="22"/>
      <c r="C16" s="228">
        <v>3.0</v>
      </c>
      <c r="D16" s="289" t="s">
        <v>213</v>
      </c>
      <c r="E16" s="106">
        <v>25.0</v>
      </c>
      <c r="F16" s="106">
        <v>15.0</v>
      </c>
      <c r="G16" s="314">
        <v>20.0</v>
      </c>
      <c r="H16" s="314">
        <v>17.0</v>
      </c>
      <c r="I16" s="314">
        <v>33.0</v>
      </c>
      <c r="J16" s="326">
        <v>13.0</v>
      </c>
      <c r="K16" s="39">
        <v>27.0</v>
      </c>
      <c r="L16" s="39">
        <v>16.0</v>
      </c>
      <c r="M16" s="106">
        <v>92.0</v>
      </c>
      <c r="N16" s="106">
        <v>48.0</v>
      </c>
      <c r="O16" s="106">
        <v>19.0</v>
      </c>
      <c r="P16" s="39">
        <v>10.0</v>
      </c>
      <c r="Q16" s="276">
        <f t="shared" si="1"/>
        <v>27.91666667</v>
      </c>
      <c r="R16" s="29">
        <v>50.0</v>
      </c>
    </row>
    <row r="17" ht="14.25" customHeight="1">
      <c r="A17" s="21"/>
      <c r="B17" s="22"/>
      <c r="C17" s="228">
        <v>4.0</v>
      </c>
      <c r="D17" s="289" t="s">
        <v>214</v>
      </c>
      <c r="E17" s="106">
        <v>14.0</v>
      </c>
      <c r="F17" s="106">
        <v>10.0</v>
      </c>
      <c r="G17" s="314">
        <v>20.0</v>
      </c>
      <c r="H17" s="314">
        <v>21.0</v>
      </c>
      <c r="I17" s="314">
        <v>25.0</v>
      </c>
      <c r="J17" s="326">
        <v>31.0</v>
      </c>
      <c r="K17" s="39">
        <v>22.0</v>
      </c>
      <c r="L17" s="39">
        <v>30.0</v>
      </c>
      <c r="M17" s="106">
        <v>35.0</v>
      </c>
      <c r="N17" s="106">
        <v>4.0</v>
      </c>
      <c r="O17" s="106">
        <v>28.0</v>
      </c>
      <c r="P17" s="39">
        <v>6.0</v>
      </c>
      <c r="Q17" s="276">
        <f t="shared" si="1"/>
        <v>20.5</v>
      </c>
      <c r="R17" s="29">
        <v>50.0</v>
      </c>
    </row>
    <row r="18" ht="14.25" customHeight="1">
      <c r="A18" s="21"/>
      <c r="B18" s="22"/>
      <c r="C18" s="228">
        <v>5.0</v>
      </c>
      <c r="D18" s="289" t="s">
        <v>215</v>
      </c>
      <c r="E18" s="106">
        <v>57.0</v>
      </c>
      <c r="F18" s="106">
        <v>27.0</v>
      </c>
      <c r="G18" s="314">
        <v>27.0</v>
      </c>
      <c r="H18" s="314">
        <v>23.0</v>
      </c>
      <c r="I18" s="314">
        <v>30.0</v>
      </c>
      <c r="J18" s="326">
        <v>42.0</v>
      </c>
      <c r="K18" s="39">
        <v>18.0</v>
      </c>
      <c r="L18" s="39">
        <v>12.0</v>
      </c>
      <c r="M18" s="106">
        <v>71.0</v>
      </c>
      <c r="N18" s="106">
        <v>9.0</v>
      </c>
      <c r="O18" s="106">
        <v>12.0</v>
      </c>
      <c r="P18" s="39">
        <v>9.0</v>
      </c>
      <c r="Q18" s="276">
        <f t="shared" si="1"/>
        <v>28.08333333</v>
      </c>
      <c r="R18" s="29">
        <v>50.0</v>
      </c>
    </row>
    <row r="19" ht="14.25" customHeight="1">
      <c r="A19" s="21"/>
      <c r="B19" s="22"/>
      <c r="C19" s="228">
        <v>6.0</v>
      </c>
      <c r="D19" s="289" t="s">
        <v>216</v>
      </c>
      <c r="E19" s="106">
        <v>36.0</v>
      </c>
      <c r="F19" s="39">
        <v>74.0</v>
      </c>
      <c r="G19" s="241">
        <v>98.0</v>
      </c>
      <c r="H19" s="314">
        <v>28.0</v>
      </c>
      <c r="I19" s="314">
        <v>16.0</v>
      </c>
      <c r="J19" s="271">
        <v>10.0</v>
      </c>
      <c r="K19" s="106">
        <v>45.0</v>
      </c>
      <c r="L19" s="106">
        <v>7.0</v>
      </c>
      <c r="M19" s="106">
        <v>10.0</v>
      </c>
      <c r="N19" s="106">
        <v>36.0</v>
      </c>
      <c r="O19" s="106">
        <v>9.0</v>
      </c>
      <c r="P19" s="39">
        <v>13.0</v>
      </c>
      <c r="Q19" s="276">
        <f t="shared" si="1"/>
        <v>31.83333333</v>
      </c>
      <c r="R19" s="29">
        <v>50.0</v>
      </c>
    </row>
    <row r="20" ht="14.25" customHeight="1">
      <c r="A20" s="21"/>
      <c r="B20" s="30"/>
      <c r="C20" s="228">
        <v>7.0</v>
      </c>
      <c r="D20" s="289" t="s">
        <v>217</v>
      </c>
      <c r="E20" s="106">
        <v>14.0</v>
      </c>
      <c r="F20" s="39">
        <v>20.0</v>
      </c>
      <c r="G20" s="106">
        <v>19.0</v>
      </c>
      <c r="H20" s="314">
        <v>18.0</v>
      </c>
      <c r="I20" s="314">
        <v>10.0</v>
      </c>
      <c r="J20" s="271">
        <v>12.0</v>
      </c>
      <c r="K20" s="106">
        <v>15.0</v>
      </c>
      <c r="L20" s="106">
        <v>11.0</v>
      </c>
      <c r="M20" s="106">
        <v>7.0</v>
      </c>
      <c r="N20" s="106">
        <v>9.0</v>
      </c>
      <c r="O20" s="106">
        <v>9.0</v>
      </c>
      <c r="P20" s="39">
        <v>17.0</v>
      </c>
      <c r="Q20" s="276">
        <f t="shared" si="1"/>
        <v>13.41666667</v>
      </c>
      <c r="R20" s="29">
        <v>50.0</v>
      </c>
    </row>
    <row r="21" ht="14.25" customHeight="1">
      <c r="A21" s="21"/>
      <c r="B21" s="13" t="s">
        <v>33</v>
      </c>
      <c r="C21" s="202">
        <v>1.0</v>
      </c>
      <c r="D21" s="287" t="s">
        <v>211</v>
      </c>
      <c r="E21" s="18">
        <v>9.01</v>
      </c>
      <c r="F21" s="102">
        <v>8.44</v>
      </c>
      <c r="G21" s="102">
        <v>8.01</v>
      </c>
      <c r="H21" s="102">
        <v>8.55</v>
      </c>
      <c r="I21" s="102">
        <v>7.0</v>
      </c>
      <c r="J21" s="264">
        <v>7.89</v>
      </c>
      <c r="K21" s="102">
        <v>7.0</v>
      </c>
      <c r="L21" s="18">
        <v>7.0</v>
      </c>
      <c r="M21" s="102">
        <v>7.0</v>
      </c>
      <c r="N21" s="18">
        <v>7.0</v>
      </c>
      <c r="O21" s="18">
        <v>7.0</v>
      </c>
      <c r="P21" s="18">
        <v>8.01</v>
      </c>
      <c r="Q21" s="265">
        <f t="shared" si="1"/>
        <v>7.659166667</v>
      </c>
      <c r="R21" s="208" t="s">
        <v>164</v>
      </c>
    </row>
    <row r="22" ht="14.25" customHeight="1">
      <c r="A22" s="21"/>
      <c r="B22" s="22"/>
      <c r="C22" s="228">
        <v>2.0</v>
      </c>
      <c r="D22" s="289" t="s">
        <v>212</v>
      </c>
      <c r="E22" s="27">
        <v>9.07</v>
      </c>
      <c r="F22" s="27">
        <v>8.36</v>
      </c>
      <c r="G22" s="27">
        <v>8.0</v>
      </c>
      <c r="H22" s="313">
        <v>8.36</v>
      </c>
      <c r="I22" s="313">
        <v>7.0</v>
      </c>
      <c r="J22" s="267">
        <v>7.76</v>
      </c>
      <c r="K22" s="27">
        <v>7.0</v>
      </c>
      <c r="L22" s="27">
        <v>7.0</v>
      </c>
      <c r="M22" s="27">
        <v>7.0</v>
      </c>
      <c r="N22" s="27">
        <v>7.0</v>
      </c>
      <c r="O22" s="27">
        <v>7.0</v>
      </c>
      <c r="P22" s="27">
        <v>8.11</v>
      </c>
      <c r="Q22" s="268">
        <f t="shared" si="1"/>
        <v>7.638333333</v>
      </c>
      <c r="R22" s="241" t="s">
        <v>164</v>
      </c>
    </row>
    <row r="23" ht="14.25" customHeight="1">
      <c r="A23" s="21"/>
      <c r="B23" s="22"/>
      <c r="C23" s="228">
        <v>3.0</v>
      </c>
      <c r="D23" s="289" t="s">
        <v>213</v>
      </c>
      <c r="E23" s="27">
        <v>9.13</v>
      </c>
      <c r="F23" s="27">
        <v>8.26</v>
      </c>
      <c r="G23" s="27">
        <v>9.02</v>
      </c>
      <c r="H23" s="313">
        <v>8.25</v>
      </c>
      <c r="I23" s="313">
        <v>7.0</v>
      </c>
      <c r="J23" s="267">
        <v>8.08</v>
      </c>
      <c r="K23" s="27">
        <v>7.0</v>
      </c>
      <c r="L23" s="27">
        <v>7.0</v>
      </c>
      <c r="M23" s="27">
        <v>7.0</v>
      </c>
      <c r="N23" s="27">
        <v>7.0</v>
      </c>
      <c r="O23" s="27">
        <v>7.0</v>
      </c>
      <c r="P23" s="27">
        <v>8.1</v>
      </c>
      <c r="Q23" s="268">
        <f t="shared" si="1"/>
        <v>7.736666667</v>
      </c>
      <c r="R23" s="241" t="s">
        <v>164</v>
      </c>
    </row>
    <row r="24" ht="14.25" customHeight="1">
      <c r="A24" s="21"/>
      <c r="B24" s="22"/>
      <c r="C24" s="228">
        <v>4.0</v>
      </c>
      <c r="D24" s="289" t="s">
        <v>214</v>
      </c>
      <c r="E24" s="27">
        <v>9.19</v>
      </c>
      <c r="F24" s="27">
        <v>8.25</v>
      </c>
      <c r="G24" s="313">
        <v>8.14</v>
      </c>
      <c r="H24" s="313">
        <v>8.37</v>
      </c>
      <c r="I24" s="313">
        <v>7.0</v>
      </c>
      <c r="J24" s="267">
        <v>7.87</v>
      </c>
      <c r="K24" s="27">
        <v>7.0</v>
      </c>
      <c r="L24" s="27">
        <v>7.0</v>
      </c>
      <c r="M24" s="27">
        <v>7.0</v>
      </c>
      <c r="N24" s="27">
        <v>7.0</v>
      </c>
      <c r="O24" s="27">
        <v>7.0</v>
      </c>
      <c r="P24" s="27">
        <v>7.99</v>
      </c>
      <c r="Q24" s="268">
        <f t="shared" si="1"/>
        <v>7.650833333</v>
      </c>
      <c r="R24" s="241" t="s">
        <v>164</v>
      </c>
    </row>
    <row r="25" ht="14.25" customHeight="1">
      <c r="A25" s="21"/>
      <c r="B25" s="22"/>
      <c r="C25" s="228">
        <v>5.0</v>
      </c>
      <c r="D25" s="289" t="s">
        <v>215</v>
      </c>
      <c r="E25" s="27">
        <v>9.26</v>
      </c>
      <c r="F25" s="27">
        <v>8.4</v>
      </c>
      <c r="G25" s="313">
        <v>8.2</v>
      </c>
      <c r="H25" s="313">
        <v>8.51</v>
      </c>
      <c r="I25" s="313">
        <v>7.0</v>
      </c>
      <c r="J25" s="267">
        <v>8.21</v>
      </c>
      <c r="K25" s="27">
        <v>7.0</v>
      </c>
      <c r="L25" s="27">
        <v>7.0</v>
      </c>
      <c r="M25" s="27">
        <v>7.0</v>
      </c>
      <c r="N25" s="27">
        <v>7.0</v>
      </c>
      <c r="O25" s="27">
        <v>7.0</v>
      </c>
      <c r="P25" s="27">
        <v>7.95</v>
      </c>
      <c r="Q25" s="268">
        <f t="shared" si="1"/>
        <v>7.710833333</v>
      </c>
      <c r="R25" s="241" t="s">
        <v>164</v>
      </c>
    </row>
    <row r="26" ht="14.25" customHeight="1">
      <c r="A26" s="21"/>
      <c r="B26" s="22"/>
      <c r="C26" s="228">
        <v>6.0</v>
      </c>
      <c r="D26" s="289" t="s">
        <v>216</v>
      </c>
      <c r="E26" s="27">
        <v>8.17</v>
      </c>
      <c r="F26" s="27">
        <v>8.26</v>
      </c>
      <c r="G26" s="313">
        <v>8.5</v>
      </c>
      <c r="H26" s="313">
        <v>8.89</v>
      </c>
      <c r="I26" s="313">
        <v>7.0</v>
      </c>
      <c r="J26" s="267">
        <v>7.89</v>
      </c>
      <c r="K26" s="27">
        <v>7.0</v>
      </c>
      <c r="L26" s="27">
        <v>7.0</v>
      </c>
      <c r="M26" s="27">
        <v>7.0</v>
      </c>
      <c r="N26" s="27">
        <v>7.0</v>
      </c>
      <c r="O26" s="27">
        <v>7.0</v>
      </c>
      <c r="P26" s="27">
        <v>8.03</v>
      </c>
      <c r="Q26" s="268">
        <f t="shared" si="1"/>
        <v>7.645</v>
      </c>
      <c r="R26" s="241" t="s">
        <v>164</v>
      </c>
    </row>
    <row r="27" ht="14.25" customHeight="1">
      <c r="A27" s="21"/>
      <c r="B27" s="30"/>
      <c r="C27" s="228">
        <v>7.0</v>
      </c>
      <c r="D27" s="289" t="s">
        <v>217</v>
      </c>
      <c r="E27" s="27">
        <v>8.5</v>
      </c>
      <c r="F27" s="27">
        <v>8.99</v>
      </c>
      <c r="G27" s="313">
        <v>8.93</v>
      </c>
      <c r="H27" s="313">
        <v>8.45</v>
      </c>
      <c r="I27" s="313">
        <v>7.0</v>
      </c>
      <c r="J27" s="267">
        <v>7.73</v>
      </c>
      <c r="K27" s="27">
        <v>7.0</v>
      </c>
      <c r="L27" s="27">
        <v>7.0</v>
      </c>
      <c r="M27" s="27">
        <v>7.0</v>
      </c>
      <c r="N27" s="27">
        <v>7.0</v>
      </c>
      <c r="O27" s="27">
        <v>7.0</v>
      </c>
      <c r="P27" s="27">
        <v>8.35</v>
      </c>
      <c r="Q27" s="268">
        <f t="shared" si="1"/>
        <v>7.745833333</v>
      </c>
      <c r="R27" s="241" t="s">
        <v>164</v>
      </c>
    </row>
    <row r="28" ht="14.25" customHeight="1">
      <c r="A28" s="21"/>
      <c r="B28" s="13" t="s">
        <v>218</v>
      </c>
      <c r="C28" s="202">
        <v>1.0</v>
      </c>
      <c r="D28" s="287" t="s">
        <v>211</v>
      </c>
      <c r="E28" s="18">
        <v>29.8</v>
      </c>
      <c r="F28" s="102">
        <v>28.6</v>
      </c>
      <c r="G28" s="102">
        <v>29.73</v>
      </c>
      <c r="H28" s="102">
        <v>29.87</v>
      </c>
      <c r="I28" s="102">
        <v>29.78</v>
      </c>
      <c r="J28" s="264">
        <v>29.78</v>
      </c>
      <c r="K28" s="102">
        <v>28.21</v>
      </c>
      <c r="L28" s="18">
        <v>29.3</v>
      </c>
      <c r="M28" s="102">
        <v>28.91</v>
      </c>
      <c r="N28" s="18">
        <v>28.57</v>
      </c>
      <c r="O28" s="18">
        <v>28.18</v>
      </c>
      <c r="P28" s="102">
        <v>28.85</v>
      </c>
      <c r="Q28" s="265">
        <f t="shared" si="1"/>
        <v>29.13166667</v>
      </c>
      <c r="R28" s="18" t="s">
        <v>166</v>
      </c>
    </row>
    <row r="29" ht="14.25" customHeight="1">
      <c r="A29" s="21"/>
      <c r="B29" s="22"/>
      <c r="C29" s="228">
        <v>2.0</v>
      </c>
      <c r="D29" s="289" t="s">
        <v>212</v>
      </c>
      <c r="E29" s="27">
        <v>29.3</v>
      </c>
      <c r="F29" s="27">
        <v>28.93</v>
      </c>
      <c r="G29" s="27">
        <v>29.9</v>
      </c>
      <c r="H29" s="313">
        <v>28.56</v>
      </c>
      <c r="I29" s="314">
        <v>29.54</v>
      </c>
      <c r="J29" s="267">
        <v>29.8</v>
      </c>
      <c r="K29" s="27">
        <v>29.34</v>
      </c>
      <c r="L29" s="27">
        <v>28.75</v>
      </c>
      <c r="M29" s="27">
        <v>28.32</v>
      </c>
      <c r="N29" s="27">
        <v>28.1</v>
      </c>
      <c r="O29" s="27">
        <v>28.22</v>
      </c>
      <c r="P29" s="27">
        <v>28.91</v>
      </c>
      <c r="Q29" s="268">
        <f t="shared" si="1"/>
        <v>28.9725</v>
      </c>
      <c r="R29" s="27" t="s">
        <v>166</v>
      </c>
    </row>
    <row r="30" ht="14.25" customHeight="1">
      <c r="A30" s="21"/>
      <c r="B30" s="22"/>
      <c r="C30" s="228">
        <v>3.0</v>
      </c>
      <c r="D30" s="289" t="s">
        <v>213</v>
      </c>
      <c r="E30" s="27">
        <v>28.95</v>
      </c>
      <c r="F30" s="27">
        <v>28.9</v>
      </c>
      <c r="G30" s="27">
        <v>29.9</v>
      </c>
      <c r="H30" s="313">
        <v>27.86</v>
      </c>
      <c r="I30" s="313">
        <v>29.82</v>
      </c>
      <c r="J30" s="267">
        <v>30.18</v>
      </c>
      <c r="K30" s="27">
        <v>28.95</v>
      </c>
      <c r="L30" s="27">
        <v>29.01</v>
      </c>
      <c r="M30" s="27">
        <v>28.76</v>
      </c>
      <c r="N30" s="27">
        <v>28.48</v>
      </c>
      <c r="O30" s="27">
        <v>28.35</v>
      </c>
      <c r="P30" s="27">
        <v>28.9</v>
      </c>
      <c r="Q30" s="268">
        <f t="shared" si="1"/>
        <v>29.005</v>
      </c>
      <c r="R30" s="27" t="s">
        <v>166</v>
      </c>
    </row>
    <row r="31" ht="14.25" customHeight="1">
      <c r="A31" s="21"/>
      <c r="B31" s="22"/>
      <c r="C31" s="228">
        <v>4.0</v>
      </c>
      <c r="D31" s="289" t="s">
        <v>214</v>
      </c>
      <c r="E31" s="27">
        <v>28.98</v>
      </c>
      <c r="F31" s="27">
        <v>28.8</v>
      </c>
      <c r="G31" s="27">
        <v>30.0</v>
      </c>
      <c r="H31" s="313">
        <v>28.61</v>
      </c>
      <c r="I31" s="313">
        <v>29.2</v>
      </c>
      <c r="J31" s="267">
        <v>29.95</v>
      </c>
      <c r="K31" s="27">
        <v>29.11</v>
      </c>
      <c r="L31" s="27">
        <v>28.93</v>
      </c>
      <c r="M31" s="27">
        <v>28.42</v>
      </c>
      <c r="N31" s="27">
        <v>28.25</v>
      </c>
      <c r="O31" s="27">
        <v>28.15</v>
      </c>
      <c r="P31" s="27">
        <v>28.8</v>
      </c>
      <c r="Q31" s="268">
        <f t="shared" si="1"/>
        <v>28.93333333</v>
      </c>
      <c r="R31" s="27" t="s">
        <v>166</v>
      </c>
    </row>
    <row r="32" ht="14.25" customHeight="1">
      <c r="A32" s="21"/>
      <c r="B32" s="22"/>
      <c r="C32" s="228">
        <v>5.0</v>
      </c>
      <c r="D32" s="289" t="s">
        <v>215</v>
      </c>
      <c r="E32" s="27">
        <v>29.13</v>
      </c>
      <c r="F32" s="27">
        <v>29.4</v>
      </c>
      <c r="G32" s="27">
        <v>30.0</v>
      </c>
      <c r="H32" s="313">
        <v>29.56</v>
      </c>
      <c r="I32" s="314">
        <v>29.45</v>
      </c>
      <c r="J32" s="267">
        <v>29.98</v>
      </c>
      <c r="K32" s="27">
        <v>28.36</v>
      </c>
      <c r="L32" s="27">
        <v>28.64</v>
      </c>
      <c r="M32" s="27">
        <v>28.18</v>
      </c>
      <c r="N32" s="27">
        <v>28.02</v>
      </c>
      <c r="O32" s="27">
        <v>28.2</v>
      </c>
      <c r="P32" s="27">
        <v>28.82</v>
      </c>
      <c r="Q32" s="268">
        <f t="shared" si="1"/>
        <v>28.97833333</v>
      </c>
      <c r="R32" s="27" t="s">
        <v>166</v>
      </c>
    </row>
    <row r="33" ht="14.25" customHeight="1">
      <c r="A33" s="21"/>
      <c r="B33" s="22"/>
      <c r="C33" s="228">
        <v>6.0</v>
      </c>
      <c r="D33" s="289" t="s">
        <v>216</v>
      </c>
      <c r="E33" s="27">
        <v>29.87</v>
      </c>
      <c r="F33" s="27">
        <v>28.8</v>
      </c>
      <c r="G33" s="27">
        <v>29.5</v>
      </c>
      <c r="H33" s="313">
        <v>32.1</v>
      </c>
      <c r="I33" s="314">
        <v>28.33</v>
      </c>
      <c r="J33" s="267">
        <v>30.89</v>
      </c>
      <c r="K33" s="27">
        <v>29.01</v>
      </c>
      <c r="L33" s="27">
        <v>29.58</v>
      </c>
      <c r="M33" s="27">
        <v>28.71</v>
      </c>
      <c r="N33" s="27">
        <v>28.68</v>
      </c>
      <c r="O33" s="27">
        <v>28.61</v>
      </c>
      <c r="P33" s="106">
        <v>28.95</v>
      </c>
      <c r="Q33" s="268">
        <v>29.16</v>
      </c>
      <c r="R33" s="27" t="s">
        <v>166</v>
      </c>
    </row>
    <row r="34" ht="14.25" customHeight="1">
      <c r="A34" s="21"/>
      <c r="B34" s="30"/>
      <c r="C34" s="228">
        <v>7.0</v>
      </c>
      <c r="D34" s="289" t="s">
        <v>217</v>
      </c>
      <c r="E34" s="27">
        <v>29.18</v>
      </c>
      <c r="F34" s="27">
        <v>28.1</v>
      </c>
      <c r="G34" s="27">
        <v>29.2</v>
      </c>
      <c r="H34" s="313">
        <v>31.0</v>
      </c>
      <c r="I34" s="313">
        <v>28.57</v>
      </c>
      <c r="J34" s="267">
        <v>30.7</v>
      </c>
      <c r="K34" s="27">
        <v>29.73</v>
      </c>
      <c r="L34" s="27">
        <v>29.75</v>
      </c>
      <c r="M34" s="27">
        <v>29.03</v>
      </c>
      <c r="N34" s="27">
        <v>28.72</v>
      </c>
      <c r="O34" s="27">
        <v>28.87</v>
      </c>
      <c r="P34" s="27">
        <v>28.8</v>
      </c>
      <c r="Q34" s="268">
        <v>28.97</v>
      </c>
      <c r="R34" s="27" t="s">
        <v>166</v>
      </c>
    </row>
    <row r="35" ht="14.25" customHeight="1">
      <c r="A35" s="21"/>
      <c r="B35" s="13" t="s">
        <v>37</v>
      </c>
      <c r="C35" s="202">
        <v>1.0</v>
      </c>
      <c r="D35" s="287" t="s">
        <v>211</v>
      </c>
      <c r="E35" s="176">
        <v>10.0</v>
      </c>
      <c r="F35" s="105">
        <v>15.0</v>
      </c>
      <c r="G35" s="124">
        <v>15.0</v>
      </c>
      <c r="H35" s="105">
        <v>5.0</v>
      </c>
      <c r="I35" s="105">
        <v>15.0</v>
      </c>
      <c r="J35" s="325">
        <v>5.0</v>
      </c>
      <c r="K35" s="124">
        <v>5.0</v>
      </c>
      <c r="L35" s="124">
        <v>5.0</v>
      </c>
      <c r="M35" s="176">
        <v>5.0</v>
      </c>
      <c r="N35" s="176">
        <v>10.0</v>
      </c>
      <c r="O35" s="176">
        <v>5.0</v>
      </c>
      <c r="P35" s="124">
        <v>5.0</v>
      </c>
      <c r="Q35" s="273">
        <f t="shared" ref="Q35:Q41" si="2">AVERAGE(E35:P35)</f>
        <v>8.333333333</v>
      </c>
      <c r="R35" s="35">
        <v>50.0</v>
      </c>
    </row>
    <row r="36" ht="14.25" customHeight="1">
      <c r="A36" s="21"/>
      <c r="B36" s="22"/>
      <c r="C36" s="228">
        <v>2.0</v>
      </c>
      <c r="D36" s="289" t="s">
        <v>212</v>
      </c>
      <c r="E36" s="106">
        <v>10.0</v>
      </c>
      <c r="F36" s="106">
        <v>15.0</v>
      </c>
      <c r="G36" s="39">
        <v>15.0</v>
      </c>
      <c r="H36" s="314">
        <v>5.0</v>
      </c>
      <c r="I36" s="314">
        <v>15.0</v>
      </c>
      <c r="J36" s="326">
        <v>5.0</v>
      </c>
      <c r="K36" s="39">
        <v>5.0</v>
      </c>
      <c r="L36" s="39">
        <v>5.0</v>
      </c>
      <c r="M36" s="106">
        <v>5.0</v>
      </c>
      <c r="N36" s="106">
        <v>10.0</v>
      </c>
      <c r="O36" s="106">
        <v>5.0</v>
      </c>
      <c r="P36" s="39">
        <v>5.0</v>
      </c>
      <c r="Q36" s="276">
        <f t="shared" si="2"/>
        <v>8.333333333</v>
      </c>
      <c r="R36" s="39">
        <v>50.0</v>
      </c>
    </row>
    <row r="37" ht="14.25" customHeight="1">
      <c r="A37" s="21"/>
      <c r="B37" s="22"/>
      <c r="C37" s="228">
        <v>3.0</v>
      </c>
      <c r="D37" s="289" t="s">
        <v>213</v>
      </c>
      <c r="E37" s="106">
        <v>10.0</v>
      </c>
      <c r="F37" s="106">
        <v>15.0</v>
      </c>
      <c r="G37" s="39">
        <v>15.0</v>
      </c>
      <c r="H37" s="314">
        <v>5.0</v>
      </c>
      <c r="I37" s="314">
        <v>10.0</v>
      </c>
      <c r="J37" s="326">
        <v>5.0</v>
      </c>
      <c r="K37" s="39">
        <v>5.0</v>
      </c>
      <c r="L37" s="39">
        <v>5.0</v>
      </c>
      <c r="M37" s="106">
        <v>5.0</v>
      </c>
      <c r="N37" s="106">
        <v>10.0</v>
      </c>
      <c r="O37" s="106">
        <v>5.0</v>
      </c>
      <c r="P37" s="39">
        <v>5.0</v>
      </c>
      <c r="Q37" s="276">
        <f t="shared" si="2"/>
        <v>7.916666667</v>
      </c>
      <c r="R37" s="39">
        <v>50.0</v>
      </c>
    </row>
    <row r="38" ht="14.25" customHeight="1">
      <c r="A38" s="21"/>
      <c r="B38" s="22"/>
      <c r="C38" s="228">
        <v>4.0</v>
      </c>
      <c r="D38" s="289" t="s">
        <v>214</v>
      </c>
      <c r="E38" s="106">
        <v>5.0</v>
      </c>
      <c r="F38" s="106">
        <v>10.0</v>
      </c>
      <c r="G38" s="39">
        <v>10.0</v>
      </c>
      <c r="H38" s="314">
        <v>5.0</v>
      </c>
      <c r="I38" s="314">
        <v>5.0</v>
      </c>
      <c r="J38" s="326">
        <v>5.0</v>
      </c>
      <c r="K38" s="39">
        <v>5.0</v>
      </c>
      <c r="L38" s="39">
        <v>5.0</v>
      </c>
      <c r="M38" s="106">
        <v>5.0</v>
      </c>
      <c r="N38" s="106">
        <v>10.0</v>
      </c>
      <c r="O38" s="106">
        <v>5.0</v>
      </c>
      <c r="P38" s="39">
        <v>5.0</v>
      </c>
      <c r="Q38" s="276">
        <f t="shared" si="2"/>
        <v>6.25</v>
      </c>
      <c r="R38" s="39">
        <v>50.0</v>
      </c>
    </row>
    <row r="39" ht="14.25" customHeight="1">
      <c r="A39" s="21"/>
      <c r="B39" s="22"/>
      <c r="C39" s="228">
        <v>5.0</v>
      </c>
      <c r="D39" s="289" t="s">
        <v>215</v>
      </c>
      <c r="E39" s="106">
        <v>5.0</v>
      </c>
      <c r="F39" s="106">
        <v>10.0</v>
      </c>
      <c r="G39" s="39">
        <v>5.0</v>
      </c>
      <c r="H39" s="314">
        <v>5.0</v>
      </c>
      <c r="I39" s="314">
        <v>5.0</v>
      </c>
      <c r="J39" s="326">
        <v>5.0</v>
      </c>
      <c r="K39" s="39">
        <v>5.0</v>
      </c>
      <c r="L39" s="39">
        <v>5.0</v>
      </c>
      <c r="M39" s="106">
        <v>5.0</v>
      </c>
      <c r="N39" s="106">
        <v>10.0</v>
      </c>
      <c r="O39" s="106">
        <v>5.0</v>
      </c>
      <c r="P39" s="39">
        <v>5.0</v>
      </c>
      <c r="Q39" s="276">
        <f t="shared" si="2"/>
        <v>5.833333333</v>
      </c>
      <c r="R39" s="39">
        <v>50.0</v>
      </c>
    </row>
    <row r="40" ht="14.25" customHeight="1">
      <c r="A40" s="21"/>
      <c r="B40" s="22"/>
      <c r="C40" s="228">
        <v>6.0</v>
      </c>
      <c r="D40" s="289" t="s">
        <v>216</v>
      </c>
      <c r="E40" s="106">
        <v>5.0</v>
      </c>
      <c r="F40" s="106">
        <v>5.0</v>
      </c>
      <c r="G40" s="314">
        <v>5.0</v>
      </c>
      <c r="H40" s="314">
        <v>5.0</v>
      </c>
      <c r="I40" s="314">
        <v>5.0</v>
      </c>
      <c r="J40" s="271">
        <v>5.0</v>
      </c>
      <c r="K40" s="106">
        <v>5.0</v>
      </c>
      <c r="L40" s="241">
        <v>5.0</v>
      </c>
      <c r="M40" s="106">
        <v>5.0</v>
      </c>
      <c r="N40" s="106">
        <v>5.0</v>
      </c>
      <c r="O40" s="106">
        <v>5.0</v>
      </c>
      <c r="P40" s="106">
        <v>5.0</v>
      </c>
      <c r="Q40" s="276">
        <f t="shared" si="2"/>
        <v>5</v>
      </c>
      <c r="R40" s="39">
        <v>50.0</v>
      </c>
    </row>
    <row r="41" ht="14.25" customHeight="1">
      <c r="A41" s="21"/>
      <c r="B41" s="30"/>
      <c r="C41" s="228">
        <v>7.0</v>
      </c>
      <c r="D41" s="289" t="s">
        <v>217</v>
      </c>
      <c r="E41" s="53">
        <v>5.0</v>
      </c>
      <c r="F41" s="53">
        <v>5.0</v>
      </c>
      <c r="G41" s="315">
        <v>5.0</v>
      </c>
      <c r="H41" s="315">
        <v>5.0</v>
      </c>
      <c r="I41" s="315">
        <v>5.0</v>
      </c>
      <c r="J41" s="275">
        <v>5.0</v>
      </c>
      <c r="K41" s="53">
        <v>5.0</v>
      </c>
      <c r="L41" s="327">
        <v>5.0</v>
      </c>
      <c r="M41" s="53">
        <v>5.0</v>
      </c>
      <c r="N41" s="53">
        <v>5.0</v>
      </c>
      <c r="O41" s="53">
        <v>5.0</v>
      </c>
      <c r="P41" s="53">
        <v>5.0</v>
      </c>
      <c r="Q41" s="276">
        <f t="shared" si="2"/>
        <v>5</v>
      </c>
      <c r="R41" s="39">
        <v>50.0</v>
      </c>
    </row>
    <row r="42" ht="14.25" customHeight="1">
      <c r="A42" s="21"/>
      <c r="B42" s="13" t="s">
        <v>38</v>
      </c>
      <c r="C42" s="202">
        <v>1.0</v>
      </c>
      <c r="D42" s="287" t="s">
        <v>211</v>
      </c>
      <c r="E42" s="47">
        <v>49.0</v>
      </c>
      <c r="F42" s="107">
        <v>70.0</v>
      </c>
      <c r="G42" s="107">
        <v>170.0</v>
      </c>
      <c r="H42" s="107">
        <v>49.0</v>
      </c>
      <c r="I42" s="107">
        <v>70.0</v>
      </c>
      <c r="J42" s="272">
        <v>70.0</v>
      </c>
      <c r="K42" s="107">
        <v>1600.0</v>
      </c>
      <c r="L42" s="47">
        <v>33.0</v>
      </c>
      <c r="M42" s="47">
        <v>16000.0</v>
      </c>
      <c r="N42" s="47">
        <v>33.0</v>
      </c>
      <c r="O42" s="47">
        <v>5400.0</v>
      </c>
      <c r="P42" s="107">
        <v>170.0</v>
      </c>
      <c r="Q42" s="305">
        <f t="shared" ref="Q42:Q48" si="3">GEOMEAN(E42:P42)</f>
        <v>197.7821729</v>
      </c>
      <c r="R42" s="20">
        <v>100.0</v>
      </c>
      <c r="S42" s="306"/>
    </row>
    <row r="43" ht="14.25" customHeight="1">
      <c r="A43" s="21"/>
      <c r="B43" s="22"/>
      <c r="C43" s="228">
        <v>2.0</v>
      </c>
      <c r="D43" s="289" t="s">
        <v>212</v>
      </c>
      <c r="E43" s="53">
        <v>33.0</v>
      </c>
      <c r="F43" s="53">
        <v>23.0</v>
      </c>
      <c r="G43" s="315">
        <v>49.0</v>
      </c>
      <c r="H43" s="315">
        <v>1600.0</v>
      </c>
      <c r="I43" s="315">
        <v>31.0</v>
      </c>
      <c r="J43" s="275">
        <v>110.0</v>
      </c>
      <c r="K43" s="53">
        <v>2400.0</v>
      </c>
      <c r="L43" s="53">
        <v>46.0</v>
      </c>
      <c r="M43" s="53">
        <v>9200.0</v>
      </c>
      <c r="N43" s="53">
        <v>23.0</v>
      </c>
      <c r="O43" s="53">
        <v>3500.0</v>
      </c>
      <c r="P43" s="53">
        <v>350.0</v>
      </c>
      <c r="Q43" s="307">
        <f t="shared" si="3"/>
        <v>205.9022474</v>
      </c>
      <c r="R43" s="29">
        <v>100.0</v>
      </c>
    </row>
    <row r="44" ht="14.25" customHeight="1">
      <c r="A44" s="21"/>
      <c r="B44" s="22"/>
      <c r="C44" s="228">
        <v>3.0</v>
      </c>
      <c r="D44" s="289" t="s">
        <v>213</v>
      </c>
      <c r="E44" s="53">
        <v>170.0</v>
      </c>
      <c r="F44" s="53">
        <v>24.0</v>
      </c>
      <c r="G44" s="315">
        <v>540.0</v>
      </c>
      <c r="H44" s="315">
        <v>49.0</v>
      </c>
      <c r="I44" s="315">
        <v>220.0</v>
      </c>
      <c r="J44" s="275">
        <v>130.0</v>
      </c>
      <c r="K44" s="53">
        <v>24000.0</v>
      </c>
      <c r="L44" s="53">
        <v>49.0</v>
      </c>
      <c r="M44" s="53">
        <v>35000.0</v>
      </c>
      <c r="N44" s="53">
        <v>21.0</v>
      </c>
      <c r="O44" s="53">
        <v>3500.0</v>
      </c>
      <c r="P44" s="53">
        <v>350.0</v>
      </c>
      <c r="Q44" s="307">
        <f t="shared" si="3"/>
        <v>349.0362753</v>
      </c>
      <c r="R44" s="29">
        <v>100.0</v>
      </c>
    </row>
    <row r="45" ht="14.25" customHeight="1">
      <c r="A45" s="21"/>
      <c r="B45" s="22"/>
      <c r="C45" s="228">
        <v>4.0</v>
      </c>
      <c r="D45" s="289" t="s">
        <v>214</v>
      </c>
      <c r="E45" s="53">
        <v>33.0</v>
      </c>
      <c r="F45" s="53">
        <v>11.0</v>
      </c>
      <c r="G45" s="315">
        <v>23.0</v>
      </c>
      <c r="H45" s="315">
        <v>33.0</v>
      </c>
      <c r="I45" s="315">
        <v>11.0</v>
      </c>
      <c r="J45" s="275">
        <v>220.0</v>
      </c>
      <c r="K45" s="53">
        <v>24000.0</v>
      </c>
      <c r="L45" s="53">
        <v>79.0</v>
      </c>
      <c r="M45" s="53">
        <v>13000.0</v>
      </c>
      <c r="N45" s="53">
        <v>33.0</v>
      </c>
      <c r="O45" s="53">
        <v>3500.0</v>
      </c>
      <c r="P45" s="53">
        <v>49.0</v>
      </c>
      <c r="Q45" s="307">
        <f t="shared" si="3"/>
        <v>145.8960811</v>
      </c>
      <c r="R45" s="29">
        <v>100.0</v>
      </c>
    </row>
    <row r="46" ht="14.25" customHeight="1">
      <c r="A46" s="21"/>
      <c r="B46" s="22"/>
      <c r="C46" s="228">
        <v>5.0</v>
      </c>
      <c r="D46" s="289" t="s">
        <v>215</v>
      </c>
      <c r="E46" s="53">
        <v>150.0</v>
      </c>
      <c r="F46" s="53">
        <v>920.0</v>
      </c>
      <c r="G46" s="315">
        <v>350.0</v>
      </c>
      <c r="H46" s="315">
        <v>240.0</v>
      </c>
      <c r="I46" s="315">
        <v>1600.0</v>
      </c>
      <c r="J46" s="275">
        <v>3500.0</v>
      </c>
      <c r="K46" s="53">
        <v>24000.0</v>
      </c>
      <c r="L46" s="53">
        <v>23.0</v>
      </c>
      <c r="M46" s="53">
        <v>31000.0</v>
      </c>
      <c r="N46" s="53">
        <v>49.0</v>
      </c>
      <c r="O46" s="53">
        <v>2400.0</v>
      </c>
      <c r="P46" s="53">
        <v>240.0</v>
      </c>
      <c r="Q46" s="307">
        <f t="shared" si="3"/>
        <v>749.3570736</v>
      </c>
      <c r="R46" s="29">
        <v>100.0</v>
      </c>
    </row>
    <row r="47" ht="18.75" customHeight="1">
      <c r="A47" s="328"/>
      <c r="B47" s="22"/>
      <c r="C47" s="329">
        <v>6.0</v>
      </c>
      <c r="D47" s="289" t="s">
        <v>216</v>
      </c>
      <c r="E47" s="53">
        <v>490.0</v>
      </c>
      <c r="F47" s="53">
        <v>350.0</v>
      </c>
      <c r="G47" s="53">
        <v>3500.0</v>
      </c>
      <c r="H47" s="315">
        <v>5400.0</v>
      </c>
      <c r="I47" s="315">
        <v>35000.0</v>
      </c>
      <c r="J47" s="275">
        <v>9200.0</v>
      </c>
      <c r="K47" s="53">
        <v>540000.0</v>
      </c>
      <c r="L47" s="53">
        <v>160000.0</v>
      </c>
      <c r="M47" s="53">
        <v>54000.0</v>
      </c>
      <c r="N47" s="53">
        <v>330.0</v>
      </c>
      <c r="O47" s="53">
        <v>54000.0</v>
      </c>
      <c r="P47" s="53">
        <v>920.0</v>
      </c>
      <c r="Q47" s="307">
        <f t="shared" si="3"/>
        <v>8100.566702</v>
      </c>
      <c r="R47" s="29">
        <v>100.0</v>
      </c>
    </row>
    <row r="48" ht="14.25" customHeight="1">
      <c r="A48" s="21"/>
      <c r="B48" s="30"/>
      <c r="C48" s="228">
        <v>7.0</v>
      </c>
      <c r="D48" s="289" t="s">
        <v>217</v>
      </c>
      <c r="E48" s="53">
        <v>3500.0</v>
      </c>
      <c r="F48" s="53">
        <v>79.0</v>
      </c>
      <c r="G48" s="53">
        <v>1700.0</v>
      </c>
      <c r="H48" s="315">
        <v>1700.0</v>
      </c>
      <c r="I48" s="315">
        <v>54000.0</v>
      </c>
      <c r="J48" s="275">
        <v>2400.0</v>
      </c>
      <c r="K48" s="53">
        <v>16000.0</v>
      </c>
      <c r="L48" s="53">
        <v>7000.0</v>
      </c>
      <c r="M48" s="53">
        <v>160000.0</v>
      </c>
      <c r="N48" s="53">
        <v>1300.0</v>
      </c>
      <c r="O48" s="53">
        <v>35000.0</v>
      </c>
      <c r="P48" s="53">
        <v>94.0</v>
      </c>
      <c r="Q48" s="307">
        <f t="shared" si="3"/>
        <v>3758.139842</v>
      </c>
      <c r="R48" s="29">
        <v>100.0</v>
      </c>
    </row>
    <row r="49" ht="14.25" customHeight="1">
      <c r="A49" s="21"/>
      <c r="B49" s="13" t="s">
        <v>205</v>
      </c>
      <c r="C49" s="202">
        <v>1.0</v>
      </c>
      <c r="D49" s="287" t="s">
        <v>211</v>
      </c>
      <c r="E49" s="59">
        <v>0.237</v>
      </c>
      <c r="F49" s="105">
        <v>0.113</v>
      </c>
      <c r="G49" s="108">
        <v>0.103</v>
      </c>
      <c r="H49" s="105">
        <v>0.136</v>
      </c>
      <c r="I49" s="105">
        <v>0.048</v>
      </c>
      <c r="J49" s="277">
        <v>0.13</v>
      </c>
      <c r="K49" s="108">
        <v>0.157</v>
      </c>
      <c r="L49" s="108">
        <v>0.048</v>
      </c>
      <c r="M49" s="176">
        <v>0.048</v>
      </c>
      <c r="N49" s="176">
        <v>0.301</v>
      </c>
      <c r="O49" s="176">
        <v>0.886</v>
      </c>
      <c r="P49" s="108">
        <v>0.504</v>
      </c>
      <c r="Q49" s="278">
        <f t="shared" ref="Q49:Q62" si="4">AVERAGE(E49:P49)</f>
        <v>0.2259166667</v>
      </c>
      <c r="R49" s="20">
        <v>10.0</v>
      </c>
    </row>
    <row r="50" ht="14.25" customHeight="1">
      <c r="A50" s="21"/>
      <c r="B50" s="22"/>
      <c r="C50" s="228">
        <v>2.0</v>
      </c>
      <c r="D50" s="289" t="s">
        <v>212</v>
      </c>
      <c r="E50" s="65">
        <v>0.164</v>
      </c>
      <c r="F50" s="106">
        <v>0.483</v>
      </c>
      <c r="G50" s="65">
        <v>0.117</v>
      </c>
      <c r="H50" s="106">
        <v>0.094</v>
      </c>
      <c r="I50" s="314">
        <v>0.139</v>
      </c>
      <c r="J50" s="271">
        <v>0.197</v>
      </c>
      <c r="K50" s="65">
        <v>0.102</v>
      </c>
      <c r="L50" s="65">
        <v>0.076</v>
      </c>
      <c r="M50" s="65">
        <v>0.048</v>
      </c>
      <c r="N50" s="65">
        <v>0.293</v>
      </c>
      <c r="O50" s="106">
        <v>0.378</v>
      </c>
      <c r="P50" s="65">
        <v>0.483</v>
      </c>
      <c r="Q50" s="280">
        <f t="shared" si="4"/>
        <v>0.2145</v>
      </c>
      <c r="R50" s="29">
        <v>10.0</v>
      </c>
    </row>
    <row r="51" ht="14.25" customHeight="1">
      <c r="A51" s="21"/>
      <c r="B51" s="22"/>
      <c r="C51" s="228">
        <v>3.0</v>
      </c>
      <c r="D51" s="289" t="s">
        <v>213</v>
      </c>
      <c r="E51" s="65">
        <v>0.139</v>
      </c>
      <c r="F51" s="65">
        <v>0.186</v>
      </c>
      <c r="G51" s="65">
        <v>0.048</v>
      </c>
      <c r="H51" s="106">
        <v>0.092</v>
      </c>
      <c r="I51" s="314">
        <v>0.069</v>
      </c>
      <c r="J51" s="271">
        <v>0.286</v>
      </c>
      <c r="K51" s="65">
        <v>0.453</v>
      </c>
      <c r="L51" s="65">
        <v>0.048</v>
      </c>
      <c r="M51" s="106">
        <v>0.048</v>
      </c>
      <c r="N51" s="65">
        <v>0.105</v>
      </c>
      <c r="O51" s="106">
        <v>0.648</v>
      </c>
      <c r="P51" s="65">
        <v>0.298</v>
      </c>
      <c r="Q51" s="280">
        <f t="shared" si="4"/>
        <v>0.2016666667</v>
      </c>
      <c r="R51" s="29">
        <v>10.0</v>
      </c>
    </row>
    <row r="52" ht="14.25" customHeight="1">
      <c r="A52" s="21"/>
      <c r="B52" s="22"/>
      <c r="C52" s="228">
        <v>4.0</v>
      </c>
      <c r="D52" s="289" t="s">
        <v>214</v>
      </c>
      <c r="E52" s="65">
        <v>0.073</v>
      </c>
      <c r="F52" s="106">
        <v>0.213</v>
      </c>
      <c r="G52" s="65">
        <v>0.048</v>
      </c>
      <c r="H52" s="106">
        <v>0.136</v>
      </c>
      <c r="I52" s="314">
        <v>0.048</v>
      </c>
      <c r="J52" s="271">
        <v>0.085</v>
      </c>
      <c r="K52" s="65">
        <v>0.352</v>
      </c>
      <c r="L52" s="65">
        <v>0.048</v>
      </c>
      <c r="M52" s="106">
        <v>0.124</v>
      </c>
      <c r="N52" s="65">
        <v>0.074</v>
      </c>
      <c r="O52" s="106">
        <v>0.826</v>
      </c>
      <c r="P52" s="65">
        <v>0.389</v>
      </c>
      <c r="Q52" s="280">
        <f t="shared" si="4"/>
        <v>0.2013333333</v>
      </c>
      <c r="R52" s="29">
        <v>10.0</v>
      </c>
    </row>
    <row r="53" ht="14.25" customHeight="1">
      <c r="A53" s="21"/>
      <c r="B53" s="22"/>
      <c r="C53" s="228">
        <v>5.0</v>
      </c>
      <c r="D53" s="289" t="s">
        <v>215</v>
      </c>
      <c r="E53" s="65">
        <v>0.145</v>
      </c>
      <c r="F53" s="106">
        <v>0.148</v>
      </c>
      <c r="G53" s="65">
        <v>0.048</v>
      </c>
      <c r="H53" s="65">
        <v>0.058</v>
      </c>
      <c r="I53" s="314">
        <v>0.048</v>
      </c>
      <c r="J53" s="271">
        <v>0.225</v>
      </c>
      <c r="K53" s="65">
        <v>0.048</v>
      </c>
      <c r="L53" s="65">
        <v>0.048</v>
      </c>
      <c r="M53" s="106">
        <v>0.295</v>
      </c>
      <c r="N53" s="65">
        <v>0.064</v>
      </c>
      <c r="O53" s="65">
        <v>0.413</v>
      </c>
      <c r="P53" s="65">
        <v>0.476</v>
      </c>
      <c r="Q53" s="280">
        <f t="shared" si="4"/>
        <v>0.168</v>
      </c>
      <c r="R53" s="29">
        <v>10.0</v>
      </c>
    </row>
    <row r="54" ht="14.25" customHeight="1">
      <c r="A54" s="21"/>
      <c r="B54" s="22"/>
      <c r="C54" s="228">
        <v>6.0</v>
      </c>
      <c r="D54" s="289" t="s">
        <v>216</v>
      </c>
      <c r="E54" s="65">
        <v>0.372</v>
      </c>
      <c r="F54" s="65">
        <v>0.216</v>
      </c>
      <c r="G54" s="318">
        <v>0.048</v>
      </c>
      <c r="H54" s="106">
        <v>0.403</v>
      </c>
      <c r="I54" s="314">
        <v>0.104</v>
      </c>
      <c r="J54" s="271">
        <v>0.085</v>
      </c>
      <c r="K54" s="106">
        <v>0.082</v>
      </c>
      <c r="L54" s="241">
        <v>0.048</v>
      </c>
      <c r="M54" s="65">
        <v>0.268</v>
      </c>
      <c r="N54" s="65">
        <v>0.092</v>
      </c>
      <c r="O54" s="65">
        <v>0.596</v>
      </c>
      <c r="P54" s="65">
        <v>0.608</v>
      </c>
      <c r="Q54" s="280">
        <f t="shared" si="4"/>
        <v>0.2435</v>
      </c>
      <c r="R54" s="29">
        <v>10.0</v>
      </c>
    </row>
    <row r="55" ht="14.25" customHeight="1">
      <c r="A55" s="21"/>
      <c r="B55" s="30"/>
      <c r="C55" s="228">
        <v>7.0</v>
      </c>
      <c r="D55" s="289" t="s">
        <v>217</v>
      </c>
      <c r="E55" s="65">
        <v>0.048</v>
      </c>
      <c r="F55" s="65">
        <v>0.155</v>
      </c>
      <c r="G55" s="65">
        <v>0.1</v>
      </c>
      <c r="H55" s="106">
        <v>0.478</v>
      </c>
      <c r="I55" s="314">
        <v>0.048</v>
      </c>
      <c r="J55" s="271">
        <v>0.048</v>
      </c>
      <c r="K55" s="65">
        <v>0.048</v>
      </c>
      <c r="L55" s="241">
        <v>0.048</v>
      </c>
      <c r="M55" s="65">
        <v>0.325</v>
      </c>
      <c r="N55" s="65">
        <v>0.097</v>
      </c>
      <c r="O55" s="106">
        <v>0.513</v>
      </c>
      <c r="P55" s="65">
        <v>0.344</v>
      </c>
      <c r="Q55" s="280">
        <f t="shared" si="4"/>
        <v>0.1876666667</v>
      </c>
      <c r="R55" s="29">
        <v>10.0</v>
      </c>
    </row>
    <row r="56" ht="14.25" customHeight="1">
      <c r="A56" s="21"/>
      <c r="B56" s="13" t="s">
        <v>206</v>
      </c>
      <c r="C56" s="202">
        <v>1.0</v>
      </c>
      <c r="D56" s="287" t="s">
        <v>211</v>
      </c>
      <c r="E56" s="59">
        <v>0.252</v>
      </c>
      <c r="F56" s="108">
        <v>0.224</v>
      </c>
      <c r="G56" s="108">
        <v>0.267</v>
      </c>
      <c r="H56" s="108">
        <v>0.252</v>
      </c>
      <c r="I56" s="108">
        <v>0.315</v>
      </c>
      <c r="J56" s="277">
        <v>0.379</v>
      </c>
      <c r="K56" s="108">
        <v>0.145</v>
      </c>
      <c r="L56" s="108">
        <v>0.187</v>
      </c>
      <c r="M56" s="59">
        <v>0.264</v>
      </c>
      <c r="N56" s="176">
        <v>0.189</v>
      </c>
      <c r="O56" s="176">
        <v>0.024</v>
      </c>
      <c r="P56" s="108">
        <v>0.033</v>
      </c>
      <c r="Q56" s="278">
        <f t="shared" si="4"/>
        <v>0.2109166667</v>
      </c>
      <c r="R56" s="20">
        <v>0.5</v>
      </c>
    </row>
    <row r="57" ht="14.25" customHeight="1">
      <c r="A57" s="21"/>
      <c r="B57" s="22"/>
      <c r="C57" s="228">
        <v>2.0</v>
      </c>
      <c r="D57" s="289" t="s">
        <v>212</v>
      </c>
      <c r="E57" s="65">
        <v>0.196</v>
      </c>
      <c r="F57" s="65">
        <v>0.23</v>
      </c>
      <c r="G57" s="65">
        <v>0.267</v>
      </c>
      <c r="H57" s="318">
        <v>0.285</v>
      </c>
      <c r="I57" s="318">
        <v>0.27</v>
      </c>
      <c r="J57" s="279">
        <v>0.306</v>
      </c>
      <c r="K57" s="65">
        <v>0.154</v>
      </c>
      <c r="L57" s="65">
        <v>0.178</v>
      </c>
      <c r="M57" s="65">
        <v>0.27</v>
      </c>
      <c r="N57" s="106">
        <v>0.173</v>
      </c>
      <c r="O57" s="106">
        <v>0.013</v>
      </c>
      <c r="P57" s="65">
        <v>0.096</v>
      </c>
      <c r="Q57" s="280">
        <f t="shared" si="4"/>
        <v>0.2031666667</v>
      </c>
      <c r="R57" s="29">
        <v>0.5</v>
      </c>
    </row>
    <row r="58" ht="14.25" customHeight="1">
      <c r="A58" s="21"/>
      <c r="B58" s="22"/>
      <c r="C58" s="228">
        <v>3.0</v>
      </c>
      <c r="D58" s="289" t="s">
        <v>213</v>
      </c>
      <c r="E58" s="65">
        <v>0.164</v>
      </c>
      <c r="F58" s="65">
        <v>0.207</v>
      </c>
      <c r="G58" s="65">
        <v>0.28</v>
      </c>
      <c r="H58" s="314">
        <v>0.202</v>
      </c>
      <c r="I58" s="318">
        <v>0.19</v>
      </c>
      <c r="J58" s="279">
        <v>0.243</v>
      </c>
      <c r="K58" s="65">
        <v>0.117</v>
      </c>
      <c r="L58" s="65">
        <v>0.162</v>
      </c>
      <c r="M58" s="65">
        <v>0.306</v>
      </c>
      <c r="N58" s="65">
        <v>0.087</v>
      </c>
      <c r="O58" s="106">
        <v>0.013</v>
      </c>
      <c r="P58" s="65">
        <v>0.044</v>
      </c>
      <c r="Q58" s="280">
        <f t="shared" si="4"/>
        <v>0.1679166667</v>
      </c>
      <c r="R58" s="29">
        <v>0.5</v>
      </c>
    </row>
    <row r="59" ht="14.25" customHeight="1">
      <c r="A59" s="21"/>
      <c r="B59" s="22"/>
      <c r="C59" s="228">
        <v>4.0</v>
      </c>
      <c r="D59" s="289" t="s">
        <v>214</v>
      </c>
      <c r="E59" s="65">
        <v>0.166</v>
      </c>
      <c r="F59" s="65">
        <v>0.16</v>
      </c>
      <c r="G59" s="65">
        <v>0.16</v>
      </c>
      <c r="H59" s="314">
        <v>0.104</v>
      </c>
      <c r="I59" s="318">
        <v>0.125</v>
      </c>
      <c r="J59" s="279">
        <v>0.069</v>
      </c>
      <c r="K59" s="65">
        <v>0.135</v>
      </c>
      <c r="L59" s="65">
        <v>0.244</v>
      </c>
      <c r="M59" s="106">
        <v>0.141</v>
      </c>
      <c r="N59" s="106">
        <v>0.181</v>
      </c>
      <c r="O59" s="106">
        <v>0.06</v>
      </c>
      <c r="P59" s="65">
        <v>0.022</v>
      </c>
      <c r="Q59" s="280">
        <f t="shared" si="4"/>
        <v>0.1305833333</v>
      </c>
      <c r="R59" s="29">
        <v>0.5</v>
      </c>
    </row>
    <row r="60" ht="14.25" customHeight="1">
      <c r="A60" s="21"/>
      <c r="B60" s="22"/>
      <c r="C60" s="228">
        <v>5.0</v>
      </c>
      <c r="D60" s="289" t="s">
        <v>215</v>
      </c>
      <c r="E60" s="65">
        <v>0.103</v>
      </c>
      <c r="F60" s="65">
        <v>0.113</v>
      </c>
      <c r="G60" s="65">
        <v>0.171</v>
      </c>
      <c r="H60" s="318">
        <v>0.106</v>
      </c>
      <c r="I60" s="318">
        <v>0.152</v>
      </c>
      <c r="J60" s="279">
        <v>0.152</v>
      </c>
      <c r="K60" s="65">
        <v>0.137</v>
      </c>
      <c r="L60" s="65">
        <v>0.359</v>
      </c>
      <c r="M60" s="106">
        <v>0.133</v>
      </c>
      <c r="N60" s="65">
        <v>0.193</v>
      </c>
      <c r="O60" s="106">
        <v>0.013</v>
      </c>
      <c r="P60" s="65">
        <v>0.024</v>
      </c>
      <c r="Q60" s="280">
        <f t="shared" si="4"/>
        <v>0.138</v>
      </c>
      <c r="R60" s="29">
        <v>0.5</v>
      </c>
    </row>
    <row r="61" ht="14.25" customHeight="1">
      <c r="A61" s="21"/>
      <c r="B61" s="22"/>
      <c r="C61" s="228">
        <v>6.0</v>
      </c>
      <c r="D61" s="289" t="s">
        <v>216</v>
      </c>
      <c r="E61" s="65">
        <v>0.038</v>
      </c>
      <c r="F61" s="65">
        <v>0.039</v>
      </c>
      <c r="G61" s="65">
        <v>0.03</v>
      </c>
      <c r="H61" s="318">
        <v>0.023</v>
      </c>
      <c r="I61" s="314">
        <v>0.031</v>
      </c>
      <c r="J61" s="279">
        <v>0.033</v>
      </c>
      <c r="K61" s="65">
        <v>0.041</v>
      </c>
      <c r="L61" s="241">
        <v>0.045</v>
      </c>
      <c r="M61" s="106">
        <v>0.139</v>
      </c>
      <c r="N61" s="106">
        <v>0.096</v>
      </c>
      <c r="O61" s="106">
        <v>0.357</v>
      </c>
      <c r="P61" s="65">
        <v>0.108</v>
      </c>
      <c r="Q61" s="280">
        <f t="shared" si="4"/>
        <v>0.08166666667</v>
      </c>
      <c r="R61" s="29">
        <v>0.5</v>
      </c>
    </row>
    <row r="62" ht="14.25" customHeight="1">
      <c r="A62" s="21"/>
      <c r="B62" s="30"/>
      <c r="C62" s="228">
        <v>7.0</v>
      </c>
      <c r="D62" s="289" t="s">
        <v>217</v>
      </c>
      <c r="E62" s="65">
        <v>0.112</v>
      </c>
      <c r="F62" s="65">
        <v>0.017</v>
      </c>
      <c r="G62" s="65">
        <v>0.03</v>
      </c>
      <c r="H62" s="314">
        <v>0.036</v>
      </c>
      <c r="I62" s="318">
        <v>0.028</v>
      </c>
      <c r="J62" s="271">
        <v>0.019</v>
      </c>
      <c r="K62" s="106">
        <v>0.073</v>
      </c>
      <c r="L62" s="241">
        <v>0.054</v>
      </c>
      <c r="M62" s="106">
        <v>0.117</v>
      </c>
      <c r="N62" s="65">
        <v>0.126</v>
      </c>
      <c r="O62" s="106">
        <v>0.019</v>
      </c>
      <c r="P62" s="65">
        <v>0.041</v>
      </c>
      <c r="Q62" s="280">
        <f t="shared" si="4"/>
        <v>0.056</v>
      </c>
      <c r="R62" s="29">
        <v>0.5</v>
      </c>
    </row>
    <row r="63" ht="14.25" customHeight="1">
      <c r="A63" s="136"/>
      <c r="B63" s="330"/>
      <c r="C63" s="331"/>
      <c r="D63" s="332"/>
      <c r="E63" s="333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</row>
    <row r="64" ht="14.25" customHeight="1">
      <c r="A64" s="136" t="s">
        <v>43</v>
      </c>
      <c r="D64" s="136"/>
    </row>
    <row r="65" ht="14.25" customHeight="1"/>
    <row r="66" ht="14.25" customHeight="1">
      <c r="A66" s="312"/>
      <c r="D66" s="134"/>
      <c r="E66" s="134"/>
      <c r="F66" s="134"/>
    </row>
    <row r="67" ht="14.25" customHeight="1">
      <c r="A67" s="134"/>
      <c r="B67" s="134"/>
      <c r="C67" s="134"/>
    </row>
    <row r="68" ht="14.25" customHeight="1">
      <c r="A68" s="136"/>
      <c r="D68" s="136"/>
    </row>
    <row r="69" ht="14.25" customHeight="1"/>
    <row r="70" ht="14.25" customHeight="1"/>
    <row r="71" ht="14.25" customHeight="1">
      <c r="A71" s="335"/>
    </row>
    <row r="72" ht="14.25" customHeight="1"/>
    <row r="73" ht="14.25" customHeight="1">
      <c r="F73" s="259" t="s">
        <v>219</v>
      </c>
    </row>
  </sheetData>
  <mergeCells count="19">
    <mergeCell ref="A1:R1"/>
    <mergeCell ref="A2:R2"/>
    <mergeCell ref="A3:R3"/>
    <mergeCell ref="A5:R5"/>
    <mergeCell ref="A6:R6"/>
    <mergeCell ref="B7:B13"/>
    <mergeCell ref="B14:B20"/>
    <mergeCell ref="A64:C65"/>
    <mergeCell ref="A66:C66"/>
    <mergeCell ref="A68:C69"/>
    <mergeCell ref="D68:F69"/>
    <mergeCell ref="A71:C72"/>
    <mergeCell ref="B21:B27"/>
    <mergeCell ref="B28:B34"/>
    <mergeCell ref="B35:B41"/>
    <mergeCell ref="B42:B48"/>
    <mergeCell ref="B49:B55"/>
    <mergeCell ref="B56:B62"/>
    <mergeCell ref="D64:F65"/>
  </mergeCells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32.57"/>
    <col customWidth="1" min="5" max="5" width="10.71" outlineLevel="1"/>
    <col customWidth="1" min="6" max="6" width="8.86" outlineLevel="1"/>
    <col customWidth="1" min="7" max="7" width="10.29" outlineLevel="1"/>
    <col customWidth="1" min="8" max="9" width="9.43" outlineLevel="1"/>
    <col customWidth="1" min="10" max="10" width="7.71" outlineLevel="1"/>
    <col customWidth="1" min="11" max="11" width="9.71" outlineLevel="1"/>
    <col customWidth="1" min="12" max="12" width="9.43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18.71"/>
    <col customWidth="1" min="18" max="18" width="7.29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66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62" t="s">
        <v>19</v>
      </c>
      <c r="R4" s="262" t="s">
        <v>20</v>
      </c>
    </row>
    <row r="5" ht="14.25" customHeight="1">
      <c r="A5" s="8" t="s">
        <v>220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221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5.75" customHeight="1">
      <c r="A7" s="101" t="s">
        <v>23</v>
      </c>
      <c r="B7" s="74" t="s">
        <v>24</v>
      </c>
      <c r="C7" s="199">
        <v>1.0</v>
      </c>
      <c r="D7" s="336" t="s">
        <v>222</v>
      </c>
      <c r="E7" s="102">
        <v>6.69</v>
      </c>
      <c r="F7" s="102">
        <v>6.52</v>
      </c>
      <c r="G7" s="102">
        <v>10.31</v>
      </c>
      <c r="H7" s="84">
        <v>6.2</v>
      </c>
      <c r="I7" s="84">
        <v>6.4</v>
      </c>
      <c r="J7" s="264">
        <v>4.55</v>
      </c>
      <c r="K7" s="84">
        <v>2.1</v>
      </c>
      <c r="L7" s="337" t="s">
        <v>70</v>
      </c>
      <c r="M7" s="102">
        <v>2.46</v>
      </c>
      <c r="N7" s="102">
        <v>2.14</v>
      </c>
      <c r="O7" s="176" t="s">
        <v>70</v>
      </c>
      <c r="P7" s="18" t="s">
        <v>70</v>
      </c>
      <c r="Q7" s="265">
        <f t="shared" ref="Q7:Q26" si="1">AVERAGE(E7:P7)</f>
        <v>5.263333333</v>
      </c>
      <c r="R7" s="200">
        <v>6.0</v>
      </c>
    </row>
    <row r="8" ht="15.75" customHeight="1">
      <c r="A8" s="21"/>
      <c r="B8" s="22"/>
      <c r="C8" s="201">
        <v>2.0</v>
      </c>
      <c r="D8" s="338" t="s">
        <v>223</v>
      </c>
      <c r="E8" s="27">
        <v>6.19</v>
      </c>
      <c r="F8" s="106">
        <v>6.05</v>
      </c>
      <c r="G8" s="27">
        <v>8.93</v>
      </c>
      <c r="H8" s="85">
        <v>6.42</v>
      </c>
      <c r="I8" s="85">
        <v>6.5</v>
      </c>
      <c r="J8" s="339">
        <v>4.87</v>
      </c>
      <c r="K8" s="85">
        <v>3.09</v>
      </c>
      <c r="L8" s="169" t="s">
        <v>70</v>
      </c>
      <c r="M8" s="85" t="s">
        <v>70</v>
      </c>
      <c r="N8" s="106" t="s">
        <v>70</v>
      </c>
      <c r="O8" s="27" t="s">
        <v>70</v>
      </c>
      <c r="P8" s="27" t="s">
        <v>70</v>
      </c>
      <c r="Q8" s="268">
        <f t="shared" si="1"/>
        <v>6.007142857</v>
      </c>
      <c r="R8" s="29">
        <v>6.0</v>
      </c>
    </row>
    <row r="9" ht="15.75" customHeight="1">
      <c r="A9" s="21"/>
      <c r="B9" s="22"/>
      <c r="C9" s="201">
        <v>3.0</v>
      </c>
      <c r="D9" s="338" t="s">
        <v>224</v>
      </c>
      <c r="E9" s="27">
        <v>6.16</v>
      </c>
      <c r="F9" s="27">
        <v>6.1</v>
      </c>
      <c r="G9" s="27">
        <v>6.79</v>
      </c>
      <c r="H9" s="85">
        <v>8.82</v>
      </c>
      <c r="I9" s="85">
        <v>6.0</v>
      </c>
      <c r="J9" s="339">
        <v>5.14</v>
      </c>
      <c r="K9" s="340" t="s">
        <v>142</v>
      </c>
      <c r="L9" s="85">
        <v>4.08</v>
      </c>
      <c r="M9" s="27">
        <v>3.58</v>
      </c>
      <c r="N9" s="27">
        <v>2.98</v>
      </c>
      <c r="O9" s="106">
        <v>2.46</v>
      </c>
      <c r="P9" s="27">
        <v>4.13</v>
      </c>
      <c r="Q9" s="268">
        <f t="shared" si="1"/>
        <v>5.112727273</v>
      </c>
      <c r="R9" s="29">
        <v>6.0</v>
      </c>
    </row>
    <row r="10" ht="16.5" customHeight="1">
      <c r="A10" s="21"/>
      <c r="B10" s="30"/>
      <c r="C10" s="201">
        <v>4.0</v>
      </c>
      <c r="D10" s="223" t="s">
        <v>225</v>
      </c>
      <c r="E10" s="27">
        <v>4.39</v>
      </c>
      <c r="F10" s="106">
        <v>4.68</v>
      </c>
      <c r="G10" s="313">
        <v>11.1</v>
      </c>
      <c r="H10" s="85">
        <v>7.22</v>
      </c>
      <c r="I10" s="85">
        <v>6.4</v>
      </c>
      <c r="J10" s="339">
        <v>4.63</v>
      </c>
      <c r="K10" s="85">
        <v>4.4</v>
      </c>
      <c r="L10" s="85">
        <v>4.2</v>
      </c>
      <c r="M10" s="27">
        <v>3.96</v>
      </c>
      <c r="N10" s="27">
        <v>2.87</v>
      </c>
      <c r="O10" s="106">
        <v>2.37</v>
      </c>
      <c r="P10" s="27">
        <v>3.89</v>
      </c>
      <c r="Q10" s="268">
        <f t="shared" si="1"/>
        <v>5.009166667</v>
      </c>
      <c r="R10" s="29">
        <v>6.0</v>
      </c>
    </row>
    <row r="11" ht="14.25" customHeight="1">
      <c r="A11" s="21"/>
      <c r="B11" s="13" t="s">
        <v>31</v>
      </c>
      <c r="C11" s="202">
        <v>1.0</v>
      </c>
      <c r="D11" s="341" t="s">
        <v>222</v>
      </c>
      <c r="E11" s="176">
        <v>19.0</v>
      </c>
      <c r="F11" s="124">
        <v>45.0</v>
      </c>
      <c r="G11" s="124">
        <v>31.0</v>
      </c>
      <c r="H11" s="80">
        <v>26.0</v>
      </c>
      <c r="I11" s="80">
        <v>5.0</v>
      </c>
      <c r="J11" s="270">
        <v>13.0</v>
      </c>
      <c r="K11" s="80">
        <v>13.0</v>
      </c>
      <c r="L11" s="337" t="s">
        <v>70</v>
      </c>
      <c r="M11" s="176">
        <v>9.0</v>
      </c>
      <c r="N11" s="176">
        <v>5.0</v>
      </c>
      <c r="O11" s="176" t="s">
        <v>70</v>
      </c>
      <c r="P11" s="176" t="s">
        <v>70</v>
      </c>
      <c r="Q11" s="273">
        <f t="shared" si="1"/>
        <v>18.44444444</v>
      </c>
      <c r="R11" s="20">
        <v>50.0</v>
      </c>
    </row>
    <row r="12" ht="14.25" customHeight="1">
      <c r="A12" s="21"/>
      <c r="B12" s="22"/>
      <c r="C12" s="201">
        <v>2.0</v>
      </c>
      <c r="D12" s="338" t="s">
        <v>223</v>
      </c>
      <c r="E12" s="106">
        <v>12.0</v>
      </c>
      <c r="F12" s="106">
        <v>21.0</v>
      </c>
      <c r="G12" s="39">
        <v>18.0</v>
      </c>
      <c r="H12" s="82">
        <v>43.0</v>
      </c>
      <c r="I12" s="82">
        <v>6.0</v>
      </c>
      <c r="J12" s="342">
        <v>9.0</v>
      </c>
      <c r="K12" s="82">
        <v>35.0</v>
      </c>
      <c r="L12" s="169" t="s">
        <v>70</v>
      </c>
      <c r="M12" s="85" t="s">
        <v>70</v>
      </c>
      <c r="N12" s="39" t="s">
        <v>70</v>
      </c>
      <c r="O12" s="39" t="s">
        <v>70</v>
      </c>
      <c r="P12" s="39" t="s">
        <v>70</v>
      </c>
      <c r="Q12" s="276">
        <f t="shared" si="1"/>
        <v>20.57142857</v>
      </c>
      <c r="R12" s="29">
        <v>50.0</v>
      </c>
    </row>
    <row r="13" ht="14.25" customHeight="1">
      <c r="A13" s="21"/>
      <c r="B13" s="22"/>
      <c r="C13" s="201">
        <v>3.0</v>
      </c>
      <c r="D13" s="338" t="s">
        <v>224</v>
      </c>
      <c r="E13" s="106">
        <v>11.0</v>
      </c>
      <c r="F13" s="39">
        <v>5.0</v>
      </c>
      <c r="G13" s="82">
        <v>11.0</v>
      </c>
      <c r="H13" s="82">
        <v>7.0</v>
      </c>
      <c r="I13" s="82">
        <v>4.0</v>
      </c>
      <c r="J13" s="342">
        <v>14.0</v>
      </c>
      <c r="K13" s="340" t="s">
        <v>142</v>
      </c>
      <c r="L13" s="82">
        <v>39.0</v>
      </c>
      <c r="M13" s="106">
        <v>14.0</v>
      </c>
      <c r="N13" s="106">
        <v>5.0</v>
      </c>
      <c r="O13" s="106">
        <v>13.0</v>
      </c>
      <c r="P13" s="106">
        <v>10.0</v>
      </c>
      <c r="Q13" s="276">
        <f t="shared" si="1"/>
        <v>12.09090909</v>
      </c>
      <c r="R13" s="29">
        <v>50.0</v>
      </c>
    </row>
    <row r="14" ht="14.25" customHeight="1">
      <c r="A14" s="21"/>
      <c r="B14" s="30"/>
      <c r="C14" s="213">
        <v>4.0</v>
      </c>
      <c r="D14" s="223" t="s">
        <v>225</v>
      </c>
      <c r="E14" s="106">
        <v>8.0</v>
      </c>
      <c r="F14" s="106">
        <v>9.0</v>
      </c>
      <c r="G14" s="82">
        <v>8.0</v>
      </c>
      <c r="H14" s="82">
        <v>7.0</v>
      </c>
      <c r="I14" s="82">
        <v>6.0</v>
      </c>
      <c r="J14" s="342">
        <v>7.0</v>
      </c>
      <c r="K14" s="82">
        <v>26.0</v>
      </c>
      <c r="L14" s="82">
        <v>29.0</v>
      </c>
      <c r="M14" s="106">
        <v>12.0</v>
      </c>
      <c r="N14" s="106">
        <v>33.0</v>
      </c>
      <c r="O14" s="106">
        <v>18.0</v>
      </c>
      <c r="P14" s="106">
        <v>33.0</v>
      </c>
      <c r="Q14" s="276">
        <f t="shared" si="1"/>
        <v>16.33333333</v>
      </c>
      <c r="R14" s="241">
        <v>50.0</v>
      </c>
    </row>
    <row r="15" ht="15.75" customHeight="1">
      <c r="A15" s="21"/>
      <c r="B15" s="13" t="s">
        <v>33</v>
      </c>
      <c r="C15" s="202">
        <v>1.0</v>
      </c>
      <c r="D15" s="341" t="s">
        <v>222</v>
      </c>
      <c r="E15" s="18">
        <v>8.34</v>
      </c>
      <c r="F15" s="102">
        <v>8.22</v>
      </c>
      <c r="G15" s="102">
        <v>8.79</v>
      </c>
      <c r="H15" s="84">
        <v>7.89</v>
      </c>
      <c r="I15" s="84">
        <v>7.0</v>
      </c>
      <c r="J15" s="264">
        <v>8.34</v>
      </c>
      <c r="K15" s="84">
        <v>7.0</v>
      </c>
      <c r="L15" s="337" t="s">
        <v>70</v>
      </c>
      <c r="M15" s="18">
        <v>7.0</v>
      </c>
      <c r="N15" s="18">
        <v>7.0</v>
      </c>
      <c r="O15" s="176" t="s">
        <v>70</v>
      </c>
      <c r="P15" s="18" t="s">
        <v>70</v>
      </c>
      <c r="Q15" s="265">
        <f t="shared" si="1"/>
        <v>7.731111111</v>
      </c>
      <c r="R15" s="208" t="s">
        <v>164</v>
      </c>
    </row>
    <row r="16" ht="15.75" customHeight="1">
      <c r="A16" s="21"/>
      <c r="B16" s="22"/>
      <c r="C16" s="201">
        <v>2.0</v>
      </c>
      <c r="D16" s="338" t="s">
        <v>223</v>
      </c>
      <c r="E16" s="27">
        <v>8.45</v>
      </c>
      <c r="F16" s="27">
        <v>8.1</v>
      </c>
      <c r="G16" s="27">
        <v>8.91</v>
      </c>
      <c r="H16" s="85">
        <v>7.9</v>
      </c>
      <c r="I16" s="85">
        <v>7.0</v>
      </c>
      <c r="J16" s="339">
        <v>8.26</v>
      </c>
      <c r="K16" s="85">
        <v>7.0</v>
      </c>
      <c r="L16" s="169" t="s">
        <v>70</v>
      </c>
      <c r="M16" s="85" t="s">
        <v>70</v>
      </c>
      <c r="N16" s="27" t="s">
        <v>70</v>
      </c>
      <c r="O16" s="27" t="s">
        <v>70</v>
      </c>
      <c r="P16" s="27" t="s">
        <v>70</v>
      </c>
      <c r="Q16" s="268">
        <f t="shared" si="1"/>
        <v>7.945714286</v>
      </c>
      <c r="R16" s="241" t="s">
        <v>164</v>
      </c>
    </row>
    <row r="17" ht="15.75" customHeight="1">
      <c r="A17" s="21"/>
      <c r="B17" s="22"/>
      <c r="C17" s="201">
        <v>3.0</v>
      </c>
      <c r="D17" s="338" t="s">
        <v>224</v>
      </c>
      <c r="E17" s="27">
        <v>8.14</v>
      </c>
      <c r="F17" s="27">
        <v>8.02</v>
      </c>
      <c r="G17" s="27">
        <v>8.89</v>
      </c>
      <c r="H17" s="85">
        <v>8.2</v>
      </c>
      <c r="I17" s="85">
        <v>7.0</v>
      </c>
      <c r="J17" s="210">
        <v>8.17</v>
      </c>
      <c r="K17" s="340" t="s">
        <v>142</v>
      </c>
      <c r="L17" s="85">
        <v>7.0</v>
      </c>
      <c r="M17" s="27">
        <v>7.0</v>
      </c>
      <c r="N17" s="27">
        <v>7.0</v>
      </c>
      <c r="O17" s="27">
        <v>7.0</v>
      </c>
      <c r="P17" s="27">
        <v>7.0</v>
      </c>
      <c r="Q17" s="268">
        <f t="shared" si="1"/>
        <v>7.583636364</v>
      </c>
      <c r="R17" s="241" t="s">
        <v>164</v>
      </c>
    </row>
    <row r="18" ht="16.5" customHeight="1">
      <c r="A18" s="21"/>
      <c r="B18" s="30"/>
      <c r="C18" s="201">
        <v>4.0</v>
      </c>
      <c r="D18" s="223" t="s">
        <v>225</v>
      </c>
      <c r="E18" s="27">
        <v>8.8</v>
      </c>
      <c r="F18" s="106">
        <v>8.71</v>
      </c>
      <c r="G18" s="313">
        <v>8.87</v>
      </c>
      <c r="H18" s="85">
        <v>8.22</v>
      </c>
      <c r="I18" s="85">
        <v>7.0</v>
      </c>
      <c r="J18" s="339">
        <v>8.39</v>
      </c>
      <c r="K18" s="85">
        <v>7.0</v>
      </c>
      <c r="L18" s="85">
        <v>7.0</v>
      </c>
      <c r="M18" s="27">
        <v>7.0</v>
      </c>
      <c r="N18" s="27">
        <v>7.0</v>
      </c>
      <c r="O18" s="27">
        <v>7.0</v>
      </c>
      <c r="P18" s="27">
        <v>7.0</v>
      </c>
      <c r="Q18" s="268">
        <f t="shared" si="1"/>
        <v>7.665833333</v>
      </c>
      <c r="R18" s="241" t="s">
        <v>164</v>
      </c>
    </row>
    <row r="19" ht="15.75" customHeight="1">
      <c r="A19" s="21"/>
      <c r="B19" s="13" t="s">
        <v>226</v>
      </c>
      <c r="C19" s="202">
        <v>1.0</v>
      </c>
      <c r="D19" s="341" t="s">
        <v>222</v>
      </c>
      <c r="E19" s="84">
        <v>28.8</v>
      </c>
      <c r="F19" s="102">
        <v>28.7</v>
      </c>
      <c r="G19" s="102">
        <v>30.0</v>
      </c>
      <c r="H19" s="84">
        <v>30.6</v>
      </c>
      <c r="I19" s="84">
        <v>28.11</v>
      </c>
      <c r="J19" s="264">
        <v>30.83</v>
      </c>
      <c r="K19" s="84">
        <v>29.62</v>
      </c>
      <c r="L19" s="337" t="s">
        <v>70</v>
      </c>
      <c r="M19" s="18">
        <v>28.21</v>
      </c>
      <c r="N19" s="18">
        <v>28.35</v>
      </c>
      <c r="O19" s="18" t="s">
        <v>70</v>
      </c>
      <c r="P19" s="18" t="s">
        <v>70</v>
      </c>
      <c r="Q19" s="265">
        <f t="shared" si="1"/>
        <v>29.24666667</v>
      </c>
      <c r="R19" s="18" t="s">
        <v>166</v>
      </c>
    </row>
    <row r="20" ht="15.75" customHeight="1">
      <c r="A20" s="21"/>
      <c r="B20" s="22"/>
      <c r="C20" s="201">
        <v>2.0</v>
      </c>
      <c r="D20" s="338" t="s">
        <v>223</v>
      </c>
      <c r="E20" s="85">
        <v>29.1</v>
      </c>
      <c r="F20" s="27">
        <v>28.9</v>
      </c>
      <c r="G20" s="27">
        <v>29.7</v>
      </c>
      <c r="H20" s="85">
        <v>30.7</v>
      </c>
      <c r="I20" s="85">
        <v>27.87</v>
      </c>
      <c r="J20" s="339">
        <v>30.5</v>
      </c>
      <c r="K20" s="85">
        <v>29.7</v>
      </c>
      <c r="L20" s="169" t="s">
        <v>70</v>
      </c>
      <c r="M20" s="85" t="s">
        <v>70</v>
      </c>
      <c r="N20" s="27" t="s">
        <v>70</v>
      </c>
      <c r="O20" s="106" t="s">
        <v>70</v>
      </c>
      <c r="P20" s="27" t="s">
        <v>70</v>
      </c>
      <c r="Q20" s="268">
        <f t="shared" si="1"/>
        <v>29.49571429</v>
      </c>
      <c r="R20" s="27" t="s">
        <v>166</v>
      </c>
    </row>
    <row r="21" ht="15.75" customHeight="1">
      <c r="A21" s="21"/>
      <c r="B21" s="22"/>
      <c r="C21" s="201">
        <v>3.0</v>
      </c>
      <c r="D21" s="338" t="s">
        <v>224</v>
      </c>
      <c r="E21" s="85">
        <v>29.1</v>
      </c>
      <c r="F21" s="27">
        <v>29.2</v>
      </c>
      <c r="G21" s="27">
        <v>29.3</v>
      </c>
      <c r="H21" s="85">
        <v>30.78</v>
      </c>
      <c r="I21" s="85">
        <v>27.76</v>
      </c>
      <c r="J21" s="339">
        <v>31.02</v>
      </c>
      <c r="K21" s="340" t="s">
        <v>142</v>
      </c>
      <c r="L21" s="85">
        <v>28.8</v>
      </c>
      <c r="M21" s="27">
        <v>29.87</v>
      </c>
      <c r="N21" s="27">
        <v>28.94</v>
      </c>
      <c r="O21" s="27">
        <v>28.5</v>
      </c>
      <c r="P21" s="27">
        <v>28.92</v>
      </c>
      <c r="Q21" s="268">
        <f t="shared" si="1"/>
        <v>29.29</v>
      </c>
      <c r="R21" s="27" t="s">
        <v>166</v>
      </c>
    </row>
    <row r="22" ht="16.5" customHeight="1">
      <c r="A22" s="21"/>
      <c r="B22" s="30"/>
      <c r="C22" s="201">
        <v>4.0</v>
      </c>
      <c r="D22" s="223" t="s">
        <v>225</v>
      </c>
      <c r="E22" s="85">
        <v>30.3</v>
      </c>
      <c r="F22" s="27">
        <v>30.1</v>
      </c>
      <c r="G22" s="313">
        <v>27.83</v>
      </c>
      <c r="H22" s="85">
        <v>30.75</v>
      </c>
      <c r="I22" s="85">
        <v>28.34</v>
      </c>
      <c r="J22" s="339">
        <v>31.1</v>
      </c>
      <c r="K22" s="85">
        <v>28.43</v>
      </c>
      <c r="L22" s="85">
        <v>29.15</v>
      </c>
      <c r="M22" s="27">
        <v>28.76</v>
      </c>
      <c r="N22" s="27">
        <v>28.66</v>
      </c>
      <c r="O22" s="27">
        <v>28.71</v>
      </c>
      <c r="P22" s="27">
        <v>28.98</v>
      </c>
      <c r="Q22" s="268">
        <f t="shared" si="1"/>
        <v>29.25916667</v>
      </c>
      <c r="R22" s="27" t="s">
        <v>166</v>
      </c>
    </row>
    <row r="23" ht="14.25" customHeight="1">
      <c r="A23" s="21"/>
      <c r="B23" s="13" t="s">
        <v>37</v>
      </c>
      <c r="C23" s="202">
        <v>1.0</v>
      </c>
      <c r="D23" s="341" t="s">
        <v>222</v>
      </c>
      <c r="E23" s="176">
        <v>5.0</v>
      </c>
      <c r="F23" s="124">
        <v>5.0</v>
      </c>
      <c r="G23" s="124">
        <v>5.0</v>
      </c>
      <c r="H23" s="80">
        <v>5.0</v>
      </c>
      <c r="I23" s="80">
        <v>5.0</v>
      </c>
      <c r="J23" s="270">
        <v>5.0</v>
      </c>
      <c r="K23" s="80">
        <v>5.0</v>
      </c>
      <c r="L23" s="337" t="s">
        <v>70</v>
      </c>
      <c r="M23" s="176">
        <v>5.0</v>
      </c>
      <c r="N23" s="176">
        <v>5.0</v>
      </c>
      <c r="O23" s="176" t="s">
        <v>70</v>
      </c>
      <c r="P23" s="176" t="s">
        <v>70</v>
      </c>
      <c r="Q23" s="273">
        <f t="shared" si="1"/>
        <v>5</v>
      </c>
      <c r="R23" s="35">
        <v>50.0</v>
      </c>
    </row>
    <row r="24" ht="14.25" customHeight="1">
      <c r="A24" s="21"/>
      <c r="B24" s="22"/>
      <c r="C24" s="201">
        <v>2.0</v>
      </c>
      <c r="D24" s="338" t="s">
        <v>223</v>
      </c>
      <c r="E24" s="106">
        <v>5.0</v>
      </c>
      <c r="F24" s="39">
        <v>5.0</v>
      </c>
      <c r="G24" s="39">
        <v>5.0</v>
      </c>
      <c r="H24" s="82">
        <v>5.0</v>
      </c>
      <c r="I24" s="82">
        <v>5.0</v>
      </c>
      <c r="J24" s="271">
        <v>5.0</v>
      </c>
      <c r="K24" s="82">
        <v>5.0</v>
      </c>
      <c r="L24" s="169" t="s">
        <v>70</v>
      </c>
      <c r="M24" s="85" t="s">
        <v>70</v>
      </c>
      <c r="N24" s="106" t="s">
        <v>70</v>
      </c>
      <c r="O24" s="39" t="s">
        <v>70</v>
      </c>
      <c r="P24" s="39" t="s">
        <v>70</v>
      </c>
      <c r="Q24" s="276">
        <f t="shared" si="1"/>
        <v>5</v>
      </c>
      <c r="R24" s="39">
        <v>50.0</v>
      </c>
    </row>
    <row r="25" ht="14.25" customHeight="1">
      <c r="A25" s="21"/>
      <c r="B25" s="22"/>
      <c r="C25" s="201">
        <v>3.0</v>
      </c>
      <c r="D25" s="338" t="s">
        <v>224</v>
      </c>
      <c r="E25" s="106">
        <v>5.0</v>
      </c>
      <c r="F25" s="39">
        <v>5.0</v>
      </c>
      <c r="G25" s="82">
        <v>5.0</v>
      </c>
      <c r="H25" s="82">
        <v>5.0</v>
      </c>
      <c r="I25" s="82">
        <v>5.0</v>
      </c>
      <c r="J25" s="326">
        <v>5.0</v>
      </c>
      <c r="K25" s="82" t="s">
        <v>142</v>
      </c>
      <c r="L25" s="82">
        <v>5.0</v>
      </c>
      <c r="M25" s="106">
        <v>5.0</v>
      </c>
      <c r="N25" s="106">
        <v>5.0</v>
      </c>
      <c r="O25" s="106">
        <v>5.0</v>
      </c>
      <c r="P25" s="39">
        <v>5.0</v>
      </c>
      <c r="Q25" s="276">
        <f t="shared" si="1"/>
        <v>5</v>
      </c>
      <c r="R25" s="39">
        <v>50.0</v>
      </c>
    </row>
    <row r="26" ht="15.0" customHeight="1">
      <c r="A26" s="21"/>
      <c r="B26" s="30"/>
      <c r="C26" s="201">
        <v>4.0</v>
      </c>
      <c r="D26" s="223" t="s">
        <v>225</v>
      </c>
      <c r="E26" s="106">
        <v>5.0</v>
      </c>
      <c r="F26" s="39">
        <v>5.0</v>
      </c>
      <c r="G26" s="82">
        <v>5.0</v>
      </c>
      <c r="H26" s="82">
        <v>5.0</v>
      </c>
      <c r="I26" s="82">
        <v>5.0</v>
      </c>
      <c r="J26" s="271">
        <v>5.0</v>
      </c>
      <c r="K26" s="82">
        <v>5.0</v>
      </c>
      <c r="L26" s="82">
        <v>5.0</v>
      </c>
      <c r="M26" s="106">
        <v>5.0</v>
      </c>
      <c r="N26" s="106">
        <v>5.0</v>
      </c>
      <c r="O26" s="106">
        <v>5.0</v>
      </c>
      <c r="P26" s="39">
        <v>5.0</v>
      </c>
      <c r="Q26" s="276">
        <f t="shared" si="1"/>
        <v>5</v>
      </c>
      <c r="R26" s="39">
        <v>50.0</v>
      </c>
    </row>
    <row r="27" ht="15.75" customHeight="1">
      <c r="A27" s="21"/>
      <c r="B27" s="13" t="s">
        <v>38</v>
      </c>
      <c r="C27" s="202">
        <v>1.0</v>
      </c>
      <c r="D27" s="341" t="s">
        <v>222</v>
      </c>
      <c r="E27" s="47">
        <v>33.0</v>
      </c>
      <c r="F27" s="107">
        <v>3500.0</v>
      </c>
      <c r="G27" s="107">
        <v>16000.0</v>
      </c>
      <c r="H27" s="107">
        <v>2800.0</v>
      </c>
      <c r="I27" s="107">
        <v>110.0</v>
      </c>
      <c r="J27" s="272">
        <v>240.0</v>
      </c>
      <c r="K27" s="343">
        <v>1600.0</v>
      </c>
      <c r="L27" s="47" t="s">
        <v>70</v>
      </c>
      <c r="M27" s="47">
        <v>5400.0</v>
      </c>
      <c r="N27" s="47">
        <v>1600.0</v>
      </c>
      <c r="O27" s="47" t="s">
        <v>70</v>
      </c>
      <c r="P27" s="47" t="s">
        <v>70</v>
      </c>
      <c r="Q27" s="295">
        <f t="shared" ref="Q27:Q29" si="2">GEOMEAN(E27:P27)</f>
        <v>1073.192223</v>
      </c>
      <c r="R27" s="20">
        <v>100.0</v>
      </c>
      <c r="S27" s="50"/>
    </row>
    <row r="28" ht="15.75" customHeight="1">
      <c r="A28" s="21"/>
      <c r="B28" s="22"/>
      <c r="C28" s="201">
        <v>2.0</v>
      </c>
      <c r="D28" s="338" t="s">
        <v>223</v>
      </c>
      <c r="E28" s="53">
        <v>33.0</v>
      </c>
      <c r="F28" s="53">
        <v>920.0</v>
      </c>
      <c r="G28" s="53">
        <v>16000.0</v>
      </c>
      <c r="H28" s="53">
        <v>350.0</v>
      </c>
      <c r="I28" s="53">
        <v>540.0</v>
      </c>
      <c r="J28" s="275">
        <v>3500.0</v>
      </c>
      <c r="K28" s="344">
        <v>920.0</v>
      </c>
      <c r="L28" s="131" t="s">
        <v>70</v>
      </c>
      <c r="M28" s="344" t="s">
        <v>70</v>
      </c>
      <c r="N28" s="53" t="s">
        <v>70</v>
      </c>
      <c r="O28" s="53" t="s">
        <v>70</v>
      </c>
      <c r="P28" s="53" t="s">
        <v>70</v>
      </c>
      <c r="Q28" s="296">
        <f t="shared" si="2"/>
        <v>840.2167721</v>
      </c>
      <c r="R28" s="29">
        <v>100.0</v>
      </c>
    </row>
    <row r="29" ht="15.75" customHeight="1">
      <c r="A29" s="21"/>
      <c r="B29" s="22"/>
      <c r="C29" s="201">
        <v>3.0</v>
      </c>
      <c r="D29" s="338" t="s">
        <v>224</v>
      </c>
      <c r="E29" s="53">
        <v>70.0</v>
      </c>
      <c r="F29" s="53">
        <v>94.0</v>
      </c>
      <c r="G29" s="53">
        <v>33.0</v>
      </c>
      <c r="H29" s="53">
        <v>33.0</v>
      </c>
      <c r="I29" s="53">
        <v>130.0</v>
      </c>
      <c r="J29" s="215">
        <v>540.0</v>
      </c>
      <c r="K29" s="344" t="s">
        <v>142</v>
      </c>
      <c r="L29" s="53">
        <v>350.0</v>
      </c>
      <c r="M29" s="53">
        <v>160000.0</v>
      </c>
      <c r="N29" s="53">
        <v>1600.0</v>
      </c>
      <c r="O29" s="53">
        <v>540.0</v>
      </c>
      <c r="P29" s="53">
        <v>540.0</v>
      </c>
      <c r="Q29" s="296">
        <f t="shared" si="2"/>
        <v>359.9516921</v>
      </c>
      <c r="R29" s="29">
        <v>100.0</v>
      </c>
    </row>
    <row r="30" ht="16.5" customHeight="1">
      <c r="A30" s="21"/>
      <c r="B30" s="30"/>
      <c r="C30" s="201">
        <v>4.0</v>
      </c>
      <c r="D30" s="223" t="s">
        <v>225</v>
      </c>
      <c r="E30" s="53">
        <v>7.8</v>
      </c>
      <c r="F30" s="53">
        <v>23.0</v>
      </c>
      <c r="G30" s="315">
        <v>79.0</v>
      </c>
      <c r="H30" s="315">
        <v>33.0</v>
      </c>
      <c r="I30" s="315">
        <v>79.0</v>
      </c>
      <c r="J30" s="275">
        <v>350.0</v>
      </c>
      <c r="K30" s="344">
        <v>920.0</v>
      </c>
      <c r="L30" s="53">
        <v>49.0</v>
      </c>
      <c r="M30" s="53">
        <v>2100.0</v>
      </c>
      <c r="N30" s="53">
        <v>350.0</v>
      </c>
      <c r="O30" s="53">
        <v>540.0</v>
      </c>
      <c r="P30" s="53">
        <v>700.0</v>
      </c>
      <c r="Q30" s="296">
        <f>GEOMEAN(E30,F30)</f>
        <v>13.39402852</v>
      </c>
      <c r="R30" s="29">
        <v>100.0</v>
      </c>
    </row>
    <row r="31" ht="15.75" customHeight="1">
      <c r="A31" s="21"/>
      <c r="B31" s="13" t="s">
        <v>227</v>
      </c>
      <c r="C31" s="202">
        <v>1.0</v>
      </c>
      <c r="D31" s="341" t="s">
        <v>222</v>
      </c>
      <c r="E31" s="176">
        <v>0.378</v>
      </c>
      <c r="F31" s="108">
        <v>0.079</v>
      </c>
      <c r="G31" s="108">
        <v>0.26</v>
      </c>
      <c r="H31" s="94">
        <v>0.401</v>
      </c>
      <c r="I31" s="94">
        <v>0.2</v>
      </c>
      <c r="J31" s="270">
        <v>0.061</v>
      </c>
      <c r="K31" s="94">
        <v>0.048</v>
      </c>
      <c r="L31" s="337" t="s">
        <v>70</v>
      </c>
      <c r="M31" s="176">
        <v>0.357</v>
      </c>
      <c r="N31" s="176">
        <v>0.258</v>
      </c>
      <c r="O31" s="176" t="s">
        <v>70</v>
      </c>
      <c r="P31" s="59" t="s">
        <v>70</v>
      </c>
      <c r="Q31" s="278">
        <f t="shared" ref="Q31:Q38" si="3">AVERAGE(E31:P31)</f>
        <v>0.2268888889</v>
      </c>
      <c r="R31" s="20">
        <v>10.0</v>
      </c>
    </row>
    <row r="32" ht="15.75" customHeight="1">
      <c r="A32" s="21"/>
      <c r="B32" s="22"/>
      <c r="C32" s="201">
        <v>2.0</v>
      </c>
      <c r="D32" s="338" t="s">
        <v>223</v>
      </c>
      <c r="E32" s="65">
        <v>0.23</v>
      </c>
      <c r="F32" s="65">
        <v>0.107</v>
      </c>
      <c r="G32" s="65">
        <v>0.083</v>
      </c>
      <c r="H32" s="96">
        <v>0.419</v>
      </c>
      <c r="I32" s="96">
        <v>1.326</v>
      </c>
      <c r="J32" s="279">
        <v>0.048</v>
      </c>
      <c r="K32" s="96">
        <v>0.079</v>
      </c>
      <c r="L32" s="169" t="s">
        <v>70</v>
      </c>
      <c r="M32" s="85" t="s">
        <v>70</v>
      </c>
      <c r="N32" s="106" t="s">
        <v>70</v>
      </c>
      <c r="O32" s="65" t="s">
        <v>70</v>
      </c>
      <c r="P32" s="65" t="s">
        <v>70</v>
      </c>
      <c r="Q32" s="280">
        <f t="shared" si="3"/>
        <v>0.3274285714</v>
      </c>
      <c r="R32" s="29">
        <v>10.0</v>
      </c>
    </row>
    <row r="33" ht="15.75" customHeight="1">
      <c r="A33" s="21"/>
      <c r="B33" s="22"/>
      <c r="C33" s="201">
        <v>3.0</v>
      </c>
      <c r="D33" s="338" t="s">
        <v>224</v>
      </c>
      <c r="E33" s="106">
        <v>0.243</v>
      </c>
      <c r="F33" s="65">
        <v>0.058</v>
      </c>
      <c r="G33" s="96">
        <v>0.142</v>
      </c>
      <c r="H33" s="96">
        <v>0.578</v>
      </c>
      <c r="I33" s="96">
        <v>0.048</v>
      </c>
      <c r="J33" s="209">
        <v>0.048</v>
      </c>
      <c r="K33" s="96" t="s">
        <v>142</v>
      </c>
      <c r="L33" s="96">
        <v>0.851</v>
      </c>
      <c r="M33" s="65">
        <v>0.369</v>
      </c>
      <c r="N33" s="106">
        <v>0.194</v>
      </c>
      <c r="O33" s="65">
        <v>0.334</v>
      </c>
      <c r="P33" s="65">
        <v>0.354</v>
      </c>
      <c r="Q33" s="280">
        <f t="shared" si="3"/>
        <v>0.2926363636</v>
      </c>
      <c r="R33" s="29">
        <v>10.0</v>
      </c>
    </row>
    <row r="34" ht="16.5" customHeight="1">
      <c r="A34" s="21"/>
      <c r="B34" s="30"/>
      <c r="C34" s="201">
        <v>4.0</v>
      </c>
      <c r="D34" s="223" t="s">
        <v>225</v>
      </c>
      <c r="E34" s="106">
        <v>0.048</v>
      </c>
      <c r="F34" s="65">
        <v>0.131</v>
      </c>
      <c r="G34" s="96">
        <v>0.048</v>
      </c>
      <c r="H34" s="96">
        <v>0.383</v>
      </c>
      <c r="I34" s="96">
        <v>0.177</v>
      </c>
      <c r="J34" s="271">
        <v>0.048</v>
      </c>
      <c r="K34" s="96">
        <v>0.048</v>
      </c>
      <c r="L34" s="96">
        <v>0.688</v>
      </c>
      <c r="M34" s="106">
        <v>0.124</v>
      </c>
      <c r="N34" s="106">
        <v>0.207</v>
      </c>
      <c r="O34" s="65">
        <v>0.286</v>
      </c>
      <c r="P34" s="65">
        <v>0.257</v>
      </c>
      <c r="Q34" s="280">
        <f t="shared" si="3"/>
        <v>0.20375</v>
      </c>
      <c r="R34" s="29">
        <v>10.0</v>
      </c>
    </row>
    <row r="35" ht="14.25" customHeight="1">
      <c r="A35" s="21"/>
      <c r="B35" s="13" t="s">
        <v>228</v>
      </c>
      <c r="C35" s="202">
        <v>1.0</v>
      </c>
      <c r="D35" s="341" t="s">
        <v>222</v>
      </c>
      <c r="E35" s="176">
        <v>0.049</v>
      </c>
      <c r="F35" s="108">
        <v>0.081</v>
      </c>
      <c r="G35" s="108">
        <v>0.044</v>
      </c>
      <c r="H35" s="94">
        <v>0.013</v>
      </c>
      <c r="I35" s="94">
        <v>0.171</v>
      </c>
      <c r="J35" s="277">
        <v>0.04</v>
      </c>
      <c r="K35" s="94">
        <v>0.039</v>
      </c>
      <c r="L35" s="337" t="s">
        <v>70</v>
      </c>
      <c r="M35" s="176">
        <v>0.118</v>
      </c>
      <c r="N35" s="176">
        <v>0.362</v>
      </c>
      <c r="O35" s="59" t="s">
        <v>70</v>
      </c>
      <c r="P35" s="59" t="s">
        <v>70</v>
      </c>
      <c r="Q35" s="278">
        <f t="shared" si="3"/>
        <v>0.1018888889</v>
      </c>
      <c r="R35" s="20">
        <v>0.5</v>
      </c>
    </row>
    <row r="36" ht="14.25" customHeight="1">
      <c r="A36" s="21"/>
      <c r="B36" s="22"/>
      <c r="C36" s="201">
        <v>2.0</v>
      </c>
      <c r="D36" s="338" t="s">
        <v>223</v>
      </c>
      <c r="E36" s="106">
        <v>0.105</v>
      </c>
      <c r="F36" s="106">
        <v>0.037</v>
      </c>
      <c r="G36" s="65">
        <v>0.09</v>
      </c>
      <c r="H36" s="96">
        <v>0.027</v>
      </c>
      <c r="I36" s="96">
        <v>0.176</v>
      </c>
      <c r="J36" s="271">
        <v>0.074</v>
      </c>
      <c r="K36" s="96">
        <v>0.05</v>
      </c>
      <c r="L36" s="169" t="s">
        <v>70</v>
      </c>
      <c r="M36" s="85" t="s">
        <v>70</v>
      </c>
      <c r="N36" s="106" t="s">
        <v>70</v>
      </c>
      <c r="O36" s="65" t="s">
        <v>70</v>
      </c>
      <c r="P36" s="65" t="s">
        <v>70</v>
      </c>
      <c r="Q36" s="280">
        <f t="shared" si="3"/>
        <v>0.07985714286</v>
      </c>
      <c r="R36" s="29">
        <v>0.5</v>
      </c>
    </row>
    <row r="37" ht="14.25" customHeight="1">
      <c r="A37" s="21"/>
      <c r="B37" s="22"/>
      <c r="C37" s="201">
        <v>3.0</v>
      </c>
      <c r="D37" s="338" t="s">
        <v>224</v>
      </c>
      <c r="E37" s="106">
        <v>0.018</v>
      </c>
      <c r="F37" s="65">
        <v>0.014</v>
      </c>
      <c r="G37" s="96">
        <v>0.046</v>
      </c>
      <c r="H37" s="96">
        <v>0.038</v>
      </c>
      <c r="I37" s="96">
        <v>0.19</v>
      </c>
      <c r="J37" s="279">
        <v>0.083</v>
      </c>
      <c r="K37" s="96" t="s">
        <v>142</v>
      </c>
      <c r="L37" s="96">
        <v>0.185</v>
      </c>
      <c r="M37" s="106">
        <v>0.167</v>
      </c>
      <c r="N37" s="65">
        <v>0.24</v>
      </c>
      <c r="O37" s="106">
        <v>0.194</v>
      </c>
      <c r="P37" s="65">
        <v>0.039</v>
      </c>
      <c r="Q37" s="280">
        <f t="shared" si="3"/>
        <v>0.1103636364</v>
      </c>
      <c r="R37" s="29">
        <v>0.5</v>
      </c>
    </row>
    <row r="38" ht="14.25" customHeight="1">
      <c r="A38" s="21"/>
      <c r="B38" s="30"/>
      <c r="C38" s="201">
        <v>4.0</v>
      </c>
      <c r="D38" s="223" t="s">
        <v>225</v>
      </c>
      <c r="E38" s="65">
        <v>0.04</v>
      </c>
      <c r="F38" s="106">
        <v>0.017</v>
      </c>
      <c r="G38" s="96">
        <v>0.054</v>
      </c>
      <c r="H38" s="96">
        <v>0.036</v>
      </c>
      <c r="I38" s="96">
        <v>0.203</v>
      </c>
      <c r="J38" s="271">
        <v>0.139</v>
      </c>
      <c r="K38" s="96">
        <v>0.057</v>
      </c>
      <c r="L38" s="96">
        <v>0.072</v>
      </c>
      <c r="M38" s="106">
        <v>0.086</v>
      </c>
      <c r="N38" s="106">
        <v>0.244</v>
      </c>
      <c r="O38" s="65">
        <v>0.015</v>
      </c>
      <c r="P38" s="65">
        <v>0.116</v>
      </c>
      <c r="Q38" s="280">
        <f t="shared" si="3"/>
        <v>0.08991666667</v>
      </c>
      <c r="R38" s="29">
        <v>0.5</v>
      </c>
    </row>
    <row r="39" ht="14.25" hidden="1" customHeight="1">
      <c r="A39" s="21"/>
      <c r="B39" s="13" t="s">
        <v>42</v>
      </c>
      <c r="C39" s="202">
        <v>1.0</v>
      </c>
      <c r="D39" s="341" t="s">
        <v>222</v>
      </c>
      <c r="E39" s="281"/>
      <c r="F39" s="281"/>
      <c r="G39" s="281"/>
      <c r="H39" s="176">
        <v>0.066</v>
      </c>
      <c r="I39" s="281"/>
      <c r="J39" s="281"/>
      <c r="K39" s="281"/>
      <c r="L39" s="281"/>
      <c r="M39" s="281"/>
      <c r="N39" s="281"/>
      <c r="O39" s="281"/>
      <c r="P39" s="281"/>
      <c r="Q39" s="265">
        <f t="shared" ref="Q39:Q42" si="4">AVERAGE(E39,F39,G39,H39,I39,J39,K39,L39,M39,N39,O39,P39)</f>
        <v>0.066</v>
      </c>
      <c r="R39" s="134"/>
    </row>
    <row r="40" ht="14.25" hidden="1" customHeight="1">
      <c r="A40" s="21"/>
      <c r="B40" s="22"/>
      <c r="C40" s="201">
        <v>2.0</v>
      </c>
      <c r="D40" s="338" t="s">
        <v>223</v>
      </c>
      <c r="E40" s="21"/>
      <c r="F40" s="21"/>
      <c r="G40" s="21"/>
      <c r="H40" s="106">
        <v>0.099</v>
      </c>
      <c r="I40" s="21"/>
      <c r="J40" s="21"/>
      <c r="K40" s="21"/>
      <c r="L40" s="21"/>
      <c r="M40" s="21"/>
      <c r="N40" s="21"/>
      <c r="O40" s="21"/>
      <c r="P40" s="21"/>
      <c r="Q40" s="268">
        <f t="shared" si="4"/>
        <v>0.099</v>
      </c>
      <c r="R40" s="134"/>
    </row>
    <row r="41" ht="14.25" hidden="1" customHeight="1">
      <c r="A41" s="21"/>
      <c r="B41" s="22"/>
      <c r="C41" s="201">
        <v>3.0</v>
      </c>
      <c r="D41" s="338" t="s">
        <v>229</v>
      </c>
      <c r="E41" s="21"/>
      <c r="F41" s="21"/>
      <c r="G41" s="21"/>
      <c r="H41" s="106">
        <v>0.031</v>
      </c>
      <c r="I41" s="21"/>
      <c r="J41" s="21"/>
      <c r="K41" s="21"/>
      <c r="L41" s="21"/>
      <c r="M41" s="21"/>
      <c r="N41" s="21"/>
      <c r="O41" s="21"/>
      <c r="P41" s="21"/>
      <c r="Q41" s="268">
        <f t="shared" si="4"/>
        <v>0.031</v>
      </c>
      <c r="R41" s="134"/>
    </row>
    <row r="42" ht="14.25" hidden="1" customHeight="1">
      <c r="A42" s="21"/>
      <c r="B42" s="30"/>
      <c r="C42" s="201">
        <v>4.0</v>
      </c>
      <c r="D42" s="223" t="s">
        <v>230</v>
      </c>
      <c r="E42" s="21"/>
      <c r="F42" s="21"/>
      <c r="G42" s="21"/>
      <c r="H42" s="106">
        <v>0.064</v>
      </c>
      <c r="I42" s="21"/>
      <c r="J42" s="21"/>
      <c r="K42" s="21"/>
      <c r="L42" s="21"/>
      <c r="M42" s="21"/>
      <c r="N42" s="21"/>
      <c r="O42" s="21"/>
      <c r="P42" s="21"/>
      <c r="Q42" s="268">
        <f t="shared" si="4"/>
        <v>0.064</v>
      </c>
      <c r="R42" s="134"/>
    </row>
    <row r="43" ht="14.2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5"/>
      <c r="M43" s="135"/>
      <c r="N43" s="135"/>
      <c r="O43" s="135"/>
      <c r="P43" s="135"/>
    </row>
    <row r="44" ht="14.25" customHeight="1">
      <c r="A44" s="136" t="s">
        <v>43</v>
      </c>
      <c r="D44" s="134"/>
      <c r="E44" s="134"/>
      <c r="F44" s="134"/>
      <c r="G44" s="134"/>
      <c r="H44" s="134"/>
      <c r="I44" s="134"/>
      <c r="J44" s="134"/>
      <c r="K44" s="134"/>
      <c r="L44" s="135"/>
      <c r="M44" s="135"/>
      <c r="N44" s="135"/>
      <c r="O44" s="135"/>
      <c r="P44" s="135"/>
    </row>
    <row r="45" ht="14.25" customHeight="1">
      <c r="D45" s="134"/>
      <c r="E45" s="134"/>
      <c r="F45" s="134"/>
      <c r="G45" s="134"/>
      <c r="H45" s="134"/>
      <c r="I45" s="134"/>
      <c r="J45" s="134"/>
      <c r="K45" s="134"/>
      <c r="L45" s="135"/>
      <c r="M45" s="135"/>
      <c r="N45" s="135"/>
      <c r="O45" s="135"/>
      <c r="P45" s="135"/>
    </row>
    <row r="46" ht="15.0" customHeight="1">
      <c r="A46" s="110" t="s">
        <v>231</v>
      </c>
      <c r="D46" s="134"/>
      <c r="E46" s="134"/>
      <c r="F46" s="134"/>
      <c r="G46" s="134"/>
      <c r="H46" s="134"/>
      <c r="I46" s="134"/>
      <c r="J46" s="134"/>
      <c r="K46" s="134"/>
      <c r="L46" s="135"/>
      <c r="M46" s="135"/>
      <c r="N46" s="135"/>
      <c r="O46" s="135"/>
      <c r="P46" s="135"/>
    </row>
    <row r="47" ht="14.25" customHeight="1">
      <c r="D47" s="134"/>
      <c r="E47" s="134"/>
      <c r="F47" s="134"/>
      <c r="G47" s="134"/>
      <c r="H47" s="134"/>
      <c r="I47" s="134"/>
      <c r="J47" s="134"/>
      <c r="K47" s="134"/>
      <c r="L47" s="135"/>
      <c r="M47" s="135"/>
      <c r="N47" s="135"/>
      <c r="O47" s="135"/>
      <c r="P47" s="135"/>
    </row>
    <row r="48" ht="14.25" customHeight="1">
      <c r="A48" s="312" t="s">
        <v>208</v>
      </c>
      <c r="E48" s="134"/>
      <c r="F48" s="134"/>
      <c r="G48" s="134"/>
      <c r="H48" s="134"/>
      <c r="I48" s="134"/>
      <c r="J48" s="134"/>
      <c r="K48" s="134"/>
      <c r="L48" s="135"/>
      <c r="M48" s="135"/>
      <c r="N48" s="135"/>
      <c r="O48" s="135"/>
      <c r="P48" s="135"/>
    </row>
    <row r="49" ht="14.25" customHeight="1"/>
  </sheetData>
  <mergeCells count="17">
    <mergeCell ref="A1:R1"/>
    <mergeCell ref="A2:R2"/>
    <mergeCell ref="A3:R3"/>
    <mergeCell ref="A5:R5"/>
    <mergeCell ref="A6:R6"/>
    <mergeCell ref="B7:B10"/>
    <mergeCell ref="B11:B14"/>
    <mergeCell ref="A44:C45"/>
    <mergeCell ref="A46:C47"/>
    <mergeCell ref="A48:D49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24.29"/>
    <col customWidth="1" min="5" max="5" width="10.71" outlineLevel="1"/>
    <col customWidth="1" min="6" max="6" width="8.86" outlineLevel="1"/>
    <col customWidth="1" min="7" max="7" width="6.71" outlineLevel="1"/>
    <col customWidth="1" min="8" max="8" width="5.71" outlineLevel="1"/>
    <col customWidth="1" min="9" max="9" width="9.29" outlineLevel="1"/>
    <col customWidth="1" min="10" max="10" width="6.71" outlineLevel="1"/>
    <col customWidth="1" min="11" max="11" width="6.14" outlineLevel="1"/>
    <col customWidth="1" min="12" max="12" width="7.43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17.57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14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345" t="s">
        <v>8</v>
      </c>
      <c r="G4" s="345" t="s">
        <v>9</v>
      </c>
      <c r="H4" s="345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346" t="s">
        <v>18</v>
      </c>
      <c r="Q4" s="6" t="s">
        <v>19</v>
      </c>
      <c r="R4" s="6" t="s">
        <v>20</v>
      </c>
    </row>
    <row r="5" ht="14.25" customHeight="1">
      <c r="A5" s="8" t="s">
        <v>232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233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5.75" customHeight="1">
      <c r="A7" s="101" t="s">
        <v>23</v>
      </c>
      <c r="B7" s="74" t="s">
        <v>24</v>
      </c>
      <c r="C7" s="199">
        <v>1.0</v>
      </c>
      <c r="D7" s="347" t="s">
        <v>234</v>
      </c>
      <c r="E7" s="102">
        <v>9.52</v>
      </c>
      <c r="F7" s="102">
        <v>8.02</v>
      </c>
      <c r="G7" s="102">
        <v>7.54</v>
      </c>
      <c r="H7" s="102">
        <v>8.14</v>
      </c>
      <c r="I7" s="102">
        <v>6.3</v>
      </c>
      <c r="J7" s="264">
        <v>5.4</v>
      </c>
      <c r="K7" s="102" t="s">
        <v>70</v>
      </c>
      <c r="L7" s="102">
        <v>3.05</v>
      </c>
      <c r="M7" s="102" t="s">
        <v>70</v>
      </c>
      <c r="N7" s="102">
        <v>2.43</v>
      </c>
      <c r="O7" s="102">
        <v>2.11</v>
      </c>
      <c r="P7" s="102">
        <v>3.84</v>
      </c>
      <c r="Q7" s="265">
        <f t="shared" ref="Q7:Q21" si="1">AVERAGE(E7:P7)</f>
        <v>5.635</v>
      </c>
      <c r="R7" s="200">
        <v>6.0</v>
      </c>
    </row>
    <row r="8" ht="15.75" customHeight="1">
      <c r="A8" s="21"/>
      <c r="B8" s="22"/>
      <c r="C8" s="201">
        <v>2.0</v>
      </c>
      <c r="D8" s="348" t="s">
        <v>235</v>
      </c>
      <c r="E8" s="27">
        <v>6.43</v>
      </c>
      <c r="F8" s="27">
        <v>6.77</v>
      </c>
      <c r="G8" s="27">
        <v>8.12</v>
      </c>
      <c r="H8" s="313">
        <v>8.52</v>
      </c>
      <c r="I8" s="313">
        <v>7.0</v>
      </c>
      <c r="J8" s="267">
        <v>5.01</v>
      </c>
      <c r="K8" s="313">
        <v>2.05</v>
      </c>
      <c r="L8" s="27">
        <v>3.78</v>
      </c>
      <c r="M8" s="349">
        <v>3.21</v>
      </c>
      <c r="N8" s="27">
        <v>3.11</v>
      </c>
      <c r="O8" s="27">
        <v>2.58</v>
      </c>
      <c r="P8" s="27">
        <v>4.9</v>
      </c>
      <c r="Q8" s="268">
        <f t="shared" si="1"/>
        <v>5.123333333</v>
      </c>
      <c r="R8" s="29">
        <v>6.0</v>
      </c>
    </row>
    <row r="9" ht="14.25" customHeight="1">
      <c r="A9" s="21"/>
      <c r="B9" s="22"/>
      <c r="C9" s="201">
        <v>3.0</v>
      </c>
      <c r="D9" s="348" t="s">
        <v>236</v>
      </c>
      <c r="E9" s="27">
        <v>6.16</v>
      </c>
      <c r="F9" s="27">
        <v>6.1</v>
      </c>
      <c r="G9" s="27">
        <v>6.79</v>
      </c>
      <c r="H9" s="313">
        <v>8.82</v>
      </c>
      <c r="I9" s="313">
        <v>6.0</v>
      </c>
      <c r="J9" s="267">
        <v>5.14</v>
      </c>
      <c r="K9" s="313" t="s">
        <v>70</v>
      </c>
      <c r="L9" s="27">
        <v>4.08</v>
      </c>
      <c r="M9" s="350">
        <v>3.58</v>
      </c>
      <c r="N9" s="27">
        <v>2.98</v>
      </c>
      <c r="O9" s="27">
        <v>2.46</v>
      </c>
      <c r="P9" s="27">
        <v>4.13</v>
      </c>
      <c r="Q9" s="268">
        <f t="shared" si="1"/>
        <v>5.112727273</v>
      </c>
      <c r="R9" s="29">
        <v>6.0</v>
      </c>
    </row>
    <row r="10" ht="15.75" customHeight="1">
      <c r="A10" s="21"/>
      <c r="B10" s="13" t="s">
        <v>31</v>
      </c>
      <c r="C10" s="202">
        <v>1.0</v>
      </c>
      <c r="D10" s="351" t="s">
        <v>234</v>
      </c>
      <c r="E10" s="124">
        <v>20.0</v>
      </c>
      <c r="F10" s="124">
        <v>10.0</v>
      </c>
      <c r="G10" s="105">
        <v>7.0</v>
      </c>
      <c r="H10" s="105">
        <v>13.0</v>
      </c>
      <c r="I10" s="105">
        <v>10.0</v>
      </c>
      <c r="J10" s="325">
        <v>15.0</v>
      </c>
      <c r="K10" s="105" t="s">
        <v>70</v>
      </c>
      <c r="L10" s="105">
        <v>71.0</v>
      </c>
      <c r="M10" s="102" t="s">
        <v>70</v>
      </c>
      <c r="N10" s="124">
        <v>4.0</v>
      </c>
      <c r="O10" s="35">
        <v>31.0</v>
      </c>
      <c r="P10" s="35">
        <v>7.0</v>
      </c>
      <c r="Q10" s="273">
        <f t="shared" si="1"/>
        <v>18.8</v>
      </c>
      <c r="R10" s="20">
        <v>50.0</v>
      </c>
    </row>
    <row r="11" ht="15.75" customHeight="1">
      <c r="A11" s="21"/>
      <c r="B11" s="22"/>
      <c r="C11" s="201">
        <v>2.0</v>
      </c>
      <c r="D11" s="348" t="s">
        <v>235</v>
      </c>
      <c r="E11" s="106">
        <v>8.0</v>
      </c>
      <c r="F11" s="39">
        <v>18.0</v>
      </c>
      <c r="G11" s="314">
        <v>10.0</v>
      </c>
      <c r="H11" s="314">
        <v>9.0</v>
      </c>
      <c r="I11" s="314">
        <v>7.0</v>
      </c>
      <c r="J11" s="326">
        <v>8.0</v>
      </c>
      <c r="K11" s="314">
        <v>204.0</v>
      </c>
      <c r="L11" s="314">
        <v>13.0</v>
      </c>
      <c r="M11" s="39">
        <v>20.0</v>
      </c>
      <c r="N11" s="39">
        <v>3.0</v>
      </c>
      <c r="O11" s="39">
        <v>6.0</v>
      </c>
      <c r="P11" s="39">
        <v>20.0</v>
      </c>
      <c r="Q11" s="276">
        <f t="shared" si="1"/>
        <v>27.16666667</v>
      </c>
      <c r="R11" s="29">
        <v>50.0</v>
      </c>
    </row>
    <row r="12" ht="15.75" customHeight="1">
      <c r="A12" s="21"/>
      <c r="B12" s="22"/>
      <c r="C12" s="201">
        <v>3.0</v>
      </c>
      <c r="D12" s="348" t="s">
        <v>236</v>
      </c>
      <c r="E12" s="106">
        <v>11.0</v>
      </c>
      <c r="F12" s="39">
        <v>5.0</v>
      </c>
      <c r="G12" s="314">
        <v>12.0</v>
      </c>
      <c r="H12" s="314">
        <v>7.0</v>
      </c>
      <c r="I12" s="314">
        <v>4.0</v>
      </c>
      <c r="J12" s="326">
        <v>14.0</v>
      </c>
      <c r="K12" s="314" t="s">
        <v>70</v>
      </c>
      <c r="L12" s="314">
        <v>39.0</v>
      </c>
      <c r="M12" s="39">
        <v>11.0</v>
      </c>
      <c r="N12" s="39">
        <v>5.0</v>
      </c>
      <c r="O12" s="39">
        <v>13.0</v>
      </c>
      <c r="P12" s="39">
        <v>10.0</v>
      </c>
      <c r="Q12" s="276">
        <f t="shared" si="1"/>
        <v>11.90909091</v>
      </c>
      <c r="R12" s="29">
        <v>50.0</v>
      </c>
    </row>
    <row r="13" ht="15.75" customHeight="1">
      <c r="A13" s="21"/>
      <c r="B13" s="13" t="s">
        <v>33</v>
      </c>
      <c r="C13" s="202">
        <v>1.0</v>
      </c>
      <c r="D13" s="351" t="s">
        <v>234</v>
      </c>
      <c r="E13" s="102">
        <v>8.89</v>
      </c>
      <c r="F13" s="102">
        <v>8.41</v>
      </c>
      <c r="G13" s="102">
        <v>8.8</v>
      </c>
      <c r="H13" s="102">
        <v>8.35</v>
      </c>
      <c r="I13" s="102">
        <v>7.0</v>
      </c>
      <c r="J13" s="264">
        <v>8.19</v>
      </c>
      <c r="K13" s="105" t="s">
        <v>70</v>
      </c>
      <c r="L13" s="102">
        <v>7.0</v>
      </c>
      <c r="M13" s="102" t="s">
        <v>70</v>
      </c>
      <c r="N13" s="102">
        <v>7.0</v>
      </c>
      <c r="O13" s="18">
        <v>7.0</v>
      </c>
      <c r="P13" s="18">
        <v>7.0</v>
      </c>
      <c r="Q13" s="265">
        <f t="shared" si="1"/>
        <v>7.764</v>
      </c>
      <c r="R13" s="208" t="s">
        <v>164</v>
      </c>
    </row>
    <row r="14" ht="15.75" customHeight="1">
      <c r="A14" s="21"/>
      <c r="B14" s="22"/>
      <c r="C14" s="201">
        <v>2.0</v>
      </c>
      <c r="D14" s="348" t="s">
        <v>235</v>
      </c>
      <c r="E14" s="27">
        <v>8.85</v>
      </c>
      <c r="F14" s="27">
        <v>8.23</v>
      </c>
      <c r="G14" s="313">
        <v>8.83</v>
      </c>
      <c r="H14" s="313">
        <v>8.21</v>
      </c>
      <c r="I14" s="313">
        <v>7.0</v>
      </c>
      <c r="J14" s="267">
        <v>8.23</v>
      </c>
      <c r="K14" s="313">
        <v>7.0</v>
      </c>
      <c r="L14" s="27">
        <v>7.0</v>
      </c>
      <c r="M14" s="352">
        <v>7.0</v>
      </c>
      <c r="N14" s="27">
        <v>7.0</v>
      </c>
      <c r="O14" s="27">
        <v>7.0</v>
      </c>
      <c r="P14" s="27">
        <v>7.0</v>
      </c>
      <c r="Q14" s="268">
        <f t="shared" si="1"/>
        <v>7.6125</v>
      </c>
      <c r="R14" s="241" t="s">
        <v>164</v>
      </c>
    </row>
    <row r="15" ht="15.75" customHeight="1">
      <c r="A15" s="21"/>
      <c r="B15" s="22"/>
      <c r="C15" s="201">
        <v>3.0</v>
      </c>
      <c r="D15" s="348" t="s">
        <v>236</v>
      </c>
      <c r="E15" s="27">
        <v>8.14</v>
      </c>
      <c r="F15" s="27">
        <v>8.02</v>
      </c>
      <c r="G15" s="313">
        <v>8.89</v>
      </c>
      <c r="H15" s="313">
        <v>8.2</v>
      </c>
      <c r="I15" s="313">
        <v>7.0</v>
      </c>
      <c r="J15" s="267">
        <v>8.17</v>
      </c>
      <c r="K15" s="314" t="s">
        <v>70</v>
      </c>
      <c r="L15" s="27">
        <v>7.0</v>
      </c>
      <c r="M15" s="353">
        <v>7.0</v>
      </c>
      <c r="N15" s="27">
        <v>7.0</v>
      </c>
      <c r="O15" s="27">
        <v>7.0</v>
      </c>
      <c r="P15" s="27">
        <v>7.0</v>
      </c>
      <c r="Q15" s="268">
        <f t="shared" si="1"/>
        <v>7.583636364</v>
      </c>
      <c r="R15" s="241" t="s">
        <v>164</v>
      </c>
    </row>
    <row r="16" ht="15.75" customHeight="1">
      <c r="A16" s="21"/>
      <c r="B16" s="13" t="s">
        <v>237</v>
      </c>
      <c r="C16" s="202">
        <v>1.0</v>
      </c>
      <c r="D16" s="351" t="s">
        <v>234</v>
      </c>
      <c r="E16" s="102">
        <v>29.2</v>
      </c>
      <c r="F16" s="102">
        <v>29.1</v>
      </c>
      <c r="G16" s="102">
        <v>29.53</v>
      </c>
      <c r="H16" s="102">
        <v>30.7</v>
      </c>
      <c r="I16" s="102">
        <v>28.27</v>
      </c>
      <c r="J16" s="264">
        <v>31.6</v>
      </c>
      <c r="K16" s="105" t="s">
        <v>70</v>
      </c>
      <c r="L16" s="102">
        <v>28.71</v>
      </c>
      <c r="M16" s="102" t="s">
        <v>70</v>
      </c>
      <c r="N16" s="102">
        <v>28.51</v>
      </c>
      <c r="O16" s="18">
        <v>28.69</v>
      </c>
      <c r="P16" s="18">
        <v>29.19</v>
      </c>
      <c r="Q16" s="265">
        <f t="shared" si="1"/>
        <v>29.35</v>
      </c>
      <c r="R16" s="18" t="s">
        <v>166</v>
      </c>
    </row>
    <row r="17" ht="15.75" customHeight="1">
      <c r="A17" s="21"/>
      <c r="B17" s="22"/>
      <c r="C17" s="201">
        <v>2.0</v>
      </c>
      <c r="D17" s="348" t="s">
        <v>235</v>
      </c>
      <c r="E17" s="27">
        <v>29.6</v>
      </c>
      <c r="F17" s="27">
        <v>29.23</v>
      </c>
      <c r="G17" s="27">
        <v>28.4</v>
      </c>
      <c r="H17" s="313">
        <v>29.98</v>
      </c>
      <c r="I17" s="313">
        <v>27.33</v>
      </c>
      <c r="J17" s="267">
        <v>32.1</v>
      </c>
      <c r="K17" s="314">
        <v>28.53</v>
      </c>
      <c r="L17" s="27">
        <v>29.4</v>
      </c>
      <c r="M17" s="349">
        <v>28.54</v>
      </c>
      <c r="N17" s="27">
        <v>28.67</v>
      </c>
      <c r="O17" s="27">
        <v>28.91</v>
      </c>
      <c r="P17" s="27">
        <v>29.09</v>
      </c>
      <c r="Q17" s="268">
        <f t="shared" si="1"/>
        <v>29.14833333</v>
      </c>
      <c r="R17" s="27" t="s">
        <v>166</v>
      </c>
    </row>
    <row r="18" ht="15.75" customHeight="1">
      <c r="A18" s="21"/>
      <c r="B18" s="22"/>
      <c r="C18" s="201">
        <v>3.0</v>
      </c>
      <c r="D18" s="348" t="s">
        <v>236</v>
      </c>
      <c r="E18" s="27">
        <v>29.1</v>
      </c>
      <c r="F18" s="27">
        <v>29.2</v>
      </c>
      <c r="G18" s="27">
        <v>29.3</v>
      </c>
      <c r="H18" s="313">
        <v>30.78</v>
      </c>
      <c r="I18" s="313">
        <v>27.76</v>
      </c>
      <c r="J18" s="267">
        <v>31.02</v>
      </c>
      <c r="K18" s="313" t="s">
        <v>70</v>
      </c>
      <c r="L18" s="27">
        <v>28.8</v>
      </c>
      <c r="M18" s="350">
        <v>29.87</v>
      </c>
      <c r="N18" s="27">
        <v>28.94</v>
      </c>
      <c r="O18" s="27">
        <v>28.5</v>
      </c>
      <c r="P18" s="27">
        <v>28.92</v>
      </c>
      <c r="Q18" s="268">
        <f t="shared" si="1"/>
        <v>29.29</v>
      </c>
      <c r="R18" s="27" t="s">
        <v>166</v>
      </c>
    </row>
    <row r="19" ht="14.25" customHeight="1">
      <c r="A19" s="21"/>
      <c r="B19" s="13" t="s">
        <v>37</v>
      </c>
      <c r="C19" s="202">
        <v>1.0</v>
      </c>
      <c r="D19" s="351" t="s">
        <v>234</v>
      </c>
      <c r="E19" s="124">
        <v>5.0</v>
      </c>
      <c r="F19" s="124">
        <v>5.0</v>
      </c>
      <c r="G19" s="105">
        <v>5.0</v>
      </c>
      <c r="H19" s="105">
        <v>5.0</v>
      </c>
      <c r="I19" s="105">
        <v>5.0</v>
      </c>
      <c r="J19" s="325">
        <v>5.0</v>
      </c>
      <c r="K19" s="105" t="s">
        <v>70</v>
      </c>
      <c r="L19" s="105">
        <v>5.0</v>
      </c>
      <c r="M19" s="102" t="s">
        <v>70</v>
      </c>
      <c r="N19" s="124">
        <v>5.0</v>
      </c>
      <c r="O19" s="35">
        <v>5.0</v>
      </c>
      <c r="P19" s="35">
        <v>5.0</v>
      </c>
      <c r="Q19" s="273">
        <f t="shared" si="1"/>
        <v>5</v>
      </c>
      <c r="R19" s="35">
        <v>50.0</v>
      </c>
    </row>
    <row r="20" ht="14.25" customHeight="1">
      <c r="A20" s="21"/>
      <c r="B20" s="22"/>
      <c r="C20" s="201">
        <v>2.0</v>
      </c>
      <c r="D20" s="348" t="s">
        <v>235</v>
      </c>
      <c r="E20" s="106">
        <v>5.0</v>
      </c>
      <c r="F20" s="39">
        <v>5.0</v>
      </c>
      <c r="G20" s="314">
        <v>5.0</v>
      </c>
      <c r="H20" s="314">
        <v>5.0</v>
      </c>
      <c r="I20" s="314">
        <v>5.0</v>
      </c>
      <c r="J20" s="326">
        <v>5.0</v>
      </c>
      <c r="K20" s="314">
        <v>5.0</v>
      </c>
      <c r="L20" s="314">
        <v>5.0</v>
      </c>
      <c r="M20" s="39">
        <v>5.0</v>
      </c>
      <c r="N20" s="39">
        <v>5.0</v>
      </c>
      <c r="O20" s="39">
        <v>5.0</v>
      </c>
      <c r="P20" s="39">
        <v>5.0</v>
      </c>
      <c r="Q20" s="276">
        <f t="shared" si="1"/>
        <v>5</v>
      </c>
      <c r="R20" s="39">
        <v>50.0</v>
      </c>
    </row>
    <row r="21" ht="14.25" customHeight="1">
      <c r="A21" s="21"/>
      <c r="B21" s="22"/>
      <c r="C21" s="201">
        <v>3.0</v>
      </c>
      <c r="D21" s="348" t="s">
        <v>236</v>
      </c>
      <c r="E21" s="106">
        <v>5.0</v>
      </c>
      <c r="F21" s="39">
        <v>5.0</v>
      </c>
      <c r="G21" s="314">
        <v>5.0</v>
      </c>
      <c r="H21" s="314">
        <v>5.0</v>
      </c>
      <c r="I21" s="314">
        <v>5.0</v>
      </c>
      <c r="J21" s="326">
        <v>5.0</v>
      </c>
      <c r="K21" s="314" t="s">
        <v>70</v>
      </c>
      <c r="L21" s="314">
        <v>5.0</v>
      </c>
      <c r="M21" s="39">
        <v>5.0</v>
      </c>
      <c r="N21" s="39">
        <v>5.0</v>
      </c>
      <c r="O21" s="39">
        <v>5.0</v>
      </c>
      <c r="P21" s="39">
        <v>5.0</v>
      </c>
      <c r="Q21" s="276">
        <f t="shared" si="1"/>
        <v>5</v>
      </c>
      <c r="R21" s="39">
        <v>50.0</v>
      </c>
    </row>
    <row r="22" ht="15.75" customHeight="1">
      <c r="A22" s="21"/>
      <c r="B22" s="13" t="s">
        <v>38</v>
      </c>
      <c r="C22" s="202">
        <v>1.0</v>
      </c>
      <c r="D22" s="351" t="s">
        <v>234</v>
      </c>
      <c r="E22" s="107">
        <v>13.0</v>
      </c>
      <c r="F22" s="107">
        <v>110.0</v>
      </c>
      <c r="G22" s="107">
        <v>79.0</v>
      </c>
      <c r="H22" s="107">
        <v>79.0</v>
      </c>
      <c r="I22" s="107">
        <v>46.0</v>
      </c>
      <c r="J22" s="294">
        <v>920.0</v>
      </c>
      <c r="K22" s="107" t="s">
        <v>70</v>
      </c>
      <c r="L22" s="107">
        <v>110.0</v>
      </c>
      <c r="M22" s="107" t="s">
        <v>70</v>
      </c>
      <c r="N22" s="107">
        <v>920.0</v>
      </c>
      <c r="O22" s="47">
        <v>130.0</v>
      </c>
      <c r="P22" s="47">
        <v>1100.0</v>
      </c>
      <c r="Q22" s="295">
        <f t="shared" ref="Q22:Q24" si="2">GEOMEAN(E22:P22)</f>
        <v>149.19877</v>
      </c>
      <c r="R22" s="20">
        <v>100.0</v>
      </c>
    </row>
    <row r="23" ht="15.75" customHeight="1">
      <c r="A23" s="21"/>
      <c r="B23" s="22"/>
      <c r="C23" s="201">
        <v>2.0</v>
      </c>
      <c r="D23" s="348" t="s">
        <v>235</v>
      </c>
      <c r="E23" s="53">
        <v>17.0</v>
      </c>
      <c r="F23" s="53">
        <v>240.0</v>
      </c>
      <c r="G23" s="53">
        <v>23.0</v>
      </c>
      <c r="H23" s="315">
        <v>33.0</v>
      </c>
      <c r="I23" s="315">
        <v>4.5</v>
      </c>
      <c r="J23" s="215">
        <v>49.0</v>
      </c>
      <c r="K23" s="315">
        <v>240.0</v>
      </c>
      <c r="L23" s="315">
        <v>220.0</v>
      </c>
      <c r="M23" s="53">
        <v>35000.0</v>
      </c>
      <c r="N23" s="53">
        <v>49.0</v>
      </c>
      <c r="O23" s="53">
        <v>460.0</v>
      </c>
      <c r="P23" s="53">
        <v>240.0</v>
      </c>
      <c r="Q23" s="296">
        <f t="shared" si="2"/>
        <v>117.3585688</v>
      </c>
      <c r="R23" s="29">
        <v>100.0</v>
      </c>
    </row>
    <row r="24" ht="15.75" customHeight="1">
      <c r="A24" s="21"/>
      <c r="B24" s="22"/>
      <c r="C24" s="201">
        <v>3.0</v>
      </c>
      <c r="D24" s="348" t="s">
        <v>236</v>
      </c>
      <c r="E24" s="53">
        <v>70.0</v>
      </c>
      <c r="F24" s="53">
        <v>94.0</v>
      </c>
      <c r="G24" s="53">
        <v>33.0</v>
      </c>
      <c r="H24" s="315">
        <v>33.0</v>
      </c>
      <c r="I24" s="315">
        <v>130.0</v>
      </c>
      <c r="J24" s="215">
        <v>540.0</v>
      </c>
      <c r="K24" s="315" t="s">
        <v>70</v>
      </c>
      <c r="L24" s="130">
        <v>350.0</v>
      </c>
      <c r="M24" s="53">
        <v>160000.0</v>
      </c>
      <c r="N24" s="53">
        <v>1600.0</v>
      </c>
      <c r="O24" s="53">
        <v>540.0</v>
      </c>
      <c r="P24" s="53">
        <v>540.0</v>
      </c>
      <c r="Q24" s="296">
        <f t="shared" si="2"/>
        <v>359.9516921</v>
      </c>
      <c r="R24" s="29">
        <v>100.0</v>
      </c>
    </row>
    <row r="25" ht="15.75" customHeight="1">
      <c r="A25" s="21"/>
      <c r="B25" s="13" t="s">
        <v>238</v>
      </c>
      <c r="C25" s="202">
        <v>1.0</v>
      </c>
      <c r="D25" s="351" t="s">
        <v>234</v>
      </c>
      <c r="E25" s="108">
        <v>0.108</v>
      </c>
      <c r="F25" s="108">
        <v>0.119</v>
      </c>
      <c r="G25" s="105">
        <v>0.048</v>
      </c>
      <c r="H25" s="108">
        <v>0.29</v>
      </c>
      <c r="I25" s="108">
        <v>0.048</v>
      </c>
      <c r="J25" s="277">
        <v>0.048</v>
      </c>
      <c r="K25" s="105" t="s">
        <v>70</v>
      </c>
      <c r="L25" s="105">
        <v>0.798</v>
      </c>
      <c r="M25" s="102" t="s">
        <v>70</v>
      </c>
      <c r="N25" s="108">
        <v>0.237</v>
      </c>
      <c r="O25" s="108">
        <v>0.314</v>
      </c>
      <c r="P25" s="105">
        <v>0.362</v>
      </c>
      <c r="Q25" s="278">
        <f t="shared" ref="Q25:Q30" si="3">AVERAGE(E25:P25)</f>
        <v>0.2372</v>
      </c>
      <c r="R25" s="20">
        <v>10.0</v>
      </c>
    </row>
    <row r="26" ht="15.75" customHeight="1">
      <c r="A26" s="21"/>
      <c r="B26" s="22"/>
      <c r="C26" s="201">
        <v>2.0</v>
      </c>
      <c r="D26" s="348" t="s">
        <v>235</v>
      </c>
      <c r="E26" s="106">
        <v>0.174</v>
      </c>
      <c r="F26" s="65">
        <v>0.167</v>
      </c>
      <c r="G26" s="314">
        <v>0.048</v>
      </c>
      <c r="H26" s="318">
        <v>0.444</v>
      </c>
      <c r="I26" s="318">
        <v>0.12</v>
      </c>
      <c r="J26" s="209">
        <v>0.048</v>
      </c>
      <c r="K26" s="314">
        <v>0.048</v>
      </c>
      <c r="L26" s="314">
        <v>0.618</v>
      </c>
      <c r="M26" s="65">
        <v>0.245</v>
      </c>
      <c r="N26" s="65">
        <v>0.112</v>
      </c>
      <c r="O26" s="318">
        <v>0.334</v>
      </c>
      <c r="P26" s="314">
        <v>0.218</v>
      </c>
      <c r="Q26" s="280">
        <f t="shared" si="3"/>
        <v>0.2146666667</v>
      </c>
      <c r="R26" s="29">
        <v>10.0</v>
      </c>
    </row>
    <row r="27" ht="15.75" customHeight="1">
      <c r="A27" s="21"/>
      <c r="B27" s="22"/>
      <c r="C27" s="201">
        <v>3.0</v>
      </c>
      <c r="D27" s="348" t="s">
        <v>236</v>
      </c>
      <c r="E27" s="106">
        <v>0.079</v>
      </c>
      <c r="F27" s="65">
        <v>0.119</v>
      </c>
      <c r="G27" s="314">
        <v>0.048</v>
      </c>
      <c r="H27" s="318">
        <v>0.419</v>
      </c>
      <c r="I27" s="318">
        <v>0.048</v>
      </c>
      <c r="J27" s="279">
        <v>0.19</v>
      </c>
      <c r="K27" s="314" t="s">
        <v>70</v>
      </c>
      <c r="L27" s="314">
        <v>0.851</v>
      </c>
      <c r="M27" s="65">
        <v>0.231</v>
      </c>
      <c r="N27" s="65">
        <v>0.097</v>
      </c>
      <c r="O27" s="318">
        <v>0.286</v>
      </c>
      <c r="P27" s="314">
        <v>0.243</v>
      </c>
      <c r="Q27" s="280">
        <f t="shared" si="3"/>
        <v>0.2373636364</v>
      </c>
      <c r="R27" s="29">
        <v>10.0</v>
      </c>
    </row>
    <row r="28" ht="15.75" customHeight="1">
      <c r="A28" s="21"/>
      <c r="B28" s="13" t="s">
        <v>239</v>
      </c>
      <c r="C28" s="202">
        <v>1.0</v>
      </c>
      <c r="D28" s="351" t="s">
        <v>234</v>
      </c>
      <c r="E28" s="108">
        <v>0.029</v>
      </c>
      <c r="F28" s="108">
        <v>0.17</v>
      </c>
      <c r="G28" s="108">
        <v>0.026</v>
      </c>
      <c r="H28" s="108">
        <v>0.033</v>
      </c>
      <c r="I28" s="108">
        <v>0.187</v>
      </c>
      <c r="J28" s="277">
        <v>0.03</v>
      </c>
      <c r="K28" s="105" t="s">
        <v>70</v>
      </c>
      <c r="L28" s="108">
        <v>0.111</v>
      </c>
      <c r="M28" s="102" t="s">
        <v>70</v>
      </c>
      <c r="N28" s="108">
        <v>0.368</v>
      </c>
      <c r="O28" s="59">
        <v>0.2</v>
      </c>
      <c r="P28" s="59">
        <v>0.013</v>
      </c>
      <c r="Q28" s="278">
        <f t="shared" si="3"/>
        <v>0.1167</v>
      </c>
      <c r="R28" s="20">
        <v>0.5</v>
      </c>
    </row>
    <row r="29" ht="15.75" customHeight="1">
      <c r="A29" s="21"/>
      <c r="B29" s="22"/>
      <c r="C29" s="201">
        <v>2.0</v>
      </c>
      <c r="D29" s="348" t="s">
        <v>235</v>
      </c>
      <c r="E29" s="65">
        <v>0.02</v>
      </c>
      <c r="F29" s="65">
        <v>0.041</v>
      </c>
      <c r="G29" s="314">
        <v>0.028</v>
      </c>
      <c r="H29" s="318">
        <v>0.023</v>
      </c>
      <c r="I29" s="318">
        <v>0.152</v>
      </c>
      <c r="J29" s="279">
        <v>0.065</v>
      </c>
      <c r="K29" s="314">
        <v>0.114</v>
      </c>
      <c r="L29" s="318">
        <v>0.148</v>
      </c>
      <c r="M29" s="65">
        <v>0.156</v>
      </c>
      <c r="N29" s="65">
        <v>0.262</v>
      </c>
      <c r="O29" s="65">
        <v>0.189</v>
      </c>
      <c r="P29" s="65">
        <v>0.035</v>
      </c>
      <c r="Q29" s="280">
        <f t="shared" si="3"/>
        <v>0.10275</v>
      </c>
      <c r="R29" s="29">
        <v>0.5</v>
      </c>
    </row>
    <row r="30" ht="15.75" customHeight="1">
      <c r="A30" s="21"/>
      <c r="B30" s="30"/>
      <c r="C30" s="201">
        <v>3.0</v>
      </c>
      <c r="D30" s="348" t="s">
        <v>236</v>
      </c>
      <c r="E30" s="106">
        <v>0.018</v>
      </c>
      <c r="F30" s="65">
        <v>0.014</v>
      </c>
      <c r="G30" s="314">
        <v>0.046</v>
      </c>
      <c r="H30" s="318">
        <v>0.038</v>
      </c>
      <c r="I30" s="318">
        <v>0.19</v>
      </c>
      <c r="J30" s="279">
        <v>0.083</v>
      </c>
      <c r="K30" s="318" t="s">
        <v>70</v>
      </c>
      <c r="L30" s="318">
        <v>0.185</v>
      </c>
      <c r="M30" s="65">
        <v>0.821</v>
      </c>
      <c r="N30" s="318">
        <v>0.24</v>
      </c>
      <c r="O30" s="318">
        <v>0.194</v>
      </c>
      <c r="P30" s="318">
        <v>0.039</v>
      </c>
      <c r="Q30" s="280">
        <f t="shared" si="3"/>
        <v>0.1698181818</v>
      </c>
      <c r="R30" s="29">
        <v>0.5</v>
      </c>
    </row>
    <row r="31" ht="15.75" hidden="1" customHeight="1">
      <c r="A31" s="21"/>
      <c r="B31" s="13" t="s">
        <v>42</v>
      </c>
      <c r="C31" s="202">
        <v>1.0</v>
      </c>
      <c r="D31" s="351" t="s">
        <v>240</v>
      </c>
      <c r="E31" s="281"/>
      <c r="F31" s="281"/>
      <c r="G31" s="281"/>
      <c r="H31" s="281"/>
      <c r="I31" s="281"/>
      <c r="J31" s="281"/>
      <c r="K31" s="281"/>
      <c r="L31" s="354"/>
      <c r="M31" s="354"/>
      <c r="N31" s="354"/>
      <c r="O31" s="354"/>
      <c r="P31" s="354"/>
      <c r="Q31" s="265" t="str">
        <f t="shared" ref="Q31:Q33" si="4">AVERAGE(E31,F31,G31,H31,I31,J31,K31,L31,M31,N31,O31,P31)</f>
        <v>#DIV/0!</v>
      </c>
    </row>
    <row r="32" ht="15.75" hidden="1" customHeight="1">
      <c r="A32" s="21"/>
      <c r="B32" s="22"/>
      <c r="C32" s="201">
        <v>2.0</v>
      </c>
      <c r="D32" s="348" t="s">
        <v>241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68" t="str">
        <f t="shared" si="4"/>
        <v>#DIV/0!</v>
      </c>
    </row>
    <row r="33" ht="15.75" hidden="1" customHeight="1">
      <c r="A33" s="21"/>
      <c r="B33" s="30"/>
      <c r="C33" s="201">
        <v>3.0</v>
      </c>
      <c r="D33" s="348" t="s">
        <v>242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68" t="str">
        <f t="shared" si="4"/>
        <v>#DIV/0!</v>
      </c>
    </row>
    <row r="34" ht="15.75" customHeight="1">
      <c r="A34" s="136"/>
      <c r="B34" s="355"/>
      <c r="C34" s="356"/>
      <c r="D34" s="99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4"/>
      <c r="R34" s="134"/>
    </row>
    <row r="35" ht="14.25" customHeight="1">
      <c r="A35" s="99" t="s">
        <v>43</v>
      </c>
      <c r="D35" s="134"/>
      <c r="E35" s="134"/>
      <c r="F35" s="134"/>
      <c r="G35" s="134"/>
      <c r="H35" s="134"/>
      <c r="I35" s="134"/>
      <c r="J35" s="135"/>
      <c r="K35" s="135"/>
      <c r="L35" s="134"/>
      <c r="M35" s="134"/>
      <c r="N35" s="134"/>
      <c r="O35" s="134"/>
      <c r="P35" s="135"/>
      <c r="Q35" s="134"/>
      <c r="R35" s="134"/>
    </row>
    <row r="36" ht="14.25" customHeight="1">
      <c r="D36" s="134"/>
      <c r="E36" s="134"/>
      <c r="F36" s="134"/>
      <c r="G36" s="134"/>
      <c r="H36" s="134"/>
      <c r="I36" s="134"/>
      <c r="J36" s="135"/>
      <c r="K36" s="135"/>
      <c r="L36" s="134"/>
      <c r="M36" s="134"/>
      <c r="N36" s="134"/>
      <c r="O36" s="134"/>
      <c r="P36" s="135"/>
      <c r="Q36" s="134"/>
      <c r="R36" s="134"/>
    </row>
    <row r="37" ht="13.5" customHeight="1">
      <c r="A37" s="312" t="s">
        <v>243</v>
      </c>
      <c r="E37" s="134"/>
      <c r="F37" s="134"/>
      <c r="G37" s="134"/>
      <c r="H37" s="134"/>
      <c r="I37" s="134"/>
      <c r="J37" s="135"/>
      <c r="K37" s="135"/>
      <c r="L37" s="134"/>
      <c r="M37" s="134"/>
      <c r="N37" s="134"/>
      <c r="O37" s="134"/>
      <c r="P37" s="135"/>
      <c r="Q37" s="134"/>
      <c r="R37" s="134"/>
    </row>
    <row r="38" ht="15.75" customHeight="1">
      <c r="E38" s="134"/>
      <c r="F38" s="134"/>
      <c r="G38" s="134"/>
      <c r="H38" s="134"/>
      <c r="I38" s="134"/>
      <c r="J38" s="135"/>
      <c r="K38" s="135"/>
      <c r="L38" s="134"/>
      <c r="M38" s="134"/>
      <c r="N38" s="134"/>
      <c r="O38" s="134"/>
      <c r="P38" s="135"/>
      <c r="Q38" s="134"/>
      <c r="R38" s="134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D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9.43"/>
    <col customWidth="1" min="3" max="3" width="8.43"/>
    <col customWidth="1" min="4" max="4" width="12.43"/>
    <col customWidth="1" min="5" max="5" width="14.14"/>
    <col customWidth="1" min="6" max="6" width="11.86"/>
    <col customWidth="1" min="7" max="7" width="11.57"/>
    <col customWidth="1" min="8" max="8" width="11.29"/>
    <col customWidth="1" min="9" max="9" width="11.14"/>
    <col customWidth="1" min="10" max="10" width="9.0"/>
    <col customWidth="1" min="11" max="11" width="17.86"/>
    <col customWidth="1" min="12" max="26" width="8.71"/>
  </cols>
  <sheetData>
    <row r="1" ht="14.25" customHeight="1">
      <c r="A1" s="35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25" customHeight="1">
      <c r="A2" s="35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4.25" customHeight="1">
      <c r="A3" s="35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A4" s="359" t="s">
        <v>3</v>
      </c>
      <c r="B4" s="360" t="s">
        <v>4</v>
      </c>
      <c r="C4" s="360" t="s">
        <v>5</v>
      </c>
      <c r="D4" s="361" t="s">
        <v>244</v>
      </c>
      <c r="E4" s="362"/>
      <c r="F4" s="360" t="s">
        <v>245</v>
      </c>
      <c r="G4" s="360" t="s">
        <v>246</v>
      </c>
      <c r="H4" s="360" t="s">
        <v>247</v>
      </c>
      <c r="I4" s="360" t="s">
        <v>248</v>
      </c>
      <c r="J4" s="360" t="s">
        <v>249</v>
      </c>
      <c r="K4" s="360" t="s">
        <v>250</v>
      </c>
    </row>
    <row r="5" ht="14.25" customHeight="1">
      <c r="A5" s="363"/>
      <c r="B5" s="30"/>
      <c r="C5" s="30"/>
      <c r="D5" s="364" t="s">
        <v>251</v>
      </c>
      <c r="E5" s="365" t="s">
        <v>252</v>
      </c>
      <c r="F5" s="30"/>
      <c r="G5" s="30"/>
      <c r="H5" s="30"/>
      <c r="I5" s="30"/>
      <c r="J5" s="30"/>
      <c r="K5" s="30"/>
    </row>
    <row r="6" ht="14.25" customHeight="1">
      <c r="A6" s="366" t="s">
        <v>253</v>
      </c>
      <c r="B6" s="9"/>
      <c r="C6" s="9"/>
      <c r="D6" s="9"/>
      <c r="E6" s="9"/>
      <c r="F6" s="9"/>
      <c r="G6" s="9"/>
      <c r="H6" s="9"/>
      <c r="I6" s="9"/>
      <c r="J6" s="9"/>
      <c r="K6" s="10"/>
    </row>
    <row r="7" ht="14.25" customHeight="1">
      <c r="A7" s="366" t="s">
        <v>254</v>
      </c>
      <c r="B7" s="9"/>
      <c r="C7" s="9"/>
      <c r="D7" s="9"/>
      <c r="E7" s="9"/>
      <c r="F7" s="9"/>
      <c r="G7" s="9"/>
      <c r="H7" s="9"/>
      <c r="I7" s="9"/>
      <c r="J7" s="9"/>
      <c r="K7" s="10"/>
    </row>
    <row r="8" ht="14.25" customHeight="1">
      <c r="A8" s="367" t="s">
        <v>23</v>
      </c>
      <c r="B8" s="368" t="s">
        <v>255</v>
      </c>
      <c r="C8" s="369">
        <v>1.0</v>
      </c>
      <c r="D8" s="370">
        <v>14.66669</v>
      </c>
      <c r="E8" s="370">
        <v>120.84239</v>
      </c>
      <c r="F8" s="371">
        <v>0.05</v>
      </c>
      <c r="G8" s="371" t="s">
        <v>256</v>
      </c>
      <c r="H8" s="371" t="s">
        <v>256</v>
      </c>
      <c r="I8" s="371">
        <v>0.066</v>
      </c>
      <c r="J8" s="372">
        <f t="shared" ref="J8:J115" si="1">AVERAGE(F8:I8)</f>
        <v>0.058</v>
      </c>
      <c r="K8" s="270">
        <v>9.6</v>
      </c>
    </row>
    <row r="9" ht="14.25" customHeight="1">
      <c r="A9" s="373"/>
      <c r="B9" s="22"/>
      <c r="C9" s="374">
        <v>2.0</v>
      </c>
      <c r="D9" s="373">
        <v>14.67756</v>
      </c>
      <c r="E9" s="373">
        <v>120.76119</v>
      </c>
      <c r="F9" s="236">
        <v>0.05</v>
      </c>
      <c r="G9" s="236" t="s">
        <v>256</v>
      </c>
      <c r="H9" s="236" t="s">
        <v>256</v>
      </c>
      <c r="I9" s="236">
        <v>0.05</v>
      </c>
      <c r="J9" s="375">
        <f t="shared" si="1"/>
        <v>0.05</v>
      </c>
      <c r="K9" s="236">
        <v>9.6</v>
      </c>
    </row>
    <row r="10" ht="14.25" customHeight="1">
      <c r="A10" s="373"/>
      <c r="B10" s="22"/>
      <c r="C10" s="374">
        <v>3.0</v>
      </c>
      <c r="D10" s="373">
        <v>14.67142</v>
      </c>
      <c r="E10" s="373">
        <v>120.62481</v>
      </c>
      <c r="F10" s="236">
        <v>0.05</v>
      </c>
      <c r="G10" s="236" t="s">
        <v>256</v>
      </c>
      <c r="H10" s="236" t="s">
        <v>256</v>
      </c>
      <c r="I10" s="236">
        <v>11.64</v>
      </c>
      <c r="J10" s="375">
        <f t="shared" si="1"/>
        <v>5.845</v>
      </c>
      <c r="K10" s="236">
        <v>9.6</v>
      </c>
    </row>
    <row r="11" ht="14.25" customHeight="1">
      <c r="A11" s="373"/>
      <c r="B11" s="22"/>
      <c r="C11" s="374">
        <v>4.0</v>
      </c>
      <c r="D11" s="373">
        <v>14.57836</v>
      </c>
      <c r="E11" s="373">
        <v>120.63139</v>
      </c>
      <c r="F11" s="236">
        <v>0.05</v>
      </c>
      <c r="G11" s="236" t="s">
        <v>256</v>
      </c>
      <c r="H11" s="236" t="s">
        <v>256</v>
      </c>
      <c r="I11" s="236">
        <v>9.09</v>
      </c>
      <c r="J11" s="375">
        <f t="shared" si="1"/>
        <v>4.57</v>
      </c>
      <c r="K11" s="236">
        <v>9.6</v>
      </c>
    </row>
    <row r="12" ht="14.25" customHeight="1">
      <c r="A12" s="373"/>
      <c r="B12" s="22"/>
      <c r="C12" s="374">
        <v>5.0</v>
      </c>
      <c r="D12" s="373">
        <v>14.4525</v>
      </c>
      <c r="E12" s="373">
        <v>120.62608</v>
      </c>
      <c r="F12" s="236">
        <v>16.2</v>
      </c>
      <c r="G12" s="236" t="s">
        <v>256</v>
      </c>
      <c r="H12" s="236" t="s">
        <v>256</v>
      </c>
      <c r="I12" s="236">
        <v>0.38</v>
      </c>
      <c r="J12" s="375">
        <f t="shared" si="1"/>
        <v>8.29</v>
      </c>
      <c r="K12" s="236">
        <v>9.6</v>
      </c>
    </row>
    <row r="13" ht="14.25" customHeight="1">
      <c r="A13" s="373"/>
      <c r="B13" s="22"/>
      <c r="C13" s="374">
        <v>6.0</v>
      </c>
      <c r="D13" s="373">
        <v>14.45306</v>
      </c>
      <c r="E13" s="373">
        <v>120.75489</v>
      </c>
      <c r="F13" s="236">
        <v>0.05</v>
      </c>
      <c r="G13" s="236" t="s">
        <v>256</v>
      </c>
      <c r="H13" s="236" t="s">
        <v>256</v>
      </c>
      <c r="I13" s="236">
        <v>0.55</v>
      </c>
      <c r="J13" s="375">
        <f t="shared" si="1"/>
        <v>0.3</v>
      </c>
      <c r="K13" s="236">
        <v>9.6</v>
      </c>
    </row>
    <row r="14" ht="14.25" customHeight="1">
      <c r="A14" s="373"/>
      <c r="B14" s="22"/>
      <c r="C14" s="374">
        <v>7.0</v>
      </c>
      <c r="D14" s="373">
        <v>14.46786</v>
      </c>
      <c r="E14" s="373">
        <v>120.841107</v>
      </c>
      <c r="F14" s="236">
        <v>0.05</v>
      </c>
      <c r="G14" s="236" t="s">
        <v>256</v>
      </c>
      <c r="H14" s="236" t="s">
        <v>256</v>
      </c>
      <c r="I14" s="236">
        <v>0.314</v>
      </c>
      <c r="J14" s="375">
        <f t="shared" si="1"/>
        <v>0.182</v>
      </c>
      <c r="K14" s="236">
        <v>9.6</v>
      </c>
    </row>
    <row r="15" ht="14.25" customHeight="1">
      <c r="A15" s="373"/>
      <c r="B15" s="22"/>
      <c r="C15" s="374">
        <v>8.0</v>
      </c>
      <c r="D15" s="373">
        <v>14.58444</v>
      </c>
      <c r="E15" s="373">
        <v>120.76211</v>
      </c>
      <c r="F15" s="236">
        <v>0.05</v>
      </c>
      <c r="G15" s="236" t="s">
        <v>256</v>
      </c>
      <c r="H15" s="236" t="s">
        <v>256</v>
      </c>
      <c r="I15" s="236">
        <v>12.577</v>
      </c>
      <c r="J15" s="375">
        <f t="shared" si="1"/>
        <v>6.3135</v>
      </c>
      <c r="K15" s="236">
        <v>9.6</v>
      </c>
    </row>
    <row r="16" ht="14.25" customHeight="1">
      <c r="A16" s="373"/>
      <c r="B16" s="30"/>
      <c r="C16" s="374">
        <v>9.0</v>
      </c>
      <c r="D16" s="373">
        <v>14.590809</v>
      </c>
      <c r="E16" s="373">
        <v>120.847296</v>
      </c>
      <c r="F16" s="236">
        <v>0.05</v>
      </c>
      <c r="G16" s="236" t="s">
        <v>256</v>
      </c>
      <c r="H16" s="236" t="s">
        <v>256</v>
      </c>
      <c r="I16" s="236">
        <v>0.532</v>
      </c>
      <c r="J16" s="375">
        <f t="shared" si="1"/>
        <v>0.291</v>
      </c>
      <c r="K16" s="236">
        <v>9.6</v>
      </c>
    </row>
    <row r="17" ht="14.25" customHeight="1">
      <c r="A17" s="373"/>
      <c r="B17" s="376" t="s">
        <v>257</v>
      </c>
      <c r="C17" s="377">
        <v>1.0</v>
      </c>
      <c r="D17" s="370">
        <v>14.66669</v>
      </c>
      <c r="E17" s="370">
        <v>120.84239</v>
      </c>
      <c r="F17" s="371">
        <v>2.64</v>
      </c>
      <c r="G17" s="371" t="s">
        <v>258</v>
      </c>
      <c r="H17" s="371" t="s">
        <v>258</v>
      </c>
      <c r="I17" s="371" t="s">
        <v>258</v>
      </c>
      <c r="J17" s="372">
        <f t="shared" si="1"/>
        <v>2.64</v>
      </c>
      <c r="K17" s="371">
        <v>370.0</v>
      </c>
    </row>
    <row r="18" ht="14.25" customHeight="1">
      <c r="A18" s="373"/>
      <c r="B18" s="22"/>
      <c r="C18" s="374">
        <v>2.0</v>
      </c>
      <c r="D18" s="373">
        <v>14.67756</v>
      </c>
      <c r="E18" s="373">
        <v>120.76119</v>
      </c>
      <c r="F18" s="236">
        <v>2.45</v>
      </c>
      <c r="G18" s="236" t="s">
        <v>258</v>
      </c>
      <c r="H18" s="236" t="s">
        <v>258</v>
      </c>
      <c r="I18" s="236" t="s">
        <v>258</v>
      </c>
      <c r="J18" s="375">
        <f t="shared" si="1"/>
        <v>2.45</v>
      </c>
      <c r="K18" s="236">
        <v>370.0</v>
      </c>
    </row>
    <row r="19" ht="14.25" customHeight="1">
      <c r="A19" s="373"/>
      <c r="B19" s="22"/>
      <c r="C19" s="374">
        <v>3.0</v>
      </c>
      <c r="D19" s="373">
        <v>14.67142</v>
      </c>
      <c r="E19" s="373">
        <v>120.62481</v>
      </c>
      <c r="F19" s="236">
        <v>1.76</v>
      </c>
      <c r="G19" s="242" t="s">
        <v>258</v>
      </c>
      <c r="H19" s="236" t="s">
        <v>258</v>
      </c>
      <c r="I19" s="236" t="s">
        <v>258</v>
      </c>
      <c r="J19" s="375">
        <f t="shared" si="1"/>
        <v>1.76</v>
      </c>
      <c r="K19" s="236">
        <v>370.0</v>
      </c>
    </row>
    <row r="20" ht="14.25" customHeight="1">
      <c r="A20" s="373"/>
      <c r="B20" s="22"/>
      <c r="C20" s="374">
        <v>4.0</v>
      </c>
      <c r="D20" s="373">
        <v>14.57836</v>
      </c>
      <c r="E20" s="373">
        <v>120.63139</v>
      </c>
      <c r="F20" s="236">
        <v>1.87</v>
      </c>
      <c r="G20" s="236" t="s">
        <v>258</v>
      </c>
      <c r="H20" s="236" t="s">
        <v>258</v>
      </c>
      <c r="I20" s="236" t="s">
        <v>258</v>
      </c>
      <c r="J20" s="375">
        <f t="shared" si="1"/>
        <v>1.87</v>
      </c>
      <c r="K20" s="236">
        <v>370.0</v>
      </c>
    </row>
    <row r="21" ht="14.25" customHeight="1">
      <c r="A21" s="373"/>
      <c r="B21" s="22"/>
      <c r="C21" s="374">
        <v>5.0</v>
      </c>
      <c r="D21" s="373">
        <v>14.4525</v>
      </c>
      <c r="E21" s="373">
        <v>120.62608</v>
      </c>
      <c r="F21" s="236">
        <v>19.4</v>
      </c>
      <c r="G21" s="236" t="s">
        <v>258</v>
      </c>
      <c r="H21" s="236" t="s">
        <v>258</v>
      </c>
      <c r="I21" s="236" t="s">
        <v>258</v>
      </c>
      <c r="J21" s="375">
        <f t="shared" si="1"/>
        <v>19.4</v>
      </c>
      <c r="K21" s="236">
        <v>370.0</v>
      </c>
    </row>
    <row r="22" ht="14.25" customHeight="1">
      <c r="A22" s="373"/>
      <c r="B22" s="22"/>
      <c r="C22" s="374">
        <v>6.0</v>
      </c>
      <c r="D22" s="373">
        <v>14.45306</v>
      </c>
      <c r="E22" s="373">
        <v>120.75489</v>
      </c>
      <c r="F22" s="236">
        <v>1.89</v>
      </c>
      <c r="G22" s="236" t="s">
        <v>258</v>
      </c>
      <c r="H22" s="236" t="s">
        <v>258</v>
      </c>
      <c r="I22" s="236" t="s">
        <v>258</v>
      </c>
      <c r="J22" s="375">
        <f t="shared" si="1"/>
        <v>1.89</v>
      </c>
      <c r="K22" s="236">
        <v>370.0</v>
      </c>
    </row>
    <row r="23" ht="14.25" customHeight="1">
      <c r="A23" s="373"/>
      <c r="B23" s="22"/>
      <c r="C23" s="374">
        <v>7.0</v>
      </c>
      <c r="D23" s="373">
        <v>14.46786</v>
      </c>
      <c r="E23" s="373">
        <v>120.841107</v>
      </c>
      <c r="F23" s="236">
        <v>1.65</v>
      </c>
      <c r="G23" s="236" t="s">
        <v>258</v>
      </c>
      <c r="H23" s="236" t="s">
        <v>258</v>
      </c>
      <c r="I23" s="236" t="s">
        <v>258</v>
      </c>
      <c r="J23" s="375">
        <f t="shared" si="1"/>
        <v>1.65</v>
      </c>
      <c r="K23" s="236">
        <v>370.0</v>
      </c>
    </row>
    <row r="24" ht="14.25" customHeight="1">
      <c r="A24" s="373"/>
      <c r="B24" s="22"/>
      <c r="C24" s="374">
        <v>8.0</v>
      </c>
      <c r="D24" s="373">
        <v>14.58444</v>
      </c>
      <c r="E24" s="373">
        <v>120.76211</v>
      </c>
      <c r="F24" s="236">
        <v>1.87</v>
      </c>
      <c r="G24" s="236" t="s">
        <v>258</v>
      </c>
      <c r="H24" s="236" t="s">
        <v>258</v>
      </c>
      <c r="I24" s="236" t="s">
        <v>258</v>
      </c>
      <c r="J24" s="375">
        <f t="shared" si="1"/>
        <v>1.87</v>
      </c>
      <c r="K24" s="236">
        <v>370.0</v>
      </c>
    </row>
    <row r="25" ht="14.25" customHeight="1">
      <c r="A25" s="373"/>
      <c r="B25" s="30"/>
      <c r="C25" s="374">
        <v>9.0</v>
      </c>
      <c r="D25" s="373">
        <v>14.590809</v>
      </c>
      <c r="E25" s="373">
        <v>120.847296</v>
      </c>
      <c r="F25" s="236">
        <v>2.64</v>
      </c>
      <c r="G25" s="236" t="s">
        <v>258</v>
      </c>
      <c r="H25" s="236" t="s">
        <v>258</v>
      </c>
      <c r="I25" s="236" t="s">
        <v>258</v>
      </c>
      <c r="J25" s="375">
        <f t="shared" si="1"/>
        <v>2.64</v>
      </c>
      <c r="K25" s="236">
        <v>370.0</v>
      </c>
    </row>
    <row r="26" ht="14.25" customHeight="1">
      <c r="A26" s="373"/>
      <c r="B26" s="376" t="s">
        <v>259</v>
      </c>
      <c r="C26" s="377">
        <v>1.0</v>
      </c>
      <c r="D26" s="370">
        <v>14.66669</v>
      </c>
      <c r="E26" s="370">
        <v>120.84239</v>
      </c>
      <c r="F26" s="371">
        <v>1.22</v>
      </c>
      <c r="G26" s="378" t="s">
        <v>260</v>
      </c>
      <c r="H26" s="371" t="s">
        <v>260</v>
      </c>
      <c r="I26" s="371">
        <v>6.87</v>
      </c>
      <c r="J26" s="372">
        <f t="shared" si="1"/>
        <v>4.045</v>
      </c>
      <c r="K26" s="371">
        <v>218.0</v>
      </c>
    </row>
    <row r="27" ht="14.25" customHeight="1">
      <c r="A27" s="373"/>
      <c r="B27" s="22"/>
      <c r="C27" s="374">
        <v>2.0</v>
      </c>
      <c r="D27" s="373">
        <v>14.67756</v>
      </c>
      <c r="E27" s="373">
        <v>120.76119</v>
      </c>
      <c r="F27" s="236">
        <v>0.527</v>
      </c>
      <c r="G27" s="242" t="s">
        <v>260</v>
      </c>
      <c r="H27" s="236" t="s">
        <v>260</v>
      </c>
      <c r="I27" s="236">
        <v>1.29</v>
      </c>
      <c r="J27" s="375">
        <f t="shared" si="1"/>
        <v>0.9085</v>
      </c>
      <c r="K27" s="236">
        <v>218.0</v>
      </c>
    </row>
    <row r="28" ht="14.25" customHeight="1">
      <c r="A28" s="373"/>
      <c r="B28" s="22"/>
      <c r="C28" s="374">
        <v>3.0</v>
      </c>
      <c r="D28" s="373">
        <v>14.67142</v>
      </c>
      <c r="E28" s="373">
        <v>120.62481</v>
      </c>
      <c r="F28" s="236">
        <v>0.128</v>
      </c>
      <c r="G28" s="242" t="s">
        <v>260</v>
      </c>
      <c r="H28" s="236" t="s">
        <v>260</v>
      </c>
      <c r="I28" s="236">
        <v>4.64</v>
      </c>
      <c r="J28" s="375">
        <f t="shared" si="1"/>
        <v>2.384</v>
      </c>
      <c r="K28" s="236">
        <v>218.0</v>
      </c>
    </row>
    <row r="29" ht="14.25" customHeight="1">
      <c r="A29" s="373"/>
      <c r="B29" s="22"/>
      <c r="C29" s="374">
        <v>4.0</v>
      </c>
      <c r="D29" s="373">
        <v>14.57836</v>
      </c>
      <c r="E29" s="373">
        <v>120.63139</v>
      </c>
      <c r="F29" s="236">
        <v>0.264</v>
      </c>
      <c r="G29" s="242" t="s">
        <v>260</v>
      </c>
      <c r="H29" s="236" t="s">
        <v>260</v>
      </c>
      <c r="I29" s="236">
        <v>9.1</v>
      </c>
      <c r="J29" s="375">
        <f t="shared" si="1"/>
        <v>4.682</v>
      </c>
      <c r="K29" s="236">
        <v>218.0</v>
      </c>
    </row>
    <row r="30" ht="14.25" customHeight="1">
      <c r="A30" s="373"/>
      <c r="B30" s="22"/>
      <c r="C30" s="374">
        <v>5.0</v>
      </c>
      <c r="D30" s="373">
        <v>14.4525</v>
      </c>
      <c r="E30" s="373">
        <v>120.62608</v>
      </c>
      <c r="F30" s="236">
        <v>0.401</v>
      </c>
      <c r="G30" s="242" t="s">
        <v>260</v>
      </c>
      <c r="H30" s="236" t="s">
        <v>260</v>
      </c>
      <c r="I30" s="236">
        <v>7.99</v>
      </c>
      <c r="J30" s="375">
        <f t="shared" si="1"/>
        <v>4.1955</v>
      </c>
      <c r="K30" s="236">
        <v>218.0</v>
      </c>
    </row>
    <row r="31" ht="14.25" customHeight="1">
      <c r="A31" s="373"/>
      <c r="B31" s="22"/>
      <c r="C31" s="374">
        <v>6.0</v>
      </c>
      <c r="D31" s="373">
        <v>14.45306</v>
      </c>
      <c r="E31" s="373">
        <v>120.75489</v>
      </c>
      <c r="F31" s="253">
        <v>0.83</v>
      </c>
      <c r="G31" s="242" t="s">
        <v>260</v>
      </c>
      <c r="H31" s="236" t="s">
        <v>260</v>
      </c>
      <c r="I31" s="236">
        <v>11.33</v>
      </c>
      <c r="J31" s="375">
        <f t="shared" si="1"/>
        <v>6.08</v>
      </c>
      <c r="K31" s="236">
        <v>218.0</v>
      </c>
    </row>
    <row r="32" ht="14.25" customHeight="1">
      <c r="A32" s="373"/>
      <c r="B32" s="22"/>
      <c r="C32" s="374">
        <v>7.0</v>
      </c>
      <c r="D32" s="373">
        <v>14.46786</v>
      </c>
      <c r="E32" s="373">
        <v>120.841107</v>
      </c>
      <c r="F32" s="236">
        <v>1.51</v>
      </c>
      <c r="G32" s="242" t="s">
        <v>260</v>
      </c>
      <c r="H32" s="236">
        <v>2.15</v>
      </c>
      <c r="I32" s="236">
        <v>7.99</v>
      </c>
      <c r="J32" s="375">
        <f t="shared" si="1"/>
        <v>3.883333333</v>
      </c>
      <c r="K32" s="236">
        <v>218.0</v>
      </c>
    </row>
    <row r="33" ht="14.25" customHeight="1">
      <c r="A33" s="373"/>
      <c r="B33" s="22"/>
      <c r="C33" s="374">
        <v>8.0</v>
      </c>
      <c r="D33" s="373">
        <v>14.58444</v>
      </c>
      <c r="E33" s="373">
        <v>120.76211</v>
      </c>
      <c r="F33" s="236">
        <v>1.24</v>
      </c>
      <c r="G33" s="242" t="s">
        <v>260</v>
      </c>
      <c r="H33" s="236" t="s">
        <v>260</v>
      </c>
      <c r="I33" s="236">
        <v>14.12</v>
      </c>
      <c r="J33" s="375">
        <f t="shared" si="1"/>
        <v>7.68</v>
      </c>
      <c r="K33" s="236">
        <v>218.0</v>
      </c>
    </row>
    <row r="34" ht="14.25" customHeight="1">
      <c r="A34" s="373"/>
      <c r="B34" s="30"/>
      <c r="C34" s="374">
        <v>9.0</v>
      </c>
      <c r="D34" s="373">
        <v>14.590809</v>
      </c>
      <c r="E34" s="373">
        <v>120.847296</v>
      </c>
      <c r="F34" s="236">
        <v>2.13</v>
      </c>
      <c r="G34" s="242" t="s">
        <v>260</v>
      </c>
      <c r="H34" s="236" t="s">
        <v>260</v>
      </c>
      <c r="I34" s="236">
        <v>14.67</v>
      </c>
      <c r="J34" s="375">
        <f t="shared" si="1"/>
        <v>8.4</v>
      </c>
      <c r="K34" s="236">
        <v>218.0</v>
      </c>
    </row>
    <row r="35" ht="14.25" customHeight="1">
      <c r="A35" s="373"/>
      <c r="B35" s="376" t="s">
        <v>261</v>
      </c>
      <c r="C35" s="377">
        <v>1.0</v>
      </c>
      <c r="D35" s="370">
        <v>14.66669</v>
      </c>
      <c r="E35" s="370">
        <v>120.84239</v>
      </c>
      <c r="F35" s="371" t="s">
        <v>258</v>
      </c>
      <c r="G35" s="371">
        <v>0.01</v>
      </c>
      <c r="H35" s="371" t="s">
        <v>258</v>
      </c>
      <c r="I35" s="371" t="s">
        <v>258</v>
      </c>
      <c r="J35" s="372">
        <f t="shared" si="1"/>
        <v>0.01</v>
      </c>
      <c r="K35" s="371">
        <v>1.0</v>
      </c>
    </row>
    <row r="36" ht="14.25" customHeight="1">
      <c r="A36" s="373"/>
      <c r="B36" s="22"/>
      <c r="C36" s="374">
        <v>2.0</v>
      </c>
      <c r="D36" s="373">
        <v>14.67756</v>
      </c>
      <c r="E36" s="373">
        <v>120.76119</v>
      </c>
      <c r="F36" s="236" t="s">
        <v>258</v>
      </c>
      <c r="G36" s="236">
        <v>0.01</v>
      </c>
      <c r="H36" s="236" t="s">
        <v>258</v>
      </c>
      <c r="I36" s="236" t="s">
        <v>258</v>
      </c>
      <c r="J36" s="375">
        <f t="shared" si="1"/>
        <v>0.01</v>
      </c>
      <c r="K36" s="379">
        <v>1.0</v>
      </c>
    </row>
    <row r="37" ht="14.25" customHeight="1">
      <c r="A37" s="373"/>
      <c r="B37" s="22"/>
      <c r="C37" s="374">
        <v>3.0</v>
      </c>
      <c r="D37" s="373">
        <v>14.67142</v>
      </c>
      <c r="E37" s="373">
        <v>120.62481</v>
      </c>
      <c r="F37" s="236" t="s">
        <v>258</v>
      </c>
      <c r="G37" s="236">
        <v>0.01</v>
      </c>
      <c r="H37" s="236" t="s">
        <v>258</v>
      </c>
      <c r="I37" s="236" t="s">
        <v>258</v>
      </c>
      <c r="J37" s="375">
        <f t="shared" si="1"/>
        <v>0.01</v>
      </c>
      <c r="K37" s="379">
        <v>1.0</v>
      </c>
    </row>
    <row r="38" ht="14.25" customHeight="1">
      <c r="A38" s="373"/>
      <c r="B38" s="22"/>
      <c r="C38" s="374">
        <v>4.0</v>
      </c>
      <c r="D38" s="373">
        <v>14.57836</v>
      </c>
      <c r="E38" s="373">
        <v>120.63139</v>
      </c>
      <c r="F38" s="236" t="s">
        <v>258</v>
      </c>
      <c r="G38" s="236">
        <v>0.01</v>
      </c>
      <c r="H38" s="236" t="s">
        <v>258</v>
      </c>
      <c r="I38" s="236" t="s">
        <v>258</v>
      </c>
      <c r="J38" s="375">
        <f t="shared" si="1"/>
        <v>0.01</v>
      </c>
      <c r="K38" s="379">
        <v>1.0</v>
      </c>
    </row>
    <row r="39" ht="14.25" customHeight="1">
      <c r="A39" s="373"/>
      <c r="B39" s="22"/>
      <c r="C39" s="374">
        <v>5.0</v>
      </c>
      <c r="D39" s="373">
        <v>14.4525</v>
      </c>
      <c r="E39" s="373">
        <v>120.62608</v>
      </c>
      <c r="F39" s="236" t="s">
        <v>258</v>
      </c>
      <c r="G39" s="236">
        <v>0.01</v>
      </c>
      <c r="H39" s="236" t="s">
        <v>258</v>
      </c>
      <c r="I39" s="236" t="s">
        <v>258</v>
      </c>
      <c r="J39" s="375">
        <f t="shared" si="1"/>
        <v>0.01</v>
      </c>
      <c r="K39" s="379">
        <v>1.0</v>
      </c>
    </row>
    <row r="40" ht="15.0" customHeight="1">
      <c r="A40" s="373"/>
      <c r="B40" s="22"/>
      <c r="C40" s="374">
        <v>6.0</v>
      </c>
      <c r="D40" s="373">
        <v>14.45306</v>
      </c>
      <c r="E40" s="373">
        <v>120.75489</v>
      </c>
      <c r="F40" s="236" t="s">
        <v>258</v>
      </c>
      <c r="G40" s="236">
        <v>0.01</v>
      </c>
      <c r="H40" s="236" t="s">
        <v>258</v>
      </c>
      <c r="I40" s="236" t="s">
        <v>258</v>
      </c>
      <c r="J40" s="375">
        <f t="shared" si="1"/>
        <v>0.01</v>
      </c>
      <c r="K40" s="379">
        <v>1.0</v>
      </c>
    </row>
    <row r="41" ht="15.0" customHeight="1">
      <c r="A41" s="373"/>
      <c r="B41" s="22"/>
      <c r="C41" s="374">
        <v>7.0</v>
      </c>
      <c r="D41" s="373">
        <v>14.46786</v>
      </c>
      <c r="E41" s="373">
        <v>120.841107</v>
      </c>
      <c r="F41" s="236" t="s">
        <v>258</v>
      </c>
      <c r="G41" s="236">
        <v>0.01</v>
      </c>
      <c r="H41" s="236" t="s">
        <v>258</v>
      </c>
      <c r="I41" s="236" t="s">
        <v>258</v>
      </c>
      <c r="J41" s="375">
        <f t="shared" si="1"/>
        <v>0.01</v>
      </c>
      <c r="K41" s="379">
        <v>1.0</v>
      </c>
    </row>
    <row r="42">
      <c r="A42" s="373"/>
      <c r="B42" s="22"/>
      <c r="C42" s="374">
        <v>8.0</v>
      </c>
      <c r="D42" s="373">
        <v>14.58444</v>
      </c>
      <c r="E42" s="373">
        <v>120.76211</v>
      </c>
      <c r="F42" s="236" t="s">
        <v>258</v>
      </c>
      <c r="G42" s="236">
        <v>0.01</v>
      </c>
      <c r="H42" s="236" t="s">
        <v>258</v>
      </c>
      <c r="I42" s="236" t="s">
        <v>258</v>
      </c>
      <c r="J42" s="375">
        <f t="shared" si="1"/>
        <v>0.01</v>
      </c>
      <c r="K42" s="379">
        <v>1.0</v>
      </c>
    </row>
    <row r="43">
      <c r="A43" s="373"/>
      <c r="B43" s="22"/>
      <c r="C43" s="374">
        <v>9.0</v>
      </c>
      <c r="D43" s="373">
        <v>14.590809</v>
      </c>
      <c r="E43" s="373">
        <v>120.847296</v>
      </c>
      <c r="F43" s="236" t="s">
        <v>258</v>
      </c>
      <c r="G43" s="236">
        <v>0.01</v>
      </c>
      <c r="H43" s="236" t="s">
        <v>258</v>
      </c>
      <c r="I43" s="236" t="s">
        <v>258</v>
      </c>
      <c r="J43" s="375">
        <f t="shared" si="1"/>
        <v>0.01</v>
      </c>
      <c r="K43" s="379">
        <v>1.0</v>
      </c>
    </row>
    <row r="44">
      <c r="A44" s="373"/>
      <c r="B44" s="376" t="s">
        <v>262</v>
      </c>
      <c r="C44" s="377">
        <v>1.0</v>
      </c>
      <c r="D44" s="370">
        <v>14.66669</v>
      </c>
      <c r="E44" s="370">
        <v>120.84239</v>
      </c>
      <c r="F44" s="371" t="s">
        <v>169</v>
      </c>
      <c r="G44" s="371">
        <v>3.8</v>
      </c>
      <c r="H44" s="371">
        <v>3.3</v>
      </c>
      <c r="I44" s="371">
        <v>3.7</v>
      </c>
      <c r="J44" s="372">
        <f t="shared" si="1"/>
        <v>3.6</v>
      </c>
      <c r="K44" s="371">
        <v>70.0</v>
      </c>
    </row>
    <row r="45">
      <c r="A45" s="373"/>
      <c r="B45" s="22"/>
      <c r="C45" s="374">
        <v>2.0</v>
      </c>
      <c r="D45" s="373">
        <v>14.67756</v>
      </c>
      <c r="E45" s="373">
        <v>120.76119</v>
      </c>
      <c r="F45" s="236" t="s">
        <v>169</v>
      </c>
      <c r="G45" s="236">
        <v>3.0</v>
      </c>
      <c r="H45" s="236">
        <v>3.9</v>
      </c>
      <c r="I45" s="236">
        <v>3.8</v>
      </c>
      <c r="J45" s="375">
        <f t="shared" si="1"/>
        <v>3.566666667</v>
      </c>
      <c r="K45" s="236">
        <v>70.0</v>
      </c>
    </row>
    <row r="46">
      <c r="A46" s="373"/>
      <c r="B46" s="22"/>
      <c r="C46" s="374">
        <v>3.0</v>
      </c>
      <c r="D46" s="373">
        <v>14.67142</v>
      </c>
      <c r="E46" s="373">
        <v>120.62481</v>
      </c>
      <c r="F46" s="236" t="s">
        <v>169</v>
      </c>
      <c r="G46" s="236">
        <v>2.2</v>
      </c>
      <c r="H46" s="236">
        <v>2.4</v>
      </c>
      <c r="I46" s="236">
        <v>1.7</v>
      </c>
      <c r="J46" s="375">
        <f t="shared" si="1"/>
        <v>2.1</v>
      </c>
      <c r="K46" s="236">
        <v>70.0</v>
      </c>
    </row>
    <row r="47">
      <c r="A47" s="373"/>
      <c r="B47" s="22"/>
      <c r="C47" s="374">
        <v>4.0</v>
      </c>
      <c r="D47" s="373">
        <v>14.57836</v>
      </c>
      <c r="E47" s="373">
        <v>120.63139</v>
      </c>
      <c r="F47" s="236" t="s">
        <v>169</v>
      </c>
      <c r="G47" s="236">
        <v>2.9</v>
      </c>
      <c r="H47" s="236">
        <v>3.0</v>
      </c>
      <c r="I47" s="236">
        <v>2.7</v>
      </c>
      <c r="J47" s="375">
        <f t="shared" si="1"/>
        <v>2.866666667</v>
      </c>
      <c r="K47" s="236">
        <v>70.0</v>
      </c>
    </row>
    <row r="48">
      <c r="A48" s="373"/>
      <c r="B48" s="22"/>
      <c r="C48" s="374">
        <v>5.0</v>
      </c>
      <c r="D48" s="373">
        <v>14.4525</v>
      </c>
      <c r="E48" s="373">
        <v>120.62608</v>
      </c>
      <c r="F48" s="236" t="s">
        <v>169</v>
      </c>
      <c r="G48" s="236">
        <v>3.1</v>
      </c>
      <c r="H48" s="236">
        <v>3.6</v>
      </c>
      <c r="I48" s="236">
        <v>3.1</v>
      </c>
      <c r="J48" s="375">
        <f t="shared" si="1"/>
        <v>3.266666667</v>
      </c>
      <c r="K48" s="236">
        <v>70.0</v>
      </c>
    </row>
    <row r="49">
      <c r="A49" s="373"/>
      <c r="B49" s="22"/>
      <c r="C49" s="374">
        <v>6.0</v>
      </c>
      <c r="D49" s="373">
        <v>14.45306</v>
      </c>
      <c r="E49" s="373">
        <v>120.75489</v>
      </c>
      <c r="F49" s="236" t="s">
        <v>169</v>
      </c>
      <c r="G49" s="236">
        <v>3.0</v>
      </c>
      <c r="H49" s="236">
        <v>3.0</v>
      </c>
      <c r="I49" s="236">
        <v>3.6</v>
      </c>
      <c r="J49" s="375">
        <f t="shared" si="1"/>
        <v>3.2</v>
      </c>
      <c r="K49" s="236">
        <v>70.0</v>
      </c>
    </row>
    <row r="50">
      <c r="A50" s="373"/>
      <c r="B50" s="22"/>
      <c r="C50" s="374">
        <v>7.0</v>
      </c>
      <c r="D50" s="373">
        <v>14.46786</v>
      </c>
      <c r="E50" s="373">
        <v>120.841107</v>
      </c>
      <c r="F50" s="236" t="s">
        <v>169</v>
      </c>
      <c r="G50" s="236">
        <v>4.5</v>
      </c>
      <c r="H50" s="236">
        <v>3.2</v>
      </c>
      <c r="I50" s="236">
        <v>3.4</v>
      </c>
      <c r="J50" s="375">
        <f t="shared" si="1"/>
        <v>3.7</v>
      </c>
      <c r="K50" s="236">
        <v>70.0</v>
      </c>
    </row>
    <row r="51">
      <c r="A51" s="373"/>
      <c r="B51" s="22"/>
      <c r="C51" s="374">
        <v>8.0</v>
      </c>
      <c r="D51" s="373">
        <v>14.58444</v>
      </c>
      <c r="E51" s="373">
        <v>120.76211</v>
      </c>
      <c r="F51" s="236" t="s">
        <v>169</v>
      </c>
      <c r="G51" s="236">
        <v>3.5</v>
      </c>
      <c r="H51" s="236">
        <v>2.4</v>
      </c>
      <c r="I51" s="236">
        <v>4.2</v>
      </c>
      <c r="J51" s="375">
        <f t="shared" si="1"/>
        <v>3.366666667</v>
      </c>
      <c r="K51" s="236">
        <v>70.0</v>
      </c>
    </row>
    <row r="52">
      <c r="A52" s="373"/>
      <c r="B52" s="22"/>
      <c r="C52" s="374">
        <v>9.0</v>
      </c>
      <c r="D52" s="373">
        <v>14.590809</v>
      </c>
      <c r="E52" s="373">
        <v>120.847296</v>
      </c>
      <c r="F52" s="236" t="s">
        <v>169</v>
      </c>
      <c r="G52" s="236">
        <v>3.3</v>
      </c>
      <c r="H52" s="236">
        <v>3.1</v>
      </c>
      <c r="I52" s="236">
        <v>3.4</v>
      </c>
      <c r="J52" s="375">
        <f t="shared" si="1"/>
        <v>3.266666667</v>
      </c>
      <c r="K52" s="236">
        <v>70.0</v>
      </c>
    </row>
    <row r="53">
      <c r="A53" s="373"/>
      <c r="B53" s="376" t="s">
        <v>263</v>
      </c>
      <c r="C53" s="377">
        <v>1.0</v>
      </c>
      <c r="D53" s="370">
        <v>14.66669</v>
      </c>
      <c r="E53" s="370">
        <v>120.84239</v>
      </c>
      <c r="F53" s="371">
        <v>7.79</v>
      </c>
      <c r="G53" s="371" t="s">
        <v>264</v>
      </c>
      <c r="H53" s="371" t="s">
        <v>264</v>
      </c>
      <c r="I53" s="371" t="s">
        <v>70</v>
      </c>
      <c r="J53" s="372">
        <f t="shared" si="1"/>
        <v>7.79</v>
      </c>
      <c r="K53" s="371" t="s">
        <v>265</v>
      </c>
    </row>
    <row r="54">
      <c r="A54" s="373"/>
      <c r="B54" s="22"/>
      <c r="C54" s="374">
        <v>2.0</v>
      </c>
      <c r="D54" s="373">
        <v>14.67756</v>
      </c>
      <c r="E54" s="373">
        <v>120.76119</v>
      </c>
      <c r="F54" s="236">
        <v>12.9</v>
      </c>
      <c r="G54" s="236" t="s">
        <v>266</v>
      </c>
      <c r="H54" s="236" t="s">
        <v>266</v>
      </c>
      <c r="I54" s="236" t="s">
        <v>70</v>
      </c>
      <c r="J54" s="375">
        <f t="shared" si="1"/>
        <v>12.9</v>
      </c>
      <c r="K54" s="236" t="s">
        <v>265</v>
      </c>
    </row>
    <row r="55">
      <c r="A55" s="373"/>
      <c r="B55" s="22"/>
      <c r="C55" s="374">
        <v>3.0</v>
      </c>
      <c r="D55" s="373">
        <v>14.67142</v>
      </c>
      <c r="E55" s="373">
        <v>120.62481</v>
      </c>
      <c r="F55" s="236">
        <v>6.22</v>
      </c>
      <c r="G55" s="236" t="s">
        <v>266</v>
      </c>
      <c r="H55" s="236" t="s">
        <v>266</v>
      </c>
      <c r="I55" s="236" t="s">
        <v>70</v>
      </c>
      <c r="J55" s="375">
        <f t="shared" si="1"/>
        <v>6.22</v>
      </c>
      <c r="K55" s="236" t="s">
        <v>265</v>
      </c>
    </row>
    <row r="56">
      <c r="A56" s="373"/>
      <c r="B56" s="22"/>
      <c r="C56" s="374">
        <v>4.0</v>
      </c>
      <c r="D56" s="373">
        <v>14.57836</v>
      </c>
      <c r="E56" s="373">
        <v>120.63139</v>
      </c>
      <c r="F56" s="236">
        <v>5.94</v>
      </c>
      <c r="G56" s="236" t="s">
        <v>266</v>
      </c>
      <c r="H56" s="236" t="s">
        <v>266</v>
      </c>
      <c r="I56" s="236" t="s">
        <v>70</v>
      </c>
      <c r="J56" s="375">
        <f t="shared" si="1"/>
        <v>5.94</v>
      </c>
      <c r="K56" s="236" t="s">
        <v>265</v>
      </c>
    </row>
    <row r="57">
      <c r="A57" s="373"/>
      <c r="B57" s="22"/>
      <c r="C57" s="374">
        <v>5.0</v>
      </c>
      <c r="D57" s="373">
        <v>14.4525</v>
      </c>
      <c r="E57" s="373">
        <v>120.62608</v>
      </c>
      <c r="F57" s="236">
        <v>20.6</v>
      </c>
      <c r="G57" s="236" t="s">
        <v>266</v>
      </c>
      <c r="H57" s="236" t="s">
        <v>266</v>
      </c>
      <c r="I57" s="236" t="s">
        <v>70</v>
      </c>
      <c r="J57" s="375">
        <f t="shared" si="1"/>
        <v>20.6</v>
      </c>
      <c r="K57" s="236" t="s">
        <v>265</v>
      </c>
    </row>
    <row r="58">
      <c r="A58" s="373"/>
      <c r="B58" s="22"/>
      <c r="C58" s="374">
        <v>6.0</v>
      </c>
      <c r="D58" s="373">
        <v>14.45306</v>
      </c>
      <c r="E58" s="373">
        <v>120.75489</v>
      </c>
      <c r="F58" s="236">
        <v>2.03</v>
      </c>
      <c r="G58" s="236" t="s">
        <v>266</v>
      </c>
      <c r="H58" s="236" t="s">
        <v>266</v>
      </c>
      <c r="I58" s="236" t="s">
        <v>70</v>
      </c>
      <c r="J58" s="375">
        <f t="shared" si="1"/>
        <v>2.03</v>
      </c>
      <c r="K58" s="236" t="s">
        <v>265</v>
      </c>
    </row>
    <row r="59">
      <c r="A59" s="373"/>
      <c r="B59" s="22"/>
      <c r="C59" s="374">
        <v>7.0</v>
      </c>
      <c r="D59" s="373">
        <v>14.46786</v>
      </c>
      <c r="E59" s="373">
        <v>120.841107</v>
      </c>
      <c r="F59" s="236">
        <v>4.47</v>
      </c>
      <c r="G59" s="236" t="s">
        <v>266</v>
      </c>
      <c r="H59" s="236" t="s">
        <v>266</v>
      </c>
      <c r="I59" s="236" t="s">
        <v>70</v>
      </c>
      <c r="J59" s="375">
        <f t="shared" si="1"/>
        <v>4.47</v>
      </c>
      <c r="K59" s="236" t="s">
        <v>265</v>
      </c>
    </row>
    <row r="60">
      <c r="A60" s="373"/>
      <c r="B60" s="22"/>
      <c r="C60" s="374">
        <v>8.0</v>
      </c>
      <c r="D60" s="373">
        <v>14.58444</v>
      </c>
      <c r="E60" s="373">
        <v>120.76211</v>
      </c>
      <c r="F60" s="236">
        <v>3.93</v>
      </c>
      <c r="G60" s="236" t="s">
        <v>266</v>
      </c>
      <c r="H60" s="236" t="s">
        <v>266</v>
      </c>
      <c r="I60" s="236" t="s">
        <v>70</v>
      </c>
      <c r="J60" s="375">
        <f t="shared" si="1"/>
        <v>3.93</v>
      </c>
      <c r="K60" s="236" t="s">
        <v>265</v>
      </c>
    </row>
    <row r="61">
      <c r="A61" s="373"/>
      <c r="B61" s="22"/>
      <c r="C61" s="374">
        <v>9.0</v>
      </c>
      <c r="D61" s="373">
        <v>14.590809</v>
      </c>
      <c r="E61" s="373">
        <v>120.847296</v>
      </c>
      <c r="F61" s="236">
        <v>7.84</v>
      </c>
      <c r="G61" s="236" t="s">
        <v>266</v>
      </c>
      <c r="H61" s="236" t="s">
        <v>266</v>
      </c>
      <c r="I61" s="236" t="s">
        <v>70</v>
      </c>
      <c r="J61" s="375">
        <f t="shared" si="1"/>
        <v>7.84</v>
      </c>
      <c r="K61" s="236" t="s">
        <v>265</v>
      </c>
    </row>
    <row r="62">
      <c r="A62" s="373"/>
      <c r="B62" s="376" t="s">
        <v>267</v>
      </c>
      <c r="C62" s="377">
        <v>1.0</v>
      </c>
      <c r="D62" s="370">
        <v>14.66669</v>
      </c>
      <c r="E62" s="370">
        <v>120.84239</v>
      </c>
      <c r="F62" s="371">
        <v>38.0</v>
      </c>
      <c r="G62" s="371">
        <v>10.1</v>
      </c>
      <c r="H62" s="371">
        <v>3.97</v>
      </c>
      <c r="I62" s="371">
        <v>15.0</v>
      </c>
      <c r="J62" s="372">
        <f t="shared" si="1"/>
        <v>16.7675</v>
      </c>
      <c r="K62" s="371">
        <v>270.0</v>
      </c>
    </row>
    <row r="63">
      <c r="A63" s="373"/>
      <c r="B63" s="22"/>
      <c r="C63" s="374">
        <v>2.0</v>
      </c>
      <c r="D63" s="373">
        <v>14.67756</v>
      </c>
      <c r="E63" s="373">
        <v>120.76119</v>
      </c>
      <c r="F63" s="236">
        <v>37.8</v>
      </c>
      <c r="G63" s="236">
        <v>8.2</v>
      </c>
      <c r="H63" s="236">
        <v>3.5</v>
      </c>
      <c r="I63" s="236">
        <v>11.4</v>
      </c>
      <c r="J63" s="375">
        <f t="shared" si="1"/>
        <v>15.225</v>
      </c>
      <c r="K63" s="236">
        <v>270.0</v>
      </c>
    </row>
    <row r="64">
      <c r="A64" s="373"/>
      <c r="B64" s="22"/>
      <c r="C64" s="374">
        <v>3.0</v>
      </c>
      <c r="D64" s="373">
        <v>14.67142</v>
      </c>
      <c r="E64" s="373">
        <v>120.62481</v>
      </c>
      <c r="F64" s="236">
        <v>26.7</v>
      </c>
      <c r="G64" s="236">
        <v>5.9</v>
      </c>
      <c r="H64" s="236" t="s">
        <v>268</v>
      </c>
      <c r="I64" s="236">
        <v>12.62</v>
      </c>
      <c r="J64" s="375">
        <f t="shared" si="1"/>
        <v>15.07333333</v>
      </c>
      <c r="K64" s="236">
        <v>270.0</v>
      </c>
    </row>
    <row r="65">
      <c r="A65" s="373"/>
      <c r="B65" s="22"/>
      <c r="C65" s="374">
        <v>4.0</v>
      </c>
      <c r="D65" s="373">
        <v>14.57836</v>
      </c>
      <c r="E65" s="373">
        <v>120.63139</v>
      </c>
      <c r="F65" s="236">
        <v>25.5</v>
      </c>
      <c r="G65" s="236">
        <v>9.8</v>
      </c>
      <c r="H65" s="236">
        <v>3.51</v>
      </c>
      <c r="I65" s="236">
        <v>9.51</v>
      </c>
      <c r="J65" s="375">
        <f t="shared" si="1"/>
        <v>12.08</v>
      </c>
      <c r="K65" s="236">
        <v>270.0</v>
      </c>
    </row>
    <row r="66">
      <c r="A66" s="373"/>
      <c r="B66" s="22"/>
      <c r="C66" s="374">
        <v>5.0</v>
      </c>
      <c r="D66" s="373">
        <v>14.4525</v>
      </c>
      <c r="E66" s="373">
        <v>120.62608</v>
      </c>
      <c r="F66" s="236">
        <v>28.2</v>
      </c>
      <c r="G66" s="236">
        <v>6.7</v>
      </c>
      <c r="H66" s="236" t="s">
        <v>268</v>
      </c>
      <c r="I66" s="236">
        <v>19.45</v>
      </c>
      <c r="J66" s="375">
        <f t="shared" si="1"/>
        <v>18.11666667</v>
      </c>
      <c r="K66" s="236">
        <v>270.0</v>
      </c>
    </row>
    <row r="67">
      <c r="A67" s="373"/>
      <c r="B67" s="22"/>
      <c r="C67" s="374">
        <v>6.0</v>
      </c>
      <c r="D67" s="373">
        <v>14.45306</v>
      </c>
      <c r="E67" s="373">
        <v>120.75489</v>
      </c>
      <c r="F67" s="236">
        <v>7.91</v>
      </c>
      <c r="G67" s="236">
        <v>5.5</v>
      </c>
      <c r="H67" s="236" t="s">
        <v>268</v>
      </c>
      <c r="I67" s="236">
        <v>19.24</v>
      </c>
      <c r="J67" s="375">
        <f t="shared" si="1"/>
        <v>10.88333333</v>
      </c>
      <c r="K67" s="236">
        <v>270.0</v>
      </c>
    </row>
    <row r="68">
      <c r="A68" s="373"/>
      <c r="B68" s="22"/>
      <c r="C68" s="374">
        <v>7.0</v>
      </c>
      <c r="D68" s="373">
        <v>14.46786</v>
      </c>
      <c r="E68" s="373">
        <v>120.841107</v>
      </c>
      <c r="F68" s="236">
        <v>23.7</v>
      </c>
      <c r="G68" s="236">
        <v>8.2</v>
      </c>
      <c r="H68" s="236">
        <v>3.63</v>
      </c>
      <c r="I68" s="236">
        <v>8.52</v>
      </c>
      <c r="J68" s="375">
        <f t="shared" si="1"/>
        <v>11.0125</v>
      </c>
      <c r="K68" s="236">
        <v>270.0</v>
      </c>
    </row>
    <row r="69">
      <c r="A69" s="373"/>
      <c r="B69" s="22"/>
      <c r="C69" s="374">
        <v>8.0</v>
      </c>
      <c r="D69" s="373">
        <v>14.58444</v>
      </c>
      <c r="E69" s="373">
        <v>120.76211</v>
      </c>
      <c r="F69" s="236">
        <v>14.3</v>
      </c>
      <c r="G69" s="236">
        <v>11.9</v>
      </c>
      <c r="H69" s="236" t="s">
        <v>268</v>
      </c>
      <c r="I69" s="236">
        <v>13.34</v>
      </c>
      <c r="J69" s="375">
        <f t="shared" si="1"/>
        <v>13.18</v>
      </c>
      <c r="K69" s="236">
        <v>270.0</v>
      </c>
    </row>
    <row r="70">
      <c r="A70" s="373"/>
      <c r="B70" s="22"/>
      <c r="C70" s="374">
        <v>9.0</v>
      </c>
      <c r="D70" s="373">
        <v>14.590809</v>
      </c>
      <c r="E70" s="373">
        <v>120.847296</v>
      </c>
      <c r="F70" s="236">
        <v>4.36</v>
      </c>
      <c r="G70" s="236">
        <v>6.8</v>
      </c>
      <c r="H70" s="236" t="s">
        <v>268</v>
      </c>
      <c r="I70" s="236">
        <v>20.74</v>
      </c>
      <c r="J70" s="375">
        <f t="shared" si="1"/>
        <v>10.63333333</v>
      </c>
      <c r="K70" s="236">
        <v>270.0</v>
      </c>
    </row>
    <row r="71">
      <c r="A71" s="373"/>
      <c r="B71" s="376" t="s">
        <v>269</v>
      </c>
      <c r="C71" s="377">
        <v>1.0</v>
      </c>
      <c r="D71" s="370">
        <v>14.66669</v>
      </c>
      <c r="E71" s="370">
        <v>120.84239</v>
      </c>
      <c r="F71" s="371">
        <v>70.5</v>
      </c>
      <c r="G71" s="371">
        <v>146.0</v>
      </c>
      <c r="H71" s="371">
        <v>69.2</v>
      </c>
      <c r="I71" s="371" t="s">
        <v>70</v>
      </c>
      <c r="J71" s="372">
        <f t="shared" si="1"/>
        <v>95.23333333</v>
      </c>
      <c r="K71" s="371" t="s">
        <v>265</v>
      </c>
    </row>
    <row r="72">
      <c r="A72" s="373"/>
      <c r="B72" s="22"/>
      <c r="C72" s="374">
        <v>2.0</v>
      </c>
      <c r="D72" s="373">
        <v>14.67756</v>
      </c>
      <c r="E72" s="373">
        <v>120.76119</v>
      </c>
      <c r="F72" s="236">
        <v>63.0</v>
      </c>
      <c r="G72" s="236">
        <v>160.0</v>
      </c>
      <c r="H72" s="236">
        <v>82.4</v>
      </c>
      <c r="I72" s="236" t="s">
        <v>70</v>
      </c>
      <c r="J72" s="375">
        <f t="shared" si="1"/>
        <v>101.8</v>
      </c>
      <c r="K72" s="236" t="s">
        <v>265</v>
      </c>
    </row>
    <row r="73">
      <c r="A73" s="373"/>
      <c r="B73" s="22"/>
      <c r="C73" s="374">
        <v>3.0</v>
      </c>
      <c r="D73" s="373">
        <v>14.67142</v>
      </c>
      <c r="E73" s="373">
        <v>120.62481</v>
      </c>
      <c r="F73" s="236">
        <v>62.4</v>
      </c>
      <c r="G73" s="236">
        <v>108.0</v>
      </c>
      <c r="H73" s="236">
        <v>556.0</v>
      </c>
      <c r="I73" s="236" t="s">
        <v>70</v>
      </c>
      <c r="J73" s="375">
        <f t="shared" si="1"/>
        <v>242.1333333</v>
      </c>
      <c r="K73" s="236" t="s">
        <v>265</v>
      </c>
    </row>
    <row r="74">
      <c r="A74" s="373"/>
      <c r="B74" s="22"/>
      <c r="C74" s="374">
        <v>4.0</v>
      </c>
      <c r="D74" s="373">
        <v>14.57836</v>
      </c>
      <c r="E74" s="373">
        <v>120.63139</v>
      </c>
      <c r="F74" s="236">
        <v>80.8</v>
      </c>
      <c r="G74" s="236">
        <v>170.0</v>
      </c>
      <c r="H74" s="236">
        <v>78.4</v>
      </c>
      <c r="I74" s="236" t="s">
        <v>70</v>
      </c>
      <c r="J74" s="375">
        <f t="shared" si="1"/>
        <v>109.7333333</v>
      </c>
      <c r="K74" s="236" t="s">
        <v>265</v>
      </c>
    </row>
    <row r="75">
      <c r="A75" s="373"/>
      <c r="B75" s="22"/>
      <c r="C75" s="374">
        <v>5.0</v>
      </c>
      <c r="D75" s="373">
        <v>14.4525</v>
      </c>
      <c r="E75" s="373">
        <v>120.62608</v>
      </c>
      <c r="F75" s="236">
        <v>81.9</v>
      </c>
      <c r="G75" s="236">
        <v>171.0</v>
      </c>
      <c r="H75" s="236">
        <v>7.57</v>
      </c>
      <c r="I75" s="236" t="s">
        <v>70</v>
      </c>
      <c r="J75" s="375">
        <f t="shared" si="1"/>
        <v>86.82333333</v>
      </c>
      <c r="K75" s="236" t="s">
        <v>265</v>
      </c>
    </row>
    <row r="76">
      <c r="A76" s="373"/>
      <c r="B76" s="22"/>
      <c r="C76" s="374">
        <v>6.0</v>
      </c>
      <c r="D76" s="373">
        <v>14.45306</v>
      </c>
      <c r="E76" s="373">
        <v>120.75489</v>
      </c>
      <c r="F76" s="236">
        <v>146.0</v>
      </c>
      <c r="G76" s="236">
        <v>186.0</v>
      </c>
      <c r="H76" s="236">
        <v>81.9</v>
      </c>
      <c r="I76" s="236" t="s">
        <v>70</v>
      </c>
      <c r="J76" s="375">
        <f t="shared" si="1"/>
        <v>137.9666667</v>
      </c>
      <c r="K76" s="236" t="s">
        <v>265</v>
      </c>
    </row>
    <row r="77">
      <c r="A77" s="373"/>
      <c r="B77" s="22"/>
      <c r="C77" s="374">
        <v>7.0</v>
      </c>
      <c r="D77" s="373">
        <v>14.46786</v>
      </c>
      <c r="E77" s="373">
        <v>120.841107</v>
      </c>
      <c r="F77" s="236">
        <v>127.0</v>
      </c>
      <c r="G77" s="236">
        <v>209.0</v>
      </c>
      <c r="H77" s="236">
        <v>86.1</v>
      </c>
      <c r="I77" s="236" t="s">
        <v>70</v>
      </c>
      <c r="J77" s="375">
        <f t="shared" si="1"/>
        <v>140.7</v>
      </c>
      <c r="K77" s="236" t="s">
        <v>265</v>
      </c>
    </row>
    <row r="78">
      <c r="A78" s="373"/>
      <c r="B78" s="22"/>
      <c r="C78" s="374">
        <v>8.0</v>
      </c>
      <c r="D78" s="373">
        <v>14.58444</v>
      </c>
      <c r="E78" s="373">
        <v>120.76211</v>
      </c>
      <c r="F78" s="236">
        <v>93.1</v>
      </c>
      <c r="G78" s="236">
        <v>203.0</v>
      </c>
      <c r="H78" s="236">
        <v>57.7</v>
      </c>
      <c r="I78" s="236" t="s">
        <v>70</v>
      </c>
      <c r="J78" s="375">
        <f t="shared" si="1"/>
        <v>117.9333333</v>
      </c>
      <c r="K78" s="236" t="s">
        <v>265</v>
      </c>
    </row>
    <row r="79">
      <c r="A79" s="373"/>
      <c r="B79" s="22"/>
      <c r="C79" s="374">
        <v>9.0</v>
      </c>
      <c r="D79" s="373">
        <v>14.590809</v>
      </c>
      <c r="E79" s="373">
        <v>120.847296</v>
      </c>
      <c r="F79" s="236">
        <v>7.28</v>
      </c>
      <c r="G79" s="236">
        <v>79.9</v>
      </c>
      <c r="H79" s="236">
        <v>49.4</v>
      </c>
      <c r="I79" s="236" t="s">
        <v>70</v>
      </c>
      <c r="J79" s="375">
        <f t="shared" si="1"/>
        <v>45.52666667</v>
      </c>
      <c r="K79" s="236" t="s">
        <v>265</v>
      </c>
    </row>
    <row r="80">
      <c r="A80" s="373"/>
      <c r="B80" s="376" t="s">
        <v>270</v>
      </c>
      <c r="C80" s="377">
        <v>1.0</v>
      </c>
      <c r="D80" s="370">
        <v>14.66669</v>
      </c>
      <c r="E80" s="370">
        <v>120.84239</v>
      </c>
      <c r="F80" s="371">
        <v>6.83</v>
      </c>
      <c r="G80" s="371">
        <v>3.0</v>
      </c>
      <c r="H80" s="371" t="s">
        <v>271</v>
      </c>
      <c r="I80" s="371">
        <v>3.07</v>
      </c>
      <c r="J80" s="372">
        <f t="shared" si="1"/>
        <v>4.3</v>
      </c>
      <c r="K80" s="371">
        <v>40.0</v>
      </c>
    </row>
    <row r="81">
      <c r="A81" s="373"/>
      <c r="B81" s="22"/>
      <c r="C81" s="374">
        <v>2.0</v>
      </c>
      <c r="D81" s="373">
        <v>14.67756</v>
      </c>
      <c r="E81" s="373">
        <v>120.76119</v>
      </c>
      <c r="F81" s="236">
        <v>11.7</v>
      </c>
      <c r="G81" s="236">
        <v>2.8</v>
      </c>
      <c r="H81" s="236" t="s">
        <v>271</v>
      </c>
      <c r="I81" s="236">
        <v>1.81</v>
      </c>
      <c r="J81" s="375">
        <f t="shared" si="1"/>
        <v>5.436666667</v>
      </c>
      <c r="K81" s="236">
        <v>40.0</v>
      </c>
    </row>
    <row r="82">
      <c r="A82" s="373"/>
      <c r="B82" s="22"/>
      <c r="C82" s="374">
        <v>3.0</v>
      </c>
      <c r="D82" s="373">
        <v>14.67142</v>
      </c>
      <c r="E82" s="373">
        <v>120.62481</v>
      </c>
      <c r="F82" s="236">
        <v>3.53</v>
      </c>
      <c r="G82" s="236" t="s">
        <v>271</v>
      </c>
      <c r="H82" s="236" t="s">
        <v>271</v>
      </c>
      <c r="I82" s="236">
        <v>2.48</v>
      </c>
      <c r="J82" s="375">
        <f t="shared" si="1"/>
        <v>3.005</v>
      </c>
      <c r="K82" s="236">
        <v>40.0</v>
      </c>
    </row>
    <row r="83">
      <c r="A83" s="373"/>
      <c r="B83" s="22"/>
      <c r="C83" s="374">
        <v>4.0</v>
      </c>
      <c r="D83" s="373">
        <v>14.57836</v>
      </c>
      <c r="E83" s="373">
        <v>120.63139</v>
      </c>
      <c r="F83" s="236">
        <v>5.16</v>
      </c>
      <c r="G83" s="236" t="s">
        <v>271</v>
      </c>
      <c r="H83" s="236" t="s">
        <v>271</v>
      </c>
      <c r="I83" s="236">
        <v>1.14</v>
      </c>
      <c r="J83" s="375">
        <f t="shared" si="1"/>
        <v>3.15</v>
      </c>
      <c r="K83" s="236">
        <v>40.0</v>
      </c>
    </row>
    <row r="84">
      <c r="A84" s="373"/>
      <c r="B84" s="22"/>
      <c r="C84" s="374">
        <v>5.0</v>
      </c>
      <c r="D84" s="373">
        <v>14.4525</v>
      </c>
      <c r="E84" s="373">
        <v>120.62608</v>
      </c>
      <c r="F84" s="236">
        <v>19.7</v>
      </c>
      <c r="G84" s="236" t="s">
        <v>271</v>
      </c>
      <c r="H84" s="236" t="s">
        <v>271</v>
      </c>
      <c r="I84" s="236">
        <v>3.97</v>
      </c>
      <c r="J84" s="375">
        <f t="shared" si="1"/>
        <v>11.835</v>
      </c>
      <c r="K84" s="236">
        <v>40.0</v>
      </c>
    </row>
    <row r="85">
      <c r="A85" s="373"/>
      <c r="B85" s="22"/>
      <c r="C85" s="374">
        <v>6.0</v>
      </c>
      <c r="D85" s="373">
        <v>14.45306</v>
      </c>
      <c r="E85" s="373">
        <v>120.75489</v>
      </c>
      <c r="F85" s="236">
        <v>1.35</v>
      </c>
      <c r="G85" s="236" t="s">
        <v>271</v>
      </c>
      <c r="H85" s="236" t="s">
        <v>271</v>
      </c>
      <c r="I85" s="236">
        <v>1.81</v>
      </c>
      <c r="J85" s="375">
        <f t="shared" si="1"/>
        <v>1.58</v>
      </c>
      <c r="K85" s="236">
        <v>40.0</v>
      </c>
    </row>
    <row r="86">
      <c r="A86" s="373"/>
      <c r="B86" s="22"/>
      <c r="C86" s="374">
        <v>7.0</v>
      </c>
      <c r="D86" s="373">
        <v>14.46786</v>
      </c>
      <c r="E86" s="373">
        <v>120.841107</v>
      </c>
      <c r="F86" s="236">
        <v>3.28</v>
      </c>
      <c r="G86" s="236" t="s">
        <v>271</v>
      </c>
      <c r="H86" s="236" t="s">
        <v>271</v>
      </c>
      <c r="I86" s="236">
        <v>2.48</v>
      </c>
      <c r="J86" s="375">
        <f t="shared" si="1"/>
        <v>2.88</v>
      </c>
      <c r="K86" s="236">
        <v>40.0</v>
      </c>
    </row>
    <row r="87">
      <c r="A87" s="373"/>
      <c r="B87" s="22"/>
      <c r="C87" s="374">
        <v>8.0</v>
      </c>
      <c r="D87" s="373">
        <v>14.58444</v>
      </c>
      <c r="E87" s="373">
        <v>120.76211</v>
      </c>
      <c r="F87" s="236">
        <v>3.15</v>
      </c>
      <c r="G87" s="236" t="s">
        <v>271</v>
      </c>
      <c r="H87" s="236" t="s">
        <v>271</v>
      </c>
      <c r="I87" s="236">
        <v>1.1</v>
      </c>
      <c r="J87" s="375">
        <f t="shared" si="1"/>
        <v>2.125</v>
      </c>
      <c r="K87" s="236">
        <v>40.0</v>
      </c>
    </row>
    <row r="88">
      <c r="A88" s="373"/>
      <c r="B88" s="22"/>
      <c r="C88" s="374">
        <v>9.0</v>
      </c>
      <c r="D88" s="373">
        <v>14.590809</v>
      </c>
      <c r="E88" s="373">
        <v>120.847296</v>
      </c>
      <c r="F88" s="236">
        <v>6.79</v>
      </c>
      <c r="G88" s="236" t="s">
        <v>271</v>
      </c>
      <c r="H88" s="236" t="s">
        <v>271</v>
      </c>
      <c r="I88" s="236">
        <v>0.05</v>
      </c>
      <c r="J88" s="375">
        <f t="shared" si="1"/>
        <v>3.42</v>
      </c>
      <c r="K88" s="236">
        <v>40.0</v>
      </c>
    </row>
    <row r="89">
      <c r="A89" s="373"/>
      <c r="B89" s="376" t="s">
        <v>272</v>
      </c>
      <c r="C89" s="377">
        <v>1.0</v>
      </c>
      <c r="D89" s="370">
        <v>14.66669</v>
      </c>
      <c r="E89" s="370">
        <v>120.84239</v>
      </c>
      <c r="F89" s="371">
        <v>10.2</v>
      </c>
      <c r="G89" s="371">
        <v>21.2</v>
      </c>
      <c r="H89" s="371">
        <v>9.94</v>
      </c>
      <c r="I89" s="371">
        <v>0.05</v>
      </c>
      <c r="J89" s="372">
        <f t="shared" si="1"/>
        <v>10.3475</v>
      </c>
      <c r="K89" s="371">
        <v>410.0</v>
      </c>
    </row>
    <row r="90">
      <c r="A90" s="373"/>
      <c r="B90" s="22"/>
      <c r="C90" s="374">
        <v>2.0</v>
      </c>
      <c r="D90" s="373">
        <v>14.67756</v>
      </c>
      <c r="E90" s="373">
        <v>120.76119</v>
      </c>
      <c r="F90" s="236">
        <v>9.0</v>
      </c>
      <c r="G90" s="236">
        <v>15.2</v>
      </c>
      <c r="H90" s="236">
        <v>7.68</v>
      </c>
      <c r="I90" s="236">
        <v>0.05</v>
      </c>
      <c r="J90" s="375">
        <f t="shared" si="1"/>
        <v>7.9825</v>
      </c>
      <c r="K90" s="236">
        <v>410.0</v>
      </c>
    </row>
    <row r="91">
      <c r="A91" s="373"/>
      <c r="B91" s="22"/>
      <c r="C91" s="374">
        <v>3.0</v>
      </c>
      <c r="D91" s="373">
        <v>14.67142</v>
      </c>
      <c r="E91" s="373">
        <v>120.62481</v>
      </c>
      <c r="F91" s="236">
        <v>7.03</v>
      </c>
      <c r="G91" s="236" t="s">
        <v>273</v>
      </c>
      <c r="H91" s="242">
        <v>5.6</v>
      </c>
      <c r="I91" s="236">
        <v>0.05</v>
      </c>
      <c r="J91" s="375">
        <f t="shared" si="1"/>
        <v>4.226666667</v>
      </c>
      <c r="K91" s="236">
        <v>410.0</v>
      </c>
    </row>
    <row r="92">
      <c r="A92" s="373"/>
      <c r="B92" s="22"/>
      <c r="C92" s="374">
        <v>4.0</v>
      </c>
      <c r="D92" s="373">
        <v>14.57836</v>
      </c>
      <c r="E92" s="373">
        <v>120.63139</v>
      </c>
      <c r="F92" s="236">
        <v>7.7</v>
      </c>
      <c r="G92" s="236">
        <v>16.4</v>
      </c>
      <c r="H92" s="236">
        <v>7.69</v>
      </c>
      <c r="I92" s="236">
        <v>0.05</v>
      </c>
      <c r="J92" s="375">
        <f t="shared" si="1"/>
        <v>7.96</v>
      </c>
      <c r="K92" s="236">
        <v>410.0</v>
      </c>
    </row>
    <row r="93">
      <c r="A93" s="373"/>
      <c r="B93" s="22"/>
      <c r="C93" s="374">
        <v>5.0</v>
      </c>
      <c r="D93" s="373">
        <v>14.4525</v>
      </c>
      <c r="E93" s="373">
        <v>120.62608</v>
      </c>
      <c r="F93" s="236">
        <v>27.0</v>
      </c>
      <c r="G93" s="236">
        <v>12.2</v>
      </c>
      <c r="H93" s="236" t="s">
        <v>274</v>
      </c>
      <c r="I93" s="236">
        <v>0.05</v>
      </c>
      <c r="J93" s="375">
        <f t="shared" si="1"/>
        <v>13.08333333</v>
      </c>
      <c r="K93" s="236">
        <v>410.0</v>
      </c>
    </row>
    <row r="94">
      <c r="A94" s="373"/>
      <c r="B94" s="22"/>
      <c r="C94" s="374">
        <v>6.0</v>
      </c>
      <c r="D94" s="373">
        <v>14.45306</v>
      </c>
      <c r="E94" s="373">
        <v>120.75489</v>
      </c>
      <c r="F94" s="236">
        <v>9.56</v>
      </c>
      <c r="G94" s="236">
        <v>9.75</v>
      </c>
      <c r="H94" s="236">
        <v>6.68</v>
      </c>
      <c r="I94" s="236">
        <v>0.05</v>
      </c>
      <c r="J94" s="375">
        <f t="shared" si="1"/>
        <v>6.51</v>
      </c>
      <c r="K94" s="236">
        <v>410.0</v>
      </c>
    </row>
    <row r="95">
      <c r="A95" s="373"/>
      <c r="B95" s="22"/>
      <c r="C95" s="374">
        <v>7.0</v>
      </c>
      <c r="D95" s="373">
        <v>14.46786</v>
      </c>
      <c r="E95" s="373">
        <v>120.841107</v>
      </c>
      <c r="F95" s="236">
        <v>10.9</v>
      </c>
      <c r="G95" s="236">
        <v>14.9</v>
      </c>
      <c r="H95" s="236">
        <v>8.37</v>
      </c>
      <c r="I95" s="236">
        <v>0.05</v>
      </c>
      <c r="J95" s="375">
        <f t="shared" si="1"/>
        <v>8.555</v>
      </c>
      <c r="K95" s="236">
        <v>410.0</v>
      </c>
    </row>
    <row r="96">
      <c r="A96" s="373"/>
      <c r="B96" s="22"/>
      <c r="C96" s="374">
        <v>8.0</v>
      </c>
      <c r="D96" s="373">
        <v>14.58444</v>
      </c>
      <c r="E96" s="373">
        <v>120.76211</v>
      </c>
      <c r="F96" s="236">
        <v>9.32</v>
      </c>
      <c r="G96" s="236">
        <v>19.1</v>
      </c>
      <c r="H96" s="236">
        <v>7.16</v>
      </c>
      <c r="I96" s="236">
        <v>0.05</v>
      </c>
      <c r="J96" s="375">
        <f t="shared" si="1"/>
        <v>8.9075</v>
      </c>
      <c r="K96" s="236">
        <v>410.0</v>
      </c>
    </row>
    <row r="97">
      <c r="A97" s="373"/>
      <c r="B97" s="22"/>
      <c r="C97" s="374">
        <v>9.0</v>
      </c>
      <c r="D97" s="373">
        <v>14.590809</v>
      </c>
      <c r="E97" s="373">
        <v>120.847296</v>
      </c>
      <c r="F97" s="236">
        <v>15.9</v>
      </c>
      <c r="G97" s="236">
        <v>17.5</v>
      </c>
      <c r="H97" s="236">
        <v>6.71</v>
      </c>
      <c r="I97" s="236">
        <v>0.05</v>
      </c>
      <c r="J97" s="375">
        <f t="shared" si="1"/>
        <v>10.04</v>
      </c>
      <c r="K97" s="236">
        <v>410.0</v>
      </c>
    </row>
    <row r="98">
      <c r="A98" s="373"/>
      <c r="B98" s="376" t="s">
        <v>275</v>
      </c>
      <c r="C98" s="377">
        <v>1.0</v>
      </c>
      <c r="D98" s="370">
        <v>14.66669</v>
      </c>
      <c r="E98" s="370">
        <v>120.84239</v>
      </c>
      <c r="F98" s="371">
        <v>0.522</v>
      </c>
      <c r="G98" s="371" t="s">
        <v>276</v>
      </c>
      <c r="H98" s="371" t="s">
        <v>276</v>
      </c>
      <c r="I98" s="371" t="s">
        <v>70</v>
      </c>
      <c r="J98" s="372">
        <f t="shared" si="1"/>
        <v>0.522</v>
      </c>
      <c r="K98" s="371" t="s">
        <v>265</v>
      </c>
    </row>
    <row r="99">
      <c r="A99" s="373"/>
      <c r="B99" s="22"/>
      <c r="C99" s="374">
        <v>2.0</v>
      </c>
      <c r="D99" s="373">
        <v>14.67756</v>
      </c>
      <c r="E99" s="373">
        <v>120.76119</v>
      </c>
      <c r="F99" s="236">
        <v>0.625</v>
      </c>
      <c r="G99" s="236" t="s">
        <v>276</v>
      </c>
      <c r="H99" s="236" t="s">
        <v>276</v>
      </c>
      <c r="I99" s="236" t="s">
        <v>70</v>
      </c>
      <c r="J99" s="375">
        <f t="shared" si="1"/>
        <v>0.625</v>
      </c>
      <c r="K99" s="236" t="s">
        <v>265</v>
      </c>
    </row>
    <row r="100">
      <c r="A100" s="373"/>
      <c r="B100" s="22"/>
      <c r="C100" s="374">
        <v>3.0</v>
      </c>
      <c r="D100" s="373">
        <v>14.67142</v>
      </c>
      <c r="E100" s="373">
        <v>120.62481</v>
      </c>
      <c r="F100" s="236">
        <v>0.774</v>
      </c>
      <c r="G100" s="236" t="s">
        <v>276</v>
      </c>
      <c r="H100" s="236" t="s">
        <v>276</v>
      </c>
      <c r="I100" s="236" t="s">
        <v>70</v>
      </c>
      <c r="J100" s="375">
        <f t="shared" si="1"/>
        <v>0.774</v>
      </c>
      <c r="K100" s="236" t="s">
        <v>265</v>
      </c>
    </row>
    <row r="101">
      <c r="A101" s="373"/>
      <c r="B101" s="22"/>
      <c r="C101" s="374">
        <v>4.0</v>
      </c>
      <c r="D101" s="373">
        <v>14.57836</v>
      </c>
      <c r="E101" s="373">
        <v>120.63139</v>
      </c>
      <c r="F101" s="236">
        <v>0.505</v>
      </c>
      <c r="G101" s="236" t="s">
        <v>276</v>
      </c>
      <c r="H101" s="236" t="s">
        <v>276</v>
      </c>
      <c r="I101" s="236" t="s">
        <v>70</v>
      </c>
      <c r="J101" s="375">
        <f t="shared" si="1"/>
        <v>0.505</v>
      </c>
      <c r="K101" s="236" t="s">
        <v>265</v>
      </c>
    </row>
    <row r="102">
      <c r="A102" s="373"/>
      <c r="B102" s="22"/>
      <c r="C102" s="374">
        <v>5.0</v>
      </c>
      <c r="D102" s="373">
        <v>14.4525</v>
      </c>
      <c r="E102" s="373">
        <v>120.62608</v>
      </c>
      <c r="F102" s="236">
        <v>17.1</v>
      </c>
      <c r="G102" s="236" t="s">
        <v>276</v>
      </c>
      <c r="H102" s="236" t="s">
        <v>276</v>
      </c>
      <c r="I102" s="236" t="s">
        <v>70</v>
      </c>
      <c r="J102" s="375">
        <f t="shared" si="1"/>
        <v>17.1</v>
      </c>
      <c r="K102" s="236" t="s">
        <v>265</v>
      </c>
    </row>
    <row r="103">
      <c r="A103" s="373"/>
      <c r="B103" s="22"/>
      <c r="C103" s="374">
        <v>6.0</v>
      </c>
      <c r="D103" s="373">
        <v>14.45306</v>
      </c>
      <c r="E103" s="373">
        <v>120.75489</v>
      </c>
      <c r="F103" s="236">
        <v>1.54</v>
      </c>
      <c r="G103" s="236" t="s">
        <v>276</v>
      </c>
      <c r="H103" s="236" t="s">
        <v>276</v>
      </c>
      <c r="I103" s="236" t="s">
        <v>70</v>
      </c>
      <c r="J103" s="375">
        <f t="shared" si="1"/>
        <v>1.54</v>
      </c>
      <c r="K103" s="236" t="s">
        <v>265</v>
      </c>
    </row>
    <row r="104">
      <c r="A104" s="373"/>
      <c r="B104" s="22"/>
      <c r="C104" s="374">
        <v>7.0</v>
      </c>
      <c r="D104" s="373">
        <v>14.46786</v>
      </c>
      <c r="E104" s="373">
        <v>120.841107</v>
      </c>
      <c r="F104" s="236">
        <v>2.01</v>
      </c>
      <c r="G104" s="236" t="s">
        <v>276</v>
      </c>
      <c r="H104" s="236" t="s">
        <v>276</v>
      </c>
      <c r="I104" s="236" t="s">
        <v>70</v>
      </c>
      <c r="J104" s="375">
        <f t="shared" si="1"/>
        <v>2.01</v>
      </c>
      <c r="K104" s="236" t="s">
        <v>265</v>
      </c>
    </row>
    <row r="105">
      <c r="A105" s="373"/>
      <c r="B105" s="22"/>
      <c r="C105" s="374">
        <v>8.0</v>
      </c>
      <c r="D105" s="373">
        <v>14.58444</v>
      </c>
      <c r="E105" s="373">
        <v>120.76211</v>
      </c>
      <c r="F105" s="236">
        <v>0.968</v>
      </c>
      <c r="G105" s="236" t="s">
        <v>276</v>
      </c>
      <c r="H105" s="236" t="s">
        <v>276</v>
      </c>
      <c r="I105" s="236" t="s">
        <v>70</v>
      </c>
      <c r="J105" s="375">
        <f t="shared" si="1"/>
        <v>0.968</v>
      </c>
      <c r="K105" s="236" t="s">
        <v>265</v>
      </c>
    </row>
    <row r="106">
      <c r="A106" s="373"/>
      <c r="B106" s="22"/>
      <c r="C106" s="374">
        <v>9.0</v>
      </c>
      <c r="D106" s="373">
        <v>14.590809</v>
      </c>
      <c r="E106" s="373">
        <v>120.847296</v>
      </c>
      <c r="F106" s="236">
        <v>1.37</v>
      </c>
      <c r="G106" s="236" t="s">
        <v>276</v>
      </c>
      <c r="H106" s="236" t="s">
        <v>276</v>
      </c>
      <c r="I106" s="236" t="s">
        <v>70</v>
      </c>
      <c r="J106" s="375">
        <f t="shared" si="1"/>
        <v>1.37</v>
      </c>
      <c r="K106" s="236" t="s">
        <v>265</v>
      </c>
    </row>
    <row r="107">
      <c r="A107" s="373"/>
      <c r="B107" s="376" t="s">
        <v>277</v>
      </c>
      <c r="C107" s="377">
        <v>1.0</v>
      </c>
      <c r="D107" s="370">
        <v>14.66669</v>
      </c>
      <c r="E107" s="370">
        <v>120.84239</v>
      </c>
      <c r="F107" s="371" t="s">
        <v>278</v>
      </c>
      <c r="G107" s="371">
        <v>14.9</v>
      </c>
      <c r="H107" s="371" t="s">
        <v>70</v>
      </c>
      <c r="I107" s="371" t="s">
        <v>70</v>
      </c>
      <c r="J107" s="372">
        <f t="shared" si="1"/>
        <v>14.9</v>
      </c>
      <c r="K107" s="371" t="s">
        <v>265</v>
      </c>
    </row>
    <row r="108">
      <c r="A108" s="373"/>
      <c r="B108" s="22"/>
      <c r="C108" s="374">
        <v>2.0</v>
      </c>
      <c r="D108" s="373">
        <v>14.67756</v>
      </c>
      <c r="E108" s="373">
        <v>120.76119</v>
      </c>
      <c r="F108" s="236" t="s">
        <v>278</v>
      </c>
      <c r="G108" s="236">
        <v>18.4</v>
      </c>
      <c r="H108" s="236" t="s">
        <v>70</v>
      </c>
      <c r="I108" s="236" t="s">
        <v>70</v>
      </c>
      <c r="J108" s="375">
        <f t="shared" si="1"/>
        <v>18.4</v>
      </c>
      <c r="K108" s="236" t="s">
        <v>265</v>
      </c>
    </row>
    <row r="109">
      <c r="A109" s="373"/>
      <c r="B109" s="22"/>
      <c r="C109" s="374">
        <v>3.0</v>
      </c>
      <c r="D109" s="373">
        <v>14.67142</v>
      </c>
      <c r="E109" s="373">
        <v>120.62481</v>
      </c>
      <c r="F109" s="236" t="s">
        <v>278</v>
      </c>
      <c r="G109" s="236">
        <v>15.6</v>
      </c>
      <c r="H109" s="236" t="s">
        <v>70</v>
      </c>
      <c r="I109" s="236" t="s">
        <v>70</v>
      </c>
      <c r="J109" s="375">
        <f t="shared" si="1"/>
        <v>15.6</v>
      </c>
      <c r="K109" s="236" t="s">
        <v>265</v>
      </c>
    </row>
    <row r="110">
      <c r="A110" s="373"/>
      <c r="B110" s="22"/>
      <c r="C110" s="374">
        <v>4.0</v>
      </c>
      <c r="D110" s="373">
        <v>14.57836</v>
      </c>
      <c r="E110" s="373">
        <v>120.63139</v>
      </c>
      <c r="F110" s="236" t="s">
        <v>278</v>
      </c>
      <c r="G110" s="236">
        <v>24.2</v>
      </c>
      <c r="H110" s="236" t="s">
        <v>70</v>
      </c>
      <c r="I110" s="236" t="s">
        <v>70</v>
      </c>
      <c r="J110" s="375">
        <f t="shared" si="1"/>
        <v>24.2</v>
      </c>
      <c r="K110" s="236" t="s">
        <v>265</v>
      </c>
    </row>
    <row r="111">
      <c r="A111" s="373"/>
      <c r="B111" s="22"/>
      <c r="C111" s="374">
        <v>5.0</v>
      </c>
      <c r="D111" s="373">
        <v>14.4525</v>
      </c>
      <c r="E111" s="373">
        <v>120.62608</v>
      </c>
      <c r="F111" s="236" t="s">
        <v>278</v>
      </c>
      <c r="G111" s="236">
        <v>19.5</v>
      </c>
      <c r="H111" s="236" t="s">
        <v>70</v>
      </c>
      <c r="I111" s="236" t="s">
        <v>70</v>
      </c>
      <c r="J111" s="375">
        <f t="shared" si="1"/>
        <v>19.5</v>
      </c>
      <c r="K111" s="236" t="s">
        <v>265</v>
      </c>
    </row>
    <row r="112">
      <c r="A112" s="373"/>
      <c r="B112" s="22"/>
      <c r="C112" s="374">
        <v>6.0</v>
      </c>
      <c r="D112" s="373">
        <v>14.45306</v>
      </c>
      <c r="E112" s="373">
        <v>120.75489</v>
      </c>
      <c r="F112" s="236" t="s">
        <v>278</v>
      </c>
      <c r="G112" s="236">
        <v>19.5</v>
      </c>
      <c r="H112" s="236" t="s">
        <v>70</v>
      </c>
      <c r="I112" s="236" t="s">
        <v>70</v>
      </c>
      <c r="J112" s="375">
        <f t="shared" si="1"/>
        <v>19.5</v>
      </c>
      <c r="K112" s="236" t="s">
        <v>265</v>
      </c>
    </row>
    <row r="113">
      <c r="A113" s="373"/>
      <c r="B113" s="22"/>
      <c r="C113" s="374">
        <v>7.0</v>
      </c>
      <c r="D113" s="373">
        <v>14.46786</v>
      </c>
      <c r="E113" s="373">
        <v>120.841107</v>
      </c>
      <c r="F113" s="236" t="s">
        <v>278</v>
      </c>
      <c r="G113" s="236">
        <v>31.4</v>
      </c>
      <c r="H113" s="236" t="s">
        <v>70</v>
      </c>
      <c r="I113" s="236" t="s">
        <v>70</v>
      </c>
      <c r="J113" s="375">
        <f t="shared" si="1"/>
        <v>31.4</v>
      </c>
      <c r="K113" s="236" t="s">
        <v>265</v>
      </c>
    </row>
    <row r="114">
      <c r="A114" s="373"/>
      <c r="B114" s="22"/>
      <c r="C114" s="374">
        <v>8.0</v>
      </c>
      <c r="D114" s="373">
        <v>14.58444</v>
      </c>
      <c r="E114" s="373">
        <v>120.76211</v>
      </c>
      <c r="F114" s="236" t="s">
        <v>278</v>
      </c>
      <c r="G114" s="236">
        <v>34.7</v>
      </c>
      <c r="H114" s="236" t="s">
        <v>70</v>
      </c>
      <c r="I114" s="236" t="s">
        <v>70</v>
      </c>
      <c r="J114" s="375">
        <f t="shared" si="1"/>
        <v>34.7</v>
      </c>
      <c r="K114" s="236" t="s">
        <v>265</v>
      </c>
    </row>
    <row r="115">
      <c r="A115" s="373"/>
      <c r="B115" s="22"/>
      <c r="C115" s="374">
        <v>9.0</v>
      </c>
      <c r="D115" s="373">
        <v>14.590809</v>
      </c>
      <c r="E115" s="373">
        <v>120.847296</v>
      </c>
      <c r="F115" s="236" t="s">
        <v>278</v>
      </c>
      <c r="G115" s="236">
        <v>17.2</v>
      </c>
      <c r="H115" s="236" t="s">
        <v>70</v>
      </c>
      <c r="I115" s="236" t="s">
        <v>70</v>
      </c>
      <c r="J115" s="375">
        <f t="shared" si="1"/>
        <v>17.2</v>
      </c>
      <c r="K115" s="236" t="s">
        <v>265</v>
      </c>
    </row>
    <row r="116">
      <c r="A116" s="380"/>
      <c r="B116" s="380"/>
      <c r="C116" s="380"/>
      <c r="D116" s="380"/>
      <c r="E116" s="380"/>
      <c r="F116" s="380"/>
      <c r="G116" s="380"/>
      <c r="H116" s="380"/>
      <c r="I116" s="380"/>
      <c r="J116" s="380"/>
      <c r="K116" s="380"/>
    </row>
    <row r="117">
      <c r="A117" s="380"/>
      <c r="B117" s="380"/>
      <c r="C117" s="380"/>
      <c r="D117" s="380"/>
      <c r="E117" s="380"/>
      <c r="F117" s="380"/>
      <c r="G117" s="380"/>
      <c r="H117" s="380"/>
      <c r="I117" s="380"/>
      <c r="J117" s="380"/>
      <c r="K117" s="380"/>
    </row>
    <row r="118">
      <c r="A118" s="380"/>
      <c r="B118" s="380" t="s">
        <v>279</v>
      </c>
      <c r="C118" s="380"/>
      <c r="D118" s="380"/>
      <c r="E118" s="380"/>
      <c r="F118" s="380"/>
      <c r="G118" s="380"/>
      <c r="H118" s="380"/>
      <c r="I118" s="380"/>
      <c r="J118" s="380"/>
      <c r="K118" s="380"/>
    </row>
    <row r="119">
      <c r="A119" s="380"/>
      <c r="B119" s="380" t="s">
        <v>280</v>
      </c>
      <c r="C119" s="380"/>
      <c r="D119" s="380"/>
      <c r="E119" s="380"/>
      <c r="F119" s="380"/>
      <c r="G119" s="380"/>
      <c r="H119" s="380"/>
      <c r="I119" s="380"/>
      <c r="J119" s="380"/>
      <c r="K119" s="380"/>
    </row>
    <row r="120">
      <c r="A120" s="380"/>
      <c r="B120" s="380" t="s">
        <v>281</v>
      </c>
      <c r="C120" s="380"/>
      <c r="D120" s="380"/>
      <c r="E120" s="380"/>
      <c r="F120" s="380"/>
      <c r="G120" s="380"/>
      <c r="H120" s="380"/>
      <c r="I120" s="380"/>
      <c r="J120" s="380"/>
      <c r="K120" s="380"/>
    </row>
    <row r="121">
      <c r="A121" s="380"/>
      <c r="B121" s="380" t="s">
        <v>282</v>
      </c>
      <c r="C121" s="380"/>
      <c r="D121" s="380"/>
      <c r="E121" s="380"/>
      <c r="F121" s="380"/>
      <c r="G121" s="380"/>
      <c r="H121" s="380"/>
      <c r="I121" s="380"/>
      <c r="J121" s="380"/>
      <c r="K121" s="380"/>
    </row>
    <row r="122">
      <c r="B122" s="381" t="s">
        <v>283</v>
      </c>
    </row>
  </sheetData>
  <mergeCells count="27">
    <mergeCell ref="H4:H5"/>
    <mergeCell ref="I4:I5"/>
    <mergeCell ref="J4:J5"/>
    <mergeCell ref="K4:K5"/>
    <mergeCell ref="A6:K6"/>
    <mergeCell ref="A7:K7"/>
    <mergeCell ref="A1:K1"/>
    <mergeCell ref="A2:K2"/>
    <mergeCell ref="A3:K3"/>
    <mergeCell ref="A4:A5"/>
    <mergeCell ref="B4:B5"/>
    <mergeCell ref="C4:C5"/>
    <mergeCell ref="D4:E4"/>
    <mergeCell ref="B53:B61"/>
    <mergeCell ref="B62:B70"/>
    <mergeCell ref="B71:B79"/>
    <mergeCell ref="B80:B88"/>
    <mergeCell ref="B89:B97"/>
    <mergeCell ref="B98:B106"/>
    <mergeCell ref="B107:B115"/>
    <mergeCell ref="F4:F5"/>
    <mergeCell ref="G4:G5"/>
    <mergeCell ref="B8:B16"/>
    <mergeCell ref="B17:B25"/>
    <mergeCell ref="B26:B34"/>
    <mergeCell ref="B35:B43"/>
    <mergeCell ref="B44:B52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10" width="10.71"/>
    <col customWidth="1" hidden="1" min="11" max="11" width="8.71"/>
    <col customWidth="1" hidden="1" min="12" max="12" width="7.71"/>
    <col customWidth="1" hidden="1" min="13" max="13" width="10.29"/>
    <col customWidth="1" hidden="1" min="14" max="14" width="8.0"/>
    <col customWidth="1" hidden="1" min="15" max="15" width="9.86"/>
    <col customWidth="1" hidden="1" min="16" max="16" width="9.57"/>
    <col customWidth="1" min="17" max="17" width="12.43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284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7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62" t="s">
        <v>19</v>
      </c>
      <c r="R4" s="262" t="s">
        <v>20</v>
      </c>
    </row>
    <row r="5" ht="14.25" customHeight="1">
      <c r="A5" s="8" t="s">
        <v>285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233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5.75" customHeight="1">
      <c r="A7" s="101" t="s">
        <v>23</v>
      </c>
      <c r="B7" s="74" t="s">
        <v>24</v>
      </c>
      <c r="C7" s="199">
        <v>1.0</v>
      </c>
      <c r="D7" s="347" t="s">
        <v>286</v>
      </c>
      <c r="E7" s="105">
        <v>7.1</v>
      </c>
      <c r="F7" s="18">
        <v>6.9</v>
      </c>
      <c r="G7" s="102">
        <v>8.5</v>
      </c>
      <c r="H7" s="18">
        <v>3.6</v>
      </c>
      <c r="I7" s="18">
        <v>5.2</v>
      </c>
      <c r="J7" s="102">
        <v>3.2</v>
      </c>
      <c r="K7" s="18"/>
      <c r="L7" s="102"/>
      <c r="M7" s="102"/>
      <c r="N7" s="102"/>
      <c r="O7" s="102"/>
      <c r="P7" s="102"/>
      <c r="Q7" s="265">
        <f t="shared" ref="Q7:Q21" si="1">AVERAGE(E7:P7)</f>
        <v>5.75</v>
      </c>
      <c r="R7" s="200">
        <v>6.0</v>
      </c>
    </row>
    <row r="8" ht="15.75" customHeight="1">
      <c r="A8" s="21"/>
      <c r="B8" s="22"/>
      <c r="C8" s="201">
        <v>2.0</v>
      </c>
      <c r="D8" s="348" t="s">
        <v>241</v>
      </c>
      <c r="E8" s="27">
        <v>6.3</v>
      </c>
      <c r="F8" s="27">
        <v>6.4</v>
      </c>
      <c r="G8" s="27">
        <v>6.9</v>
      </c>
      <c r="H8" s="27">
        <v>3.4</v>
      </c>
      <c r="I8" s="27">
        <v>6.5</v>
      </c>
      <c r="J8" s="27">
        <v>2.6</v>
      </c>
      <c r="K8" s="27"/>
      <c r="L8" s="27"/>
      <c r="M8" s="27"/>
      <c r="N8" s="27"/>
      <c r="O8" s="27"/>
      <c r="P8" s="27"/>
      <c r="Q8" s="268">
        <f t="shared" si="1"/>
        <v>5.35</v>
      </c>
      <c r="R8" s="29">
        <v>6.0</v>
      </c>
    </row>
    <row r="9" ht="14.25" customHeight="1">
      <c r="A9" s="21"/>
      <c r="B9" s="30"/>
      <c r="C9" s="201">
        <v>3.0</v>
      </c>
      <c r="D9" s="348" t="s">
        <v>242</v>
      </c>
      <c r="E9" s="106">
        <v>6.5</v>
      </c>
      <c r="F9" s="27">
        <v>6.7</v>
      </c>
      <c r="G9" s="27">
        <v>6.8</v>
      </c>
      <c r="H9" s="27">
        <v>3.6</v>
      </c>
      <c r="I9" s="27">
        <v>5.4</v>
      </c>
      <c r="J9" s="27">
        <v>2.5</v>
      </c>
      <c r="K9" s="27"/>
      <c r="L9" s="27"/>
      <c r="M9" s="27"/>
      <c r="N9" s="27"/>
      <c r="O9" s="27"/>
      <c r="P9" s="27"/>
      <c r="Q9" s="268">
        <f t="shared" si="1"/>
        <v>5.25</v>
      </c>
      <c r="R9" s="29">
        <v>6.0</v>
      </c>
    </row>
    <row r="10" ht="15.75" customHeight="1">
      <c r="A10" s="21"/>
      <c r="B10" s="13" t="s">
        <v>31</v>
      </c>
      <c r="C10" s="202">
        <v>1.0</v>
      </c>
      <c r="D10" s="351" t="s">
        <v>286</v>
      </c>
      <c r="E10" s="105">
        <v>20.0</v>
      </c>
      <c r="F10" s="35">
        <v>11.0</v>
      </c>
      <c r="G10" s="124">
        <v>9.0</v>
      </c>
      <c r="H10" s="35">
        <v>5.0</v>
      </c>
      <c r="I10" s="35">
        <v>4.0</v>
      </c>
      <c r="J10" s="35">
        <v>23.0</v>
      </c>
      <c r="K10" s="35"/>
      <c r="L10" s="35"/>
      <c r="M10" s="35"/>
      <c r="N10" s="35"/>
      <c r="O10" s="35"/>
      <c r="P10" s="35"/>
      <c r="Q10" s="273">
        <f t="shared" si="1"/>
        <v>12</v>
      </c>
      <c r="R10" s="20">
        <v>50.0</v>
      </c>
    </row>
    <row r="11" ht="15.75" customHeight="1">
      <c r="A11" s="21"/>
      <c r="B11" s="22"/>
      <c r="C11" s="201">
        <v>2.0</v>
      </c>
      <c r="D11" s="348" t="s">
        <v>241</v>
      </c>
      <c r="E11" s="39">
        <v>33.0</v>
      </c>
      <c r="F11" s="39">
        <v>37.0</v>
      </c>
      <c r="G11" s="39">
        <v>9.0</v>
      </c>
      <c r="H11" s="39">
        <v>5.0</v>
      </c>
      <c r="I11" s="39">
        <v>4.0</v>
      </c>
      <c r="J11" s="39">
        <v>16.0</v>
      </c>
      <c r="K11" s="39"/>
      <c r="L11" s="39"/>
      <c r="M11" s="39"/>
      <c r="N11" s="39"/>
      <c r="O11" s="39"/>
      <c r="P11" s="39"/>
      <c r="Q11" s="276">
        <f t="shared" si="1"/>
        <v>17.33333333</v>
      </c>
      <c r="R11" s="29">
        <v>50.0</v>
      </c>
    </row>
    <row r="12" ht="15.75" customHeight="1">
      <c r="A12" s="21"/>
      <c r="B12" s="30"/>
      <c r="C12" s="201">
        <v>3.0</v>
      </c>
      <c r="D12" s="348" t="s">
        <v>242</v>
      </c>
      <c r="E12" s="106">
        <v>27.0</v>
      </c>
      <c r="F12" s="39">
        <v>46.0</v>
      </c>
      <c r="G12" s="39">
        <v>12.0</v>
      </c>
      <c r="H12" s="39">
        <v>5.0</v>
      </c>
      <c r="I12" s="39">
        <v>5.0</v>
      </c>
      <c r="J12" s="39">
        <v>17.0</v>
      </c>
      <c r="K12" s="39"/>
      <c r="L12" s="39"/>
      <c r="M12" s="39"/>
      <c r="N12" s="39"/>
      <c r="O12" s="39"/>
      <c r="P12" s="39"/>
      <c r="Q12" s="276">
        <f t="shared" si="1"/>
        <v>18.66666667</v>
      </c>
      <c r="R12" s="29">
        <v>50.0</v>
      </c>
    </row>
    <row r="13" ht="15.75" customHeight="1">
      <c r="A13" s="21"/>
      <c r="B13" s="13" t="s">
        <v>33</v>
      </c>
      <c r="C13" s="202">
        <v>1.0</v>
      </c>
      <c r="D13" s="351" t="s">
        <v>286</v>
      </c>
      <c r="E13" s="105">
        <v>8.19</v>
      </c>
      <c r="F13" s="18">
        <v>8.29</v>
      </c>
      <c r="G13" s="102">
        <v>7.89</v>
      </c>
      <c r="H13" s="18">
        <v>8.11</v>
      </c>
      <c r="I13" s="18">
        <v>8.04</v>
      </c>
      <c r="J13" s="18">
        <v>8.17</v>
      </c>
      <c r="K13" s="18"/>
      <c r="L13" s="18"/>
      <c r="M13" s="18"/>
      <c r="N13" s="18"/>
      <c r="O13" s="102"/>
      <c r="P13" s="102"/>
      <c r="Q13" s="265">
        <f t="shared" si="1"/>
        <v>8.115</v>
      </c>
      <c r="R13" s="208" t="s">
        <v>164</v>
      </c>
    </row>
    <row r="14" ht="15.75" customHeight="1">
      <c r="A14" s="21"/>
      <c r="B14" s="22"/>
      <c r="C14" s="201">
        <v>2.0</v>
      </c>
      <c r="D14" s="348" t="s">
        <v>241</v>
      </c>
      <c r="E14" s="27">
        <v>8.24</v>
      </c>
      <c r="F14" s="27">
        <v>8.28</v>
      </c>
      <c r="G14" s="27">
        <v>8.16</v>
      </c>
      <c r="H14" s="27">
        <v>8.16</v>
      </c>
      <c r="I14" s="27">
        <v>8.06</v>
      </c>
      <c r="J14" s="27">
        <v>8.19</v>
      </c>
      <c r="K14" s="27"/>
      <c r="L14" s="27"/>
      <c r="M14" s="27"/>
      <c r="N14" s="27"/>
      <c r="O14" s="27"/>
      <c r="P14" s="27"/>
      <c r="Q14" s="268">
        <f t="shared" si="1"/>
        <v>8.181666667</v>
      </c>
      <c r="R14" s="241" t="s">
        <v>164</v>
      </c>
    </row>
    <row r="15" ht="15.75" customHeight="1">
      <c r="A15" s="21"/>
      <c r="B15" s="30"/>
      <c r="C15" s="201">
        <v>3.0</v>
      </c>
      <c r="D15" s="348" t="s">
        <v>242</v>
      </c>
      <c r="E15" s="106">
        <v>8.23</v>
      </c>
      <c r="F15" s="27">
        <v>8.3</v>
      </c>
      <c r="G15" s="27">
        <v>8.29</v>
      </c>
      <c r="H15" s="27">
        <v>8.2</v>
      </c>
      <c r="I15" s="27">
        <v>8.03</v>
      </c>
      <c r="J15" s="27">
        <v>8.22</v>
      </c>
      <c r="K15" s="27"/>
      <c r="L15" s="27"/>
      <c r="M15" s="27"/>
      <c r="N15" s="27"/>
      <c r="O15" s="27"/>
      <c r="P15" s="27"/>
      <c r="Q15" s="268">
        <f t="shared" si="1"/>
        <v>8.211666667</v>
      </c>
      <c r="R15" s="241" t="s">
        <v>164</v>
      </c>
    </row>
    <row r="16" ht="15.75" customHeight="1">
      <c r="A16" s="21"/>
      <c r="B16" s="13" t="s">
        <v>287</v>
      </c>
      <c r="C16" s="202">
        <v>1.0</v>
      </c>
      <c r="D16" s="351" t="s">
        <v>286</v>
      </c>
      <c r="E16" s="102">
        <v>28.9</v>
      </c>
      <c r="F16" s="18">
        <v>29.1</v>
      </c>
      <c r="G16" s="102">
        <v>29.1</v>
      </c>
      <c r="H16" s="18">
        <v>30.0</v>
      </c>
      <c r="I16" s="18">
        <v>31.0</v>
      </c>
      <c r="J16" s="18">
        <v>28.25</v>
      </c>
      <c r="K16" s="18"/>
      <c r="L16" s="18"/>
      <c r="M16" s="18"/>
      <c r="N16" s="18"/>
      <c r="O16" s="102"/>
      <c r="P16" s="102"/>
      <c r="Q16" s="265">
        <f t="shared" si="1"/>
        <v>29.39166667</v>
      </c>
      <c r="R16" s="18" t="s">
        <v>166</v>
      </c>
    </row>
    <row r="17" ht="15.75" customHeight="1">
      <c r="A17" s="21"/>
      <c r="B17" s="22"/>
      <c r="C17" s="201">
        <v>2.0</v>
      </c>
      <c r="D17" s="348" t="s">
        <v>241</v>
      </c>
      <c r="E17" s="27">
        <v>29.0</v>
      </c>
      <c r="F17" s="27">
        <v>29.3</v>
      </c>
      <c r="G17" s="27">
        <v>29.8</v>
      </c>
      <c r="H17" s="27">
        <v>29.9</v>
      </c>
      <c r="I17" s="27">
        <v>30.9</v>
      </c>
      <c r="J17" s="27">
        <v>28.45</v>
      </c>
      <c r="K17" s="27"/>
      <c r="L17" s="27"/>
      <c r="M17" s="27"/>
      <c r="N17" s="27"/>
      <c r="O17" s="27"/>
      <c r="P17" s="27"/>
      <c r="Q17" s="268">
        <f t="shared" si="1"/>
        <v>29.55833333</v>
      </c>
      <c r="R17" s="27" t="s">
        <v>166</v>
      </c>
    </row>
    <row r="18" ht="15.75" customHeight="1">
      <c r="A18" s="21"/>
      <c r="B18" s="30"/>
      <c r="C18" s="201">
        <v>3.0</v>
      </c>
      <c r="D18" s="348" t="s">
        <v>242</v>
      </c>
      <c r="E18" s="27">
        <v>28.8</v>
      </c>
      <c r="F18" s="27">
        <v>29.5</v>
      </c>
      <c r="G18" s="27">
        <v>29.9</v>
      </c>
      <c r="H18" s="27">
        <v>29.9</v>
      </c>
      <c r="I18" s="27">
        <v>30.9</v>
      </c>
      <c r="J18" s="27">
        <v>28.4</v>
      </c>
      <c r="K18" s="27"/>
      <c r="L18" s="27"/>
      <c r="M18" s="27"/>
      <c r="N18" s="27"/>
      <c r="O18" s="27"/>
      <c r="P18" s="27"/>
      <c r="Q18" s="268">
        <f t="shared" si="1"/>
        <v>29.56666667</v>
      </c>
      <c r="R18" s="27" t="s">
        <v>166</v>
      </c>
    </row>
    <row r="19" ht="14.25" customHeight="1">
      <c r="A19" s="21"/>
      <c r="B19" s="13" t="s">
        <v>37</v>
      </c>
      <c r="C19" s="202">
        <v>1.0</v>
      </c>
      <c r="D19" s="351" t="s">
        <v>286</v>
      </c>
      <c r="E19" s="124">
        <v>5.0</v>
      </c>
      <c r="F19" s="35">
        <v>5.0</v>
      </c>
      <c r="G19" s="35">
        <v>15.0</v>
      </c>
      <c r="H19" s="35">
        <v>5.0</v>
      </c>
      <c r="I19" s="35">
        <v>5.0</v>
      </c>
      <c r="J19" s="35">
        <v>5.0</v>
      </c>
      <c r="K19" s="35"/>
      <c r="L19" s="35"/>
      <c r="M19" s="35"/>
      <c r="N19" s="35"/>
      <c r="O19" s="35"/>
      <c r="P19" s="35"/>
      <c r="Q19" s="273">
        <f t="shared" si="1"/>
        <v>6.666666667</v>
      </c>
      <c r="R19" s="35">
        <v>50.0</v>
      </c>
    </row>
    <row r="20" ht="14.25" customHeight="1">
      <c r="A20" s="21"/>
      <c r="B20" s="22"/>
      <c r="C20" s="201">
        <v>2.0</v>
      </c>
      <c r="D20" s="348" t="s">
        <v>241</v>
      </c>
      <c r="E20" s="39">
        <v>5.0</v>
      </c>
      <c r="F20" s="39">
        <v>5.0</v>
      </c>
      <c r="G20" s="39">
        <v>15.0</v>
      </c>
      <c r="H20" s="39">
        <v>5.0</v>
      </c>
      <c r="I20" s="39">
        <v>5.0</v>
      </c>
      <c r="J20" s="39">
        <v>5.0</v>
      </c>
      <c r="K20" s="39"/>
      <c r="L20" s="39"/>
      <c r="M20" s="39"/>
      <c r="N20" s="39"/>
      <c r="O20" s="39"/>
      <c r="P20" s="39"/>
      <c r="Q20" s="276">
        <f t="shared" si="1"/>
        <v>6.666666667</v>
      </c>
      <c r="R20" s="39">
        <v>50.0</v>
      </c>
    </row>
    <row r="21" ht="14.25" customHeight="1">
      <c r="A21" s="21"/>
      <c r="B21" s="30"/>
      <c r="C21" s="201">
        <v>3.0</v>
      </c>
      <c r="D21" s="348" t="s">
        <v>242</v>
      </c>
      <c r="E21" s="39">
        <v>5.0</v>
      </c>
      <c r="F21" s="39">
        <v>5.0</v>
      </c>
      <c r="G21" s="39">
        <v>15.0</v>
      </c>
      <c r="H21" s="39">
        <v>5.0</v>
      </c>
      <c r="I21" s="39">
        <v>5.0</v>
      </c>
      <c r="J21" s="39">
        <v>5.0</v>
      </c>
      <c r="K21" s="39"/>
      <c r="L21" s="39"/>
      <c r="M21" s="39"/>
      <c r="N21" s="39"/>
      <c r="O21" s="39"/>
      <c r="P21" s="39"/>
      <c r="Q21" s="276">
        <f t="shared" si="1"/>
        <v>6.666666667</v>
      </c>
      <c r="R21" s="39">
        <v>50.0</v>
      </c>
    </row>
    <row r="22" ht="15.75" customHeight="1">
      <c r="A22" s="21"/>
      <c r="B22" s="13" t="s">
        <v>38</v>
      </c>
      <c r="C22" s="202">
        <v>1.0</v>
      </c>
      <c r="D22" s="351" t="s">
        <v>286</v>
      </c>
      <c r="E22" s="109">
        <v>110.0</v>
      </c>
      <c r="F22" s="69">
        <v>1.8</v>
      </c>
      <c r="G22" s="109">
        <v>2.0</v>
      </c>
      <c r="H22" s="69">
        <v>2.0</v>
      </c>
      <c r="I22" s="69">
        <v>2.0</v>
      </c>
      <c r="J22" s="69">
        <v>1700.0</v>
      </c>
      <c r="K22" s="18"/>
      <c r="L22" s="69"/>
      <c r="M22" s="35"/>
      <c r="N22" s="69"/>
      <c r="O22" s="35"/>
      <c r="P22" s="35"/>
      <c r="Q22" s="273">
        <f t="shared" ref="Q22:Q24" si="2">GEOMEAN(E22:P22)</f>
        <v>11.79507436</v>
      </c>
      <c r="R22" s="20">
        <v>100.0</v>
      </c>
    </row>
    <row r="23" ht="15.75" customHeight="1">
      <c r="A23" s="21"/>
      <c r="B23" s="22"/>
      <c r="C23" s="201">
        <v>2.0</v>
      </c>
      <c r="D23" s="348" t="s">
        <v>241</v>
      </c>
      <c r="E23" s="71">
        <v>1600.0</v>
      </c>
      <c r="F23" s="71">
        <v>1.8</v>
      </c>
      <c r="G23" s="71">
        <v>7.8</v>
      </c>
      <c r="H23" s="71">
        <v>13.0</v>
      </c>
      <c r="I23" s="71">
        <v>13.0</v>
      </c>
      <c r="J23" s="71">
        <v>920.0</v>
      </c>
      <c r="K23" s="27"/>
      <c r="L23" s="71"/>
      <c r="M23" s="39"/>
      <c r="N23" s="71"/>
      <c r="O23" s="39"/>
      <c r="P23" s="39"/>
      <c r="Q23" s="276">
        <f t="shared" si="2"/>
        <v>38.95174667</v>
      </c>
      <c r="R23" s="29">
        <v>100.0</v>
      </c>
    </row>
    <row r="24" ht="15.75" customHeight="1">
      <c r="A24" s="21"/>
      <c r="B24" s="30"/>
      <c r="C24" s="201">
        <v>3.0</v>
      </c>
      <c r="D24" s="348" t="s">
        <v>242</v>
      </c>
      <c r="E24" s="71">
        <v>2400.0</v>
      </c>
      <c r="F24" s="71">
        <v>1.8</v>
      </c>
      <c r="G24" s="71">
        <v>2.0</v>
      </c>
      <c r="H24" s="71">
        <v>7.8</v>
      </c>
      <c r="I24" s="71">
        <v>7.8</v>
      </c>
      <c r="J24" s="71">
        <v>240.0</v>
      </c>
      <c r="K24" s="27"/>
      <c r="L24" s="71"/>
      <c r="M24" s="39"/>
      <c r="N24" s="71"/>
      <c r="O24" s="71"/>
      <c r="P24" s="39"/>
      <c r="Q24" s="276">
        <f t="shared" si="2"/>
        <v>22.39506694</v>
      </c>
      <c r="R24" s="29">
        <v>100.0</v>
      </c>
    </row>
    <row r="25" ht="15.75" customHeight="1">
      <c r="A25" s="21"/>
      <c r="B25" s="13" t="s">
        <v>288</v>
      </c>
      <c r="C25" s="202">
        <v>1.0</v>
      </c>
      <c r="D25" s="351" t="s">
        <v>286</v>
      </c>
      <c r="E25" s="108">
        <v>0.089</v>
      </c>
      <c r="F25" s="59">
        <v>0.284</v>
      </c>
      <c r="G25" s="59">
        <v>0.069</v>
      </c>
      <c r="H25" s="59">
        <v>0.103</v>
      </c>
      <c r="I25" s="59">
        <v>0.069</v>
      </c>
      <c r="J25" s="59">
        <v>0.113</v>
      </c>
      <c r="K25" s="18"/>
      <c r="L25" s="59"/>
      <c r="M25" s="18"/>
      <c r="N25" s="59"/>
      <c r="O25" s="59"/>
      <c r="P25" s="59"/>
      <c r="Q25" s="278">
        <f t="shared" ref="Q25:Q27" si="3">GEOMEAN(E25,F25)</f>
        <v>0.158984276</v>
      </c>
      <c r="R25" s="20">
        <v>10.0</v>
      </c>
    </row>
    <row r="26" ht="15.75" customHeight="1">
      <c r="A26" s="21"/>
      <c r="B26" s="22"/>
      <c r="C26" s="201">
        <v>2.0</v>
      </c>
      <c r="D26" s="348" t="s">
        <v>241</v>
      </c>
      <c r="E26" s="65">
        <v>0.069</v>
      </c>
      <c r="F26" s="65">
        <v>0.193</v>
      </c>
      <c r="G26" s="65">
        <v>0.069</v>
      </c>
      <c r="H26" s="65">
        <v>0.022</v>
      </c>
      <c r="I26" s="65">
        <v>0.136</v>
      </c>
      <c r="J26" s="65">
        <v>0.069</v>
      </c>
      <c r="K26" s="27"/>
      <c r="L26" s="65"/>
      <c r="M26" s="27"/>
      <c r="N26" s="65"/>
      <c r="O26" s="65"/>
      <c r="P26" s="65"/>
      <c r="Q26" s="280">
        <f t="shared" si="3"/>
        <v>0.1153993068</v>
      </c>
      <c r="R26" s="29">
        <v>10.0</v>
      </c>
    </row>
    <row r="27" ht="15.75" customHeight="1">
      <c r="A27" s="21"/>
      <c r="B27" s="30"/>
      <c r="C27" s="201">
        <v>3.0</v>
      </c>
      <c r="D27" s="348" t="s">
        <v>242</v>
      </c>
      <c r="E27" s="65">
        <v>0.069</v>
      </c>
      <c r="F27" s="65">
        <v>0.069</v>
      </c>
      <c r="G27" s="65">
        <v>0.069</v>
      </c>
      <c r="H27" s="65">
        <v>0.027</v>
      </c>
      <c r="I27" s="65">
        <v>0.139</v>
      </c>
      <c r="J27" s="65">
        <v>0.069</v>
      </c>
      <c r="K27" s="27"/>
      <c r="L27" s="65"/>
      <c r="M27" s="27"/>
      <c r="N27" s="65"/>
      <c r="O27" s="65"/>
      <c r="P27" s="65"/>
      <c r="Q27" s="280">
        <f t="shared" si="3"/>
        <v>0.069</v>
      </c>
      <c r="R27" s="29">
        <v>10.0</v>
      </c>
    </row>
    <row r="28" ht="15.75" customHeight="1">
      <c r="A28" s="21"/>
      <c r="B28" s="13" t="s">
        <v>289</v>
      </c>
      <c r="C28" s="202">
        <v>1.0</v>
      </c>
      <c r="D28" s="351" t="s">
        <v>286</v>
      </c>
      <c r="E28" s="108">
        <v>0.059</v>
      </c>
      <c r="F28" s="59">
        <v>0.02</v>
      </c>
      <c r="G28" s="59">
        <v>0.024</v>
      </c>
      <c r="H28" s="59">
        <v>0.026</v>
      </c>
      <c r="I28" s="59">
        <v>0.027</v>
      </c>
      <c r="J28" s="59" t="s">
        <v>290</v>
      </c>
      <c r="K28" s="18"/>
      <c r="L28" s="59"/>
      <c r="M28" s="59"/>
      <c r="N28" s="59"/>
      <c r="O28" s="59"/>
      <c r="P28" s="18"/>
      <c r="Q28" s="278">
        <f t="shared" ref="Q28:Q30" si="4">AVERAGE(E28:P28)</f>
        <v>0.0312</v>
      </c>
      <c r="R28" s="20">
        <v>0.5</v>
      </c>
    </row>
    <row r="29" ht="15.75" customHeight="1">
      <c r="A29" s="21"/>
      <c r="B29" s="22"/>
      <c r="C29" s="201">
        <v>2.0</v>
      </c>
      <c r="D29" s="348" t="s">
        <v>241</v>
      </c>
      <c r="E29" s="65">
        <v>0.037</v>
      </c>
      <c r="F29" s="65">
        <v>0.038</v>
      </c>
      <c r="G29" s="65">
        <v>0.035</v>
      </c>
      <c r="H29" s="65">
        <v>0.022</v>
      </c>
      <c r="I29" s="65">
        <v>0.038</v>
      </c>
      <c r="J29" s="65">
        <v>0.031</v>
      </c>
      <c r="K29" s="27"/>
      <c r="L29" s="65"/>
      <c r="M29" s="65"/>
      <c r="N29" s="65"/>
      <c r="O29" s="65"/>
      <c r="P29" s="27"/>
      <c r="Q29" s="280">
        <f t="shared" si="4"/>
        <v>0.0335</v>
      </c>
      <c r="R29" s="29">
        <v>0.5</v>
      </c>
    </row>
    <row r="30" ht="15.75" customHeight="1">
      <c r="A30" s="21"/>
      <c r="B30" s="30"/>
      <c r="C30" s="201">
        <v>3.0</v>
      </c>
      <c r="D30" s="348" t="s">
        <v>242</v>
      </c>
      <c r="E30" s="65">
        <v>0.042</v>
      </c>
      <c r="F30" s="65">
        <v>0.024</v>
      </c>
      <c r="G30" s="65">
        <v>0.067</v>
      </c>
      <c r="H30" s="65">
        <v>0.027</v>
      </c>
      <c r="I30" s="65">
        <v>0.031</v>
      </c>
      <c r="J30" s="65">
        <v>0.065</v>
      </c>
      <c r="K30" s="27"/>
      <c r="L30" s="65"/>
      <c r="M30" s="65"/>
      <c r="N30" s="65"/>
      <c r="O30" s="65"/>
      <c r="P30" s="27"/>
      <c r="Q30" s="280">
        <f t="shared" si="4"/>
        <v>0.04266666667</v>
      </c>
      <c r="R30" s="29">
        <v>0.5</v>
      </c>
    </row>
    <row r="31" ht="15.75" hidden="1" customHeight="1">
      <c r="A31" s="21"/>
      <c r="B31" s="13" t="s">
        <v>42</v>
      </c>
      <c r="C31" s="202">
        <v>1.0</v>
      </c>
      <c r="D31" s="351" t="s">
        <v>240</v>
      </c>
      <c r="E31" s="281"/>
      <c r="F31" s="281"/>
      <c r="G31" s="281"/>
      <c r="H31" s="176" t="s">
        <v>291</v>
      </c>
      <c r="I31" s="281"/>
      <c r="J31" s="281"/>
      <c r="K31" s="281"/>
      <c r="L31" s="281"/>
      <c r="M31" s="281"/>
      <c r="N31" s="354"/>
      <c r="O31" s="354"/>
      <c r="P31" s="354"/>
      <c r="Q31" s="265" t="str">
        <f t="shared" ref="Q31:Q33" si="5">AVERAGE(E31,F31,G31,H31,I31,J31,K31,L31,M31,N31,O31,P31)</f>
        <v>#DIV/0!</v>
      </c>
    </row>
    <row r="32" ht="15.75" hidden="1" customHeight="1">
      <c r="A32" s="21"/>
      <c r="B32" s="22"/>
      <c r="C32" s="201">
        <v>2.0</v>
      </c>
      <c r="D32" s="348" t="s">
        <v>241</v>
      </c>
      <c r="E32" s="21"/>
      <c r="F32" s="21"/>
      <c r="G32" s="21"/>
      <c r="H32" s="106" t="s">
        <v>291</v>
      </c>
      <c r="I32" s="21"/>
      <c r="J32" s="21"/>
      <c r="K32" s="21"/>
      <c r="L32" s="21"/>
      <c r="M32" s="21"/>
      <c r="N32" s="21"/>
      <c r="O32" s="21"/>
      <c r="P32" s="21"/>
      <c r="Q32" s="268" t="str">
        <f t="shared" si="5"/>
        <v>#DIV/0!</v>
      </c>
    </row>
    <row r="33" ht="15.75" hidden="1" customHeight="1">
      <c r="A33" s="21"/>
      <c r="B33" s="30"/>
      <c r="C33" s="201">
        <v>3.0</v>
      </c>
      <c r="D33" s="348" t="s">
        <v>242</v>
      </c>
      <c r="E33" s="21"/>
      <c r="F33" s="21"/>
      <c r="G33" s="21"/>
      <c r="H33" s="134"/>
      <c r="I33" s="21"/>
      <c r="J33" s="21"/>
      <c r="K33" s="21"/>
      <c r="L33" s="21"/>
      <c r="M33" s="21"/>
      <c r="N33" s="21"/>
      <c r="O33" s="21"/>
      <c r="P33" s="21"/>
      <c r="Q33" s="268" t="str">
        <f t="shared" si="5"/>
        <v>#DIV/0!</v>
      </c>
    </row>
    <row r="34" ht="14.2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5"/>
      <c r="M34" s="135"/>
      <c r="N34" s="134"/>
      <c r="O34" s="134"/>
      <c r="P34" s="135"/>
      <c r="Q34" s="134"/>
      <c r="R34" s="134"/>
    </row>
    <row r="35" ht="15.0" customHeight="1">
      <c r="A35" s="134"/>
      <c r="B35" s="134"/>
      <c r="C35" s="110"/>
      <c r="E35" s="134"/>
      <c r="F35" s="134"/>
      <c r="G35" s="134"/>
      <c r="H35" s="134"/>
      <c r="I35" s="134"/>
      <c r="J35" s="134"/>
      <c r="K35" s="134"/>
      <c r="L35" s="135"/>
      <c r="M35" s="135"/>
      <c r="N35" s="134"/>
      <c r="O35" s="134"/>
      <c r="P35" s="135"/>
      <c r="Q35" s="134"/>
      <c r="R35" s="134"/>
    </row>
    <row r="36" ht="14.25" customHeight="1">
      <c r="A36" s="99"/>
      <c r="B36" s="382"/>
      <c r="E36" s="134"/>
      <c r="F36" s="134"/>
      <c r="G36" s="134"/>
      <c r="H36" s="334"/>
      <c r="I36" s="134"/>
      <c r="J36" s="134"/>
      <c r="K36" s="134"/>
      <c r="L36" s="135"/>
      <c r="M36" s="135"/>
      <c r="N36" s="134"/>
      <c r="O36" s="134"/>
      <c r="P36" s="135"/>
      <c r="Q36" s="134"/>
      <c r="R36" s="134"/>
    </row>
    <row r="37" ht="14.25" customHeight="1">
      <c r="A37" s="383" t="s">
        <v>43</v>
      </c>
      <c r="D37" s="134"/>
      <c r="E37" s="134"/>
      <c r="F37" s="134"/>
      <c r="G37" s="134"/>
      <c r="H37" s="134"/>
      <c r="I37" s="134"/>
      <c r="J37" s="134"/>
      <c r="K37" s="134"/>
      <c r="L37" s="135"/>
      <c r="M37" s="135"/>
      <c r="N37" s="134"/>
      <c r="O37" s="134"/>
      <c r="P37" s="135"/>
      <c r="Q37" s="134"/>
      <c r="R37" s="134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C35:D36"/>
    <mergeCell ref="A37:C37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57"/>
    <col customWidth="1" min="5" max="5" width="10.71"/>
    <col customWidth="1" min="6" max="6" width="8.86"/>
    <col customWidth="1" min="7" max="9" width="6.71"/>
    <col customWidth="1" min="10" max="10" width="8.71"/>
    <col customWidth="1" hidden="1" min="11" max="11" width="6.29"/>
    <col customWidth="1" hidden="1" min="12" max="12" width="9.57"/>
    <col customWidth="1" hidden="1" min="13" max="13" width="13.86"/>
    <col customWidth="1" hidden="1" min="14" max="14" width="10.71"/>
    <col customWidth="1" hidden="1" min="15" max="15" width="12.86"/>
    <col customWidth="1" hidden="1" min="16" max="16" width="13.0"/>
    <col customWidth="1" min="17" max="17" width="18.71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284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384" t="s">
        <v>3</v>
      </c>
      <c r="B4" s="262" t="s">
        <v>4</v>
      </c>
      <c r="C4" s="262" t="s">
        <v>5</v>
      </c>
      <c r="D4" s="262" t="s">
        <v>6</v>
      </c>
      <c r="E4" s="262" t="s">
        <v>7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62" t="s">
        <v>19</v>
      </c>
      <c r="R4" s="262" t="s">
        <v>20</v>
      </c>
    </row>
    <row r="5" ht="14.25" customHeight="1">
      <c r="A5" s="8" t="s">
        <v>292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160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5.75" customHeight="1">
      <c r="A7" s="101" t="s">
        <v>23</v>
      </c>
      <c r="B7" s="74" t="s">
        <v>24</v>
      </c>
      <c r="C7" s="199">
        <v>1.0</v>
      </c>
      <c r="D7" s="385" t="s">
        <v>293</v>
      </c>
      <c r="E7" s="102">
        <v>6.2</v>
      </c>
      <c r="F7" s="102">
        <v>6.3</v>
      </c>
      <c r="G7" s="102">
        <v>6.6</v>
      </c>
      <c r="H7" s="105">
        <v>4.8</v>
      </c>
      <c r="I7" s="105">
        <v>4.0</v>
      </c>
      <c r="J7" s="102">
        <v>2.5</v>
      </c>
      <c r="K7" s="386"/>
      <c r="L7" s="105"/>
      <c r="M7" s="105"/>
      <c r="N7" s="105"/>
      <c r="O7" s="105"/>
      <c r="P7" s="105"/>
      <c r="Q7" s="265">
        <f t="shared" ref="Q7:Q21" si="1">AVERAGE(E7:P7)</f>
        <v>5.066666667</v>
      </c>
      <c r="R7" s="200">
        <v>6.0</v>
      </c>
    </row>
    <row r="8" ht="15.75" customHeight="1">
      <c r="A8" s="21"/>
      <c r="B8" s="22"/>
      <c r="C8" s="201">
        <v>2.0</v>
      </c>
      <c r="D8" s="223" t="s">
        <v>294</v>
      </c>
      <c r="E8" s="106">
        <v>4.9</v>
      </c>
      <c r="F8" s="27">
        <v>5.0</v>
      </c>
      <c r="G8" s="106">
        <v>7.4</v>
      </c>
      <c r="H8" s="106">
        <v>4.8</v>
      </c>
      <c r="I8" s="106">
        <v>2.4</v>
      </c>
      <c r="J8" s="27">
        <v>2.8</v>
      </c>
      <c r="K8" s="284"/>
      <c r="L8" s="106"/>
      <c r="M8" s="106"/>
      <c r="N8" s="106"/>
      <c r="O8" s="106"/>
      <c r="P8" s="106"/>
      <c r="Q8" s="268">
        <f t="shared" si="1"/>
        <v>4.55</v>
      </c>
      <c r="R8" s="29">
        <v>6.0</v>
      </c>
    </row>
    <row r="9" ht="15.75" customHeight="1">
      <c r="A9" s="21"/>
      <c r="B9" s="30"/>
      <c r="C9" s="201">
        <v>3.0</v>
      </c>
      <c r="D9" s="223" t="s">
        <v>295</v>
      </c>
      <c r="E9" s="27">
        <v>6.3</v>
      </c>
      <c r="F9" s="27">
        <v>5.9</v>
      </c>
      <c r="G9" s="27">
        <v>6.4</v>
      </c>
      <c r="H9" s="27">
        <v>4.6</v>
      </c>
      <c r="I9" s="106">
        <v>4.2</v>
      </c>
      <c r="J9" s="27">
        <v>2.5</v>
      </c>
      <c r="K9" s="284"/>
      <c r="L9" s="106"/>
      <c r="M9" s="106"/>
      <c r="N9" s="106"/>
      <c r="O9" s="27"/>
      <c r="P9" s="106"/>
      <c r="Q9" s="268">
        <f t="shared" si="1"/>
        <v>4.983333333</v>
      </c>
      <c r="R9" s="29">
        <v>6.0</v>
      </c>
    </row>
    <row r="10" ht="15.75" customHeight="1">
      <c r="A10" s="21"/>
      <c r="B10" s="13" t="s">
        <v>31</v>
      </c>
      <c r="C10" s="202">
        <v>1.0</v>
      </c>
      <c r="D10" s="221" t="s">
        <v>293</v>
      </c>
      <c r="E10" s="105">
        <v>39.0</v>
      </c>
      <c r="F10" s="176">
        <v>34.0</v>
      </c>
      <c r="G10" s="176">
        <v>7.0</v>
      </c>
      <c r="H10" s="105">
        <v>7.0</v>
      </c>
      <c r="I10" s="105">
        <v>6.0</v>
      </c>
      <c r="J10" s="176">
        <v>18.0</v>
      </c>
      <c r="K10" s="386"/>
      <c r="L10" s="105"/>
      <c r="M10" s="176"/>
      <c r="N10" s="176"/>
      <c r="O10" s="176"/>
      <c r="P10" s="386"/>
      <c r="Q10" s="273">
        <f t="shared" si="1"/>
        <v>18.5</v>
      </c>
      <c r="R10" s="20">
        <v>50.0</v>
      </c>
    </row>
    <row r="11" ht="15.75" customHeight="1">
      <c r="A11" s="21"/>
      <c r="B11" s="22"/>
      <c r="C11" s="201">
        <v>2.0</v>
      </c>
      <c r="D11" s="223" t="s">
        <v>294</v>
      </c>
      <c r="E11" s="106">
        <v>28.0</v>
      </c>
      <c r="F11" s="106">
        <v>23.0</v>
      </c>
      <c r="G11" s="106">
        <v>12.0</v>
      </c>
      <c r="H11" s="106">
        <v>3.0</v>
      </c>
      <c r="I11" s="106">
        <v>4.0</v>
      </c>
      <c r="J11" s="106">
        <v>12.0</v>
      </c>
      <c r="K11" s="284"/>
      <c r="L11" s="106"/>
      <c r="M11" s="106"/>
      <c r="N11" s="106"/>
      <c r="O11" s="106"/>
      <c r="P11" s="284"/>
      <c r="Q11" s="276">
        <f t="shared" si="1"/>
        <v>13.66666667</v>
      </c>
      <c r="R11" s="29">
        <v>50.0</v>
      </c>
    </row>
    <row r="12" ht="15.75" customHeight="1">
      <c r="A12" s="21"/>
      <c r="B12" s="30"/>
      <c r="C12" s="201">
        <v>3.0</v>
      </c>
      <c r="D12" s="223" t="s">
        <v>295</v>
      </c>
      <c r="E12" s="27">
        <v>24.0</v>
      </c>
      <c r="F12" s="106">
        <v>30.0</v>
      </c>
      <c r="G12" s="106">
        <v>10.0</v>
      </c>
      <c r="H12" s="106">
        <v>4.0</v>
      </c>
      <c r="I12" s="106">
        <v>5.0</v>
      </c>
      <c r="J12" s="106">
        <v>14.0</v>
      </c>
      <c r="K12" s="284"/>
      <c r="L12" s="106"/>
      <c r="M12" s="106"/>
      <c r="N12" s="106"/>
      <c r="O12" s="106"/>
      <c r="P12" s="284"/>
      <c r="Q12" s="276">
        <f t="shared" si="1"/>
        <v>14.5</v>
      </c>
      <c r="R12" s="29">
        <v>50.0</v>
      </c>
    </row>
    <row r="13" ht="15.75" customHeight="1">
      <c r="A13" s="21"/>
      <c r="B13" s="13" t="s">
        <v>33</v>
      </c>
      <c r="C13" s="202">
        <v>1.0</v>
      </c>
      <c r="D13" s="221" t="s">
        <v>293</v>
      </c>
      <c r="E13" s="105">
        <v>8.19</v>
      </c>
      <c r="F13" s="176">
        <v>8.1</v>
      </c>
      <c r="G13" s="18">
        <v>7.84</v>
      </c>
      <c r="H13" s="105">
        <v>7.98</v>
      </c>
      <c r="I13" s="105">
        <v>7.67</v>
      </c>
      <c r="J13" s="176">
        <v>7.88</v>
      </c>
      <c r="K13" s="386"/>
      <c r="L13" s="18"/>
      <c r="M13" s="176"/>
      <c r="N13" s="176"/>
      <c r="O13" s="105"/>
      <c r="P13" s="105"/>
      <c r="Q13" s="265">
        <f t="shared" si="1"/>
        <v>7.943333333</v>
      </c>
      <c r="R13" s="208" t="s">
        <v>164</v>
      </c>
    </row>
    <row r="14" ht="15.75" customHeight="1">
      <c r="A14" s="21"/>
      <c r="B14" s="22"/>
      <c r="C14" s="201">
        <v>2.0</v>
      </c>
      <c r="D14" s="223" t="s">
        <v>294</v>
      </c>
      <c r="E14" s="106">
        <v>8.31</v>
      </c>
      <c r="F14" s="106">
        <v>8.12</v>
      </c>
      <c r="G14" s="27">
        <v>8.02</v>
      </c>
      <c r="H14" s="106">
        <v>8.11</v>
      </c>
      <c r="I14" s="106">
        <v>7.93</v>
      </c>
      <c r="J14" s="27">
        <v>8.06</v>
      </c>
      <c r="K14" s="284"/>
      <c r="L14" s="27"/>
      <c r="M14" s="106"/>
      <c r="N14" s="106"/>
      <c r="O14" s="106"/>
      <c r="P14" s="106"/>
      <c r="Q14" s="268">
        <f t="shared" si="1"/>
        <v>8.091666667</v>
      </c>
      <c r="R14" s="241" t="s">
        <v>164</v>
      </c>
    </row>
    <row r="15" ht="15.75" customHeight="1">
      <c r="A15" s="21"/>
      <c r="B15" s="30"/>
      <c r="C15" s="201">
        <v>3.0</v>
      </c>
      <c r="D15" s="223" t="s">
        <v>295</v>
      </c>
      <c r="E15" s="27">
        <v>8.3</v>
      </c>
      <c r="F15" s="27">
        <v>8.14</v>
      </c>
      <c r="G15" s="27">
        <v>8.01</v>
      </c>
      <c r="H15" s="106">
        <v>8.11</v>
      </c>
      <c r="I15" s="106">
        <v>8.01</v>
      </c>
      <c r="J15" s="106">
        <v>8.12</v>
      </c>
      <c r="K15" s="284"/>
      <c r="L15" s="27"/>
      <c r="M15" s="106"/>
      <c r="N15" s="106"/>
      <c r="O15" s="106"/>
      <c r="P15" s="106"/>
      <c r="Q15" s="268">
        <f t="shared" si="1"/>
        <v>8.115</v>
      </c>
      <c r="R15" s="241" t="s">
        <v>164</v>
      </c>
    </row>
    <row r="16" ht="15.75" customHeight="1">
      <c r="A16" s="21"/>
      <c r="B16" s="13" t="s">
        <v>296</v>
      </c>
      <c r="C16" s="202">
        <v>1.0</v>
      </c>
      <c r="D16" s="221" t="s">
        <v>293</v>
      </c>
      <c r="E16" s="102">
        <v>29.1</v>
      </c>
      <c r="F16" s="18">
        <v>28.9</v>
      </c>
      <c r="G16" s="18">
        <v>29.4</v>
      </c>
      <c r="H16" s="102">
        <v>29.9</v>
      </c>
      <c r="I16" s="105">
        <v>30.0</v>
      </c>
      <c r="J16" s="18">
        <v>28.1</v>
      </c>
      <c r="K16" s="386"/>
      <c r="L16" s="18"/>
      <c r="M16" s="18"/>
      <c r="N16" s="18"/>
      <c r="O16" s="102"/>
      <c r="P16" s="102"/>
      <c r="Q16" s="265">
        <f t="shared" si="1"/>
        <v>29.23333333</v>
      </c>
      <c r="R16" s="18" t="s">
        <v>166</v>
      </c>
    </row>
    <row r="17" ht="15.75" customHeight="1">
      <c r="A17" s="21"/>
      <c r="B17" s="22"/>
      <c r="C17" s="201">
        <v>2.0</v>
      </c>
      <c r="D17" s="223" t="s">
        <v>294</v>
      </c>
      <c r="E17" s="27">
        <v>29.8</v>
      </c>
      <c r="F17" s="27">
        <v>29.2</v>
      </c>
      <c r="G17" s="27">
        <v>29.3</v>
      </c>
      <c r="H17" s="27">
        <v>30.0</v>
      </c>
      <c r="I17" s="106">
        <v>30.3</v>
      </c>
      <c r="J17" s="27">
        <v>28.5</v>
      </c>
      <c r="K17" s="284"/>
      <c r="L17" s="27"/>
      <c r="M17" s="27"/>
      <c r="N17" s="27"/>
      <c r="O17" s="27"/>
      <c r="P17" s="27"/>
      <c r="Q17" s="268">
        <f t="shared" si="1"/>
        <v>29.51666667</v>
      </c>
      <c r="R17" s="27" t="s">
        <v>166</v>
      </c>
    </row>
    <row r="18" ht="14.25" customHeight="1">
      <c r="A18" s="21"/>
      <c r="B18" s="30"/>
      <c r="C18" s="201">
        <v>3.0</v>
      </c>
      <c r="D18" s="223" t="s">
        <v>295</v>
      </c>
      <c r="E18" s="27">
        <v>29.9</v>
      </c>
      <c r="F18" s="27">
        <v>29.3</v>
      </c>
      <c r="G18" s="27">
        <v>29.3</v>
      </c>
      <c r="H18" s="27">
        <v>30.0</v>
      </c>
      <c r="I18" s="106">
        <v>30.4</v>
      </c>
      <c r="J18" s="27">
        <v>28.55</v>
      </c>
      <c r="K18" s="284"/>
      <c r="L18" s="27"/>
      <c r="M18" s="27"/>
      <c r="N18" s="27"/>
      <c r="O18" s="27"/>
      <c r="P18" s="106"/>
      <c r="Q18" s="268">
        <f t="shared" si="1"/>
        <v>29.575</v>
      </c>
      <c r="R18" s="27" t="s">
        <v>166</v>
      </c>
    </row>
    <row r="19" ht="14.25" customHeight="1">
      <c r="A19" s="21"/>
      <c r="B19" s="13" t="s">
        <v>37</v>
      </c>
      <c r="C19" s="202">
        <v>1.0</v>
      </c>
      <c r="D19" s="221" t="s">
        <v>293</v>
      </c>
      <c r="E19" s="105">
        <v>5.0</v>
      </c>
      <c r="F19" s="176">
        <v>5.0</v>
      </c>
      <c r="G19" s="176">
        <v>10.0</v>
      </c>
      <c r="H19" s="105">
        <v>5.0</v>
      </c>
      <c r="I19" s="105">
        <v>5.0</v>
      </c>
      <c r="J19" s="176">
        <v>5.0</v>
      </c>
      <c r="K19" s="386"/>
      <c r="L19" s="105"/>
      <c r="M19" s="176"/>
      <c r="N19" s="176"/>
      <c r="O19" s="176"/>
      <c r="P19" s="386"/>
      <c r="Q19" s="273">
        <f t="shared" si="1"/>
        <v>5.833333333</v>
      </c>
      <c r="R19" s="35">
        <v>50.0</v>
      </c>
    </row>
    <row r="20" ht="14.25" customHeight="1">
      <c r="A20" s="21"/>
      <c r="B20" s="22"/>
      <c r="C20" s="201">
        <v>2.0</v>
      </c>
      <c r="D20" s="223" t="s">
        <v>294</v>
      </c>
      <c r="E20" s="106">
        <v>5.0</v>
      </c>
      <c r="F20" s="106">
        <v>5.0</v>
      </c>
      <c r="G20" s="106">
        <v>10.0</v>
      </c>
      <c r="H20" s="106">
        <v>5.0</v>
      </c>
      <c r="I20" s="106">
        <v>5.0</v>
      </c>
      <c r="J20" s="106">
        <v>5.0</v>
      </c>
      <c r="K20" s="284"/>
      <c r="L20" s="106"/>
      <c r="M20" s="106"/>
      <c r="N20" s="106"/>
      <c r="O20" s="106"/>
      <c r="P20" s="284"/>
      <c r="Q20" s="276">
        <f t="shared" si="1"/>
        <v>5.833333333</v>
      </c>
      <c r="R20" s="39">
        <v>50.0</v>
      </c>
    </row>
    <row r="21" ht="14.25" customHeight="1">
      <c r="A21" s="21"/>
      <c r="B21" s="30"/>
      <c r="C21" s="201">
        <v>3.0</v>
      </c>
      <c r="D21" s="223" t="s">
        <v>295</v>
      </c>
      <c r="E21" s="39">
        <v>5.0</v>
      </c>
      <c r="F21" s="106">
        <v>5.0</v>
      </c>
      <c r="G21" s="106">
        <v>10.0</v>
      </c>
      <c r="H21" s="106">
        <v>5.0</v>
      </c>
      <c r="I21" s="106">
        <v>5.0</v>
      </c>
      <c r="J21" s="106">
        <v>5.0</v>
      </c>
      <c r="K21" s="284"/>
      <c r="L21" s="106"/>
      <c r="M21" s="106"/>
      <c r="N21" s="106"/>
      <c r="O21" s="106"/>
      <c r="P21" s="284"/>
      <c r="Q21" s="276">
        <f t="shared" si="1"/>
        <v>5.833333333</v>
      </c>
      <c r="R21" s="39">
        <v>50.0</v>
      </c>
    </row>
    <row r="22" ht="15.75" customHeight="1">
      <c r="A22" s="21"/>
      <c r="B22" s="13" t="s">
        <v>38</v>
      </c>
      <c r="C22" s="202">
        <v>1.0</v>
      </c>
      <c r="D22" s="221" t="s">
        <v>293</v>
      </c>
      <c r="E22" s="105">
        <v>920.0</v>
      </c>
      <c r="F22" s="176">
        <v>49.0</v>
      </c>
      <c r="G22" s="337">
        <v>350.0</v>
      </c>
      <c r="H22" s="105">
        <v>6.8</v>
      </c>
      <c r="I22" s="105">
        <v>7.8</v>
      </c>
      <c r="J22" s="47">
        <v>110.0</v>
      </c>
      <c r="K22" s="386"/>
      <c r="L22" s="47"/>
      <c r="M22" s="47"/>
      <c r="N22" s="176"/>
      <c r="O22" s="47"/>
      <c r="P22" s="386"/>
      <c r="Q22" s="295">
        <f t="shared" ref="Q22:Q24" si="2">GEOMEAN(E22:P22)</f>
        <v>67.19568085</v>
      </c>
      <c r="R22" s="20">
        <v>100.0</v>
      </c>
    </row>
    <row r="23" ht="15.75" customHeight="1">
      <c r="A23" s="21"/>
      <c r="B23" s="22"/>
      <c r="C23" s="201">
        <v>2.0</v>
      </c>
      <c r="D23" s="223" t="s">
        <v>294</v>
      </c>
      <c r="E23" s="53">
        <v>33.0</v>
      </c>
      <c r="F23" s="106">
        <v>540.0</v>
      </c>
      <c r="G23" s="387">
        <v>920.0</v>
      </c>
      <c r="H23" s="106">
        <v>2.0</v>
      </c>
      <c r="I23" s="106">
        <v>4.5</v>
      </c>
      <c r="J23" s="53">
        <v>240.0</v>
      </c>
      <c r="K23" s="284"/>
      <c r="L23" s="53"/>
      <c r="M23" s="53"/>
      <c r="N23" s="106"/>
      <c r="O23" s="53"/>
      <c r="P23" s="284"/>
      <c r="Q23" s="296">
        <f t="shared" si="2"/>
        <v>57.30487194</v>
      </c>
      <c r="R23" s="29">
        <v>100.0</v>
      </c>
    </row>
    <row r="24" ht="15.75" customHeight="1">
      <c r="A24" s="21"/>
      <c r="B24" s="30"/>
      <c r="C24" s="201">
        <v>3.0</v>
      </c>
      <c r="D24" s="223" t="s">
        <v>295</v>
      </c>
      <c r="E24" s="39">
        <v>540.0</v>
      </c>
      <c r="F24" s="106">
        <v>920.0</v>
      </c>
      <c r="G24" s="387">
        <v>1600.0</v>
      </c>
      <c r="H24" s="53">
        <v>2.0</v>
      </c>
      <c r="I24" s="106">
        <v>4.5</v>
      </c>
      <c r="J24" s="106">
        <v>130.0</v>
      </c>
      <c r="K24" s="284"/>
      <c r="L24" s="53"/>
      <c r="M24" s="53"/>
      <c r="N24" s="106"/>
      <c r="O24" s="284"/>
      <c r="P24" s="284"/>
      <c r="Q24" s="296">
        <f t="shared" si="2"/>
        <v>98.79794362</v>
      </c>
      <c r="R24" s="29">
        <v>10.0</v>
      </c>
    </row>
    <row r="25" ht="15.75" customHeight="1">
      <c r="A25" s="21"/>
      <c r="B25" s="13" t="s">
        <v>297</v>
      </c>
      <c r="C25" s="202">
        <v>1.0</v>
      </c>
      <c r="D25" s="221" t="s">
        <v>293</v>
      </c>
      <c r="E25" s="108">
        <v>0.069</v>
      </c>
      <c r="F25" s="59">
        <v>0.069</v>
      </c>
      <c r="G25" s="59">
        <v>0.068</v>
      </c>
      <c r="H25" s="108">
        <v>0.069</v>
      </c>
      <c r="I25" s="108">
        <v>0.26</v>
      </c>
      <c r="J25" s="108">
        <v>0.069</v>
      </c>
      <c r="K25" s="386"/>
      <c r="L25" s="386"/>
      <c r="M25" s="105"/>
      <c r="N25" s="176"/>
      <c r="O25" s="386"/>
      <c r="P25" s="386"/>
      <c r="Q25" s="278">
        <f t="shared" ref="Q25:Q30" si="3">AVERAGE(E25:P25)</f>
        <v>0.1006666667</v>
      </c>
      <c r="R25" s="20">
        <v>10.0</v>
      </c>
    </row>
    <row r="26" ht="15.75" customHeight="1">
      <c r="A26" s="21"/>
      <c r="B26" s="22"/>
      <c r="C26" s="201">
        <v>2.0</v>
      </c>
      <c r="D26" s="223" t="s">
        <v>294</v>
      </c>
      <c r="E26" s="65">
        <v>0.069</v>
      </c>
      <c r="F26" s="65">
        <v>0.092</v>
      </c>
      <c r="G26" s="65">
        <v>0.068</v>
      </c>
      <c r="H26" s="65">
        <v>0.069</v>
      </c>
      <c r="I26" s="65">
        <v>0.248</v>
      </c>
      <c r="J26" s="388">
        <v>0.069</v>
      </c>
      <c r="K26" s="284"/>
      <c r="L26" s="284"/>
      <c r="M26" s="106"/>
      <c r="N26" s="106"/>
      <c r="O26" s="284"/>
      <c r="P26" s="284"/>
      <c r="Q26" s="280">
        <f t="shared" si="3"/>
        <v>0.1025</v>
      </c>
      <c r="R26" s="29">
        <v>10.0</v>
      </c>
    </row>
    <row r="27" ht="15.75" customHeight="1">
      <c r="A27" s="21"/>
      <c r="B27" s="30"/>
      <c r="C27" s="201">
        <v>3.0</v>
      </c>
      <c r="D27" s="223" t="s">
        <v>295</v>
      </c>
      <c r="E27" s="65">
        <v>0.586</v>
      </c>
      <c r="F27" s="65">
        <v>0.034</v>
      </c>
      <c r="G27" s="65">
        <v>0.068</v>
      </c>
      <c r="H27" s="65">
        <v>0.069</v>
      </c>
      <c r="I27" s="65">
        <v>0.192</v>
      </c>
      <c r="J27" s="65">
        <v>0.069</v>
      </c>
      <c r="K27" s="284"/>
      <c r="L27" s="65"/>
      <c r="M27" s="106"/>
      <c r="N27" s="106"/>
      <c r="O27" s="284"/>
      <c r="P27" s="284"/>
      <c r="Q27" s="280">
        <f t="shared" si="3"/>
        <v>0.1696666667</v>
      </c>
      <c r="R27" s="29">
        <v>10.0</v>
      </c>
    </row>
    <row r="28" ht="15.75" customHeight="1">
      <c r="A28" s="21"/>
      <c r="B28" s="13" t="s">
        <v>298</v>
      </c>
      <c r="C28" s="202">
        <v>1.0</v>
      </c>
      <c r="D28" s="221" t="s">
        <v>293</v>
      </c>
      <c r="E28" s="108">
        <v>0.013</v>
      </c>
      <c r="F28" s="59">
        <v>0.012</v>
      </c>
      <c r="G28" s="59">
        <v>0.019</v>
      </c>
      <c r="H28" s="108">
        <v>0.027</v>
      </c>
      <c r="I28" s="108">
        <v>0.039</v>
      </c>
      <c r="J28" s="108">
        <v>0.031</v>
      </c>
      <c r="K28" s="386"/>
      <c r="L28" s="176"/>
      <c r="M28" s="176"/>
      <c r="N28" s="176"/>
      <c r="O28" s="176"/>
      <c r="P28" s="386"/>
      <c r="Q28" s="278">
        <f t="shared" si="3"/>
        <v>0.0235</v>
      </c>
      <c r="R28" s="20">
        <v>0.5</v>
      </c>
    </row>
    <row r="29" ht="15.75" customHeight="1">
      <c r="A29" s="21"/>
      <c r="B29" s="22"/>
      <c r="C29" s="201">
        <v>2.0</v>
      </c>
      <c r="D29" s="223" t="s">
        <v>294</v>
      </c>
      <c r="E29" s="65">
        <v>0.009</v>
      </c>
      <c r="F29" s="65">
        <v>0.009</v>
      </c>
      <c r="G29" s="65">
        <v>0.036</v>
      </c>
      <c r="H29" s="65">
        <v>0.029</v>
      </c>
      <c r="I29" s="65">
        <v>0.034</v>
      </c>
      <c r="J29" s="65">
        <v>0.052</v>
      </c>
      <c r="K29" s="284"/>
      <c r="L29" s="106"/>
      <c r="M29" s="106"/>
      <c r="N29" s="106"/>
      <c r="O29" s="106"/>
      <c r="P29" s="284"/>
      <c r="Q29" s="280">
        <f t="shared" si="3"/>
        <v>0.02816666667</v>
      </c>
      <c r="R29" s="29">
        <v>0.5</v>
      </c>
    </row>
    <row r="30" ht="15.75" customHeight="1">
      <c r="A30" s="21"/>
      <c r="B30" s="30"/>
      <c r="C30" s="201">
        <v>3.0</v>
      </c>
      <c r="D30" s="223" t="s">
        <v>295</v>
      </c>
      <c r="E30" s="65">
        <v>0.009</v>
      </c>
      <c r="F30" s="65">
        <v>0.034</v>
      </c>
      <c r="G30" s="65">
        <v>0.026</v>
      </c>
      <c r="H30" s="65">
        <v>0.026</v>
      </c>
      <c r="I30" s="65">
        <v>0.043</v>
      </c>
      <c r="J30" s="65">
        <v>0.057</v>
      </c>
      <c r="K30" s="284"/>
      <c r="L30" s="106"/>
      <c r="M30" s="65"/>
      <c r="N30" s="106"/>
      <c r="O30" s="65"/>
      <c r="P30" s="284"/>
      <c r="Q30" s="280">
        <f t="shared" si="3"/>
        <v>0.0325</v>
      </c>
      <c r="R30" s="29">
        <v>0.5</v>
      </c>
    </row>
    <row r="31" ht="15.75" hidden="1" customHeight="1">
      <c r="A31" s="21"/>
      <c r="B31" s="13" t="s">
        <v>42</v>
      </c>
      <c r="C31" s="202">
        <v>1.0</v>
      </c>
      <c r="D31" s="221" t="s">
        <v>299</v>
      </c>
      <c r="E31" s="281"/>
      <c r="F31" s="281"/>
      <c r="G31" s="281"/>
      <c r="H31" s="389" t="s">
        <v>291</v>
      </c>
      <c r="I31" s="281"/>
      <c r="J31" s="281"/>
      <c r="K31" s="281"/>
      <c r="L31" s="281"/>
      <c r="M31" s="281"/>
      <c r="N31" s="281"/>
      <c r="O31" s="281"/>
      <c r="P31" s="281"/>
      <c r="Q31" s="265" t="str">
        <f t="shared" ref="Q31:Q33" si="4">AVERAGE(E31,F31,G31,H31,I31,J31,K31,L31,M31,N31,O31,P31)</f>
        <v>#DIV/0!</v>
      </c>
    </row>
    <row r="32" ht="15.75" hidden="1" customHeight="1">
      <c r="A32" s="21"/>
      <c r="B32" s="22"/>
      <c r="C32" s="201">
        <v>2.0</v>
      </c>
      <c r="D32" s="223" t="s">
        <v>294</v>
      </c>
      <c r="E32" s="21"/>
      <c r="F32" s="21"/>
      <c r="G32" s="21"/>
      <c r="H32" s="390" t="s">
        <v>291</v>
      </c>
      <c r="I32" s="21"/>
      <c r="J32" s="21"/>
      <c r="K32" s="21"/>
      <c r="L32" s="21"/>
      <c r="M32" s="21"/>
      <c r="N32" s="21"/>
      <c r="O32" s="21"/>
      <c r="P32" s="21"/>
      <c r="Q32" s="268" t="str">
        <f t="shared" si="4"/>
        <v>#DIV/0!</v>
      </c>
    </row>
    <row r="33" ht="15.75" hidden="1" customHeight="1">
      <c r="A33" s="21"/>
      <c r="B33" s="30"/>
      <c r="C33" s="201">
        <v>3.0</v>
      </c>
      <c r="D33" s="223" t="s">
        <v>295</v>
      </c>
      <c r="E33" s="21"/>
      <c r="F33" s="21"/>
      <c r="G33" s="21"/>
      <c r="H33" s="390" t="s">
        <v>291</v>
      </c>
      <c r="I33" s="21"/>
      <c r="J33" s="21"/>
      <c r="K33" s="21"/>
      <c r="L33" s="21"/>
      <c r="M33" s="21"/>
      <c r="N33" s="21"/>
      <c r="O33" s="21"/>
      <c r="P33" s="21"/>
      <c r="Q33" s="268" t="str">
        <f t="shared" si="4"/>
        <v>#DIV/0!</v>
      </c>
    </row>
    <row r="34" ht="14.2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5"/>
      <c r="M34" s="135"/>
      <c r="N34" s="134"/>
      <c r="O34" s="134"/>
      <c r="P34" s="135"/>
      <c r="Q34" s="134"/>
      <c r="R34" s="134"/>
    </row>
    <row r="35" ht="15.0" customHeight="1">
      <c r="A35" s="136" t="s">
        <v>43</v>
      </c>
      <c r="D35" s="134"/>
      <c r="E35" s="134"/>
      <c r="F35" s="134"/>
      <c r="G35" s="134"/>
      <c r="H35" s="134"/>
      <c r="I35" s="134"/>
      <c r="J35" s="134"/>
      <c r="K35" s="134"/>
      <c r="L35" s="135"/>
      <c r="M35" s="135"/>
      <c r="N35" s="134"/>
      <c r="O35" s="134"/>
      <c r="P35" s="135"/>
      <c r="Q35" s="134"/>
      <c r="R35" s="134"/>
    </row>
    <row r="36" ht="14.25" customHeight="1">
      <c r="D36" s="134"/>
      <c r="E36" s="134"/>
      <c r="F36" s="134"/>
      <c r="G36" s="134"/>
      <c r="H36" s="134"/>
      <c r="I36" s="134"/>
      <c r="J36" s="134"/>
      <c r="K36" s="134"/>
      <c r="L36" s="135"/>
      <c r="M36" s="135"/>
      <c r="N36" s="134"/>
      <c r="O36" s="134"/>
      <c r="P36" s="135"/>
      <c r="Q36" s="134"/>
      <c r="R36" s="134"/>
    </row>
    <row r="37" ht="14.25" customHeight="1">
      <c r="A37" s="110"/>
      <c r="D37" s="134"/>
      <c r="E37" s="134"/>
      <c r="F37" s="134"/>
      <c r="G37" s="134"/>
      <c r="H37" s="134"/>
      <c r="I37" s="134"/>
      <c r="J37" s="134"/>
      <c r="K37" s="134"/>
      <c r="L37" s="135"/>
      <c r="M37" s="135"/>
      <c r="N37" s="134"/>
      <c r="O37" s="134"/>
      <c r="P37" s="135"/>
      <c r="Q37" s="134"/>
      <c r="R37" s="134"/>
    </row>
    <row r="38" ht="14.25" customHeight="1">
      <c r="D38" s="134"/>
      <c r="E38" s="134"/>
      <c r="F38" s="134"/>
      <c r="G38" s="134"/>
      <c r="H38" s="134"/>
      <c r="I38" s="134"/>
      <c r="J38" s="134"/>
      <c r="K38" s="134"/>
      <c r="L38" s="135"/>
      <c r="M38" s="135"/>
      <c r="N38" s="134"/>
      <c r="O38" s="134"/>
      <c r="P38" s="135"/>
      <c r="Q38" s="134"/>
      <c r="R38" s="134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C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8.71"/>
    <col customWidth="1" min="4" max="4" width="34.71"/>
    <col customWidth="1" min="5" max="5" width="9.29"/>
    <col customWidth="1" min="6" max="6" width="9.14"/>
    <col customWidth="1" min="7" max="7" width="7.71"/>
    <col customWidth="1" min="8" max="9" width="9.29"/>
    <col customWidth="1" min="10" max="10" width="6.71"/>
    <col customWidth="1" hidden="1" min="11" max="11" width="4.86"/>
    <col customWidth="1" hidden="1" min="12" max="12" width="7.43"/>
    <col customWidth="1" hidden="1" min="13" max="13" width="10.29"/>
    <col customWidth="1" hidden="1" min="14" max="14" width="8.0"/>
    <col customWidth="1" hidden="1" min="15" max="15" width="9.86"/>
    <col customWidth="1" hidden="1" min="16" max="16" width="9.71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>
      <c r="A3" s="3" t="s">
        <v>284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261" t="s">
        <v>3</v>
      </c>
      <c r="B4" s="262" t="s">
        <v>4</v>
      </c>
      <c r="C4" s="262" t="s">
        <v>5</v>
      </c>
      <c r="D4" s="262" t="s">
        <v>6</v>
      </c>
      <c r="E4" s="262" t="s">
        <v>7</v>
      </c>
      <c r="F4" s="262" t="s">
        <v>8</v>
      </c>
      <c r="G4" s="262" t="s">
        <v>9</v>
      </c>
      <c r="H4" s="262" t="s">
        <v>10</v>
      </c>
      <c r="I4" s="262" t="s">
        <v>11</v>
      </c>
      <c r="J4" s="262" t="s">
        <v>12</v>
      </c>
      <c r="K4" s="262" t="s">
        <v>13</v>
      </c>
      <c r="L4" s="262" t="s">
        <v>14</v>
      </c>
      <c r="M4" s="262" t="s">
        <v>15</v>
      </c>
      <c r="N4" s="262" t="s">
        <v>16</v>
      </c>
      <c r="O4" s="262" t="s">
        <v>17</v>
      </c>
      <c r="P4" s="262" t="s">
        <v>18</v>
      </c>
      <c r="Q4" s="262" t="s">
        <v>19</v>
      </c>
      <c r="R4" s="262" t="s">
        <v>20</v>
      </c>
    </row>
    <row r="5" ht="14.25" customHeight="1">
      <c r="A5" s="8" t="s">
        <v>300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14.25" customHeight="1">
      <c r="A6" s="11" t="s">
        <v>301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ht="14.25" customHeight="1">
      <c r="A7" s="101" t="s">
        <v>23</v>
      </c>
      <c r="B7" s="213" t="s">
        <v>24</v>
      </c>
      <c r="C7" s="199">
        <v>1.0</v>
      </c>
      <c r="D7" s="391" t="s">
        <v>302</v>
      </c>
      <c r="E7" s="102">
        <v>5.1</v>
      </c>
      <c r="F7" s="392">
        <v>3.9</v>
      </c>
      <c r="G7" s="102">
        <v>4.0</v>
      </c>
      <c r="H7" s="105">
        <v>6.0</v>
      </c>
      <c r="I7" s="392">
        <v>4.1</v>
      </c>
      <c r="J7" s="105">
        <v>3.0</v>
      </c>
      <c r="K7" s="102"/>
      <c r="L7" s="102"/>
      <c r="M7" s="105"/>
      <c r="N7" s="102"/>
      <c r="O7" s="102"/>
      <c r="P7" s="102"/>
      <c r="Q7" s="265">
        <f t="shared" ref="Q7:Q46" si="1">AVERAGE(E7:P7)</f>
        <v>4.35</v>
      </c>
      <c r="R7" s="200">
        <v>6.0</v>
      </c>
    </row>
    <row r="8" ht="14.25" customHeight="1">
      <c r="A8" s="21"/>
      <c r="B8" s="22"/>
      <c r="C8" s="201">
        <v>2.0</v>
      </c>
      <c r="D8" s="310" t="s">
        <v>303</v>
      </c>
      <c r="E8" s="27">
        <v>5.3</v>
      </c>
      <c r="F8" s="203">
        <v>4.1</v>
      </c>
      <c r="G8" s="27">
        <v>4.0</v>
      </c>
      <c r="H8" s="314">
        <v>5.1</v>
      </c>
      <c r="I8" s="393">
        <v>5.4</v>
      </c>
      <c r="J8" s="314">
        <v>5.2</v>
      </c>
      <c r="K8" s="27"/>
      <c r="L8" s="27"/>
      <c r="M8" s="314"/>
      <c r="N8" s="27"/>
      <c r="O8" s="27"/>
      <c r="P8" s="27"/>
      <c r="Q8" s="268">
        <f t="shared" si="1"/>
        <v>4.85</v>
      </c>
      <c r="R8" s="29">
        <v>6.0</v>
      </c>
    </row>
    <row r="9" ht="14.25" customHeight="1">
      <c r="A9" s="21"/>
      <c r="B9" s="22"/>
      <c r="C9" s="201">
        <v>3.0</v>
      </c>
      <c r="D9" s="310" t="s">
        <v>304</v>
      </c>
      <c r="E9" s="27">
        <v>5.6</v>
      </c>
      <c r="F9" s="203">
        <v>2.8</v>
      </c>
      <c r="G9" s="27">
        <v>4.5</v>
      </c>
      <c r="H9" s="314">
        <v>4.0</v>
      </c>
      <c r="I9" s="393">
        <v>5.7</v>
      </c>
      <c r="J9" s="314">
        <v>4.3</v>
      </c>
      <c r="K9" s="27"/>
      <c r="L9" s="27"/>
      <c r="M9" s="314"/>
      <c r="N9" s="27"/>
      <c r="O9" s="27"/>
      <c r="P9" s="27"/>
      <c r="Q9" s="268">
        <f t="shared" si="1"/>
        <v>4.483333333</v>
      </c>
      <c r="R9" s="29">
        <v>6.0</v>
      </c>
    </row>
    <row r="10" ht="14.25" customHeight="1">
      <c r="A10" s="21"/>
      <c r="B10" s="22"/>
      <c r="C10" s="201">
        <v>4.0</v>
      </c>
      <c r="D10" s="289" t="s">
        <v>305</v>
      </c>
      <c r="E10" s="27">
        <v>6.0</v>
      </c>
      <c r="F10" s="203">
        <v>3.1</v>
      </c>
      <c r="G10" s="27">
        <v>3.8</v>
      </c>
      <c r="H10" s="314">
        <v>5.2</v>
      </c>
      <c r="I10" s="393">
        <v>5.8</v>
      </c>
      <c r="J10" s="314">
        <v>5.9</v>
      </c>
      <c r="K10" s="27"/>
      <c r="L10" s="27"/>
      <c r="M10" s="314"/>
      <c r="N10" s="27"/>
      <c r="O10" s="27"/>
      <c r="P10" s="27"/>
      <c r="Q10" s="268">
        <f t="shared" si="1"/>
        <v>4.966666667</v>
      </c>
      <c r="R10" s="321">
        <v>6.0</v>
      </c>
    </row>
    <row r="11" ht="14.25" customHeight="1">
      <c r="A11" s="21"/>
      <c r="B11" s="22"/>
      <c r="C11" s="201">
        <v>5.0</v>
      </c>
      <c r="D11" s="310" t="s">
        <v>306</v>
      </c>
      <c r="E11" s="27">
        <v>5.0</v>
      </c>
      <c r="F11" s="203">
        <v>2.0</v>
      </c>
      <c r="G11" s="27">
        <v>5.6</v>
      </c>
      <c r="H11" s="314">
        <v>5.3</v>
      </c>
      <c r="I11" s="393">
        <v>5.5</v>
      </c>
      <c r="J11" s="314">
        <v>6.1</v>
      </c>
      <c r="K11" s="27"/>
      <c r="L11" s="27"/>
      <c r="M11" s="314"/>
      <c r="N11" s="27"/>
      <c r="O11" s="27"/>
      <c r="P11" s="27"/>
      <c r="Q11" s="268">
        <f t="shared" si="1"/>
        <v>4.916666667</v>
      </c>
      <c r="R11" s="29">
        <v>6.0</v>
      </c>
    </row>
    <row r="12" ht="14.25" customHeight="1">
      <c r="A12" s="21"/>
      <c r="B12" s="22"/>
      <c r="C12" s="201">
        <v>6.0</v>
      </c>
      <c r="D12" s="310" t="s">
        <v>307</v>
      </c>
      <c r="E12" s="27">
        <v>5.6</v>
      </c>
      <c r="F12" s="203">
        <v>2.1</v>
      </c>
      <c r="G12" s="27">
        <v>3.1</v>
      </c>
      <c r="H12" s="314">
        <v>6.3</v>
      </c>
      <c r="I12" s="393">
        <v>6.1</v>
      </c>
      <c r="J12" s="314">
        <v>4.5</v>
      </c>
      <c r="K12" s="27"/>
      <c r="L12" s="27"/>
      <c r="M12" s="314"/>
      <c r="N12" s="27"/>
      <c r="O12" s="27"/>
      <c r="P12" s="27"/>
      <c r="Q12" s="268">
        <f t="shared" si="1"/>
        <v>4.616666667</v>
      </c>
      <c r="R12" s="29">
        <v>6.0</v>
      </c>
    </row>
    <row r="13" ht="14.25" customHeight="1">
      <c r="A13" s="21"/>
      <c r="B13" s="22"/>
      <c r="C13" s="201">
        <v>7.0</v>
      </c>
      <c r="D13" s="310" t="s">
        <v>308</v>
      </c>
      <c r="E13" s="27">
        <v>5.7</v>
      </c>
      <c r="F13" s="203">
        <v>2.9</v>
      </c>
      <c r="G13" s="27">
        <v>5.1</v>
      </c>
      <c r="H13" s="313">
        <v>5.3</v>
      </c>
      <c r="I13" s="393">
        <v>3.4</v>
      </c>
      <c r="J13" s="314">
        <v>5.7</v>
      </c>
      <c r="K13" s="27"/>
      <c r="L13" s="27"/>
      <c r="M13" s="314"/>
      <c r="N13" s="27"/>
      <c r="O13" s="27"/>
      <c r="P13" s="27"/>
      <c r="Q13" s="268">
        <f t="shared" si="1"/>
        <v>4.683333333</v>
      </c>
      <c r="R13" s="29">
        <v>6.0</v>
      </c>
    </row>
    <row r="14" ht="14.25" customHeight="1">
      <c r="A14" s="21"/>
      <c r="B14" s="30"/>
      <c r="C14" s="201">
        <v>8.0</v>
      </c>
      <c r="D14" s="310" t="s">
        <v>309</v>
      </c>
      <c r="E14" s="27">
        <v>5.7</v>
      </c>
      <c r="F14" s="203">
        <v>2.1</v>
      </c>
      <c r="G14" s="27">
        <v>4.9</v>
      </c>
      <c r="H14" s="314">
        <v>5.5</v>
      </c>
      <c r="I14" s="314">
        <v>5.6</v>
      </c>
      <c r="J14" s="314">
        <v>5.0</v>
      </c>
      <c r="K14" s="27"/>
      <c r="L14" s="27"/>
      <c r="M14" s="314"/>
      <c r="N14" s="27"/>
      <c r="O14" s="27"/>
      <c r="P14" s="27"/>
      <c r="Q14" s="268">
        <f t="shared" si="1"/>
        <v>4.8</v>
      </c>
      <c r="R14" s="29">
        <v>6.0</v>
      </c>
    </row>
    <row r="15" ht="14.25" customHeight="1">
      <c r="A15" s="21"/>
      <c r="B15" s="13" t="s">
        <v>31</v>
      </c>
      <c r="C15" s="202">
        <v>1.0</v>
      </c>
      <c r="D15" s="308" t="s">
        <v>302</v>
      </c>
      <c r="E15" s="392">
        <v>95.0</v>
      </c>
      <c r="F15" s="176">
        <v>70.0</v>
      </c>
      <c r="G15" s="35">
        <v>10.0</v>
      </c>
      <c r="H15" s="105">
        <v>24.0</v>
      </c>
      <c r="I15" s="105">
        <v>9.0</v>
      </c>
      <c r="J15" s="105">
        <v>14.0</v>
      </c>
      <c r="K15" s="176"/>
      <c r="L15" s="35"/>
      <c r="M15" s="105"/>
      <c r="N15" s="124"/>
      <c r="O15" s="35"/>
      <c r="P15" s="35"/>
      <c r="Q15" s="273">
        <f t="shared" si="1"/>
        <v>37</v>
      </c>
      <c r="R15" s="20">
        <v>50.0</v>
      </c>
    </row>
    <row r="16" ht="14.25" customHeight="1">
      <c r="A16" s="21"/>
      <c r="B16" s="22"/>
      <c r="C16" s="201">
        <v>2.0</v>
      </c>
      <c r="D16" s="310" t="s">
        <v>303</v>
      </c>
      <c r="E16" s="203">
        <v>102.0</v>
      </c>
      <c r="F16" s="106">
        <v>68.0</v>
      </c>
      <c r="G16" s="39">
        <v>7.0</v>
      </c>
      <c r="H16" s="314">
        <v>23.0</v>
      </c>
      <c r="I16" s="314">
        <v>10.0</v>
      </c>
      <c r="J16" s="314">
        <v>9.0</v>
      </c>
      <c r="K16" s="106"/>
      <c r="L16" s="39"/>
      <c r="M16" s="314"/>
      <c r="N16" s="39"/>
      <c r="O16" s="39"/>
      <c r="P16" s="39"/>
      <c r="Q16" s="276">
        <f t="shared" si="1"/>
        <v>36.5</v>
      </c>
      <c r="R16" s="29">
        <v>50.0</v>
      </c>
    </row>
    <row r="17" ht="14.25" customHeight="1">
      <c r="A17" s="21"/>
      <c r="B17" s="22"/>
      <c r="C17" s="201">
        <v>3.0</v>
      </c>
      <c r="D17" s="310" t="s">
        <v>304</v>
      </c>
      <c r="E17" s="203">
        <v>90.0</v>
      </c>
      <c r="F17" s="106">
        <v>65.0</v>
      </c>
      <c r="G17" s="39">
        <v>6.0</v>
      </c>
      <c r="H17" s="314">
        <v>17.0</v>
      </c>
      <c r="I17" s="314">
        <v>5.0</v>
      </c>
      <c r="J17" s="314">
        <v>6.0</v>
      </c>
      <c r="K17" s="106"/>
      <c r="L17" s="39"/>
      <c r="M17" s="314"/>
      <c r="N17" s="39"/>
      <c r="O17" s="39"/>
      <c r="P17" s="39"/>
      <c r="Q17" s="276">
        <f t="shared" si="1"/>
        <v>31.5</v>
      </c>
      <c r="R17" s="29">
        <v>50.0</v>
      </c>
    </row>
    <row r="18" ht="14.25" customHeight="1">
      <c r="A18" s="21"/>
      <c r="B18" s="22"/>
      <c r="C18" s="201">
        <v>4.0</v>
      </c>
      <c r="D18" s="289" t="s">
        <v>305</v>
      </c>
      <c r="E18" s="203">
        <v>114.0</v>
      </c>
      <c r="F18" s="106">
        <v>56.0</v>
      </c>
      <c r="G18" s="39">
        <v>5.0</v>
      </c>
      <c r="H18" s="314">
        <v>15.0</v>
      </c>
      <c r="I18" s="314">
        <v>6.0</v>
      </c>
      <c r="J18" s="314">
        <v>5.0</v>
      </c>
      <c r="K18" s="106"/>
      <c r="L18" s="39"/>
      <c r="M18" s="314"/>
      <c r="N18" s="39"/>
      <c r="O18" s="39"/>
      <c r="P18" s="39"/>
      <c r="Q18" s="276">
        <f t="shared" si="1"/>
        <v>33.5</v>
      </c>
      <c r="R18" s="29">
        <v>50.0</v>
      </c>
    </row>
    <row r="19" ht="14.25" customHeight="1">
      <c r="A19" s="21"/>
      <c r="B19" s="22"/>
      <c r="C19" s="201">
        <v>5.0</v>
      </c>
      <c r="D19" s="310" t="s">
        <v>306</v>
      </c>
      <c r="E19" s="203">
        <v>76.0</v>
      </c>
      <c r="F19" s="106">
        <v>63.0</v>
      </c>
      <c r="G19" s="39">
        <v>6.0</v>
      </c>
      <c r="H19" s="314">
        <v>27.0</v>
      </c>
      <c r="I19" s="314">
        <v>6.0</v>
      </c>
      <c r="J19" s="314">
        <v>9.0</v>
      </c>
      <c r="K19" s="106"/>
      <c r="L19" s="39"/>
      <c r="M19" s="314"/>
      <c r="N19" s="39"/>
      <c r="O19" s="39"/>
      <c r="P19" s="39"/>
      <c r="Q19" s="276">
        <f t="shared" si="1"/>
        <v>31.16666667</v>
      </c>
      <c r="R19" s="29">
        <v>50.0</v>
      </c>
    </row>
    <row r="20" ht="14.25" customHeight="1">
      <c r="A20" s="21"/>
      <c r="B20" s="22"/>
      <c r="C20" s="201">
        <v>6.0</v>
      </c>
      <c r="D20" s="310" t="s">
        <v>307</v>
      </c>
      <c r="E20" s="203">
        <v>100.0</v>
      </c>
      <c r="F20" s="106">
        <v>63.0</v>
      </c>
      <c r="G20" s="39">
        <v>5.0</v>
      </c>
      <c r="H20" s="314">
        <v>27.0</v>
      </c>
      <c r="I20" s="314">
        <v>7.0</v>
      </c>
      <c r="J20" s="314">
        <v>6.0</v>
      </c>
      <c r="K20" s="106"/>
      <c r="L20" s="39"/>
      <c r="M20" s="314"/>
      <c r="N20" s="39"/>
      <c r="O20" s="39"/>
      <c r="P20" s="39"/>
      <c r="Q20" s="276">
        <f t="shared" si="1"/>
        <v>34.66666667</v>
      </c>
      <c r="R20" s="29">
        <v>50.0</v>
      </c>
    </row>
    <row r="21" ht="14.25" customHeight="1">
      <c r="A21" s="21"/>
      <c r="B21" s="22"/>
      <c r="C21" s="201">
        <v>7.0</v>
      </c>
      <c r="D21" s="310" t="s">
        <v>308</v>
      </c>
      <c r="E21" s="203">
        <v>114.0</v>
      </c>
      <c r="F21" s="106">
        <v>61.0</v>
      </c>
      <c r="G21" s="39">
        <v>6.0</v>
      </c>
      <c r="H21" s="314">
        <v>24.0</v>
      </c>
      <c r="I21" s="314">
        <v>6.0</v>
      </c>
      <c r="J21" s="314">
        <v>5.0</v>
      </c>
      <c r="K21" s="106"/>
      <c r="L21" s="39"/>
      <c r="M21" s="314"/>
      <c r="N21" s="39"/>
      <c r="O21" s="39"/>
      <c r="P21" s="39"/>
      <c r="Q21" s="276">
        <f t="shared" si="1"/>
        <v>36</v>
      </c>
      <c r="R21" s="29">
        <v>50.0</v>
      </c>
    </row>
    <row r="22" ht="14.25" customHeight="1">
      <c r="A22" s="21"/>
      <c r="B22" s="30"/>
      <c r="C22" s="201">
        <v>8.0</v>
      </c>
      <c r="D22" s="310" t="s">
        <v>309</v>
      </c>
      <c r="E22" s="203">
        <v>113.0</v>
      </c>
      <c r="F22" s="106">
        <v>65.0</v>
      </c>
      <c r="G22" s="39">
        <v>8.0</v>
      </c>
      <c r="H22" s="314">
        <v>25.0</v>
      </c>
      <c r="I22" s="314">
        <v>7.0</v>
      </c>
      <c r="J22" s="314">
        <v>2.5</v>
      </c>
      <c r="K22" s="106"/>
      <c r="L22" s="39"/>
      <c r="M22" s="314"/>
      <c r="N22" s="39"/>
      <c r="O22" s="39"/>
      <c r="P22" s="39"/>
      <c r="Q22" s="276">
        <f t="shared" si="1"/>
        <v>36.75</v>
      </c>
      <c r="R22" s="29">
        <v>50.0</v>
      </c>
    </row>
    <row r="23" ht="14.25" customHeight="1">
      <c r="A23" s="21"/>
      <c r="B23" s="13" t="s">
        <v>33</v>
      </c>
      <c r="C23" s="202">
        <v>1.0</v>
      </c>
      <c r="D23" s="308" t="s">
        <v>302</v>
      </c>
      <c r="E23" s="102">
        <v>8.16</v>
      </c>
      <c r="F23" s="18">
        <v>8.14</v>
      </c>
      <c r="G23" s="18">
        <v>8.3</v>
      </c>
      <c r="H23" s="105">
        <v>8.33</v>
      </c>
      <c r="I23" s="105">
        <v>7.77</v>
      </c>
      <c r="J23" s="105">
        <v>8.39</v>
      </c>
      <c r="K23" s="18"/>
      <c r="L23" s="102"/>
      <c r="M23" s="105"/>
      <c r="N23" s="18"/>
      <c r="O23" s="102"/>
      <c r="P23" s="102"/>
      <c r="Q23" s="265">
        <f t="shared" si="1"/>
        <v>8.181666667</v>
      </c>
      <c r="R23" s="208" t="s">
        <v>164</v>
      </c>
    </row>
    <row r="24" ht="14.25" customHeight="1">
      <c r="A24" s="21"/>
      <c r="B24" s="22"/>
      <c r="C24" s="201">
        <v>2.0</v>
      </c>
      <c r="D24" s="310" t="s">
        <v>303</v>
      </c>
      <c r="E24" s="27">
        <v>8.21</v>
      </c>
      <c r="F24" s="27">
        <v>8.21</v>
      </c>
      <c r="G24" s="27">
        <v>8.34</v>
      </c>
      <c r="H24" s="314">
        <v>8.3</v>
      </c>
      <c r="I24" s="314">
        <v>7.98</v>
      </c>
      <c r="J24" s="314">
        <v>8.35</v>
      </c>
      <c r="K24" s="27"/>
      <c r="L24" s="27"/>
      <c r="M24" s="314"/>
      <c r="N24" s="27"/>
      <c r="O24" s="27"/>
      <c r="P24" s="27"/>
      <c r="Q24" s="268">
        <f t="shared" si="1"/>
        <v>8.231666667</v>
      </c>
      <c r="R24" s="241" t="s">
        <v>164</v>
      </c>
    </row>
    <row r="25" ht="14.25" customHeight="1">
      <c r="A25" s="21"/>
      <c r="B25" s="22"/>
      <c r="C25" s="201">
        <v>3.0</v>
      </c>
      <c r="D25" s="310" t="s">
        <v>304</v>
      </c>
      <c r="E25" s="27">
        <v>8.21</v>
      </c>
      <c r="F25" s="27">
        <v>8.22</v>
      </c>
      <c r="G25" s="27">
        <v>8.34</v>
      </c>
      <c r="H25" s="314">
        <v>8.3</v>
      </c>
      <c r="I25" s="314">
        <v>8.09</v>
      </c>
      <c r="J25" s="314">
        <v>8.31</v>
      </c>
      <c r="K25" s="27"/>
      <c r="L25" s="27"/>
      <c r="M25" s="314"/>
      <c r="N25" s="27"/>
      <c r="O25" s="27"/>
      <c r="P25" s="27"/>
      <c r="Q25" s="268">
        <f t="shared" si="1"/>
        <v>8.245</v>
      </c>
      <c r="R25" s="241" t="s">
        <v>164</v>
      </c>
    </row>
    <row r="26" ht="14.25" customHeight="1">
      <c r="A26" s="21"/>
      <c r="B26" s="22"/>
      <c r="C26" s="201">
        <v>4.0</v>
      </c>
      <c r="D26" s="289" t="s">
        <v>305</v>
      </c>
      <c r="E26" s="27">
        <v>8.21</v>
      </c>
      <c r="F26" s="27">
        <v>8.12</v>
      </c>
      <c r="G26" s="27">
        <v>8.34</v>
      </c>
      <c r="H26" s="314">
        <v>8.31</v>
      </c>
      <c r="I26" s="314">
        <v>8.16</v>
      </c>
      <c r="J26" s="314">
        <v>8.34</v>
      </c>
      <c r="K26" s="27"/>
      <c r="L26" s="27"/>
      <c r="M26" s="313"/>
      <c r="N26" s="27"/>
      <c r="O26" s="27"/>
      <c r="P26" s="27"/>
      <c r="Q26" s="268">
        <f t="shared" si="1"/>
        <v>8.246666667</v>
      </c>
      <c r="R26" s="241" t="s">
        <v>164</v>
      </c>
    </row>
    <row r="27" ht="14.25" customHeight="1">
      <c r="A27" s="21"/>
      <c r="B27" s="22"/>
      <c r="C27" s="201">
        <v>5.0</v>
      </c>
      <c r="D27" s="310" t="s">
        <v>306</v>
      </c>
      <c r="E27" s="27">
        <v>8.21</v>
      </c>
      <c r="F27" s="27">
        <v>8.22</v>
      </c>
      <c r="G27" s="27">
        <v>8.31</v>
      </c>
      <c r="H27" s="314">
        <v>7.99</v>
      </c>
      <c r="I27" s="314">
        <v>8.19</v>
      </c>
      <c r="J27" s="314">
        <v>8.27</v>
      </c>
      <c r="K27" s="27"/>
      <c r="L27" s="27"/>
      <c r="M27" s="314"/>
      <c r="N27" s="27"/>
      <c r="O27" s="27"/>
      <c r="P27" s="27"/>
      <c r="Q27" s="268">
        <f t="shared" si="1"/>
        <v>8.198333333</v>
      </c>
      <c r="R27" s="241" t="s">
        <v>164</v>
      </c>
    </row>
    <row r="28" ht="14.25" customHeight="1">
      <c r="A28" s="21"/>
      <c r="B28" s="22"/>
      <c r="C28" s="201">
        <v>6.0</v>
      </c>
      <c r="D28" s="310" t="s">
        <v>307</v>
      </c>
      <c r="E28" s="27">
        <v>8.26</v>
      </c>
      <c r="F28" s="27">
        <v>8.19</v>
      </c>
      <c r="G28" s="27">
        <v>8.32</v>
      </c>
      <c r="H28" s="314">
        <v>8.01</v>
      </c>
      <c r="I28" s="314">
        <v>8.15</v>
      </c>
      <c r="J28" s="314">
        <v>8.28</v>
      </c>
      <c r="K28" s="27"/>
      <c r="L28" s="27"/>
      <c r="M28" s="314"/>
      <c r="N28" s="27"/>
      <c r="O28" s="27"/>
      <c r="P28" s="27"/>
      <c r="Q28" s="268">
        <f t="shared" si="1"/>
        <v>8.201666667</v>
      </c>
      <c r="R28" s="241" t="s">
        <v>164</v>
      </c>
    </row>
    <row r="29" ht="14.25" customHeight="1">
      <c r="A29" s="21"/>
      <c r="B29" s="22"/>
      <c r="C29" s="201">
        <v>7.0</v>
      </c>
      <c r="D29" s="310" t="s">
        <v>308</v>
      </c>
      <c r="E29" s="27">
        <v>8.28</v>
      </c>
      <c r="F29" s="27">
        <v>8.25</v>
      </c>
      <c r="G29" s="27">
        <v>8.34</v>
      </c>
      <c r="H29" s="314">
        <v>8.2</v>
      </c>
      <c r="I29" s="314">
        <v>8.21</v>
      </c>
      <c r="J29" s="314">
        <v>8.27</v>
      </c>
      <c r="K29" s="27"/>
      <c r="L29" s="27"/>
      <c r="M29" s="313"/>
      <c r="N29" s="27"/>
      <c r="O29" s="27"/>
      <c r="P29" s="27"/>
      <c r="Q29" s="268">
        <f t="shared" si="1"/>
        <v>8.258333333</v>
      </c>
      <c r="R29" s="241" t="s">
        <v>164</v>
      </c>
    </row>
    <row r="30" ht="14.25" customHeight="1">
      <c r="A30" s="21"/>
      <c r="B30" s="30"/>
      <c r="C30" s="201">
        <v>8.0</v>
      </c>
      <c r="D30" s="310" t="s">
        <v>309</v>
      </c>
      <c r="E30" s="27">
        <v>8.26</v>
      </c>
      <c r="F30" s="27">
        <v>8.11</v>
      </c>
      <c r="G30" s="27">
        <v>8.38</v>
      </c>
      <c r="H30" s="314">
        <v>7.98</v>
      </c>
      <c r="I30" s="314">
        <v>8.22</v>
      </c>
      <c r="J30" s="314">
        <v>8.36</v>
      </c>
      <c r="K30" s="27"/>
      <c r="L30" s="27"/>
      <c r="M30" s="314"/>
      <c r="N30" s="27"/>
      <c r="O30" s="27"/>
      <c r="P30" s="27"/>
      <c r="Q30" s="268">
        <f t="shared" si="1"/>
        <v>8.218333333</v>
      </c>
      <c r="R30" s="241" t="s">
        <v>164</v>
      </c>
    </row>
    <row r="31" ht="14.25" customHeight="1">
      <c r="A31" s="21"/>
      <c r="B31" s="13" t="s">
        <v>310</v>
      </c>
      <c r="C31" s="202">
        <v>1.0</v>
      </c>
      <c r="D31" s="308" t="s">
        <v>302</v>
      </c>
      <c r="E31" s="102">
        <v>29.3</v>
      </c>
      <c r="F31" s="18">
        <v>28.7</v>
      </c>
      <c r="G31" s="18">
        <v>29.1</v>
      </c>
      <c r="H31" s="102">
        <v>29.3</v>
      </c>
      <c r="I31" s="102">
        <v>28.3</v>
      </c>
      <c r="J31" s="102">
        <v>28.3</v>
      </c>
      <c r="K31" s="18"/>
      <c r="L31" s="102"/>
      <c r="M31" s="102"/>
      <c r="N31" s="18"/>
      <c r="O31" s="102"/>
      <c r="P31" s="102"/>
      <c r="Q31" s="265">
        <f t="shared" si="1"/>
        <v>28.83333333</v>
      </c>
      <c r="R31" s="18" t="s">
        <v>166</v>
      </c>
    </row>
    <row r="32" ht="14.25" customHeight="1">
      <c r="A32" s="21"/>
      <c r="B32" s="22"/>
      <c r="C32" s="201">
        <v>2.0</v>
      </c>
      <c r="D32" s="310" t="s">
        <v>303</v>
      </c>
      <c r="E32" s="27">
        <v>29.5</v>
      </c>
      <c r="F32" s="27">
        <v>28.8</v>
      </c>
      <c r="G32" s="27">
        <v>29.3</v>
      </c>
      <c r="H32" s="313">
        <v>29.2</v>
      </c>
      <c r="I32" s="313">
        <v>28.7</v>
      </c>
      <c r="J32" s="314">
        <v>28.2</v>
      </c>
      <c r="K32" s="27"/>
      <c r="L32" s="27"/>
      <c r="M32" s="313"/>
      <c r="N32" s="27"/>
      <c r="O32" s="27"/>
      <c r="P32" s="27"/>
      <c r="Q32" s="268">
        <f t="shared" si="1"/>
        <v>28.95</v>
      </c>
      <c r="R32" s="27" t="s">
        <v>166</v>
      </c>
    </row>
    <row r="33" ht="14.25" customHeight="1">
      <c r="A33" s="21"/>
      <c r="B33" s="22"/>
      <c r="C33" s="201">
        <v>3.0</v>
      </c>
      <c r="D33" s="310" t="s">
        <v>304</v>
      </c>
      <c r="E33" s="27">
        <v>29.4</v>
      </c>
      <c r="F33" s="27">
        <v>28.6</v>
      </c>
      <c r="G33" s="27">
        <v>29.4</v>
      </c>
      <c r="H33" s="313">
        <v>29.3</v>
      </c>
      <c r="I33" s="313">
        <v>28.2</v>
      </c>
      <c r="J33" s="313">
        <v>28.1</v>
      </c>
      <c r="K33" s="27"/>
      <c r="L33" s="27"/>
      <c r="M33" s="313"/>
      <c r="N33" s="27"/>
      <c r="O33" s="27"/>
      <c r="P33" s="27"/>
      <c r="Q33" s="268">
        <f t="shared" si="1"/>
        <v>28.83333333</v>
      </c>
      <c r="R33" s="27" t="s">
        <v>166</v>
      </c>
    </row>
    <row r="34" ht="14.25" customHeight="1">
      <c r="A34" s="21"/>
      <c r="B34" s="22"/>
      <c r="C34" s="201">
        <v>4.0</v>
      </c>
      <c r="D34" s="289" t="s">
        <v>305</v>
      </c>
      <c r="E34" s="27">
        <v>29.5</v>
      </c>
      <c r="F34" s="27">
        <v>28.7</v>
      </c>
      <c r="G34" s="27">
        <v>29.2</v>
      </c>
      <c r="H34" s="313">
        <v>29.1</v>
      </c>
      <c r="I34" s="313">
        <v>28.3</v>
      </c>
      <c r="J34" s="313">
        <v>28.3</v>
      </c>
      <c r="K34" s="27"/>
      <c r="L34" s="27"/>
      <c r="M34" s="313"/>
      <c r="N34" s="27"/>
      <c r="O34" s="27"/>
      <c r="P34" s="27"/>
      <c r="Q34" s="268">
        <f t="shared" si="1"/>
        <v>28.85</v>
      </c>
      <c r="R34" s="27" t="s">
        <v>166</v>
      </c>
    </row>
    <row r="35" ht="14.25" customHeight="1">
      <c r="A35" s="21"/>
      <c r="B35" s="22"/>
      <c r="C35" s="201">
        <v>5.0</v>
      </c>
      <c r="D35" s="310" t="s">
        <v>306</v>
      </c>
      <c r="E35" s="27">
        <v>29.4</v>
      </c>
      <c r="F35" s="27">
        <v>28.9</v>
      </c>
      <c r="G35" s="27">
        <v>29.0</v>
      </c>
      <c r="H35" s="313">
        <v>29.0</v>
      </c>
      <c r="I35" s="313">
        <v>28.0</v>
      </c>
      <c r="J35" s="313">
        <v>28.2</v>
      </c>
      <c r="K35" s="27"/>
      <c r="L35" s="27"/>
      <c r="M35" s="313"/>
      <c r="N35" s="27"/>
      <c r="O35" s="27"/>
      <c r="P35" s="27"/>
      <c r="Q35" s="268">
        <f t="shared" si="1"/>
        <v>28.75</v>
      </c>
      <c r="R35" s="27" t="s">
        <v>166</v>
      </c>
    </row>
    <row r="36" ht="14.25" customHeight="1">
      <c r="A36" s="21"/>
      <c r="B36" s="22"/>
      <c r="C36" s="201">
        <v>6.0</v>
      </c>
      <c r="D36" s="310" t="s">
        <v>307</v>
      </c>
      <c r="E36" s="27">
        <v>29.3</v>
      </c>
      <c r="F36" s="27">
        <v>28.8</v>
      </c>
      <c r="G36" s="27">
        <v>29.1</v>
      </c>
      <c r="H36" s="313">
        <v>29.1</v>
      </c>
      <c r="I36" s="313">
        <v>28.1</v>
      </c>
      <c r="J36" s="314">
        <v>28.4</v>
      </c>
      <c r="K36" s="27"/>
      <c r="L36" s="27"/>
      <c r="M36" s="313"/>
      <c r="N36" s="27"/>
      <c r="O36" s="27"/>
      <c r="P36" s="27"/>
      <c r="Q36" s="268">
        <f t="shared" si="1"/>
        <v>28.8</v>
      </c>
      <c r="R36" s="27" t="s">
        <v>166</v>
      </c>
    </row>
    <row r="37" ht="14.25" customHeight="1">
      <c r="A37" s="21"/>
      <c r="B37" s="22"/>
      <c r="C37" s="201">
        <v>7.0</v>
      </c>
      <c r="D37" s="310" t="s">
        <v>308</v>
      </c>
      <c r="E37" s="27">
        <v>29.4</v>
      </c>
      <c r="F37" s="27">
        <v>28.9</v>
      </c>
      <c r="G37" s="27">
        <v>29.2</v>
      </c>
      <c r="H37" s="313">
        <v>29.1</v>
      </c>
      <c r="I37" s="313">
        <v>28.1</v>
      </c>
      <c r="J37" s="314">
        <v>28.1</v>
      </c>
      <c r="K37" s="27"/>
      <c r="L37" s="27"/>
      <c r="M37" s="313"/>
      <c r="N37" s="27"/>
      <c r="O37" s="27"/>
      <c r="P37" s="27"/>
      <c r="Q37" s="268">
        <f t="shared" si="1"/>
        <v>28.8</v>
      </c>
      <c r="R37" s="27" t="s">
        <v>166</v>
      </c>
    </row>
    <row r="38" ht="14.25" customHeight="1">
      <c r="A38" s="21"/>
      <c r="B38" s="30"/>
      <c r="C38" s="201">
        <v>8.0</v>
      </c>
      <c r="D38" s="310" t="s">
        <v>309</v>
      </c>
      <c r="E38" s="27">
        <v>29.1</v>
      </c>
      <c r="F38" s="27">
        <v>28.9</v>
      </c>
      <c r="G38" s="27">
        <v>29.3</v>
      </c>
      <c r="H38" s="313">
        <v>29.2</v>
      </c>
      <c r="I38" s="313">
        <v>28.2</v>
      </c>
      <c r="J38" s="314">
        <v>28.2</v>
      </c>
      <c r="K38" s="27"/>
      <c r="L38" s="27"/>
      <c r="M38" s="313"/>
      <c r="N38" s="27"/>
      <c r="O38" s="27"/>
      <c r="P38" s="27"/>
      <c r="Q38" s="268">
        <f t="shared" si="1"/>
        <v>28.81666667</v>
      </c>
      <c r="R38" s="27" t="s">
        <v>166</v>
      </c>
    </row>
    <row r="39" ht="14.25" customHeight="1">
      <c r="A39" s="21"/>
      <c r="B39" s="13" t="s">
        <v>37</v>
      </c>
      <c r="C39" s="202">
        <v>1.0</v>
      </c>
      <c r="D39" s="308" t="s">
        <v>302</v>
      </c>
      <c r="E39" s="124">
        <v>5.0</v>
      </c>
      <c r="F39" s="35">
        <v>5.0</v>
      </c>
      <c r="G39" s="35">
        <v>15.0</v>
      </c>
      <c r="H39" s="105">
        <v>5.0</v>
      </c>
      <c r="I39" s="105">
        <v>5.0</v>
      </c>
      <c r="J39" s="105">
        <v>5.0</v>
      </c>
      <c r="K39" s="35"/>
      <c r="L39" s="35"/>
      <c r="M39" s="105"/>
      <c r="N39" s="35"/>
      <c r="O39" s="35"/>
      <c r="P39" s="35"/>
      <c r="Q39" s="273">
        <f t="shared" si="1"/>
        <v>6.666666667</v>
      </c>
      <c r="R39" s="35">
        <v>50.0</v>
      </c>
    </row>
    <row r="40" ht="14.25" customHeight="1">
      <c r="A40" s="21"/>
      <c r="B40" s="22"/>
      <c r="C40" s="201">
        <v>2.0</v>
      </c>
      <c r="D40" s="310" t="s">
        <v>303</v>
      </c>
      <c r="E40" s="39">
        <v>5.0</v>
      </c>
      <c r="F40" s="39">
        <v>5.0</v>
      </c>
      <c r="G40" s="39">
        <v>5.0</v>
      </c>
      <c r="H40" s="154">
        <v>5.0</v>
      </c>
      <c r="I40" s="314">
        <v>5.0</v>
      </c>
      <c r="J40" s="314">
        <v>5.0</v>
      </c>
      <c r="K40" s="39"/>
      <c r="L40" s="39"/>
      <c r="M40" s="314"/>
      <c r="N40" s="39"/>
      <c r="O40" s="39"/>
      <c r="P40" s="39"/>
      <c r="Q40" s="276">
        <f t="shared" si="1"/>
        <v>5</v>
      </c>
      <c r="R40" s="39">
        <v>50.0</v>
      </c>
    </row>
    <row r="41" ht="14.25" customHeight="1">
      <c r="A41" s="21"/>
      <c r="B41" s="22"/>
      <c r="C41" s="201">
        <v>3.0</v>
      </c>
      <c r="D41" s="310" t="s">
        <v>304</v>
      </c>
      <c r="E41" s="39">
        <v>5.0</v>
      </c>
      <c r="F41" s="39">
        <v>5.0</v>
      </c>
      <c r="G41" s="39">
        <v>10.0</v>
      </c>
      <c r="H41" s="39">
        <v>5.0</v>
      </c>
      <c r="I41" s="314">
        <v>5.0</v>
      </c>
      <c r="J41" s="314">
        <v>5.0</v>
      </c>
      <c r="K41" s="39"/>
      <c r="L41" s="39"/>
      <c r="M41" s="314"/>
      <c r="N41" s="39"/>
      <c r="O41" s="39"/>
      <c r="P41" s="39"/>
      <c r="Q41" s="276">
        <f t="shared" si="1"/>
        <v>5.833333333</v>
      </c>
      <c r="R41" s="39">
        <v>50.0</v>
      </c>
    </row>
    <row r="42" ht="14.25" customHeight="1">
      <c r="A42" s="21"/>
      <c r="B42" s="22"/>
      <c r="C42" s="201">
        <v>4.0</v>
      </c>
      <c r="D42" s="289" t="s">
        <v>305</v>
      </c>
      <c r="E42" s="39">
        <v>5.0</v>
      </c>
      <c r="F42" s="39">
        <v>5.0</v>
      </c>
      <c r="G42" s="39">
        <v>5.0</v>
      </c>
      <c r="H42" s="39">
        <v>5.0</v>
      </c>
      <c r="I42" s="314">
        <v>5.0</v>
      </c>
      <c r="J42" s="314">
        <v>5.0</v>
      </c>
      <c r="K42" s="39"/>
      <c r="L42" s="39"/>
      <c r="M42" s="314"/>
      <c r="N42" s="39"/>
      <c r="O42" s="39"/>
      <c r="P42" s="39"/>
      <c r="Q42" s="276">
        <f t="shared" si="1"/>
        <v>5</v>
      </c>
      <c r="R42" s="39">
        <v>50.0</v>
      </c>
    </row>
    <row r="43" ht="14.25" customHeight="1">
      <c r="A43" s="21"/>
      <c r="B43" s="22"/>
      <c r="C43" s="201">
        <v>5.0</v>
      </c>
      <c r="D43" s="310" t="s">
        <v>306</v>
      </c>
      <c r="E43" s="39">
        <v>5.0</v>
      </c>
      <c r="F43" s="39">
        <v>5.0</v>
      </c>
      <c r="G43" s="39">
        <v>10.0</v>
      </c>
      <c r="H43" s="39">
        <v>5.0</v>
      </c>
      <c r="I43" s="314">
        <v>5.0</v>
      </c>
      <c r="J43" s="314">
        <v>5.0</v>
      </c>
      <c r="K43" s="39"/>
      <c r="L43" s="39"/>
      <c r="M43" s="314"/>
      <c r="N43" s="39"/>
      <c r="O43" s="39"/>
      <c r="P43" s="39"/>
      <c r="Q43" s="276">
        <f t="shared" si="1"/>
        <v>5.833333333</v>
      </c>
      <c r="R43" s="39">
        <v>50.0</v>
      </c>
    </row>
    <row r="44" ht="14.25" customHeight="1">
      <c r="A44" s="21"/>
      <c r="B44" s="22"/>
      <c r="C44" s="201">
        <v>6.0</v>
      </c>
      <c r="D44" s="310" t="s">
        <v>307</v>
      </c>
      <c r="E44" s="39">
        <v>5.0</v>
      </c>
      <c r="F44" s="39">
        <v>5.0</v>
      </c>
      <c r="G44" s="39">
        <v>5.0</v>
      </c>
      <c r="H44" s="39">
        <v>5.0</v>
      </c>
      <c r="I44" s="314">
        <v>5.0</v>
      </c>
      <c r="J44" s="314">
        <v>5.0</v>
      </c>
      <c r="K44" s="39"/>
      <c r="L44" s="39"/>
      <c r="M44" s="314"/>
      <c r="N44" s="39"/>
      <c r="O44" s="39"/>
      <c r="P44" s="39"/>
      <c r="Q44" s="276">
        <f t="shared" si="1"/>
        <v>5</v>
      </c>
      <c r="R44" s="39">
        <v>50.0</v>
      </c>
    </row>
    <row r="45" ht="14.25" customHeight="1">
      <c r="A45" s="21"/>
      <c r="B45" s="22"/>
      <c r="C45" s="201">
        <v>7.0</v>
      </c>
      <c r="D45" s="310" t="s">
        <v>308</v>
      </c>
      <c r="E45" s="39">
        <v>5.0</v>
      </c>
      <c r="F45" s="39">
        <v>5.0</v>
      </c>
      <c r="G45" s="39">
        <v>10.0</v>
      </c>
      <c r="H45" s="39">
        <v>5.0</v>
      </c>
      <c r="I45" s="314">
        <v>5.0</v>
      </c>
      <c r="J45" s="314">
        <v>5.0</v>
      </c>
      <c r="K45" s="39"/>
      <c r="L45" s="39"/>
      <c r="M45" s="314"/>
      <c r="N45" s="39"/>
      <c r="O45" s="39"/>
      <c r="P45" s="39"/>
      <c r="Q45" s="276">
        <f t="shared" si="1"/>
        <v>5.833333333</v>
      </c>
      <c r="R45" s="39">
        <v>50.0</v>
      </c>
    </row>
    <row r="46" ht="14.25" customHeight="1">
      <c r="A46" s="21"/>
      <c r="B46" s="30"/>
      <c r="C46" s="201">
        <v>8.0</v>
      </c>
      <c r="D46" s="310" t="s">
        <v>309</v>
      </c>
      <c r="E46" s="39">
        <v>5.0</v>
      </c>
      <c r="F46" s="39">
        <v>5.0</v>
      </c>
      <c r="G46" s="39">
        <v>5.0</v>
      </c>
      <c r="H46" s="39">
        <v>5.0</v>
      </c>
      <c r="I46" s="314">
        <v>5.0</v>
      </c>
      <c r="J46" s="314">
        <v>5.0</v>
      </c>
      <c r="K46" s="39"/>
      <c r="L46" s="39"/>
      <c r="M46" s="314"/>
      <c r="N46" s="39"/>
      <c r="O46" s="39"/>
      <c r="P46" s="39"/>
      <c r="Q46" s="276">
        <f t="shared" si="1"/>
        <v>5</v>
      </c>
      <c r="R46" s="39">
        <v>50.0</v>
      </c>
    </row>
    <row r="47" ht="14.25" customHeight="1">
      <c r="A47" s="21"/>
      <c r="B47" s="13" t="s">
        <v>38</v>
      </c>
      <c r="C47" s="202">
        <v>1.0</v>
      </c>
      <c r="D47" s="308" t="s">
        <v>302</v>
      </c>
      <c r="E47" s="109">
        <v>2400.0</v>
      </c>
      <c r="F47" s="69">
        <v>49.0</v>
      </c>
      <c r="G47" s="69">
        <v>17.0</v>
      </c>
      <c r="H47" s="109">
        <v>3500.0</v>
      </c>
      <c r="I47" s="109">
        <v>920.0</v>
      </c>
      <c r="J47" s="109">
        <v>13.0</v>
      </c>
      <c r="K47" s="107"/>
      <c r="L47" s="69"/>
      <c r="M47" s="105"/>
      <c r="N47" s="69"/>
      <c r="O47" s="124"/>
      <c r="P47" s="35"/>
      <c r="Q47" s="295">
        <f t="shared" ref="Q47:Q54" si="2">GEOMEAN(E47:P47)</f>
        <v>209.1426362</v>
      </c>
      <c r="R47" s="20">
        <v>100.0</v>
      </c>
    </row>
    <row r="48" ht="14.25" customHeight="1">
      <c r="A48" s="21"/>
      <c r="B48" s="22"/>
      <c r="C48" s="201">
        <v>2.0</v>
      </c>
      <c r="D48" s="310" t="s">
        <v>303</v>
      </c>
      <c r="E48" s="71">
        <v>920.0</v>
      </c>
      <c r="F48" s="71">
        <v>79.0</v>
      </c>
      <c r="G48" s="71">
        <v>7.8</v>
      </c>
      <c r="H48" s="394">
        <v>2400.0</v>
      </c>
      <c r="I48" s="394">
        <v>1600.0</v>
      </c>
      <c r="J48" s="394">
        <v>33.0</v>
      </c>
      <c r="K48" s="315"/>
      <c r="L48" s="71"/>
      <c r="M48" s="314"/>
      <c r="N48" s="71"/>
      <c r="O48" s="39"/>
      <c r="P48" s="203"/>
      <c r="Q48" s="296">
        <f t="shared" si="2"/>
        <v>203.888367</v>
      </c>
      <c r="R48" s="29">
        <v>100.0</v>
      </c>
    </row>
    <row r="49" ht="14.25" customHeight="1">
      <c r="A49" s="21"/>
      <c r="B49" s="22"/>
      <c r="C49" s="201">
        <v>3.0</v>
      </c>
      <c r="D49" s="310" t="s">
        <v>304</v>
      </c>
      <c r="E49" s="71">
        <v>2400.0</v>
      </c>
      <c r="F49" s="71">
        <v>240.0</v>
      </c>
      <c r="G49" s="71">
        <v>7.8</v>
      </c>
      <c r="H49" s="394">
        <v>540.0</v>
      </c>
      <c r="I49" s="394">
        <v>700.0</v>
      </c>
      <c r="J49" s="394">
        <v>7.8</v>
      </c>
      <c r="K49" s="315"/>
      <c r="L49" s="71"/>
      <c r="M49" s="314"/>
      <c r="N49" s="71"/>
      <c r="O49" s="39"/>
      <c r="P49" s="39"/>
      <c r="Q49" s="296">
        <f t="shared" si="2"/>
        <v>153.821573</v>
      </c>
      <c r="R49" s="29">
        <v>100.0</v>
      </c>
    </row>
    <row r="50" ht="14.25" customHeight="1">
      <c r="A50" s="21"/>
      <c r="B50" s="22"/>
      <c r="C50" s="201">
        <v>4.0</v>
      </c>
      <c r="D50" s="289" t="s">
        <v>305</v>
      </c>
      <c r="E50" s="71">
        <v>33.0</v>
      </c>
      <c r="F50" s="71">
        <v>920.0</v>
      </c>
      <c r="G50" s="71">
        <v>23.0</v>
      </c>
      <c r="H50" s="394">
        <v>940.0</v>
      </c>
      <c r="I50" s="394">
        <v>240.0</v>
      </c>
      <c r="J50" s="394">
        <v>23.0</v>
      </c>
      <c r="K50" s="315"/>
      <c r="L50" s="71"/>
      <c r="M50" s="314"/>
      <c r="N50" s="71"/>
      <c r="O50" s="39"/>
      <c r="P50" s="203"/>
      <c r="Q50" s="296">
        <f t="shared" si="2"/>
        <v>123.9317995</v>
      </c>
      <c r="R50" s="29">
        <v>100.0</v>
      </c>
    </row>
    <row r="51" ht="14.25" customHeight="1">
      <c r="A51" s="21"/>
      <c r="B51" s="22"/>
      <c r="C51" s="201">
        <v>5.0</v>
      </c>
      <c r="D51" s="310" t="s">
        <v>306</v>
      </c>
      <c r="E51" s="71">
        <v>27.0</v>
      </c>
      <c r="F51" s="71">
        <v>68.0</v>
      </c>
      <c r="G51" s="71">
        <v>33.0</v>
      </c>
      <c r="H51" s="394">
        <v>2400.0</v>
      </c>
      <c r="I51" s="394">
        <v>350.0</v>
      </c>
      <c r="J51" s="394">
        <v>13.0</v>
      </c>
      <c r="K51" s="315"/>
      <c r="L51" s="71"/>
      <c r="M51" s="314"/>
      <c r="N51" s="71"/>
      <c r="O51" s="39"/>
      <c r="P51" s="39"/>
      <c r="Q51" s="296">
        <f t="shared" si="2"/>
        <v>93.34725308</v>
      </c>
      <c r="R51" s="29">
        <v>100.0</v>
      </c>
    </row>
    <row r="52" ht="14.25" customHeight="1">
      <c r="A52" s="21"/>
      <c r="B52" s="22"/>
      <c r="C52" s="201">
        <v>6.0</v>
      </c>
      <c r="D52" s="310" t="s">
        <v>307</v>
      </c>
      <c r="E52" s="71">
        <v>79.0</v>
      </c>
      <c r="F52" s="71">
        <v>170.0</v>
      </c>
      <c r="G52" s="71">
        <v>33.0</v>
      </c>
      <c r="H52" s="394">
        <v>9200.0</v>
      </c>
      <c r="I52" s="394">
        <v>240.0</v>
      </c>
      <c r="J52" s="394">
        <v>11.0</v>
      </c>
      <c r="K52" s="315"/>
      <c r="L52" s="71"/>
      <c r="M52" s="314"/>
      <c r="N52" s="71"/>
      <c r="O52" s="39"/>
      <c r="P52" s="39"/>
      <c r="Q52" s="296">
        <f t="shared" si="2"/>
        <v>148.5925211</v>
      </c>
      <c r="R52" s="29">
        <v>100.0</v>
      </c>
    </row>
    <row r="53" ht="14.25" customHeight="1">
      <c r="A53" s="21"/>
      <c r="B53" s="22"/>
      <c r="C53" s="201">
        <v>7.0</v>
      </c>
      <c r="D53" s="310" t="s">
        <v>308</v>
      </c>
      <c r="E53" s="71">
        <v>350.0</v>
      </c>
      <c r="F53" s="71">
        <v>49.0</v>
      </c>
      <c r="G53" s="71">
        <v>700.0</v>
      </c>
      <c r="H53" s="394">
        <v>23.0</v>
      </c>
      <c r="I53" s="394">
        <v>920.0</v>
      </c>
      <c r="J53" s="394">
        <v>7.8</v>
      </c>
      <c r="K53" s="314"/>
      <c r="L53" s="71"/>
      <c r="M53" s="314"/>
      <c r="N53" s="71"/>
      <c r="O53" s="39"/>
      <c r="P53" s="203"/>
      <c r="Q53" s="296">
        <f t="shared" si="2"/>
        <v>112.0715569</v>
      </c>
      <c r="R53" s="29">
        <v>100.0</v>
      </c>
    </row>
    <row r="54" ht="14.25" customHeight="1">
      <c r="A54" s="21"/>
      <c r="B54" s="30"/>
      <c r="C54" s="201">
        <v>8.0</v>
      </c>
      <c r="D54" s="310" t="s">
        <v>309</v>
      </c>
      <c r="E54" s="71">
        <v>130.0</v>
      </c>
      <c r="F54" s="71">
        <v>49.0</v>
      </c>
      <c r="G54" s="71">
        <v>33.0</v>
      </c>
      <c r="H54" s="394">
        <v>70.0</v>
      </c>
      <c r="I54" s="394">
        <v>350.0</v>
      </c>
      <c r="J54" s="394">
        <v>7.8</v>
      </c>
      <c r="K54" s="314"/>
      <c r="L54" s="39"/>
      <c r="M54" s="314"/>
      <c r="N54" s="71"/>
      <c r="O54" s="39"/>
      <c r="P54" s="203"/>
      <c r="Q54" s="296">
        <f t="shared" si="2"/>
        <v>58.5219798</v>
      </c>
      <c r="R54" s="29">
        <v>100.0</v>
      </c>
    </row>
    <row r="55" ht="14.25" customHeight="1">
      <c r="A55" s="21"/>
      <c r="B55" s="13" t="s">
        <v>311</v>
      </c>
      <c r="C55" s="202">
        <v>1.0</v>
      </c>
      <c r="D55" s="308" t="s">
        <v>302</v>
      </c>
      <c r="E55" s="108">
        <v>0.069</v>
      </c>
      <c r="F55" s="59">
        <v>0.068</v>
      </c>
      <c r="G55" s="59">
        <v>0.069</v>
      </c>
      <c r="H55" s="108">
        <v>0.069</v>
      </c>
      <c r="I55" s="108">
        <v>0.101</v>
      </c>
      <c r="J55" s="108">
        <v>0.127</v>
      </c>
      <c r="K55" s="176"/>
      <c r="L55" s="176"/>
      <c r="M55" s="105"/>
      <c r="N55" s="105"/>
      <c r="O55" s="59"/>
      <c r="P55" s="105"/>
      <c r="Q55" s="278">
        <f>AVERAGE(E55:P55)</f>
        <v>0.08383333333</v>
      </c>
      <c r="R55" s="20">
        <v>10.0</v>
      </c>
    </row>
    <row r="56" ht="16.5" customHeight="1">
      <c r="A56" s="21"/>
      <c r="B56" s="22"/>
      <c r="C56" s="201">
        <v>2.0</v>
      </c>
      <c r="D56" s="310" t="s">
        <v>303</v>
      </c>
      <c r="E56" s="65">
        <v>0.069</v>
      </c>
      <c r="F56" s="65">
        <v>0.113</v>
      </c>
      <c r="G56" s="65">
        <v>0.069</v>
      </c>
      <c r="H56" s="318">
        <v>0.132</v>
      </c>
      <c r="I56" s="318">
        <v>0.085</v>
      </c>
      <c r="J56" s="318">
        <v>0.125</v>
      </c>
      <c r="K56" s="106"/>
      <c r="L56" s="106"/>
      <c r="M56" s="314"/>
      <c r="N56" s="314"/>
      <c r="O56" s="65"/>
      <c r="P56" s="314"/>
      <c r="Q56" s="27" t="s">
        <v>312</v>
      </c>
      <c r="R56" s="29">
        <v>10.0</v>
      </c>
    </row>
    <row r="57" ht="14.25" customHeight="1">
      <c r="A57" s="21"/>
      <c r="B57" s="22"/>
      <c r="C57" s="201">
        <v>3.0</v>
      </c>
      <c r="D57" s="310" t="s">
        <v>304</v>
      </c>
      <c r="E57" s="65">
        <v>0.069</v>
      </c>
      <c r="F57" s="65">
        <v>0.068</v>
      </c>
      <c r="G57" s="65">
        <v>0.069</v>
      </c>
      <c r="H57" s="318">
        <v>0.185</v>
      </c>
      <c r="I57" s="318">
        <v>0.131</v>
      </c>
      <c r="J57" s="318">
        <v>0.246</v>
      </c>
      <c r="K57" s="106"/>
      <c r="L57" s="65"/>
      <c r="M57" s="314"/>
      <c r="N57" s="314"/>
      <c r="O57" s="65"/>
      <c r="P57" s="314"/>
      <c r="Q57" s="280">
        <f>AVERAGE(F57,G57,E57)</f>
        <v>0.06866666667</v>
      </c>
      <c r="R57" s="29">
        <v>10.0</v>
      </c>
    </row>
    <row r="58" ht="14.25" customHeight="1">
      <c r="A58" s="21"/>
      <c r="B58" s="22"/>
      <c r="C58" s="201">
        <v>4.0</v>
      </c>
      <c r="D58" s="289" t="s">
        <v>305</v>
      </c>
      <c r="E58" s="65">
        <v>0.076</v>
      </c>
      <c r="F58" s="65">
        <v>0.068</v>
      </c>
      <c r="G58" s="65">
        <v>0.069</v>
      </c>
      <c r="H58" s="318">
        <v>0.154</v>
      </c>
      <c r="I58" s="318">
        <v>0.069</v>
      </c>
      <c r="J58" s="318">
        <v>0.21</v>
      </c>
      <c r="K58" s="106"/>
      <c r="L58" s="65"/>
      <c r="M58" s="395"/>
      <c r="N58" s="314"/>
      <c r="O58" s="314"/>
      <c r="P58" s="314"/>
      <c r="Q58" s="280">
        <f t="shared" ref="Q58:Q60" si="3">AVERAGE(E58:P58)</f>
        <v>0.1076666667</v>
      </c>
      <c r="R58" s="29">
        <v>10.0</v>
      </c>
    </row>
    <row r="59" ht="14.25" customHeight="1">
      <c r="A59" s="21"/>
      <c r="B59" s="22"/>
      <c r="C59" s="201">
        <v>5.0</v>
      </c>
      <c r="D59" s="310" t="s">
        <v>306</v>
      </c>
      <c r="E59" s="65">
        <v>0.125</v>
      </c>
      <c r="F59" s="65">
        <v>0.133</v>
      </c>
      <c r="G59" s="65">
        <v>0.069</v>
      </c>
      <c r="H59" s="318">
        <v>0.069</v>
      </c>
      <c r="I59" s="318">
        <v>0.085</v>
      </c>
      <c r="J59" s="318">
        <v>0.153</v>
      </c>
      <c r="K59" s="106"/>
      <c r="L59" s="106"/>
      <c r="M59" s="314"/>
      <c r="N59" s="314"/>
      <c r="O59" s="314"/>
      <c r="P59" s="314"/>
      <c r="Q59" s="280">
        <f t="shared" si="3"/>
        <v>0.1056666667</v>
      </c>
      <c r="R59" s="29">
        <v>10.0</v>
      </c>
    </row>
    <row r="60" ht="14.25" customHeight="1">
      <c r="A60" s="21"/>
      <c r="B60" s="22"/>
      <c r="C60" s="201">
        <v>6.0</v>
      </c>
      <c r="D60" s="310" t="s">
        <v>307</v>
      </c>
      <c r="E60" s="65">
        <v>0.07</v>
      </c>
      <c r="F60" s="65">
        <v>0.136</v>
      </c>
      <c r="G60" s="65">
        <v>0.155</v>
      </c>
      <c r="H60" s="318">
        <v>0.114</v>
      </c>
      <c r="I60" s="318">
        <v>0.069</v>
      </c>
      <c r="J60" s="318">
        <v>0.204</v>
      </c>
      <c r="K60" s="106"/>
      <c r="L60" s="106"/>
      <c r="M60" s="314"/>
      <c r="N60" s="314"/>
      <c r="O60" s="314"/>
      <c r="P60" s="65"/>
      <c r="Q60" s="280">
        <f t="shared" si="3"/>
        <v>0.1246666667</v>
      </c>
      <c r="R60" s="29">
        <v>10.0</v>
      </c>
    </row>
    <row r="61" ht="14.25" customHeight="1">
      <c r="A61" s="21"/>
      <c r="B61" s="22"/>
      <c r="C61" s="201">
        <v>7.0</v>
      </c>
      <c r="D61" s="310" t="s">
        <v>308</v>
      </c>
      <c r="E61" s="65">
        <v>0.069</v>
      </c>
      <c r="F61" s="65">
        <v>0.07</v>
      </c>
      <c r="G61" s="65">
        <v>0.069</v>
      </c>
      <c r="H61" s="318">
        <v>0.599</v>
      </c>
      <c r="I61" s="318">
        <v>0.098</v>
      </c>
      <c r="J61" s="318">
        <v>0.157</v>
      </c>
      <c r="K61" s="106"/>
      <c r="L61" s="65"/>
      <c r="M61" s="395"/>
      <c r="N61" s="314"/>
      <c r="O61" s="314"/>
      <c r="P61" s="65"/>
      <c r="Q61" s="27" t="s">
        <v>312</v>
      </c>
      <c r="R61" s="29">
        <v>10.0</v>
      </c>
    </row>
    <row r="62" ht="14.25" customHeight="1">
      <c r="A62" s="21"/>
      <c r="B62" s="30"/>
      <c r="C62" s="201">
        <v>8.0</v>
      </c>
      <c r="D62" s="310" t="s">
        <v>309</v>
      </c>
      <c r="E62" s="65">
        <v>0.069</v>
      </c>
      <c r="F62" s="65">
        <v>0.068</v>
      </c>
      <c r="G62" s="65">
        <v>0.069</v>
      </c>
      <c r="H62" s="318">
        <v>0.154</v>
      </c>
      <c r="I62" s="318">
        <v>0.076</v>
      </c>
      <c r="J62" s="318">
        <v>0.241</v>
      </c>
      <c r="K62" s="106"/>
      <c r="L62" s="65"/>
      <c r="M62" s="314"/>
      <c r="N62" s="314"/>
      <c r="O62" s="314"/>
      <c r="P62" s="314"/>
      <c r="Q62" s="27" t="s">
        <v>312</v>
      </c>
      <c r="R62" s="29">
        <v>10.0</v>
      </c>
    </row>
    <row r="63" ht="14.25" customHeight="1">
      <c r="A63" s="21"/>
      <c r="B63" s="13" t="s">
        <v>313</v>
      </c>
      <c r="C63" s="202">
        <v>1.0</v>
      </c>
      <c r="D63" s="308" t="s">
        <v>302</v>
      </c>
      <c r="E63" s="108">
        <v>0.035</v>
      </c>
      <c r="F63" s="59">
        <v>0.072</v>
      </c>
      <c r="G63" s="59">
        <v>0.039</v>
      </c>
      <c r="H63" s="108">
        <v>0.021</v>
      </c>
      <c r="I63" s="108">
        <v>0.01</v>
      </c>
      <c r="J63" s="108">
        <v>0.018</v>
      </c>
      <c r="K63" s="176"/>
      <c r="L63" s="59"/>
      <c r="M63" s="105"/>
      <c r="N63" s="59"/>
      <c r="O63" s="59"/>
      <c r="P63" s="59"/>
      <c r="Q63" s="278">
        <f t="shared" ref="Q63:Q70" si="4">AVERAGE(E63:P63)</f>
        <v>0.0325</v>
      </c>
      <c r="R63" s="20">
        <v>0.5</v>
      </c>
    </row>
    <row r="64" ht="14.25" customHeight="1">
      <c r="A64" s="21"/>
      <c r="B64" s="22"/>
      <c r="C64" s="201">
        <v>2.0</v>
      </c>
      <c r="D64" s="310" t="s">
        <v>303</v>
      </c>
      <c r="E64" s="65">
        <v>0.025</v>
      </c>
      <c r="F64" s="65">
        <v>0.025</v>
      </c>
      <c r="G64" s="65">
        <v>0.067</v>
      </c>
      <c r="H64" s="318">
        <v>0.023</v>
      </c>
      <c r="I64" s="318">
        <v>0.014</v>
      </c>
      <c r="J64" s="318">
        <v>0.036</v>
      </c>
      <c r="K64" s="106"/>
      <c r="L64" s="65"/>
      <c r="M64" s="314"/>
      <c r="N64" s="65"/>
      <c r="O64" s="65"/>
      <c r="P64" s="65"/>
      <c r="Q64" s="280">
        <f t="shared" si="4"/>
        <v>0.03166666667</v>
      </c>
      <c r="R64" s="29">
        <v>0.5</v>
      </c>
    </row>
    <row r="65" ht="14.25" customHeight="1">
      <c r="A65" s="21"/>
      <c r="B65" s="22"/>
      <c r="C65" s="201">
        <v>3.0</v>
      </c>
      <c r="D65" s="310" t="s">
        <v>304</v>
      </c>
      <c r="E65" s="65">
        <v>0.037</v>
      </c>
      <c r="F65" s="65">
        <v>0.016</v>
      </c>
      <c r="G65" s="65">
        <v>0.028</v>
      </c>
      <c r="H65" s="318">
        <v>0.085</v>
      </c>
      <c r="I65" s="318">
        <v>0.032</v>
      </c>
      <c r="J65" s="318">
        <v>0.024</v>
      </c>
      <c r="K65" s="106"/>
      <c r="L65" s="65"/>
      <c r="M65" s="314"/>
      <c r="N65" s="65"/>
      <c r="O65" s="65"/>
      <c r="P65" s="65"/>
      <c r="Q65" s="280">
        <f t="shared" si="4"/>
        <v>0.037</v>
      </c>
      <c r="R65" s="29">
        <v>0.5</v>
      </c>
    </row>
    <row r="66" ht="14.25" customHeight="1">
      <c r="A66" s="21"/>
      <c r="B66" s="22"/>
      <c r="C66" s="201">
        <v>4.0</v>
      </c>
      <c r="D66" s="289" t="s">
        <v>305</v>
      </c>
      <c r="E66" s="65">
        <v>0.062</v>
      </c>
      <c r="F66" s="65">
        <v>0.021</v>
      </c>
      <c r="G66" s="65">
        <v>0.04</v>
      </c>
      <c r="H66" s="318">
        <v>0.026</v>
      </c>
      <c r="I66" s="318">
        <v>0.03</v>
      </c>
      <c r="J66" s="318">
        <v>0.029</v>
      </c>
      <c r="K66" s="106"/>
      <c r="L66" s="65"/>
      <c r="M66" s="314"/>
      <c r="N66" s="65"/>
      <c r="O66" s="65"/>
      <c r="P66" s="65"/>
      <c r="Q66" s="280">
        <f t="shared" si="4"/>
        <v>0.03466666667</v>
      </c>
      <c r="R66" s="29">
        <v>0.5</v>
      </c>
    </row>
    <row r="67" ht="14.25" customHeight="1">
      <c r="A67" s="21"/>
      <c r="B67" s="22"/>
      <c r="C67" s="201">
        <v>5.0</v>
      </c>
      <c r="D67" s="310" t="s">
        <v>306</v>
      </c>
      <c r="E67" s="65">
        <v>0.037</v>
      </c>
      <c r="F67" s="65">
        <v>0.023</v>
      </c>
      <c r="G67" s="65">
        <v>0.026</v>
      </c>
      <c r="H67" s="318">
        <v>0.028</v>
      </c>
      <c r="I67" s="318">
        <v>0.01</v>
      </c>
      <c r="J67" s="318">
        <v>0.017</v>
      </c>
      <c r="K67" s="65"/>
      <c r="L67" s="65"/>
      <c r="M67" s="314"/>
      <c r="N67" s="65"/>
      <c r="O67" s="65"/>
      <c r="P67" s="65"/>
      <c r="Q67" s="280">
        <f t="shared" si="4"/>
        <v>0.0235</v>
      </c>
      <c r="R67" s="29">
        <v>0.5</v>
      </c>
    </row>
    <row r="68" ht="14.25" customHeight="1">
      <c r="A68" s="21"/>
      <c r="B68" s="22"/>
      <c r="C68" s="201">
        <v>6.0</v>
      </c>
      <c r="D68" s="310" t="s">
        <v>307</v>
      </c>
      <c r="E68" s="65">
        <v>0.033</v>
      </c>
      <c r="F68" s="65">
        <v>0.023</v>
      </c>
      <c r="G68" s="65">
        <v>0.0049</v>
      </c>
      <c r="H68" s="318">
        <v>0.024</v>
      </c>
      <c r="I68" s="318">
        <v>0.025</v>
      </c>
      <c r="J68" s="318">
        <v>0.017</v>
      </c>
      <c r="K68" s="106"/>
      <c r="L68" s="65"/>
      <c r="M68" s="314"/>
      <c r="N68" s="65"/>
      <c r="O68" s="65"/>
      <c r="P68" s="65"/>
      <c r="Q68" s="280">
        <f t="shared" si="4"/>
        <v>0.02115</v>
      </c>
      <c r="R68" s="29">
        <v>0.5</v>
      </c>
    </row>
    <row r="69" ht="14.25" customHeight="1">
      <c r="A69" s="21"/>
      <c r="B69" s="22"/>
      <c r="C69" s="201">
        <v>7.0</v>
      </c>
      <c r="D69" s="310" t="s">
        <v>308</v>
      </c>
      <c r="E69" s="65">
        <v>0.028</v>
      </c>
      <c r="F69" s="65">
        <v>0.025</v>
      </c>
      <c r="G69" s="65">
        <v>0.028</v>
      </c>
      <c r="H69" s="318">
        <v>0.028</v>
      </c>
      <c r="I69" s="318">
        <v>0.012</v>
      </c>
      <c r="J69" s="318">
        <v>0.032</v>
      </c>
      <c r="K69" s="106"/>
      <c r="L69" s="65"/>
      <c r="M69" s="314"/>
      <c r="N69" s="65"/>
      <c r="O69" s="65"/>
      <c r="P69" s="65"/>
      <c r="Q69" s="280">
        <f t="shared" si="4"/>
        <v>0.0255</v>
      </c>
      <c r="R69" s="29">
        <v>0.5</v>
      </c>
    </row>
    <row r="70" ht="14.25" customHeight="1">
      <c r="A70" s="21"/>
      <c r="B70" s="30"/>
      <c r="C70" s="201">
        <v>8.0</v>
      </c>
      <c r="D70" s="310" t="s">
        <v>309</v>
      </c>
      <c r="E70" s="65">
        <v>0.045</v>
      </c>
      <c r="F70" s="65">
        <v>0.02</v>
      </c>
      <c r="G70" s="65">
        <v>0.018</v>
      </c>
      <c r="H70" s="318">
        <v>0.016</v>
      </c>
      <c r="I70" s="318">
        <v>0.069</v>
      </c>
      <c r="J70" s="318">
        <v>0.028</v>
      </c>
      <c r="K70" s="106"/>
      <c r="L70" s="65"/>
      <c r="M70" s="314"/>
      <c r="N70" s="65"/>
      <c r="O70" s="65"/>
      <c r="P70" s="65"/>
      <c r="Q70" s="280">
        <f t="shared" si="4"/>
        <v>0.03266666667</v>
      </c>
      <c r="R70" s="29">
        <v>0.5</v>
      </c>
    </row>
    <row r="71" ht="14.2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5"/>
      <c r="M71" s="135"/>
      <c r="N71" s="134"/>
      <c r="O71" s="134"/>
      <c r="P71" s="134"/>
    </row>
    <row r="72" ht="14.25" customHeight="1">
      <c r="A72" s="110" t="s">
        <v>43</v>
      </c>
      <c r="D72" s="134"/>
      <c r="E72" s="134"/>
      <c r="F72" s="134"/>
      <c r="G72" s="134"/>
      <c r="H72" s="134"/>
      <c r="I72" s="134"/>
      <c r="J72" s="134"/>
      <c r="K72" s="134"/>
      <c r="L72" s="135"/>
      <c r="M72" s="135"/>
      <c r="N72" s="134"/>
      <c r="O72" s="134"/>
      <c r="P72" s="134"/>
    </row>
    <row r="73" ht="9.0" customHeight="1">
      <c r="D73" s="134"/>
      <c r="E73" s="134"/>
      <c r="F73" s="134"/>
      <c r="G73" s="134"/>
      <c r="H73" s="134"/>
      <c r="I73" s="134"/>
      <c r="J73" s="134"/>
      <c r="K73" s="134"/>
      <c r="L73" s="135"/>
      <c r="M73" s="135"/>
      <c r="N73" s="134"/>
      <c r="O73" s="134"/>
      <c r="P73" s="134"/>
    </row>
    <row r="74" ht="13.5" customHeight="1">
      <c r="A74" s="312"/>
      <c r="I74" s="134"/>
      <c r="J74" s="134"/>
      <c r="K74" s="134"/>
      <c r="L74" s="135"/>
      <c r="M74" s="134"/>
      <c r="N74" s="134"/>
      <c r="O74" s="134"/>
      <c r="P74" s="134"/>
      <c r="Q74" s="134"/>
      <c r="R74" s="134"/>
    </row>
  </sheetData>
  <mergeCells count="15">
    <mergeCell ref="B23:B30"/>
    <mergeCell ref="B31:B38"/>
    <mergeCell ref="B39:B46"/>
    <mergeCell ref="B47:B54"/>
    <mergeCell ref="B55:B62"/>
    <mergeCell ref="B63:B70"/>
    <mergeCell ref="A72:C73"/>
    <mergeCell ref="A74:H74"/>
    <mergeCell ref="A1:R1"/>
    <mergeCell ref="A2:R2"/>
    <mergeCell ref="A3:R3"/>
    <mergeCell ref="A5:R5"/>
    <mergeCell ref="A6:R6"/>
    <mergeCell ref="B7:B14"/>
    <mergeCell ref="B15:B22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0" customHeight="1">
      <c r="A1" s="74" t="s">
        <v>24</v>
      </c>
      <c r="B1" s="20">
        <v>5.0</v>
      </c>
      <c r="D1" s="13" t="s">
        <v>30</v>
      </c>
      <c r="E1" s="20">
        <v>7.0</v>
      </c>
      <c r="G1" s="13" t="s">
        <v>31</v>
      </c>
      <c r="H1" s="20">
        <v>80.0</v>
      </c>
      <c r="J1" s="13" t="s">
        <v>33</v>
      </c>
      <c r="K1" s="18">
        <v>6.5</v>
      </c>
      <c r="L1" s="18">
        <v>9.0</v>
      </c>
      <c r="M1" s="396"/>
      <c r="N1" s="13" t="s">
        <v>314</v>
      </c>
      <c r="O1" s="18">
        <v>25.0</v>
      </c>
      <c r="P1" s="397">
        <v>31.0</v>
      </c>
      <c r="R1" s="13" t="s">
        <v>37</v>
      </c>
      <c r="S1" s="20">
        <v>75.0</v>
      </c>
    </row>
    <row r="2" ht="14.25" customHeight="1">
      <c r="A2" s="22"/>
      <c r="B2" s="29">
        <v>5.0</v>
      </c>
      <c r="D2" s="22"/>
      <c r="E2" s="29">
        <v>7.0</v>
      </c>
      <c r="G2" s="22"/>
      <c r="H2" s="29">
        <v>80.0</v>
      </c>
      <c r="J2" s="22"/>
      <c r="K2" s="27">
        <v>6.5</v>
      </c>
      <c r="L2" s="27">
        <v>9.0</v>
      </c>
      <c r="M2" s="396"/>
      <c r="N2" s="22"/>
      <c r="O2" s="27">
        <v>25.0</v>
      </c>
      <c r="P2" s="398">
        <v>31.0</v>
      </c>
      <c r="R2" s="22"/>
      <c r="S2" s="29">
        <v>75.0</v>
      </c>
    </row>
    <row r="3" ht="14.25" customHeight="1">
      <c r="A3" s="22"/>
      <c r="B3" s="29">
        <v>5.0</v>
      </c>
      <c r="D3" s="22"/>
      <c r="E3" s="29">
        <v>7.0</v>
      </c>
      <c r="G3" s="22"/>
      <c r="H3" s="29">
        <v>80.0</v>
      </c>
      <c r="J3" s="22"/>
      <c r="K3" s="27">
        <v>6.5</v>
      </c>
      <c r="L3" s="27">
        <v>9.0</v>
      </c>
      <c r="M3" s="396"/>
      <c r="N3" s="22"/>
      <c r="O3" s="27">
        <v>25.0</v>
      </c>
      <c r="P3" s="398">
        <v>31.0</v>
      </c>
      <c r="R3" s="22"/>
      <c r="S3" s="29">
        <v>75.0</v>
      </c>
    </row>
    <row r="4" ht="14.25" customHeight="1">
      <c r="A4" s="22"/>
      <c r="B4" s="29">
        <v>5.0</v>
      </c>
      <c r="D4" s="22"/>
      <c r="E4" s="29">
        <v>7.0</v>
      </c>
      <c r="G4" s="22"/>
      <c r="H4" s="29">
        <v>80.0</v>
      </c>
      <c r="J4" s="22"/>
      <c r="K4" s="27">
        <v>6.5</v>
      </c>
      <c r="L4" s="27">
        <v>9.0</v>
      </c>
      <c r="M4" s="396"/>
      <c r="N4" s="22"/>
      <c r="O4" s="27">
        <v>25.0</v>
      </c>
      <c r="P4" s="398">
        <v>31.0</v>
      </c>
      <c r="R4" s="22"/>
      <c r="S4" s="29">
        <v>75.0</v>
      </c>
    </row>
    <row r="5" ht="14.25" customHeight="1">
      <c r="A5" s="22"/>
      <c r="B5" s="29">
        <v>5.0</v>
      </c>
      <c r="D5" s="22"/>
      <c r="E5" s="29">
        <v>7.0</v>
      </c>
      <c r="G5" s="22"/>
      <c r="H5" s="29">
        <v>80.0</v>
      </c>
      <c r="J5" s="22"/>
      <c r="K5" s="27">
        <v>6.5</v>
      </c>
      <c r="L5" s="27">
        <v>9.0</v>
      </c>
      <c r="M5" s="396"/>
      <c r="N5" s="22"/>
      <c r="O5" s="27">
        <v>25.0</v>
      </c>
      <c r="P5" s="398">
        <v>31.0</v>
      </c>
      <c r="R5" s="22"/>
      <c r="S5" s="29">
        <v>75.0</v>
      </c>
    </row>
    <row r="6" ht="14.25" customHeight="1">
      <c r="A6" s="22"/>
      <c r="B6" s="29">
        <v>5.0</v>
      </c>
      <c r="D6" s="22"/>
      <c r="E6" s="29">
        <v>7.0</v>
      </c>
      <c r="G6" s="22"/>
      <c r="H6" s="29">
        <v>80.0</v>
      </c>
      <c r="J6" s="22"/>
      <c r="K6" s="27">
        <v>6.5</v>
      </c>
      <c r="L6" s="27">
        <v>9.0</v>
      </c>
      <c r="M6" s="396"/>
      <c r="N6" s="22"/>
      <c r="O6" s="27">
        <v>25.0</v>
      </c>
      <c r="P6" s="398">
        <v>31.0</v>
      </c>
      <c r="R6" s="22"/>
      <c r="S6" s="29">
        <v>75.0</v>
      </c>
    </row>
    <row r="7" ht="14.25" customHeight="1">
      <c r="A7" s="22"/>
      <c r="B7" s="29">
        <v>5.0</v>
      </c>
      <c r="D7" s="22"/>
      <c r="E7" s="29">
        <v>7.0</v>
      </c>
      <c r="G7" s="22"/>
      <c r="H7" s="29">
        <v>80.0</v>
      </c>
      <c r="J7" s="22"/>
      <c r="K7" s="27">
        <v>6.5</v>
      </c>
      <c r="L7" s="27">
        <v>9.0</v>
      </c>
      <c r="M7" s="396"/>
      <c r="N7" s="22"/>
      <c r="O7" s="27">
        <v>25.0</v>
      </c>
      <c r="P7" s="398">
        <v>31.0</v>
      </c>
      <c r="R7" s="22"/>
      <c r="S7" s="29">
        <v>75.0</v>
      </c>
    </row>
    <row r="8" ht="14.25" customHeight="1">
      <c r="A8" s="22"/>
      <c r="B8" s="29">
        <v>5.0</v>
      </c>
      <c r="D8" s="22"/>
      <c r="E8" s="29">
        <v>7.0</v>
      </c>
      <c r="G8" s="22"/>
      <c r="H8" s="29">
        <v>80.0</v>
      </c>
      <c r="J8" s="22"/>
      <c r="K8" s="27">
        <v>6.5</v>
      </c>
      <c r="L8" s="27">
        <v>9.0</v>
      </c>
      <c r="M8" s="396"/>
      <c r="N8" s="22"/>
      <c r="O8" s="27">
        <v>25.0</v>
      </c>
      <c r="P8" s="398">
        <v>31.0</v>
      </c>
      <c r="R8" s="22"/>
      <c r="S8" s="29">
        <v>75.0</v>
      </c>
    </row>
    <row r="9" ht="14.25" customHeight="1">
      <c r="A9" s="22"/>
      <c r="B9" s="29">
        <v>5.0</v>
      </c>
      <c r="D9" s="22"/>
      <c r="E9" s="29">
        <v>7.0</v>
      </c>
      <c r="G9" s="22"/>
      <c r="H9" s="29">
        <v>80.0</v>
      </c>
      <c r="J9" s="22"/>
      <c r="K9" s="27">
        <v>6.5</v>
      </c>
      <c r="L9" s="27">
        <v>9.0</v>
      </c>
      <c r="M9" s="396"/>
      <c r="N9" s="22"/>
      <c r="O9" s="27">
        <v>25.0</v>
      </c>
      <c r="P9" s="398">
        <v>31.0</v>
      </c>
      <c r="R9" s="22"/>
      <c r="S9" s="29">
        <v>75.0</v>
      </c>
    </row>
    <row r="10" ht="14.25" customHeight="1">
      <c r="A10" s="22"/>
      <c r="B10" s="29">
        <v>5.0</v>
      </c>
      <c r="D10" s="22"/>
      <c r="E10" s="29">
        <v>7.0</v>
      </c>
      <c r="G10" s="22"/>
      <c r="H10" s="29">
        <v>80.0</v>
      </c>
      <c r="J10" s="22"/>
      <c r="K10" s="27">
        <v>6.5</v>
      </c>
      <c r="L10" s="27">
        <v>9.0</v>
      </c>
      <c r="M10" s="396"/>
      <c r="N10" s="22"/>
      <c r="O10" s="27">
        <v>25.0</v>
      </c>
      <c r="P10" s="398">
        <v>31.0</v>
      </c>
      <c r="R10" s="22"/>
      <c r="S10" s="29">
        <v>75.0</v>
      </c>
    </row>
    <row r="11" ht="14.25" customHeight="1">
      <c r="A11" s="22"/>
      <c r="B11" s="29">
        <v>5.0</v>
      </c>
      <c r="D11" s="22"/>
      <c r="E11" s="29">
        <v>7.0</v>
      </c>
      <c r="G11" s="22"/>
      <c r="H11" s="29">
        <v>80.0</v>
      </c>
      <c r="J11" s="22"/>
      <c r="K11" s="27">
        <v>6.5</v>
      </c>
      <c r="L11" s="27">
        <v>9.0</v>
      </c>
      <c r="M11" s="396"/>
      <c r="N11" s="22"/>
      <c r="O11" s="27">
        <v>25.0</v>
      </c>
      <c r="P11" s="398">
        <v>31.0</v>
      </c>
      <c r="R11" s="22"/>
      <c r="S11" s="29">
        <v>75.0</v>
      </c>
    </row>
    <row r="12" ht="14.25" customHeight="1">
      <c r="A12" s="30"/>
      <c r="B12" s="29">
        <v>5.0</v>
      </c>
      <c r="D12" s="30"/>
      <c r="E12" s="29">
        <v>7.0</v>
      </c>
      <c r="G12" s="30"/>
      <c r="H12" s="29">
        <v>80.0</v>
      </c>
      <c r="J12" s="30"/>
      <c r="K12" s="27">
        <v>6.5</v>
      </c>
      <c r="L12" s="27">
        <v>9.0</v>
      </c>
      <c r="M12" s="396"/>
      <c r="N12" s="30"/>
      <c r="O12" s="27">
        <v>25.0</v>
      </c>
      <c r="P12" s="398">
        <v>31.0</v>
      </c>
      <c r="R12" s="30"/>
      <c r="S12" s="29">
        <v>75.0</v>
      </c>
    </row>
    <row r="14" ht="14.25" customHeight="1"/>
    <row r="15" ht="14.25" customHeight="1">
      <c r="A15" s="13" t="s">
        <v>38</v>
      </c>
      <c r="B15" s="20">
        <v>200.0</v>
      </c>
      <c r="D15" s="13" t="s">
        <v>315</v>
      </c>
      <c r="E15" s="20">
        <v>7.0</v>
      </c>
      <c r="G15" s="13" t="s">
        <v>316</v>
      </c>
      <c r="H15" s="20">
        <v>0.5</v>
      </c>
      <c r="J15" s="13" t="s">
        <v>42</v>
      </c>
      <c r="K15" s="20">
        <v>350.0</v>
      </c>
      <c r="L15" s="134"/>
      <c r="M15" s="134"/>
    </row>
    <row r="16" ht="14.25" customHeight="1">
      <c r="A16" s="22"/>
      <c r="B16" s="29">
        <v>200.0</v>
      </c>
      <c r="D16" s="22"/>
      <c r="E16" s="29">
        <v>7.0</v>
      </c>
      <c r="G16" s="22"/>
      <c r="H16" s="29">
        <v>0.5</v>
      </c>
      <c r="J16" s="22"/>
      <c r="K16" s="29">
        <v>350.0</v>
      </c>
      <c r="L16" s="134"/>
      <c r="M16" s="134"/>
    </row>
    <row r="17" ht="14.25" customHeight="1">
      <c r="A17" s="22"/>
      <c r="B17" s="29">
        <v>200.0</v>
      </c>
      <c r="D17" s="22"/>
      <c r="E17" s="29">
        <v>7.0</v>
      </c>
      <c r="G17" s="22"/>
      <c r="H17" s="29">
        <v>0.5</v>
      </c>
      <c r="J17" s="22"/>
      <c r="K17" s="29">
        <v>350.0</v>
      </c>
      <c r="L17" s="134"/>
      <c r="M17" s="134"/>
      <c r="O17" s="259" t="s">
        <v>317</v>
      </c>
      <c r="R17" s="259" t="s">
        <v>245</v>
      </c>
      <c r="S17" s="259" t="s">
        <v>246</v>
      </c>
      <c r="T17" s="259" t="s">
        <v>247</v>
      </c>
      <c r="U17" s="259" t="s">
        <v>248</v>
      </c>
    </row>
    <row r="18" ht="14.25" customHeight="1">
      <c r="A18" s="22"/>
      <c r="B18" s="29">
        <v>200.0</v>
      </c>
      <c r="D18" s="22"/>
      <c r="E18" s="29">
        <v>7.0</v>
      </c>
      <c r="G18" s="22"/>
      <c r="H18" s="29">
        <v>0.5</v>
      </c>
      <c r="J18" s="22"/>
      <c r="K18" s="29">
        <v>350.0</v>
      </c>
      <c r="L18" s="134"/>
      <c r="M18" s="134"/>
    </row>
    <row r="19" ht="14.25" customHeight="1">
      <c r="A19" s="22"/>
      <c r="B19" s="29">
        <v>200.0</v>
      </c>
      <c r="D19" s="22"/>
      <c r="E19" s="29">
        <v>7.0</v>
      </c>
      <c r="G19" s="22"/>
      <c r="H19" s="29">
        <v>0.5</v>
      </c>
      <c r="J19" s="22"/>
      <c r="K19" s="29">
        <v>350.0</v>
      </c>
      <c r="L19" s="134"/>
      <c r="M19" s="134"/>
      <c r="O19" s="259" t="s">
        <v>318</v>
      </c>
    </row>
    <row r="20" ht="14.25" customHeight="1">
      <c r="A20" s="22"/>
      <c r="B20" s="29">
        <v>200.0</v>
      </c>
      <c r="D20" s="22"/>
      <c r="E20" s="29">
        <v>7.0</v>
      </c>
      <c r="G20" s="22"/>
      <c r="H20" s="29">
        <v>0.5</v>
      </c>
      <c r="J20" s="22"/>
      <c r="K20" s="29">
        <v>350.0</v>
      </c>
      <c r="L20" s="134"/>
      <c r="M20" s="134"/>
      <c r="O20" s="259" t="s">
        <v>319</v>
      </c>
    </row>
    <row r="21" ht="14.25" customHeight="1">
      <c r="A21" s="22"/>
      <c r="B21" s="29">
        <v>200.0</v>
      </c>
      <c r="D21" s="22"/>
      <c r="E21" s="29">
        <v>7.0</v>
      </c>
      <c r="G21" s="22"/>
      <c r="H21" s="29">
        <v>0.5</v>
      </c>
      <c r="J21" s="22"/>
      <c r="K21" s="29">
        <v>350.0</v>
      </c>
      <c r="L21" s="134"/>
      <c r="M21" s="134"/>
    </row>
    <row r="22" ht="14.25" customHeight="1">
      <c r="A22" s="22"/>
      <c r="B22" s="29">
        <v>200.0</v>
      </c>
      <c r="D22" s="22"/>
      <c r="E22" s="29">
        <v>7.0</v>
      </c>
      <c r="G22" s="22"/>
      <c r="H22" s="29">
        <v>0.5</v>
      </c>
      <c r="J22" s="22"/>
      <c r="K22" s="29">
        <v>350.0</v>
      </c>
      <c r="L22" s="134"/>
      <c r="M22" s="134"/>
    </row>
    <row r="23" ht="14.25" customHeight="1">
      <c r="A23" s="22"/>
      <c r="B23" s="29">
        <v>200.0</v>
      </c>
      <c r="D23" s="22"/>
      <c r="E23" s="29">
        <v>7.0</v>
      </c>
      <c r="G23" s="22"/>
      <c r="H23" s="29">
        <v>0.5</v>
      </c>
      <c r="J23" s="22"/>
      <c r="K23" s="29">
        <v>350.0</v>
      </c>
      <c r="L23" s="134"/>
      <c r="M23" s="134"/>
    </row>
    <row r="24" ht="14.25" customHeight="1">
      <c r="A24" s="22"/>
      <c r="B24" s="29">
        <v>200.0</v>
      </c>
      <c r="D24" s="22"/>
      <c r="E24" s="29">
        <v>7.0</v>
      </c>
      <c r="G24" s="22"/>
      <c r="H24" s="29">
        <v>0.5</v>
      </c>
      <c r="J24" s="22"/>
      <c r="K24" s="29">
        <v>350.0</v>
      </c>
      <c r="L24" s="134"/>
      <c r="M24" s="134"/>
    </row>
    <row r="25" ht="15.0" customHeight="1">
      <c r="A25" s="22"/>
      <c r="B25" s="29">
        <v>200.0</v>
      </c>
      <c r="D25" s="22"/>
      <c r="E25" s="29">
        <v>7.0</v>
      </c>
      <c r="G25" s="22"/>
      <c r="H25" s="29">
        <v>0.5</v>
      </c>
      <c r="J25" s="22"/>
      <c r="K25" s="29">
        <v>350.0</v>
      </c>
      <c r="L25" s="134"/>
      <c r="M25" s="134"/>
    </row>
    <row r="26" ht="14.25" customHeight="1">
      <c r="A26" s="30"/>
      <c r="B26" s="29">
        <v>200.0</v>
      </c>
      <c r="D26" s="30"/>
      <c r="E26" s="29">
        <v>7.0</v>
      </c>
      <c r="G26" s="30"/>
      <c r="H26" s="29">
        <v>0.5</v>
      </c>
      <c r="J26" s="30"/>
      <c r="K26" s="29">
        <v>350.0</v>
      </c>
      <c r="L26" s="134"/>
      <c r="M26" s="134"/>
    </row>
  </sheetData>
  <mergeCells count="10">
    <mergeCell ref="G1:G12"/>
    <mergeCell ref="G15:G26"/>
    <mergeCell ref="A1:A12"/>
    <mergeCell ref="D1:D12"/>
    <mergeCell ref="J1:J12"/>
    <mergeCell ref="N1:N12"/>
    <mergeCell ref="R1:R12"/>
    <mergeCell ref="A15:A26"/>
    <mergeCell ref="D15:D26"/>
    <mergeCell ref="J15:J26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0" customHeight="1">
      <c r="A1" s="74" t="s">
        <v>24</v>
      </c>
      <c r="B1" s="20">
        <v>6.0</v>
      </c>
      <c r="E1" s="13" t="s">
        <v>31</v>
      </c>
      <c r="F1" s="20">
        <v>50.0</v>
      </c>
      <c r="H1" s="13" t="s">
        <v>33</v>
      </c>
      <c r="I1" s="18">
        <v>7.0</v>
      </c>
      <c r="J1" s="18">
        <v>8.5</v>
      </c>
      <c r="K1" s="396"/>
      <c r="L1" s="13" t="s">
        <v>320</v>
      </c>
      <c r="M1" s="18">
        <v>26.0</v>
      </c>
      <c r="N1" s="397">
        <v>30.0</v>
      </c>
      <c r="P1" s="13" t="s">
        <v>37</v>
      </c>
      <c r="Q1" s="20">
        <v>50.0</v>
      </c>
    </row>
    <row r="2" ht="14.25" customHeight="1">
      <c r="A2" s="22"/>
      <c r="B2" s="29">
        <v>6.0</v>
      </c>
      <c r="E2" s="22"/>
      <c r="F2" s="29">
        <v>50.0</v>
      </c>
      <c r="H2" s="22"/>
      <c r="I2" s="27">
        <v>7.0</v>
      </c>
      <c r="J2" s="27">
        <v>8.5</v>
      </c>
      <c r="K2" s="396"/>
      <c r="L2" s="22"/>
      <c r="M2" s="27">
        <v>26.0</v>
      </c>
      <c r="N2" s="398">
        <v>30.0</v>
      </c>
      <c r="P2" s="22"/>
      <c r="Q2" s="29">
        <v>50.0</v>
      </c>
    </row>
    <row r="3" ht="14.25" customHeight="1">
      <c r="A3" s="22"/>
      <c r="B3" s="29">
        <v>6.0</v>
      </c>
      <c r="E3" s="22"/>
      <c r="F3" s="29">
        <v>50.0</v>
      </c>
      <c r="H3" s="22"/>
      <c r="I3" s="27">
        <v>7.0</v>
      </c>
      <c r="J3" s="27">
        <v>8.5</v>
      </c>
      <c r="K3" s="396"/>
      <c r="L3" s="22"/>
      <c r="M3" s="27">
        <v>26.0</v>
      </c>
      <c r="N3" s="398">
        <v>30.0</v>
      </c>
      <c r="P3" s="22"/>
      <c r="Q3" s="29">
        <v>50.0</v>
      </c>
    </row>
    <row r="4" ht="14.25" customHeight="1">
      <c r="A4" s="22"/>
      <c r="B4" s="29">
        <v>6.0</v>
      </c>
      <c r="E4" s="22"/>
      <c r="F4" s="29">
        <v>50.0</v>
      </c>
      <c r="H4" s="22"/>
      <c r="I4" s="27">
        <v>7.0</v>
      </c>
      <c r="J4" s="27">
        <v>8.5</v>
      </c>
      <c r="K4" s="396"/>
      <c r="L4" s="22"/>
      <c r="M4" s="27">
        <v>26.0</v>
      </c>
      <c r="N4" s="398">
        <v>30.0</v>
      </c>
      <c r="P4" s="22"/>
      <c r="Q4" s="29">
        <v>50.0</v>
      </c>
    </row>
    <row r="5" ht="14.25" customHeight="1">
      <c r="A5" s="22"/>
      <c r="B5" s="29">
        <v>6.0</v>
      </c>
      <c r="E5" s="22"/>
      <c r="F5" s="29">
        <v>50.0</v>
      </c>
      <c r="H5" s="22"/>
      <c r="I5" s="27">
        <v>7.0</v>
      </c>
      <c r="J5" s="27">
        <v>8.5</v>
      </c>
      <c r="K5" s="396"/>
      <c r="L5" s="22"/>
      <c r="M5" s="27">
        <v>26.0</v>
      </c>
      <c r="N5" s="398">
        <v>30.0</v>
      </c>
      <c r="P5" s="22"/>
      <c r="Q5" s="29">
        <v>50.0</v>
      </c>
    </row>
    <row r="6" ht="14.25" customHeight="1">
      <c r="A6" s="22"/>
      <c r="B6" s="29">
        <v>6.0</v>
      </c>
      <c r="E6" s="22"/>
      <c r="F6" s="29">
        <v>50.0</v>
      </c>
      <c r="H6" s="22"/>
      <c r="I6" s="27">
        <v>7.0</v>
      </c>
      <c r="J6" s="27">
        <v>8.5</v>
      </c>
      <c r="K6" s="396"/>
      <c r="L6" s="22"/>
      <c r="M6" s="27">
        <v>26.0</v>
      </c>
      <c r="N6" s="398">
        <v>30.0</v>
      </c>
      <c r="P6" s="22"/>
      <c r="Q6" s="29">
        <v>50.0</v>
      </c>
    </row>
    <row r="7" ht="14.25" customHeight="1">
      <c r="A7" s="22"/>
      <c r="B7" s="29">
        <v>6.0</v>
      </c>
      <c r="E7" s="22"/>
      <c r="F7" s="29">
        <v>50.0</v>
      </c>
      <c r="H7" s="22"/>
      <c r="I7" s="27">
        <v>7.0</v>
      </c>
      <c r="J7" s="27">
        <v>8.5</v>
      </c>
      <c r="K7" s="396"/>
      <c r="L7" s="22"/>
      <c r="M7" s="27">
        <v>26.0</v>
      </c>
      <c r="N7" s="398">
        <v>30.0</v>
      </c>
      <c r="P7" s="22"/>
      <c r="Q7" s="29">
        <v>50.0</v>
      </c>
    </row>
    <row r="8" ht="14.25" customHeight="1">
      <c r="A8" s="22"/>
      <c r="B8" s="29">
        <v>6.0</v>
      </c>
      <c r="E8" s="22"/>
      <c r="F8" s="29">
        <v>50.0</v>
      </c>
      <c r="H8" s="22"/>
      <c r="I8" s="27">
        <v>7.0</v>
      </c>
      <c r="J8" s="27">
        <v>8.5</v>
      </c>
      <c r="K8" s="396"/>
      <c r="L8" s="22"/>
      <c r="M8" s="27">
        <v>26.0</v>
      </c>
      <c r="N8" s="398">
        <v>30.0</v>
      </c>
      <c r="P8" s="22"/>
      <c r="Q8" s="29">
        <v>50.0</v>
      </c>
    </row>
    <row r="9" ht="14.25" customHeight="1">
      <c r="A9" s="22"/>
      <c r="B9" s="29">
        <v>6.0</v>
      </c>
      <c r="E9" s="22"/>
      <c r="F9" s="29">
        <v>50.0</v>
      </c>
      <c r="H9" s="22"/>
      <c r="I9" s="27">
        <v>7.0</v>
      </c>
      <c r="J9" s="27">
        <v>8.5</v>
      </c>
      <c r="K9" s="396"/>
      <c r="L9" s="22"/>
      <c r="M9" s="27">
        <v>26.0</v>
      </c>
      <c r="N9" s="398">
        <v>30.0</v>
      </c>
      <c r="P9" s="22"/>
      <c r="Q9" s="29">
        <v>50.0</v>
      </c>
    </row>
    <row r="10" ht="14.25" customHeight="1">
      <c r="A10" s="22"/>
      <c r="B10" s="29">
        <v>6.0</v>
      </c>
      <c r="E10" s="22"/>
      <c r="F10" s="29">
        <v>50.0</v>
      </c>
      <c r="H10" s="22"/>
      <c r="I10" s="27">
        <v>7.0</v>
      </c>
      <c r="J10" s="27">
        <v>8.5</v>
      </c>
      <c r="K10" s="396"/>
      <c r="L10" s="22"/>
      <c r="M10" s="27">
        <v>26.0</v>
      </c>
      <c r="N10" s="398">
        <v>30.0</v>
      </c>
      <c r="P10" s="22"/>
      <c r="Q10" s="29">
        <v>50.0</v>
      </c>
    </row>
    <row r="11" ht="14.25" customHeight="1">
      <c r="A11" s="22"/>
      <c r="B11" s="29">
        <v>6.0</v>
      </c>
      <c r="E11" s="22"/>
      <c r="F11" s="29">
        <v>50.0</v>
      </c>
      <c r="H11" s="22"/>
      <c r="I11" s="27">
        <v>7.0</v>
      </c>
      <c r="J11" s="27">
        <v>8.5</v>
      </c>
      <c r="K11" s="396"/>
      <c r="L11" s="22"/>
      <c r="M11" s="27">
        <v>26.0</v>
      </c>
      <c r="N11" s="398">
        <v>30.0</v>
      </c>
      <c r="P11" s="22"/>
      <c r="Q11" s="29">
        <v>50.0</v>
      </c>
    </row>
    <row r="12" ht="14.25" customHeight="1">
      <c r="A12" s="30"/>
      <c r="B12" s="29">
        <v>6.0</v>
      </c>
      <c r="E12" s="30"/>
      <c r="F12" s="29">
        <v>50.0</v>
      </c>
      <c r="H12" s="30"/>
      <c r="I12" s="27">
        <v>7.0</v>
      </c>
      <c r="J12" s="27">
        <v>8.5</v>
      </c>
      <c r="K12" s="396"/>
      <c r="L12" s="30"/>
      <c r="M12" s="27">
        <v>26.0</v>
      </c>
      <c r="N12" s="398">
        <v>30.0</v>
      </c>
      <c r="P12" s="30"/>
      <c r="Q12" s="29">
        <v>50.0</v>
      </c>
    </row>
    <row r="14" ht="14.25" customHeight="1"/>
    <row r="15" ht="14.25" customHeight="1">
      <c r="A15" s="13" t="s">
        <v>38</v>
      </c>
      <c r="B15" s="20">
        <v>100.0</v>
      </c>
      <c r="D15" s="13" t="s">
        <v>321</v>
      </c>
      <c r="E15" s="20">
        <v>10.0</v>
      </c>
      <c r="G15" s="13" t="s">
        <v>322</v>
      </c>
      <c r="H15" s="20">
        <v>0.5</v>
      </c>
      <c r="J15" s="134"/>
      <c r="K15" s="134"/>
    </row>
    <row r="16" ht="14.25" customHeight="1">
      <c r="A16" s="22"/>
      <c r="B16" s="29">
        <v>100.0</v>
      </c>
      <c r="D16" s="22"/>
      <c r="E16" s="29">
        <v>10.0</v>
      </c>
      <c r="G16" s="22"/>
      <c r="H16" s="29">
        <v>0.5</v>
      </c>
      <c r="J16" s="134"/>
      <c r="K16" s="134"/>
    </row>
    <row r="17" ht="14.25" customHeight="1">
      <c r="A17" s="22"/>
      <c r="B17" s="29">
        <v>100.0</v>
      </c>
      <c r="D17" s="22"/>
      <c r="E17" s="29">
        <v>10.0</v>
      </c>
      <c r="G17" s="22"/>
      <c r="H17" s="29">
        <v>0.5</v>
      </c>
      <c r="J17" s="134"/>
      <c r="K17" s="134"/>
      <c r="M17" s="259" t="s">
        <v>323</v>
      </c>
      <c r="P17" s="259" t="s">
        <v>245</v>
      </c>
      <c r="Q17" s="259" t="s">
        <v>246</v>
      </c>
      <c r="R17" s="259" t="s">
        <v>247</v>
      </c>
      <c r="S17" s="259" t="s">
        <v>248</v>
      </c>
    </row>
    <row r="18" ht="14.25" customHeight="1">
      <c r="A18" s="22"/>
      <c r="B18" s="29">
        <v>100.0</v>
      </c>
      <c r="D18" s="22"/>
      <c r="E18" s="29">
        <v>10.0</v>
      </c>
      <c r="G18" s="22"/>
      <c r="H18" s="29">
        <v>0.5</v>
      </c>
      <c r="J18" s="134"/>
      <c r="K18" s="134"/>
    </row>
    <row r="19" ht="14.25" customHeight="1">
      <c r="A19" s="22"/>
      <c r="B19" s="29">
        <v>100.0</v>
      </c>
      <c r="D19" s="22"/>
      <c r="E19" s="29">
        <v>10.0</v>
      </c>
      <c r="G19" s="22"/>
      <c r="H19" s="29">
        <v>0.5</v>
      </c>
      <c r="J19" s="134"/>
      <c r="K19" s="134"/>
      <c r="M19" s="259" t="s">
        <v>318</v>
      </c>
    </row>
    <row r="20" ht="14.25" customHeight="1">
      <c r="A20" s="22"/>
      <c r="B20" s="29">
        <v>100.0</v>
      </c>
      <c r="D20" s="22"/>
      <c r="E20" s="29">
        <v>10.0</v>
      </c>
      <c r="G20" s="22"/>
      <c r="H20" s="29">
        <v>0.5</v>
      </c>
      <c r="J20" s="134"/>
      <c r="K20" s="134"/>
      <c r="M20" s="259" t="s">
        <v>319</v>
      </c>
    </row>
    <row r="21" ht="14.25" customHeight="1">
      <c r="A21" s="22"/>
      <c r="B21" s="29">
        <v>100.0</v>
      </c>
      <c r="D21" s="22"/>
      <c r="E21" s="29">
        <v>10.0</v>
      </c>
      <c r="G21" s="22"/>
      <c r="H21" s="29">
        <v>0.5</v>
      </c>
      <c r="J21" s="134"/>
      <c r="K21" s="134"/>
    </row>
    <row r="22" ht="14.25" customHeight="1">
      <c r="A22" s="22"/>
      <c r="B22" s="29">
        <v>100.0</v>
      </c>
      <c r="D22" s="22"/>
      <c r="E22" s="29">
        <v>10.0</v>
      </c>
      <c r="G22" s="22"/>
      <c r="H22" s="29">
        <v>0.5</v>
      </c>
      <c r="J22" s="134"/>
      <c r="K22" s="134"/>
    </row>
    <row r="23" ht="14.25" customHeight="1">
      <c r="A23" s="22"/>
      <c r="B23" s="29">
        <v>100.0</v>
      </c>
      <c r="D23" s="22"/>
      <c r="E23" s="29">
        <v>10.0</v>
      </c>
      <c r="G23" s="22"/>
      <c r="H23" s="29">
        <v>0.5</v>
      </c>
      <c r="J23" s="134"/>
      <c r="K23" s="134"/>
    </row>
    <row r="24" ht="14.25" customHeight="1">
      <c r="A24" s="22"/>
      <c r="B24" s="29">
        <v>100.0</v>
      </c>
      <c r="D24" s="22"/>
      <c r="E24" s="29">
        <v>10.0</v>
      </c>
      <c r="G24" s="22"/>
      <c r="H24" s="29">
        <v>0.5</v>
      </c>
      <c r="J24" s="134"/>
      <c r="K24" s="134"/>
    </row>
    <row r="25" ht="15.0" customHeight="1">
      <c r="A25" s="22"/>
      <c r="B25" s="29">
        <v>100.0</v>
      </c>
      <c r="D25" s="22"/>
      <c r="E25" s="29">
        <v>10.0</v>
      </c>
      <c r="G25" s="22"/>
      <c r="H25" s="29">
        <v>0.5</v>
      </c>
      <c r="J25" s="134"/>
      <c r="K25" s="134"/>
    </row>
    <row r="26" ht="14.25" customHeight="1">
      <c r="A26" s="30"/>
      <c r="B26" s="29">
        <v>100.0</v>
      </c>
      <c r="D26" s="30"/>
      <c r="E26" s="29">
        <v>10.0</v>
      </c>
      <c r="G26" s="30"/>
      <c r="H26" s="29">
        <v>0.5</v>
      </c>
      <c r="J26" s="134"/>
      <c r="K26" s="134"/>
    </row>
  </sheetData>
  <mergeCells count="8">
    <mergeCell ref="A1:A12"/>
    <mergeCell ref="E1:E12"/>
    <mergeCell ref="H1:H12"/>
    <mergeCell ref="L1:L12"/>
    <mergeCell ref="P1:P12"/>
    <mergeCell ref="A15:A26"/>
    <mergeCell ref="D15:D26"/>
    <mergeCell ref="G15:G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2019-02-17T22:18:38Z</dcterms:created>
  <dc:creator>jreme</dc:creator>
</cp:coreProperties>
</file>