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ilao River" sheetId="1" r:id="rId4"/>
    <sheet state="visible" name="Meycauayan River" sheetId="2" r:id="rId5"/>
    <sheet state="visible" name="Obando River" sheetId="3" r:id="rId6"/>
    <sheet state="visible" name="Bocaue River" sheetId="4" r:id="rId7"/>
    <sheet state="visible" name="Sta Maria River" sheetId="5" r:id="rId8"/>
    <sheet state="visible" name="Pampanga River " sheetId="6" r:id="rId9"/>
    <sheet state="visible" name="Angat River" sheetId="7" r:id="rId10"/>
    <sheet state="visible" name="Guagua River" sheetId="8" r:id="rId11"/>
    <sheet state="visible" name="Talisay River" sheetId="9" r:id="rId12"/>
    <sheet state="visible" name="Atlag River" sheetId="10" r:id="rId13"/>
    <sheet state="visible" name="San Miguel River" sheetId="11" r:id="rId14"/>
    <sheet state="visible" name="Balaong River" sheetId="12" r:id="rId15"/>
    <sheet state="visible" name="Madlum River" sheetId="13" r:id="rId16"/>
    <sheet state="visible" name="Pampanga River Upstream" sheetId="14" r:id="rId17"/>
    <sheet state="visible" name="TARLAC RIO CHICO" sheetId="15" r:id="rId18"/>
    <sheet state="visible" name="QUITANGIL RIVER" sheetId="16" r:id="rId19"/>
    <sheet state="visible" name="Labong River" sheetId="17" r:id="rId20"/>
  </sheets>
  <definedNames/>
  <calcPr/>
  <extLst>
    <ext uri="GoogleSheetsCustomDataVersion2">
      <go:sheetsCustomData xmlns:go="http://customooxmlschemas.google.com/" r:id="rId21" roundtripDataChecksum="Qc+INRRmMATF1dIGhRqc2alrF0NpAVVFgV8TAEKkMr4="/>
    </ext>
  </extLst>
</workbook>
</file>

<file path=xl/sharedStrings.xml><?xml version="1.0" encoding="utf-8"?>
<sst xmlns="http://schemas.openxmlformats.org/spreadsheetml/2006/main" count="5652" uniqueCount="181">
  <si>
    <t>SUMMARY REPORT OF WATER QUALITY MONITORING DATA</t>
  </si>
  <si>
    <t>SUBMITTED BY THE REGIONAL OFFICES</t>
  </si>
  <si>
    <t>CY 2017</t>
  </si>
  <si>
    <t>Region</t>
  </si>
  <si>
    <t>Parameter</t>
  </si>
  <si>
    <t>Stn. No.</t>
  </si>
  <si>
    <t>Stn. ID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</si>
  <si>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</si>
  <si>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</si>
  <si>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</si>
  <si>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</si>
  <si>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</si>
  <si>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</si>
  <si>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</si>
  <si>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</si>
  <si>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</si>
  <si>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</si>
  <si>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</si>
  <si>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</si>
  <si>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MARILAO RIVER</t>
  </si>
  <si>
    <t>CLASS C ( 5 STATIONS )</t>
  </si>
  <si>
    <t>III</t>
  </si>
  <si>
    <t>DO (mg/L)</t>
  </si>
  <si>
    <t>Deca Homes (March.-Car. Boundary Bridge)</t>
  </si>
  <si>
    <t>*</t>
  </si>
  <si>
    <t>Prenza Dam</t>
  </si>
  <si>
    <t>Expressway Bridge</t>
  </si>
  <si>
    <t>Mc Arthur Bridge</t>
  </si>
  <si>
    <t>Ibayo Bridge</t>
  </si>
  <si>
    <t>BOD (mg/L)</t>
  </si>
  <si>
    <t>TSS (mg/L)</t>
  </si>
  <si>
    <t>pH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</si>
  <si>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</si>
  <si>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Color (TCU)</t>
  </si>
  <si>
    <t>Fecal Coliform (MPN/100mL)</t>
  </si>
  <si>
    <r>
      <rPr>
        <rFont val="Times New Roman"/>
        <b/>
        <color theme="1"/>
        <sz val="11.0"/>
      </rPr>
      <t>NH</t>
    </r>
    <r>
      <rPr>
        <rFont val="Times New Roman"/>
        <b/>
        <color theme="1"/>
        <sz val="11.0"/>
        <vertAlign val="subscript"/>
      </rPr>
      <t xml:space="preserve">3 </t>
    </r>
    <r>
      <rPr>
        <rFont val="Times New Roman"/>
        <b/>
        <color theme="1"/>
        <sz val="11.0"/>
      </rPr>
      <t>(mg/L)</t>
    </r>
  </si>
  <si>
    <t>Deac Homes (March.-Car. Boundary Bridge</t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</si>
  <si>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</si>
  <si>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t>&lt;0.048*</t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</si>
  <si>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</si>
  <si>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Cl- (mg/L)</t>
  </si>
  <si>
    <t>MEYCAUAYAN RIVER</t>
  </si>
  <si>
    <t xml:space="preserve">Perez Bridge   Brgy. Perez   Meycauayan   Bulacan </t>
  </si>
  <si>
    <t xml:space="preserve">Expressway Bridge   Brgy. Langka   Meycauayan   Bulacan </t>
  </si>
  <si>
    <t xml:space="preserve">Viente Reales Bridge   Brgy. Viente Reales   Valenzuela City   MM </t>
  </si>
  <si>
    <t xml:space="preserve">McArthur Highway   Brgy. Banga   Meycauayan   Bulacan </t>
  </si>
  <si>
    <t xml:space="preserve">Meymart Bridge  Brgy. Zamora  Meycauayan   Bulacan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</si>
  <si>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</si>
  <si>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NH</t>
    </r>
    <r>
      <rPr>
        <rFont val="Times New Roman"/>
        <b/>
        <color theme="1"/>
        <sz val="11.0"/>
        <vertAlign val="subscript"/>
      </rPr>
      <t xml:space="preserve">3 </t>
    </r>
    <r>
      <rPr>
        <rFont val="Times New Roman"/>
        <b/>
        <color theme="1"/>
        <sz val="11.0"/>
      </rPr>
      <t>(mg/L)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</si>
  <si>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</si>
  <si>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</si>
  <si>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Cl (mg/L)</t>
  </si>
  <si>
    <t>*No data/ Sampling conducted</t>
  </si>
  <si>
    <t>OBANDO RIVER</t>
  </si>
  <si>
    <t>CLASS C ( 3 STATIONS )</t>
  </si>
  <si>
    <t xml:space="preserve">Polo Bridge  Brgy. Polo  Valenzuela City  MM </t>
  </si>
  <si>
    <t xml:space="preserve">Near Municipal Fishport &amp; P.M. </t>
  </si>
  <si>
    <t xml:space="preserve">Tawiran Bridge  Brgy. Tawiran  Obando  Bulacan </t>
  </si>
  <si>
    <r>
      <rPr>
        <rFont val="Times New Roman"/>
        <b/>
        <color theme="1"/>
        <sz val="11.0"/>
      </rPr>
      <t>Temp (</t>
    </r>
    <r>
      <rPr>
        <rFont val="Calibri"/>
        <b/>
        <color theme="1"/>
        <sz val="11.0"/>
      </rPr>
      <t>°</t>
    </r>
    <r>
      <rPr>
        <rFont val="Calibri"/>
        <b/>
        <color theme="1"/>
        <sz val="14.0"/>
      </rPr>
      <t xml:space="preserve"> C)</t>
    </r>
  </si>
  <si>
    <r>
      <rPr>
        <rFont val="Times New Roman"/>
        <b/>
        <color theme="1"/>
        <sz val="11.0"/>
      </rPr>
      <t>NH</t>
    </r>
    <r>
      <rPr>
        <rFont val="Times New Roman"/>
        <b/>
        <color theme="1"/>
        <sz val="11.0"/>
        <vertAlign val="subscript"/>
      </rPr>
      <t xml:space="preserve">3 </t>
    </r>
    <r>
      <rPr>
        <rFont val="Times New Roman"/>
        <b/>
        <color theme="1"/>
        <sz val="11.0"/>
      </rPr>
      <t>(mg/L)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</si>
  <si>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</si>
  <si>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</si>
  <si>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* No data/ Sampling conducted</t>
  </si>
  <si>
    <t>BOCAUE RIVER</t>
  </si>
  <si>
    <t xml:space="preserve">Expressway Bridge </t>
  </si>
  <si>
    <t xml:space="preserve">McArthur Bridge </t>
  </si>
  <si>
    <t>Bridge Near Public Market  UBVASM</t>
  </si>
  <si>
    <r>
      <rPr>
        <rFont val="Times New Roman"/>
        <b/>
        <color theme="1"/>
        <sz val="11.0"/>
      </rPr>
      <t>Temp (</t>
    </r>
    <r>
      <rPr>
        <rFont val="Calibri"/>
        <b/>
        <color theme="1"/>
        <sz val="11.0"/>
      </rPr>
      <t>°</t>
    </r>
    <r>
      <rPr>
        <rFont val="Calibri"/>
        <b/>
        <color theme="1"/>
        <sz val="14.0"/>
      </rPr>
      <t xml:space="preserve"> C)</t>
    </r>
  </si>
  <si>
    <t>&gt;1600000</t>
  </si>
  <si>
    <r>
      <rPr>
        <rFont val="Times New Roman"/>
        <b/>
        <color theme="1"/>
        <sz val="11.0"/>
      </rPr>
      <t>NH</t>
    </r>
    <r>
      <rPr>
        <rFont val="Times New Roman"/>
        <b/>
        <color theme="1"/>
        <sz val="11.0"/>
        <vertAlign val="subscript"/>
      </rPr>
      <t xml:space="preserve">3 </t>
    </r>
    <r>
      <rPr>
        <rFont val="Times New Roman"/>
        <b/>
        <color theme="1"/>
        <sz val="11.0"/>
      </rPr>
      <t>(mg/L)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</si>
  <si>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</si>
  <si>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</si>
  <si>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STA MARIA RIVER</t>
  </si>
  <si>
    <t xml:space="preserve">Sta Clara Bridge  Sta Clara Bypass Road  sta Maria  Bulacan </t>
  </si>
  <si>
    <t xml:space="preserve">Catmon Bridge  Brgy. Catmon  Sta Maria  Bulacan </t>
  </si>
  <si>
    <t xml:space="preserve">Poblacion Bridge  Pob. Sta. Maria  Bulacan </t>
  </si>
  <si>
    <t>Total Coliform (MPN/100mL)</t>
  </si>
  <si>
    <r>
      <rPr>
        <rFont val="Times New Roman"/>
        <b/>
        <color theme="1"/>
        <sz val="11.0"/>
      </rPr>
      <t>NH</t>
    </r>
    <r>
      <rPr>
        <rFont val="Times New Roman"/>
        <b/>
        <color theme="1"/>
        <sz val="11.0"/>
        <vertAlign val="subscript"/>
      </rPr>
      <t xml:space="preserve">3 </t>
    </r>
    <r>
      <rPr>
        <rFont val="Times New Roman"/>
        <b/>
        <color theme="1"/>
        <sz val="11.0"/>
      </rPr>
      <t>(mg/L)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</si>
  <si>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</si>
  <si>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</si>
  <si>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Temperature °C*</t>
  </si>
  <si>
    <t>Color TCU</t>
  </si>
  <si>
    <t>Chlorides Cl - (mg/L)</t>
  </si>
  <si>
    <t>*No data/ Sampling Conducted</t>
  </si>
  <si>
    <t>PAMPANGA RIVER</t>
  </si>
  <si>
    <t xml:space="preserve">Expressway Bridge  Apalit  Pampanga </t>
  </si>
  <si>
    <t xml:space="preserve">Sulipan Bridge  Calumpit  Pampanga </t>
  </si>
  <si>
    <t xml:space="preserve">Calumpit Bridge  Calumpit  Pampanga </t>
  </si>
  <si>
    <t xml:space="preserve">Paulino Residence  Sitio Kanukay  San Vicente  Macabebe  Pampanga </t>
  </si>
  <si>
    <t xml:space="preserve">Villa Lourdes  Sitio Bitas  Brgy. Batasan  Macabebe  Pampanga </t>
  </si>
  <si>
    <r>
      <rPr>
        <rFont val="Times New Roman"/>
        <b/>
        <color theme="1"/>
        <sz val="11.0"/>
      </rPr>
      <t>NH</t>
    </r>
    <r>
      <rPr>
        <rFont val="Times New Roman"/>
        <b/>
        <color theme="1"/>
        <sz val="11.0"/>
        <vertAlign val="subscript"/>
      </rPr>
      <t xml:space="preserve">3 </t>
    </r>
    <r>
      <rPr>
        <rFont val="Times New Roman"/>
        <b/>
        <color theme="1"/>
        <sz val="11.0"/>
      </rPr>
      <t>(mg/L)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</si>
  <si>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</si>
  <si>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</si>
  <si>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Fecal Coliform, MPN/100mL</t>
  </si>
  <si>
    <t>ANGAT RIVER</t>
  </si>
  <si>
    <t>CLASS C ( 4 STATIONS )</t>
  </si>
  <si>
    <t xml:space="preserve">Baliwag  Bustos Bridge  Bustos  Bulacan </t>
  </si>
  <si>
    <t xml:space="preserve">Pulilan  Plaridel Bridge  Poblacion Plaridel  Bulacan </t>
  </si>
  <si>
    <t xml:space="preserve">Expressway Bridge  Pulilan  Pampanga </t>
  </si>
  <si>
    <t xml:space="preserve">Labangan Bridge  Iba Este  Calumpit  Pampanga </t>
  </si>
  <si>
    <r>
      <rPr>
        <rFont val="Times New Roman"/>
        <b/>
        <color theme="1"/>
        <sz val="11.0"/>
      </rPr>
      <t>NH</t>
    </r>
    <r>
      <rPr>
        <rFont val="Times New Roman"/>
        <b/>
        <color theme="1"/>
        <sz val="11.0"/>
        <vertAlign val="subscript"/>
      </rPr>
      <t xml:space="preserve">3 </t>
    </r>
    <r>
      <rPr>
        <rFont val="Times New Roman"/>
        <b/>
        <color theme="1"/>
        <sz val="11.0"/>
      </rPr>
      <t>(mg/L)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</si>
  <si>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</si>
  <si>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</si>
  <si>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GUAGUA RIVER</t>
  </si>
  <si>
    <t xml:space="preserve">San Pablo Bridge  Brgy. San Miguel  Guagua  Pampanga  Downstream </t>
  </si>
  <si>
    <t xml:space="preserve">San Pedro Foot Bridge  Brgy. San Agustin  Guagua  Pampanga </t>
  </si>
  <si>
    <t xml:space="preserve">Plaza Burgos Bridge  Brgy. Sto. Niño  Guagua  Pampanga   Upstream  </t>
  </si>
  <si>
    <r>
      <rPr>
        <rFont val="Times New Roman"/>
        <b/>
        <color theme="1"/>
        <sz val="11.0"/>
      </rPr>
      <t>NH</t>
    </r>
    <r>
      <rPr>
        <rFont val="Times New Roman"/>
        <b/>
        <color theme="1"/>
        <sz val="11.0"/>
        <vertAlign val="subscript"/>
      </rPr>
      <t xml:space="preserve">3 </t>
    </r>
    <r>
      <rPr>
        <rFont val="Times New Roman"/>
        <b/>
        <color theme="1"/>
        <sz val="11.0"/>
      </rPr>
      <t>(mg/L)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</si>
  <si>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</si>
  <si>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</si>
  <si>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*No Data/ Sampling conducted</t>
  </si>
  <si>
    <t>TALISAY RIVER</t>
  </si>
  <si>
    <t xml:space="preserve">Talisay Bridge  Brgy. Ala  uli  Balanga  Bataan </t>
  </si>
  <si>
    <t xml:space="preserve">Camacho Bridge  Poblacion  Balanga  Bataan </t>
  </si>
  <si>
    <t xml:space="preserve">Near Banson Residence </t>
  </si>
  <si>
    <t>&lt;2.0*</t>
  </si>
  <si>
    <t xml:space="preserve">&lt;2.0* </t>
  </si>
  <si>
    <r>
      <rPr>
        <rFont val="Times New Roman"/>
        <b/>
        <color theme="1"/>
        <sz val="11.0"/>
      </rPr>
      <t>NH</t>
    </r>
    <r>
      <rPr>
        <rFont val="Times New Roman"/>
        <b/>
        <color theme="1"/>
        <sz val="11.0"/>
        <vertAlign val="subscript"/>
      </rPr>
      <t xml:space="preserve">3 </t>
    </r>
    <r>
      <rPr>
        <rFont val="Times New Roman"/>
        <b/>
        <color theme="1"/>
        <sz val="11.0"/>
      </rPr>
      <t>(mg/L)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</si>
  <si>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</si>
  <si>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</si>
  <si>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&lt;0.044*</t>
  </si>
  <si>
    <t>ATLAG RIVER</t>
  </si>
  <si>
    <t>Bridge nearVilla   Santiago Compound</t>
  </si>
  <si>
    <t>Libo Bridge</t>
  </si>
  <si>
    <t>Atlag Bridge</t>
  </si>
  <si>
    <r>
      <rPr>
        <rFont val="Times New Roman"/>
        <b/>
        <color theme="1"/>
        <sz val="11.0"/>
      </rPr>
      <t>NH</t>
    </r>
    <r>
      <rPr>
        <rFont val="Times New Roman"/>
        <b/>
        <color theme="1"/>
        <sz val="11.0"/>
        <vertAlign val="subscript"/>
      </rPr>
      <t xml:space="preserve">3 </t>
    </r>
    <r>
      <rPr>
        <rFont val="Times New Roman"/>
        <b/>
        <color theme="1"/>
        <sz val="11.0"/>
      </rPr>
      <t>(mg/L)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</si>
  <si>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</si>
  <si>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</si>
  <si>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SAN MIGUEL RIVER</t>
  </si>
  <si>
    <t>San Miguel Bridge</t>
  </si>
  <si>
    <t>Old Sta. Rita Bridge</t>
  </si>
  <si>
    <t>Oriente Bridge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</si>
  <si>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</si>
  <si>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</si>
  <si>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</si>
  <si>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BALAONG RIVER</t>
  </si>
  <si>
    <t>2nd Hanging Bridge</t>
  </si>
  <si>
    <t xml:space="preserve">Main Hanging Bridge   1st Hanging Bridge </t>
  </si>
  <si>
    <t>&lt;2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</si>
  <si>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</si>
  <si>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</si>
  <si>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t>&lt;0.48*</t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</si>
  <si>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</si>
  <si>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&lt; 0.044*</t>
  </si>
  <si>
    <t>MADLUM RIVER</t>
  </si>
  <si>
    <t>So. Madlum Hanging Bridge</t>
  </si>
  <si>
    <t>Ilog Munti Hanging Bridge</t>
  </si>
  <si>
    <t>Sibul Bridge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</si>
  <si>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</si>
  <si>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</si>
  <si>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</si>
  <si>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*No Data/ Sampling Conducted</t>
  </si>
  <si>
    <t>PAMPANGA RIVER ( UPSTREAM)</t>
  </si>
  <si>
    <t xml:space="preserve">Bongabon River </t>
  </si>
  <si>
    <t>Vergara Bridge</t>
  </si>
  <si>
    <t>Sta. Rosa Bridge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</si>
  <si>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</si>
  <si>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</si>
  <si>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</si>
  <si>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TARLAC RIO CHICO</t>
  </si>
  <si>
    <t>San Vicente Bridge #3</t>
  </si>
  <si>
    <t>Rio Chico Bridge, La Paz</t>
  </si>
  <si>
    <t>San Antonio, Conception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</si>
  <si>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</si>
  <si>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</si>
  <si>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</si>
  <si>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</si>
  <si>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QUITANGIL RIVER</t>
  </si>
  <si>
    <t>San Francisco-Mabiga Bridge</t>
  </si>
  <si>
    <t>San Roque Bridge</t>
  </si>
  <si>
    <t>Sto. Nino Steel Bridge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</si>
  <si>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</si>
  <si>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</si>
  <si>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</si>
  <si>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LABONG RIVER</t>
  </si>
  <si>
    <t>Villarosa Bridge</t>
  </si>
  <si>
    <t>San Juan Sur Bridge</t>
  </si>
  <si>
    <t>Labong Bridge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</si>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</sst>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0_);\(0\)"/>
    <numFmt numFmtId="166" formatCode="_(* #,##0_);_(* \(#,##0\);_(* &quot;-&quot;??_);_(@_)"/>
    <numFmt numFmtId="167" formatCode="0.000"/>
  </numFmts>
  <fonts count="8">
    <font>
      <sz val="11.0"/>
      <color theme="1"/>
      <name val="Calibri"/>
      <scheme val="minor"/>
    </font>
    <font>
      <b/>
      <sz val="11.0"/>
      <color theme="1"/>
      <name val="Times New Roman"/>
    </font>
    <font/>
    <font>
      <sz val="11.0"/>
      <color theme="1"/>
      <name val="Times New Roman"/>
    </font>
    <font>
      <sz val="12.0"/>
      <color theme="1"/>
      <name val="Times New Roman"/>
    </font>
    <font>
      <sz val="12.0"/>
      <color rgb="FF000000"/>
      <name val="Times New Roman"/>
    </font>
    <font>
      <color theme="1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</fills>
  <borders count="28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10" fillId="3" fontId="1" numFmtId="0" xfId="0" applyBorder="1" applyFill="1" applyFont="1"/>
    <xf borderId="10" fillId="3" fontId="1" numFmtId="0" xfId="0" applyAlignment="1" applyBorder="1" applyFont="1">
      <alignment horizontal="center" vertical="center"/>
    </xf>
    <xf borderId="10" fillId="3" fontId="1" numFmtId="2" xfId="0" applyAlignment="1" applyBorder="1" applyFont="1" applyNumberFormat="1">
      <alignment horizontal="center" vertical="center"/>
    </xf>
    <xf borderId="11" fillId="0" fontId="1" numFmtId="0" xfId="0" applyAlignment="1" applyBorder="1" applyFon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14" fillId="0" fontId="1" numFmtId="0" xfId="0" applyAlignment="1" applyBorder="1" applyFont="1">
      <alignment horizontal="center"/>
    </xf>
    <xf borderId="15" fillId="0" fontId="2" numFmtId="0" xfId="0" applyBorder="1" applyFont="1"/>
    <xf borderId="16" fillId="0" fontId="2" numFmtId="0" xfId="0" applyBorder="1" applyFont="1"/>
    <xf borderId="17" fillId="4" fontId="3" numFmtId="0" xfId="0" applyAlignment="1" applyBorder="1" applyFill="1" applyFont="1">
      <alignment horizontal="left"/>
    </xf>
    <xf borderId="18" fillId="0" fontId="1" numFmtId="0" xfId="0" applyAlignment="1" applyBorder="1" applyFont="1">
      <alignment horizontal="center" shrinkToFit="0" vertical="center" wrapText="1"/>
    </xf>
    <xf borderId="17" fillId="4" fontId="1" numFmtId="0" xfId="0" applyAlignment="1" applyBorder="1" applyFont="1">
      <alignment horizontal="center" vertical="center"/>
    </xf>
    <xf borderId="17" fillId="4" fontId="3" numFmtId="0" xfId="0" applyAlignment="1" applyBorder="1" applyFont="1">
      <alignment shrinkToFit="0" wrapText="1"/>
    </xf>
    <xf borderId="10" fillId="4" fontId="4" numFmtId="0" xfId="0" applyAlignment="1" applyBorder="1" applyFont="1">
      <alignment horizontal="center" vertical="center"/>
    </xf>
    <xf borderId="10" fillId="4" fontId="4" numFmtId="2" xfId="0" applyAlignment="1" applyBorder="1" applyFont="1" applyNumberFormat="1">
      <alignment horizontal="center" vertical="center"/>
    </xf>
    <xf borderId="10" fillId="0" fontId="3" numFmtId="0" xfId="0" applyAlignment="1" applyBorder="1" applyFont="1">
      <alignment horizontal="center" vertical="center"/>
    </xf>
    <xf borderId="18" fillId="0" fontId="2" numFmtId="0" xfId="0" applyBorder="1" applyFont="1"/>
    <xf borderId="10" fillId="0" fontId="1" numFmtId="0" xfId="0" applyAlignment="1" applyBorder="1" applyFont="1">
      <alignment horizontal="center" vertical="center"/>
    </xf>
    <xf borderId="10" fillId="0" fontId="3" numFmtId="0" xfId="0" applyBorder="1" applyFont="1"/>
    <xf borderId="10" fillId="0" fontId="4" numFmtId="0" xfId="0" applyAlignment="1" applyBorder="1" applyFont="1">
      <alignment horizontal="center" vertical="center"/>
    </xf>
    <xf borderId="10" fillId="0" fontId="4" numFmtId="2" xfId="0" applyAlignment="1" applyBorder="1" applyFont="1" applyNumberFormat="1">
      <alignment horizontal="center" vertical="center"/>
    </xf>
    <xf borderId="19" fillId="0" fontId="2" numFmtId="0" xfId="0" applyBorder="1" applyFont="1"/>
    <xf borderId="20" fillId="0" fontId="1" numFmtId="0" xfId="0" applyAlignment="1" applyBorder="1" applyFont="1">
      <alignment horizontal="center" shrinkToFit="0" vertical="center" wrapText="1"/>
    </xf>
    <xf borderId="10" fillId="4" fontId="1" numFmtId="0" xfId="0" applyAlignment="1" applyBorder="1" applyFont="1">
      <alignment horizontal="center" vertical="center"/>
    </xf>
    <xf borderId="17" fillId="4" fontId="3" numFmtId="0" xfId="0" applyBorder="1" applyFont="1"/>
    <xf borderId="10" fillId="4" fontId="4" numFmtId="164" xfId="0" applyAlignment="1" applyBorder="1" applyFont="1" applyNumberFormat="1">
      <alignment horizontal="center" vertical="center"/>
    </xf>
    <xf borderId="10" fillId="4" fontId="4" numFmtId="1" xfId="0" applyAlignment="1" applyBorder="1" applyFont="1" applyNumberFormat="1">
      <alignment horizontal="center" vertical="center"/>
    </xf>
    <xf borderId="10" fillId="4" fontId="4" numFmtId="165" xfId="0" applyAlignment="1" applyBorder="1" applyFont="1" applyNumberFormat="1">
      <alignment horizontal="center" vertical="center"/>
    </xf>
    <xf borderId="10" fillId="0" fontId="4" numFmtId="1" xfId="0" applyAlignment="1" applyBorder="1" applyFont="1" applyNumberFormat="1">
      <alignment horizontal="center" vertical="center"/>
    </xf>
    <xf borderId="10" fillId="0" fontId="4" numFmtId="165" xfId="0" applyAlignment="1" applyBorder="1" applyFont="1" applyNumberFormat="1">
      <alignment horizontal="center" vertical="center"/>
    </xf>
    <xf borderId="18" fillId="0" fontId="4" numFmtId="0" xfId="0" applyAlignment="1" applyBorder="1" applyFont="1">
      <alignment horizontal="center" vertical="center"/>
    </xf>
    <xf borderId="10" fillId="4" fontId="4" numFmtId="166" xfId="0" applyAlignment="1" applyBorder="1" applyFont="1" applyNumberFormat="1">
      <alignment horizontal="center" vertical="center"/>
    </xf>
    <xf borderId="10" fillId="0" fontId="4" numFmtId="166" xfId="0" applyAlignment="1" applyBorder="1" applyFont="1" applyNumberFormat="1">
      <alignment horizontal="center" vertical="center"/>
    </xf>
    <xf borderId="18" fillId="0" fontId="4" numFmtId="166" xfId="0" applyAlignment="1" applyBorder="1" applyFont="1" applyNumberFormat="1">
      <alignment horizontal="center" vertical="center"/>
    </xf>
    <xf borderId="10" fillId="4" fontId="3" numFmtId="0" xfId="0" applyBorder="1" applyFont="1"/>
    <xf borderId="10" fillId="4" fontId="4" numFmtId="167" xfId="0" applyAlignment="1" applyBorder="1" applyFont="1" applyNumberFormat="1">
      <alignment horizontal="center" vertical="center"/>
    </xf>
    <xf borderId="10" fillId="0" fontId="4" numFmtId="167" xfId="0" applyAlignment="1" applyBorder="1" applyFont="1" applyNumberFormat="1">
      <alignment horizontal="center" vertical="center"/>
    </xf>
    <xf borderId="10" fillId="5" fontId="4" numFmtId="0" xfId="0" applyAlignment="1" applyBorder="1" applyFill="1" applyFont="1">
      <alignment horizontal="center" vertical="center"/>
    </xf>
    <xf borderId="10" fillId="4" fontId="5" numFmtId="0" xfId="0" applyAlignment="1" applyBorder="1" applyFont="1">
      <alignment shrinkToFit="0" vertical="center" wrapText="1"/>
    </xf>
    <xf borderId="10" fillId="4" fontId="4" numFmtId="0" xfId="0" applyAlignment="1" applyBorder="1" applyFont="1">
      <alignment horizontal="right" vertical="center"/>
    </xf>
    <xf borderId="10" fillId="4" fontId="4" numFmtId="2" xfId="0" applyAlignment="1" applyBorder="1" applyFont="1" applyNumberFormat="1">
      <alignment horizontal="right" vertical="center"/>
    </xf>
    <xf borderId="10" fillId="0" fontId="5" numFmtId="0" xfId="0" applyAlignment="1" applyBorder="1" applyFont="1">
      <alignment shrinkToFit="0" vertical="center" wrapText="1"/>
    </xf>
    <xf borderId="10" fillId="0" fontId="4" numFmtId="164" xfId="0" applyAlignment="1" applyBorder="1" applyFont="1" applyNumberFormat="1">
      <alignment horizontal="right" vertical="center"/>
    </xf>
    <xf borderId="10" fillId="0" fontId="4" numFmtId="0" xfId="0" applyAlignment="1" applyBorder="1" applyFont="1">
      <alignment horizontal="right" vertical="center"/>
    </xf>
    <xf borderId="10" fillId="0" fontId="4" numFmtId="2" xfId="0" applyAlignment="1" applyBorder="1" applyFont="1" applyNumberFormat="1">
      <alignment horizontal="right" vertical="center"/>
    </xf>
    <xf borderId="18" fillId="0" fontId="4" numFmtId="0" xfId="0" applyAlignment="1" applyBorder="1" applyFont="1">
      <alignment horizontal="right" vertical="center"/>
    </xf>
    <xf borderId="10" fillId="4" fontId="4" numFmtId="166" xfId="0" applyAlignment="1" applyBorder="1" applyFont="1" applyNumberFormat="1">
      <alignment horizontal="right" vertical="center"/>
    </xf>
    <xf borderId="10" fillId="0" fontId="4" numFmtId="166" xfId="0" applyAlignment="1" applyBorder="1" applyFont="1" applyNumberFormat="1">
      <alignment horizontal="right" vertical="center"/>
    </xf>
    <xf borderId="18" fillId="0" fontId="4" numFmtId="166" xfId="0" applyAlignment="1" applyBorder="1" applyFont="1" applyNumberFormat="1">
      <alignment horizontal="right" vertical="center"/>
    </xf>
    <xf borderId="10" fillId="4" fontId="4" numFmtId="167" xfId="0" applyAlignment="1" applyBorder="1" applyFont="1" applyNumberFormat="1">
      <alignment horizontal="right" vertical="center"/>
    </xf>
    <xf borderId="10" fillId="0" fontId="4" numFmtId="167" xfId="0" applyAlignment="1" applyBorder="1" applyFont="1" applyNumberFormat="1">
      <alignment horizontal="right" vertical="center"/>
    </xf>
    <xf borderId="10" fillId="4" fontId="4" numFmtId="1" xfId="0" applyAlignment="1" applyBorder="1" applyFont="1" applyNumberFormat="1">
      <alignment horizontal="right" vertical="center"/>
    </xf>
    <xf borderId="0" fillId="0" fontId="6" numFmtId="0" xfId="0" applyFont="1"/>
    <xf borderId="10" fillId="0" fontId="4" numFmtId="1" xfId="0" applyAlignment="1" applyBorder="1" applyFont="1" applyNumberFormat="1">
      <alignment horizontal="right" vertical="center"/>
    </xf>
    <xf borderId="20" fillId="0" fontId="4" numFmtId="2" xfId="0" applyAlignment="1" applyBorder="1" applyFont="1" applyNumberFormat="1">
      <alignment horizontal="right" vertical="center"/>
    </xf>
    <xf borderId="20" fillId="0" fontId="4" numFmtId="0" xfId="0" applyAlignment="1" applyBorder="1" applyFont="1">
      <alignment horizontal="right" vertical="center"/>
    </xf>
    <xf borderId="20" fillId="0" fontId="4" numFmtId="164" xfId="0" applyAlignment="1" applyBorder="1" applyFont="1" applyNumberFormat="1">
      <alignment horizontal="right" vertical="center"/>
    </xf>
    <xf borderId="20" fillId="0" fontId="4" numFmtId="167" xfId="0" applyAlignment="1" applyBorder="1" applyFont="1" applyNumberFormat="1">
      <alignment horizontal="right" vertical="center"/>
    </xf>
    <xf borderId="20" fillId="0" fontId="4" numFmtId="166" xfId="0" applyAlignment="1" applyBorder="1" applyFont="1" applyNumberFormat="1">
      <alignment horizontal="right" vertical="center"/>
    </xf>
    <xf borderId="10" fillId="0" fontId="4" numFmtId="164" xfId="0" applyAlignment="1" applyBorder="1" applyFont="1" applyNumberFormat="1">
      <alignment horizontal="center" vertical="center"/>
    </xf>
    <xf borderId="21" fillId="4" fontId="7" numFmtId="0" xfId="0" applyBorder="1" applyFont="1"/>
    <xf borderId="10" fillId="4" fontId="5" numFmtId="0" xfId="0" applyAlignment="1" applyBorder="1" applyFont="1">
      <alignment horizontal="left" shrinkToFit="0" vertical="center" wrapText="1"/>
    </xf>
    <xf borderId="10" fillId="0" fontId="5" numFmtId="0" xfId="0" applyAlignment="1" applyBorder="1" applyFont="1">
      <alignment horizontal="left" shrinkToFit="0" vertical="center" wrapText="1"/>
    </xf>
    <xf borderId="10" fillId="4" fontId="4" numFmtId="164" xfId="0" applyAlignment="1" applyBorder="1" applyFont="1" applyNumberFormat="1">
      <alignment horizontal="right" vertical="center"/>
    </xf>
    <xf borderId="0" fillId="0" fontId="6" numFmtId="166" xfId="0" applyFont="1" applyNumberFormat="1"/>
    <xf borderId="0" fillId="0" fontId="6" numFmtId="164" xfId="0" applyFont="1" applyNumberFormat="1"/>
    <xf borderId="0" fillId="0" fontId="6" numFmtId="1" xfId="0" applyFont="1" applyNumberFormat="1"/>
    <xf borderId="22" fillId="4" fontId="4" numFmtId="164" xfId="0" applyAlignment="1" applyBorder="1" applyFont="1" applyNumberFormat="1">
      <alignment horizontal="right" vertical="center"/>
    </xf>
    <xf borderId="22" fillId="4" fontId="3" numFmtId="0" xfId="0" applyAlignment="1" applyBorder="1" applyFont="1">
      <alignment horizontal="right" vertical="center"/>
    </xf>
    <xf borderId="23" fillId="0" fontId="4" numFmtId="164" xfId="0" applyAlignment="1" applyBorder="1" applyFont="1" applyNumberFormat="1">
      <alignment horizontal="right" vertical="center"/>
    </xf>
    <xf borderId="23" fillId="0" fontId="3" numFmtId="0" xfId="0" applyAlignment="1" applyBorder="1" applyFont="1">
      <alignment horizontal="right" vertical="center"/>
    </xf>
    <xf borderId="22" fillId="4" fontId="4" numFmtId="0" xfId="0" applyAlignment="1" applyBorder="1" applyFont="1">
      <alignment horizontal="right" vertical="center"/>
    </xf>
    <xf borderId="23" fillId="0" fontId="4" numFmtId="0" xfId="0" applyAlignment="1" applyBorder="1" applyFont="1">
      <alignment horizontal="right" vertical="center"/>
    </xf>
    <xf borderId="18" fillId="0" fontId="5" numFmtId="0" xfId="0" applyAlignment="1" applyBorder="1" applyFont="1">
      <alignment shrinkToFit="0" vertical="center" wrapText="1"/>
    </xf>
    <xf borderId="20" fillId="0" fontId="4" numFmtId="0" xfId="0" applyAlignment="1" applyBorder="1" applyFont="1">
      <alignment horizontal="center" vertical="center"/>
    </xf>
    <xf borderId="20" fillId="0" fontId="4" numFmtId="167" xfId="0" applyAlignment="1" applyBorder="1" applyFont="1" applyNumberFormat="1">
      <alignment horizontal="center" vertical="center"/>
    </xf>
    <xf borderId="10" fillId="0" fontId="1" numFmtId="0" xfId="0" applyAlignment="1" applyBorder="1" applyFont="1">
      <alignment horizontal="center" shrinkToFit="0" vertical="center" wrapText="1"/>
    </xf>
    <xf borderId="10" fillId="4" fontId="4" numFmtId="0" xfId="0" applyAlignment="1" applyBorder="1" applyFont="1">
      <alignment horizontal="left" shrinkToFit="0" vertical="center" wrapText="1"/>
    </xf>
    <xf borderId="10" fillId="0" fontId="4" numFmtId="0" xfId="0" applyAlignment="1" applyBorder="1" applyFont="1">
      <alignment horizontal="left" vertical="center"/>
    </xf>
    <xf borderId="24" fillId="3" fontId="1" numFmtId="0" xfId="0" applyBorder="1" applyFont="1"/>
    <xf borderId="10" fillId="4" fontId="3" numFmtId="0" xfId="0" applyAlignment="1" applyBorder="1" applyFont="1">
      <alignment horizontal="left"/>
    </xf>
    <xf borderId="10" fillId="0" fontId="4" numFmtId="0" xfId="0" applyAlignment="1" applyBorder="1" applyFont="1">
      <alignment shrinkToFit="0" vertical="center" wrapText="1"/>
    </xf>
    <xf borderId="10" fillId="4" fontId="3" numFmtId="2" xfId="0" applyAlignment="1" applyBorder="1" applyFont="1" applyNumberFormat="1">
      <alignment horizontal="right" shrinkToFit="0" vertical="center" wrapText="1"/>
    </xf>
    <xf borderId="10" fillId="0" fontId="3" numFmtId="2" xfId="0" applyAlignment="1" applyBorder="1" applyFont="1" applyNumberFormat="1">
      <alignment horizontal="right" shrinkToFit="0" vertical="center" wrapText="1"/>
    </xf>
    <xf borderId="10" fillId="4" fontId="4" numFmtId="3" xfId="0" applyAlignment="1" applyBorder="1" applyFont="1" applyNumberFormat="1">
      <alignment horizontal="center" vertical="center"/>
    </xf>
    <xf borderId="10" fillId="0" fontId="4" numFmtId="3" xfId="0" applyAlignment="1" applyBorder="1" applyFont="1" applyNumberFormat="1">
      <alignment horizontal="center" vertical="center"/>
    </xf>
    <xf borderId="10" fillId="4" fontId="3" numFmtId="0" xfId="0" applyAlignment="1" applyBorder="1" applyFont="1">
      <alignment horizontal="center" vertical="center"/>
    </xf>
    <xf borderId="20" fillId="0" fontId="4" numFmtId="2" xfId="0" applyAlignment="1" applyBorder="1" applyFont="1" applyNumberFormat="1">
      <alignment horizontal="center" vertical="center"/>
    </xf>
    <xf borderId="10" fillId="4" fontId="3" numFmtId="166" xfId="0" applyAlignment="1" applyBorder="1" applyFont="1" applyNumberFormat="1">
      <alignment horizontal="right" shrinkToFit="0" vertical="center" wrapText="1"/>
    </xf>
    <xf borderId="10" fillId="0" fontId="3" numFmtId="166" xfId="0" applyAlignment="1" applyBorder="1" applyFont="1" applyNumberFormat="1">
      <alignment horizontal="right" shrinkToFit="0" vertical="center" wrapText="1"/>
    </xf>
    <xf borderId="25" fillId="4" fontId="4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vertical="center"/>
    </xf>
    <xf borderId="26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left" shrinkToFit="0" vertical="center" wrapText="1"/>
    </xf>
    <xf borderId="0" fillId="0" fontId="7" numFmtId="0" xfId="0" applyFont="1"/>
    <xf borderId="27" fillId="4" fontId="4" numFmtId="0" xfId="0" applyAlignment="1" applyBorder="1" applyFont="1">
      <alignment horizontal="center" vertical="center"/>
    </xf>
    <xf borderId="26" fillId="0" fontId="4" numFmtId="167" xfId="0" applyAlignment="1" applyBorder="1" applyFont="1" applyNumberFormat="1">
      <alignment horizontal="center" vertical="center"/>
    </xf>
    <xf borderId="20" fillId="0" fontId="4" numFmtId="1" xfId="0" applyAlignment="1" applyBorder="1" applyFont="1" applyNumberFormat="1">
      <alignment horizontal="center" vertical="center"/>
    </xf>
    <xf borderId="17" fillId="4" fontId="5" numFmtId="0" xfId="0" applyAlignment="1" applyBorder="1" applyFont="1">
      <alignment shrinkToFit="0" vertical="center" wrapText="1"/>
    </xf>
    <xf borderId="20" fillId="0" fontId="5" numFmtId="0" xfId="0" applyAlignment="1" applyBorder="1" applyFont="1">
      <alignment horizontal="left" shrinkToFit="0" vertical="center" wrapText="1"/>
    </xf>
    <xf borderId="10" fillId="4" fontId="7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vertical="center"/>
    </xf>
    <xf borderId="10" fillId="4" fontId="3" numFmtId="0" xfId="0" applyAlignment="1" applyBorder="1" applyFont="1">
      <alignment horizontal="right"/>
    </xf>
    <xf borderId="10" fillId="4" fontId="4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right" vertical="center"/>
    </xf>
    <xf borderId="10" fillId="0" fontId="4" numFmtId="0" xfId="0" applyAlignment="1" applyBorder="1" applyFont="1">
      <alignment horizontal="center" shrinkToFit="0" vertical="center" wrapText="1"/>
    </xf>
    <xf borderId="25" fillId="4" fontId="4" numFmtId="0" xfId="0" applyAlignment="1" applyBorder="1" applyFont="1">
      <alignment horizontal="right" vertical="center"/>
    </xf>
    <xf borderId="11" fillId="0" fontId="4" numFmtId="0" xfId="0" applyAlignment="1" applyBorder="1" applyFont="1">
      <alignment horizontal="right" vertical="center"/>
    </xf>
    <xf borderId="26" fillId="0" fontId="4" numFmtId="0" xfId="0" applyAlignment="1" applyBorder="1" applyFont="1">
      <alignment horizontal="right" vertical="center"/>
    </xf>
    <xf borderId="0" fillId="0" fontId="4" numFmtId="0" xfId="0" applyAlignment="1" applyFont="1">
      <alignment horizontal="left" shrinkToFit="0" vertical="center" wrapText="1"/>
    </xf>
    <xf borderId="27" fillId="4" fontId="4" numFmtId="2" xfId="0" applyAlignment="1" applyBorder="1" applyFont="1" applyNumberFormat="1">
      <alignment horizontal="center" vertical="center"/>
    </xf>
    <xf borderId="10" fillId="4" fontId="4" numFmtId="0" xfId="0" applyAlignment="1" applyBorder="1" applyFont="1">
      <alignment horizontal="center"/>
    </xf>
    <xf borderId="10" fillId="0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42.71"/>
    <col customWidth="1" min="5" max="5" width="14.14"/>
    <col customWidth="1" min="6" max="6" width="13.86"/>
    <col customWidth="1" min="7" max="7" width="13.57"/>
    <col customWidth="1" min="8" max="9" width="12.43"/>
    <col customWidth="1" min="10" max="10" width="15.71"/>
    <col customWidth="1" min="11" max="11" width="12.86"/>
    <col customWidth="1" min="12" max="12" width="14.57"/>
    <col customWidth="1" min="13" max="13" width="15.71"/>
    <col customWidth="1" min="15" max="15" width="18.29"/>
    <col customWidth="1" min="16" max="16" width="13.29"/>
    <col customWidth="1" min="17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>
      <c r="A4" s="10" t="s">
        <v>3</v>
      </c>
      <c r="B4" s="11" t="s">
        <v>4</v>
      </c>
      <c r="C4" s="11" t="s">
        <v>5</v>
      </c>
      <c r="D4" s="11" t="s">
        <v>6</v>
      </c>
      <c r="E4" s="12" t="s">
        <v>7</v>
      </c>
      <c r="F4" s="12" t="s">
        <v>8</v>
      </c>
      <c r="G4" s="11" t="s">
        <v>9</v>
      </c>
      <c r="H4" s="11" t="s">
        <v>10</v>
      </c>
      <c r="I4" s="11" t="s">
        <v>11</v>
      </c>
      <c r="J4" s="11" t="s">
        <v>12</v>
      </c>
      <c r="K4" s="12" t="s">
        <v>13</v>
      </c>
      <c r="L4" s="12" t="s">
        <v>14</v>
      </c>
      <c r="M4" s="11" t="s">
        <v>15</v>
      </c>
      <c r="N4" s="11" t="s">
        <v>16</v>
      </c>
      <c r="O4" s="11" t="s">
        <v>17</v>
      </c>
      <c r="P4" s="11" t="s">
        <v>18</v>
      </c>
    </row>
    <row r="5">
      <c r="A5" s="13" t="s">
        <v>19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5"/>
    </row>
    <row r="6">
      <c r="A6" s="16" t="s">
        <v>20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8"/>
    </row>
    <row r="7">
      <c r="A7" s="19" t="s">
        <v>21</v>
      </c>
      <c r="B7" s="20" t="s">
        <v>22</v>
      </c>
      <c r="C7" s="21">
        <v>1.0</v>
      </c>
      <c r="D7" s="22" t="s">
        <v>23</v>
      </c>
      <c r="E7" s="23">
        <v>3.5</v>
      </c>
      <c r="F7" s="23">
        <v>3.22</v>
      </c>
      <c r="G7" s="23">
        <v>5.76</v>
      </c>
      <c r="H7" s="23">
        <v>4.9</v>
      </c>
      <c r="I7" s="24">
        <v>4.55</v>
      </c>
      <c r="J7" s="24">
        <v>2.8</v>
      </c>
      <c r="K7" s="24">
        <v>4.38</v>
      </c>
      <c r="L7" s="24">
        <v>5.73</v>
      </c>
      <c r="M7" s="24">
        <v>5.25</v>
      </c>
      <c r="N7" s="23">
        <v>4.15</v>
      </c>
      <c r="O7" s="23">
        <v>4.05</v>
      </c>
      <c r="P7" s="23" t="s">
        <v>24</v>
      </c>
    </row>
    <row r="8">
      <c r="A8" s="25"/>
      <c r="B8" s="26"/>
      <c r="C8" s="27">
        <v>2.0</v>
      </c>
      <c r="D8" s="28" t="s">
        <v>25</v>
      </c>
      <c r="E8" s="29">
        <v>2.9</v>
      </c>
      <c r="F8" s="29">
        <v>4.49</v>
      </c>
      <c r="G8" s="29">
        <v>5.66</v>
      </c>
      <c r="H8" s="29">
        <v>4.6</v>
      </c>
      <c r="I8" s="30">
        <v>4.1</v>
      </c>
      <c r="J8" s="30">
        <v>3.08</v>
      </c>
      <c r="K8" s="30">
        <v>4.22</v>
      </c>
      <c r="L8" s="30">
        <v>5.04</v>
      </c>
      <c r="M8" s="30">
        <v>5.4</v>
      </c>
      <c r="N8" s="29">
        <v>4.01</v>
      </c>
      <c r="O8" s="29">
        <v>3.98</v>
      </c>
      <c r="P8" s="29" t="s">
        <v>24</v>
      </c>
    </row>
    <row r="9">
      <c r="A9" s="25"/>
      <c r="B9" s="26"/>
      <c r="C9" s="27">
        <v>3.0</v>
      </c>
      <c r="D9" s="28" t="s">
        <v>26</v>
      </c>
      <c r="E9" s="29">
        <v>1.8</v>
      </c>
      <c r="F9" s="30">
        <v>0.9</v>
      </c>
      <c r="G9" s="30">
        <v>2.4</v>
      </c>
      <c r="H9" s="29">
        <v>1.61</v>
      </c>
      <c r="I9" s="30">
        <v>0.72</v>
      </c>
      <c r="J9" s="30">
        <v>0.8</v>
      </c>
      <c r="K9" s="30">
        <v>0.056</v>
      </c>
      <c r="L9" s="30">
        <v>1.36</v>
      </c>
      <c r="M9" s="30">
        <v>4.5</v>
      </c>
      <c r="N9" s="29">
        <v>1.62</v>
      </c>
      <c r="O9" s="29">
        <v>0.98</v>
      </c>
      <c r="P9" s="29" t="s">
        <v>24</v>
      </c>
    </row>
    <row r="10">
      <c r="A10" s="25"/>
      <c r="B10" s="26"/>
      <c r="C10" s="27">
        <v>4.0</v>
      </c>
      <c r="D10" s="28" t="s">
        <v>27</v>
      </c>
      <c r="E10" s="29">
        <v>0.8</v>
      </c>
      <c r="F10" s="30">
        <v>0.8</v>
      </c>
      <c r="G10" s="29">
        <v>1.05</v>
      </c>
      <c r="H10" s="29">
        <v>0.96</v>
      </c>
      <c r="I10" s="30">
        <v>0.65</v>
      </c>
      <c r="J10" s="30">
        <v>0.7</v>
      </c>
      <c r="K10" s="30">
        <v>0.58</v>
      </c>
      <c r="L10" s="30">
        <v>0.96</v>
      </c>
      <c r="M10" s="30">
        <v>4.58</v>
      </c>
      <c r="N10" s="29">
        <v>0.99</v>
      </c>
      <c r="O10" s="29">
        <v>0.81</v>
      </c>
      <c r="P10" s="29" t="s">
        <v>24</v>
      </c>
    </row>
    <row r="11">
      <c r="A11" s="25"/>
      <c r="B11" s="31"/>
      <c r="C11" s="27">
        <v>5.0</v>
      </c>
      <c r="D11" s="28" t="s">
        <v>28</v>
      </c>
      <c r="E11" s="29">
        <v>0.9</v>
      </c>
      <c r="F11" s="29">
        <v>0.65</v>
      </c>
      <c r="G11" s="30">
        <v>1.1</v>
      </c>
      <c r="H11" s="30">
        <v>0.8</v>
      </c>
      <c r="I11" s="30">
        <v>0.6</v>
      </c>
      <c r="J11" s="30">
        <v>0.8</v>
      </c>
      <c r="K11" s="30">
        <v>0.45</v>
      </c>
      <c r="L11" s="30">
        <v>1.01</v>
      </c>
      <c r="M11" s="30">
        <v>4.38</v>
      </c>
      <c r="N11" s="29">
        <v>1.02</v>
      </c>
      <c r="O11" s="29">
        <v>0.87</v>
      </c>
      <c r="P11" s="29" t="s">
        <v>24</v>
      </c>
    </row>
    <row r="12">
      <c r="A12" s="25"/>
      <c r="B12" s="32" t="s">
        <v>29</v>
      </c>
      <c r="C12" s="33">
        <v>1.0</v>
      </c>
      <c r="D12" s="22" t="s">
        <v>23</v>
      </c>
      <c r="E12" s="23">
        <v>20.0</v>
      </c>
      <c r="F12" s="23">
        <v>36.0</v>
      </c>
      <c r="G12" s="23">
        <v>23.0</v>
      </c>
      <c r="H12" s="23">
        <v>34.0</v>
      </c>
      <c r="I12" s="23">
        <v>28.0</v>
      </c>
      <c r="J12" s="23">
        <v>33.0</v>
      </c>
      <c r="K12" s="23">
        <v>13.0</v>
      </c>
      <c r="L12" s="23">
        <v>16.0</v>
      </c>
      <c r="M12" s="23">
        <v>16.0</v>
      </c>
      <c r="N12" s="23">
        <v>11.0</v>
      </c>
      <c r="O12" s="23">
        <v>13.0</v>
      </c>
      <c r="P12" s="23" t="s">
        <v>24</v>
      </c>
    </row>
    <row r="13">
      <c r="A13" s="25"/>
      <c r="B13" s="26"/>
      <c r="C13" s="27">
        <v>2.0</v>
      </c>
      <c r="D13" s="28" t="s">
        <v>25</v>
      </c>
      <c r="E13" s="29">
        <v>19.0</v>
      </c>
      <c r="F13" s="29">
        <v>18.0</v>
      </c>
      <c r="G13" s="29">
        <v>18.0</v>
      </c>
      <c r="H13" s="29">
        <v>56.0</v>
      </c>
      <c r="I13" s="29">
        <v>27.0</v>
      </c>
      <c r="J13" s="29">
        <v>46.0</v>
      </c>
      <c r="K13" s="29">
        <v>16.0</v>
      </c>
      <c r="L13" s="29">
        <v>13.0</v>
      </c>
      <c r="M13" s="29">
        <v>14.0</v>
      </c>
      <c r="N13" s="29">
        <v>10.0</v>
      </c>
      <c r="O13" s="29">
        <v>16.0</v>
      </c>
      <c r="P13" s="29" t="s">
        <v>24</v>
      </c>
    </row>
    <row r="14">
      <c r="A14" s="25"/>
      <c r="B14" s="26"/>
      <c r="C14" s="27">
        <v>3.0</v>
      </c>
      <c r="D14" s="28" t="s">
        <v>26</v>
      </c>
      <c r="E14" s="29">
        <v>35.0</v>
      </c>
      <c r="F14" s="29">
        <v>33.0</v>
      </c>
      <c r="G14" s="29">
        <v>31.0</v>
      </c>
      <c r="H14" s="29">
        <v>34.0</v>
      </c>
      <c r="I14" s="29">
        <v>30.0</v>
      </c>
      <c r="J14" s="29">
        <v>53.0</v>
      </c>
      <c r="K14" s="29">
        <v>23.0</v>
      </c>
      <c r="L14" s="29">
        <v>14.0</v>
      </c>
      <c r="M14" s="29">
        <v>19.0</v>
      </c>
      <c r="N14" s="29">
        <v>17.0</v>
      </c>
      <c r="O14" s="29">
        <v>44.0</v>
      </c>
      <c r="P14" s="29" t="s">
        <v>24</v>
      </c>
    </row>
    <row r="15">
      <c r="A15" s="25"/>
      <c r="B15" s="26"/>
      <c r="C15" s="27">
        <v>4.0</v>
      </c>
      <c r="D15" s="28" t="s">
        <v>27</v>
      </c>
      <c r="E15" s="29">
        <v>37.0</v>
      </c>
      <c r="F15" s="29">
        <v>59.0</v>
      </c>
      <c r="G15" s="29">
        <v>17.0</v>
      </c>
      <c r="H15" s="29">
        <v>24.0</v>
      </c>
      <c r="I15" s="29">
        <v>24.0</v>
      </c>
      <c r="J15" s="29">
        <v>45.0</v>
      </c>
      <c r="K15" s="29">
        <v>40.0</v>
      </c>
      <c r="L15" s="29">
        <v>66.0</v>
      </c>
      <c r="M15" s="29">
        <v>13.0</v>
      </c>
      <c r="N15" s="29">
        <v>23.0</v>
      </c>
      <c r="O15" s="29">
        <v>38.0</v>
      </c>
      <c r="P15" s="29" t="s">
        <v>24</v>
      </c>
    </row>
    <row r="16">
      <c r="A16" s="25"/>
      <c r="B16" s="31"/>
      <c r="C16" s="27">
        <v>5.0</v>
      </c>
      <c r="D16" s="28" t="s">
        <v>28</v>
      </c>
      <c r="E16" s="29">
        <v>49.0</v>
      </c>
      <c r="F16" s="29">
        <v>46.0</v>
      </c>
      <c r="G16" s="29">
        <v>29.0</v>
      </c>
      <c r="H16" s="29">
        <v>34.0</v>
      </c>
      <c r="I16" s="29">
        <v>28.0</v>
      </c>
      <c r="J16" s="29">
        <v>48.0</v>
      </c>
      <c r="K16" s="29">
        <v>17.0</v>
      </c>
      <c r="L16" s="29">
        <v>24.0</v>
      </c>
      <c r="M16" s="29">
        <v>5.0</v>
      </c>
      <c r="N16" s="29">
        <v>20.0</v>
      </c>
      <c r="O16" s="29">
        <v>28.0</v>
      </c>
      <c r="P16" s="29" t="s">
        <v>24</v>
      </c>
    </row>
    <row r="17">
      <c r="A17" s="25"/>
      <c r="B17" s="32" t="s">
        <v>30</v>
      </c>
      <c r="C17" s="33">
        <v>1.0</v>
      </c>
      <c r="D17" s="34" t="s">
        <v>23</v>
      </c>
      <c r="E17" s="23">
        <v>12.0</v>
      </c>
      <c r="F17" s="23">
        <v>14.0</v>
      </c>
      <c r="G17" s="23">
        <v>15.0</v>
      </c>
      <c r="H17" s="23">
        <v>23.0</v>
      </c>
      <c r="I17" s="23">
        <v>31.0</v>
      </c>
      <c r="J17" s="23">
        <v>11.0</v>
      </c>
      <c r="K17" s="23">
        <v>15.0</v>
      </c>
      <c r="L17" s="23">
        <v>24.0</v>
      </c>
      <c r="M17" s="23">
        <v>33.0</v>
      </c>
      <c r="N17" s="23">
        <v>18.0</v>
      </c>
      <c r="O17" s="23">
        <v>13.0</v>
      </c>
      <c r="P17" s="23" t="s">
        <v>24</v>
      </c>
    </row>
    <row r="18">
      <c r="A18" s="25"/>
      <c r="B18" s="26"/>
      <c r="C18" s="27">
        <v>2.0</v>
      </c>
      <c r="D18" s="28" t="s">
        <v>25</v>
      </c>
      <c r="E18" s="29">
        <v>14.0</v>
      </c>
      <c r="F18" s="29">
        <v>21.0</v>
      </c>
      <c r="G18" s="29">
        <v>18.0</v>
      </c>
      <c r="H18" s="29">
        <v>12.0</v>
      </c>
      <c r="I18" s="29">
        <v>15.0</v>
      </c>
      <c r="J18" s="29">
        <v>28.0</v>
      </c>
      <c r="K18" s="29">
        <v>10.0</v>
      </c>
      <c r="L18" s="29">
        <v>25.0</v>
      </c>
      <c r="M18" s="29">
        <v>14.0</v>
      </c>
      <c r="N18" s="29">
        <v>31.0</v>
      </c>
      <c r="O18" s="29">
        <v>12.0</v>
      </c>
      <c r="P18" s="29" t="s">
        <v>24</v>
      </c>
    </row>
    <row r="19">
      <c r="A19" s="25"/>
      <c r="B19" s="26"/>
      <c r="C19" s="27">
        <v>3.0</v>
      </c>
      <c r="D19" s="28" t="s">
        <v>26</v>
      </c>
      <c r="E19" s="29">
        <v>36.0</v>
      </c>
      <c r="F19" s="29">
        <v>24.0</v>
      </c>
      <c r="G19" s="29">
        <v>23.0</v>
      </c>
      <c r="H19" s="29">
        <v>23.0</v>
      </c>
      <c r="I19" s="29">
        <v>27.0</v>
      </c>
      <c r="J19" s="29">
        <v>28.0</v>
      </c>
      <c r="K19" s="29">
        <v>22.0</v>
      </c>
      <c r="L19" s="29">
        <v>11.0</v>
      </c>
      <c r="M19" s="29">
        <v>12.0</v>
      </c>
      <c r="N19" s="29">
        <v>57.0</v>
      </c>
      <c r="O19" s="29">
        <v>8.0</v>
      </c>
      <c r="P19" s="29" t="s">
        <v>24</v>
      </c>
    </row>
    <row r="20">
      <c r="A20" s="25"/>
      <c r="B20" s="26"/>
      <c r="C20" s="27">
        <v>4.0</v>
      </c>
      <c r="D20" s="28" t="s">
        <v>27</v>
      </c>
      <c r="E20" s="29">
        <v>34.0</v>
      </c>
      <c r="F20" s="29">
        <v>34.0</v>
      </c>
      <c r="G20" s="29">
        <v>26.0</v>
      </c>
      <c r="H20" s="29">
        <v>26.0</v>
      </c>
      <c r="I20" s="29">
        <v>28.0</v>
      </c>
      <c r="J20" s="29">
        <v>23.0</v>
      </c>
      <c r="K20" s="29">
        <v>24.0</v>
      </c>
      <c r="L20" s="29">
        <v>8.0</v>
      </c>
      <c r="M20" s="29">
        <v>9.0</v>
      </c>
      <c r="N20" s="29">
        <v>18.0</v>
      </c>
      <c r="O20" s="29">
        <v>8.0</v>
      </c>
      <c r="P20" s="29" t="s">
        <v>24</v>
      </c>
    </row>
    <row r="21" ht="15.75" customHeight="1">
      <c r="A21" s="25"/>
      <c r="B21" s="31"/>
      <c r="C21" s="27">
        <v>5.0</v>
      </c>
      <c r="D21" s="28" t="s">
        <v>28</v>
      </c>
      <c r="E21" s="29">
        <v>29.0</v>
      </c>
      <c r="F21" s="29">
        <v>31.0</v>
      </c>
      <c r="G21" s="29">
        <v>27.0</v>
      </c>
      <c r="H21" s="29">
        <v>27.0</v>
      </c>
      <c r="I21" s="29">
        <v>25.0</v>
      </c>
      <c r="J21" s="29">
        <v>22.0</v>
      </c>
      <c r="K21" s="29">
        <v>22.0</v>
      </c>
      <c r="L21" s="29">
        <v>16.0</v>
      </c>
      <c r="M21" s="29">
        <v>46.0</v>
      </c>
      <c r="N21" s="29">
        <v>37.0</v>
      </c>
      <c r="O21" s="29">
        <v>10.0</v>
      </c>
      <c r="P21" s="29" t="s">
        <v>24</v>
      </c>
    </row>
    <row r="22" ht="15.75" customHeight="1">
      <c r="A22" s="25"/>
      <c r="B22" s="32" t="s">
        <v>31</v>
      </c>
      <c r="C22" s="33">
        <v>1.0</v>
      </c>
      <c r="D22" s="34" t="s">
        <v>23</v>
      </c>
      <c r="E22" s="23">
        <v>7.25</v>
      </c>
      <c r="F22" s="23">
        <v>7.74</v>
      </c>
      <c r="G22" s="23">
        <v>7.61</v>
      </c>
      <c r="H22" s="24">
        <v>7.6</v>
      </c>
      <c r="I22" s="23">
        <v>7.71</v>
      </c>
      <c r="J22" s="23">
        <v>7.77</v>
      </c>
      <c r="K22" s="23">
        <v>7.79</v>
      </c>
      <c r="L22" s="23">
        <v>7.09</v>
      </c>
      <c r="M22" s="24">
        <v>7.15</v>
      </c>
      <c r="N22" s="24">
        <v>7.5</v>
      </c>
      <c r="O22" s="24">
        <v>7.03</v>
      </c>
      <c r="P22" s="23" t="s">
        <v>24</v>
      </c>
    </row>
    <row r="23" ht="15.75" customHeight="1">
      <c r="A23" s="25"/>
      <c r="B23" s="26"/>
      <c r="C23" s="27">
        <v>2.0</v>
      </c>
      <c r="D23" s="28" t="s">
        <v>25</v>
      </c>
      <c r="E23" s="29">
        <v>7.15</v>
      </c>
      <c r="F23" s="29">
        <v>7.87</v>
      </c>
      <c r="G23" s="29">
        <v>7.72</v>
      </c>
      <c r="H23" s="29">
        <v>7.71</v>
      </c>
      <c r="I23" s="29">
        <v>7.71</v>
      </c>
      <c r="J23" s="29">
        <v>7.72</v>
      </c>
      <c r="K23" s="29">
        <v>7.73</v>
      </c>
      <c r="L23" s="29">
        <v>7.02</v>
      </c>
      <c r="M23" s="30">
        <v>7.24</v>
      </c>
      <c r="N23" s="30">
        <v>7.56</v>
      </c>
      <c r="O23" s="30">
        <v>7.24</v>
      </c>
      <c r="P23" s="29" t="s">
        <v>24</v>
      </c>
    </row>
    <row r="24" ht="15.75" customHeight="1">
      <c r="A24" s="25"/>
      <c r="B24" s="26"/>
      <c r="C24" s="27">
        <v>3.0</v>
      </c>
      <c r="D24" s="28" t="s">
        <v>26</v>
      </c>
      <c r="E24" s="29">
        <v>6.95</v>
      </c>
      <c r="F24" s="29">
        <v>7.71</v>
      </c>
      <c r="G24" s="29">
        <v>7.41</v>
      </c>
      <c r="H24" s="30">
        <v>7.5</v>
      </c>
      <c r="I24" s="29">
        <v>7.4</v>
      </c>
      <c r="J24" s="29">
        <v>7.32</v>
      </c>
      <c r="K24" s="29">
        <v>7.63</v>
      </c>
      <c r="L24" s="29">
        <v>7.04</v>
      </c>
      <c r="M24" s="30">
        <v>7.12</v>
      </c>
      <c r="N24" s="30">
        <v>7.27</v>
      </c>
      <c r="O24" s="30">
        <v>7.49</v>
      </c>
      <c r="P24" s="29" t="s">
        <v>24</v>
      </c>
    </row>
    <row r="25" ht="15.75" customHeight="1">
      <c r="A25" s="25"/>
      <c r="B25" s="26"/>
      <c r="C25" s="27">
        <v>4.0</v>
      </c>
      <c r="D25" s="28" t="s">
        <v>27</v>
      </c>
      <c r="E25" s="29">
        <v>7.01</v>
      </c>
      <c r="F25" s="29">
        <v>7.74</v>
      </c>
      <c r="G25" s="29">
        <v>7.44</v>
      </c>
      <c r="H25" s="29">
        <v>7.48</v>
      </c>
      <c r="I25" s="29">
        <v>7.42</v>
      </c>
      <c r="J25" s="29">
        <v>7.36</v>
      </c>
      <c r="K25" s="29">
        <v>7.59</v>
      </c>
      <c r="L25" s="29">
        <v>7.01</v>
      </c>
      <c r="M25" s="30">
        <v>7.18</v>
      </c>
      <c r="N25" s="30">
        <v>7.3</v>
      </c>
      <c r="O25" s="30">
        <v>7.52</v>
      </c>
      <c r="P25" s="29" t="s">
        <v>24</v>
      </c>
    </row>
    <row r="26" ht="15.75" customHeight="1">
      <c r="A26" s="25"/>
      <c r="B26" s="31"/>
      <c r="C26" s="27">
        <v>5.0</v>
      </c>
      <c r="D26" s="28" t="s">
        <v>28</v>
      </c>
      <c r="E26" s="29">
        <v>6.98</v>
      </c>
      <c r="F26" s="29">
        <v>7.62</v>
      </c>
      <c r="G26" s="29">
        <v>7.44</v>
      </c>
      <c r="H26" s="29">
        <v>7.44</v>
      </c>
      <c r="I26" s="29">
        <v>7.39</v>
      </c>
      <c r="J26" s="29">
        <v>7.35</v>
      </c>
      <c r="K26" s="29">
        <v>7.62</v>
      </c>
      <c r="L26" s="29">
        <v>7.06</v>
      </c>
      <c r="M26" s="30">
        <v>7.2</v>
      </c>
      <c r="N26" s="30">
        <v>7.28</v>
      </c>
      <c r="O26" s="30">
        <v>7.5</v>
      </c>
      <c r="P26" s="29" t="s">
        <v>24</v>
      </c>
    </row>
    <row r="27" ht="15.75" customHeight="1">
      <c r="A27" s="25"/>
      <c r="B27" s="32" t="s">
        <v>32</v>
      </c>
      <c r="C27" s="33">
        <v>1.0</v>
      </c>
      <c r="D27" s="34" t="s">
        <v>23</v>
      </c>
      <c r="E27" s="23">
        <v>26.4</v>
      </c>
      <c r="F27" s="24">
        <v>27.7</v>
      </c>
      <c r="G27" s="35">
        <v>28.0</v>
      </c>
      <c r="H27" s="24">
        <v>32.15</v>
      </c>
      <c r="I27" s="24">
        <v>31.5</v>
      </c>
      <c r="J27" s="24">
        <v>31.3</v>
      </c>
      <c r="K27" s="24">
        <v>29.0</v>
      </c>
      <c r="L27" s="24">
        <v>31.2</v>
      </c>
      <c r="M27" s="24">
        <v>27.9</v>
      </c>
      <c r="N27" s="24">
        <v>30.2</v>
      </c>
      <c r="O27" s="24">
        <v>28.9</v>
      </c>
      <c r="P27" s="23" t="s">
        <v>24</v>
      </c>
    </row>
    <row r="28" ht="15.75" customHeight="1">
      <c r="A28" s="25"/>
      <c r="B28" s="26"/>
      <c r="C28" s="27">
        <v>2.0</v>
      </c>
      <c r="D28" s="28" t="s">
        <v>25</v>
      </c>
      <c r="E28" s="29">
        <v>26.5</v>
      </c>
      <c r="F28" s="30">
        <v>28.6</v>
      </c>
      <c r="G28" s="29">
        <v>28.4</v>
      </c>
      <c r="H28" s="30">
        <v>33.2</v>
      </c>
      <c r="I28" s="30">
        <v>31.6</v>
      </c>
      <c r="J28" s="30">
        <v>32.35</v>
      </c>
      <c r="K28" s="30">
        <v>29.1</v>
      </c>
      <c r="L28" s="30">
        <v>31.5</v>
      </c>
      <c r="M28" s="30">
        <v>28.3</v>
      </c>
      <c r="N28" s="30">
        <v>20.3</v>
      </c>
      <c r="O28" s="30">
        <v>29.1</v>
      </c>
      <c r="P28" s="29" t="s">
        <v>24</v>
      </c>
    </row>
    <row r="29" ht="15.75" customHeight="1">
      <c r="A29" s="25"/>
      <c r="B29" s="26"/>
      <c r="C29" s="27">
        <v>3.0</v>
      </c>
      <c r="D29" s="28" t="s">
        <v>26</v>
      </c>
      <c r="E29" s="29">
        <v>27.3</v>
      </c>
      <c r="F29" s="30">
        <v>29.53</v>
      </c>
      <c r="G29" s="29">
        <v>28.2</v>
      </c>
      <c r="H29" s="30">
        <v>34.9</v>
      </c>
      <c r="I29" s="30">
        <v>34.4</v>
      </c>
      <c r="J29" s="30">
        <v>31.6</v>
      </c>
      <c r="K29" s="30">
        <v>28.93</v>
      </c>
      <c r="L29" s="30">
        <v>30.9</v>
      </c>
      <c r="M29" s="30">
        <v>28.3</v>
      </c>
      <c r="N29" s="30">
        <v>29.9</v>
      </c>
      <c r="O29" s="30">
        <v>28.9</v>
      </c>
      <c r="P29" s="29" t="s">
        <v>24</v>
      </c>
    </row>
    <row r="30" ht="15.75" customHeight="1">
      <c r="A30" s="25"/>
      <c r="B30" s="26"/>
      <c r="C30" s="27">
        <v>4.0</v>
      </c>
      <c r="D30" s="28" t="s">
        <v>27</v>
      </c>
      <c r="E30" s="29">
        <v>27.3</v>
      </c>
      <c r="F30" s="30">
        <v>29.8</v>
      </c>
      <c r="G30" s="29">
        <v>28.4</v>
      </c>
      <c r="H30" s="30">
        <v>34.7</v>
      </c>
      <c r="I30" s="30">
        <v>34.6</v>
      </c>
      <c r="J30" s="30">
        <v>31.9</v>
      </c>
      <c r="K30" s="30">
        <v>28.9</v>
      </c>
      <c r="L30" s="30">
        <v>30.9</v>
      </c>
      <c r="M30" s="30">
        <v>28.2</v>
      </c>
      <c r="N30" s="30">
        <v>20.05</v>
      </c>
      <c r="O30" s="29">
        <v>28.8</v>
      </c>
      <c r="P30" s="29" t="s">
        <v>24</v>
      </c>
    </row>
    <row r="31" ht="15.75" customHeight="1">
      <c r="A31" s="25"/>
      <c r="B31" s="31"/>
      <c r="C31" s="27">
        <v>5.0</v>
      </c>
      <c r="D31" s="28" t="s">
        <v>28</v>
      </c>
      <c r="E31" s="29">
        <v>27.1</v>
      </c>
      <c r="F31" s="30">
        <v>30.8</v>
      </c>
      <c r="G31" s="29">
        <v>28.8</v>
      </c>
      <c r="H31" s="30">
        <v>35.0</v>
      </c>
      <c r="I31" s="30">
        <v>34.8</v>
      </c>
      <c r="J31" s="30">
        <v>31.9</v>
      </c>
      <c r="K31" s="29">
        <v>28.45</v>
      </c>
      <c r="L31" s="30">
        <v>32.0</v>
      </c>
      <c r="M31" s="30">
        <v>28.1</v>
      </c>
      <c r="N31" s="30">
        <v>30.3</v>
      </c>
      <c r="O31" s="29">
        <v>28.75</v>
      </c>
      <c r="P31" s="29" t="s">
        <v>24</v>
      </c>
    </row>
    <row r="32" ht="15.75" customHeight="1">
      <c r="A32" s="25"/>
      <c r="B32" s="32" t="s">
        <v>33</v>
      </c>
      <c r="C32" s="33">
        <v>1.0</v>
      </c>
      <c r="D32" s="34" t="s">
        <v>23</v>
      </c>
      <c r="E32" s="23">
        <v>80.0</v>
      </c>
      <c r="F32" s="23">
        <v>40.0</v>
      </c>
      <c r="G32" s="23">
        <v>30.0</v>
      </c>
      <c r="H32" s="23">
        <v>80.0</v>
      </c>
      <c r="I32" s="23">
        <v>40.0</v>
      </c>
      <c r="J32" s="23">
        <v>40.0</v>
      </c>
      <c r="K32" s="23">
        <v>50.0</v>
      </c>
      <c r="L32" s="36">
        <v>40.0</v>
      </c>
      <c r="M32" s="36">
        <v>20.0</v>
      </c>
      <c r="N32" s="36">
        <v>30.0</v>
      </c>
      <c r="O32" s="37">
        <v>40.0</v>
      </c>
      <c r="P32" s="23" t="s">
        <v>24</v>
      </c>
    </row>
    <row r="33" ht="15.75" customHeight="1">
      <c r="A33" s="25"/>
      <c r="B33" s="26"/>
      <c r="C33" s="27">
        <v>2.0</v>
      </c>
      <c r="D33" s="28" t="s">
        <v>25</v>
      </c>
      <c r="E33" s="29">
        <v>60.0</v>
      </c>
      <c r="F33" s="29">
        <v>80.0</v>
      </c>
      <c r="G33" s="29">
        <v>40.0</v>
      </c>
      <c r="H33" s="29">
        <v>40.0</v>
      </c>
      <c r="I33" s="29">
        <v>30.0</v>
      </c>
      <c r="J33" s="29">
        <v>30.0</v>
      </c>
      <c r="K33" s="29">
        <v>40.0</v>
      </c>
      <c r="L33" s="38">
        <v>25.0</v>
      </c>
      <c r="M33" s="38">
        <v>10.0</v>
      </c>
      <c r="N33" s="38">
        <v>30.0</v>
      </c>
      <c r="O33" s="39">
        <v>40.0</v>
      </c>
      <c r="P33" s="29" t="s">
        <v>24</v>
      </c>
    </row>
    <row r="34" ht="15.75" customHeight="1">
      <c r="A34" s="25"/>
      <c r="B34" s="26"/>
      <c r="C34" s="27">
        <v>3.0</v>
      </c>
      <c r="D34" s="28" t="s">
        <v>26</v>
      </c>
      <c r="E34" s="29">
        <v>40.0</v>
      </c>
      <c r="F34" s="29">
        <v>100.0</v>
      </c>
      <c r="G34" s="29">
        <v>40.0</v>
      </c>
      <c r="H34" s="29">
        <v>40.0</v>
      </c>
      <c r="I34" s="29">
        <v>75.0</v>
      </c>
      <c r="J34" s="29">
        <v>40.0</v>
      </c>
      <c r="K34" s="29">
        <v>40.0</v>
      </c>
      <c r="L34" s="38">
        <v>40.0</v>
      </c>
      <c r="M34" s="38">
        <v>40.0</v>
      </c>
      <c r="N34" s="38">
        <v>30.0</v>
      </c>
      <c r="O34" s="39">
        <v>60.0</v>
      </c>
      <c r="P34" s="29" t="s">
        <v>24</v>
      </c>
    </row>
    <row r="35" ht="15.75" customHeight="1">
      <c r="A35" s="25"/>
      <c r="B35" s="26"/>
      <c r="C35" s="27">
        <v>4.0</v>
      </c>
      <c r="D35" s="28" t="s">
        <v>27</v>
      </c>
      <c r="E35" s="29">
        <v>40.0</v>
      </c>
      <c r="F35" s="29">
        <v>100.0</v>
      </c>
      <c r="G35" s="29">
        <v>40.0</v>
      </c>
      <c r="H35" s="29">
        <v>50.0</v>
      </c>
      <c r="I35" s="29">
        <v>100.0</v>
      </c>
      <c r="J35" s="29">
        <v>60.0</v>
      </c>
      <c r="K35" s="40">
        <v>40.0</v>
      </c>
      <c r="L35" s="38">
        <v>30.0</v>
      </c>
      <c r="M35" s="38">
        <v>30.0</v>
      </c>
      <c r="N35" s="38">
        <v>30.0</v>
      </c>
      <c r="O35" s="39">
        <v>60.0</v>
      </c>
      <c r="P35" s="29" t="s">
        <v>24</v>
      </c>
    </row>
    <row r="36" ht="15.75" customHeight="1">
      <c r="A36" s="25"/>
      <c r="B36" s="31"/>
      <c r="C36" s="27">
        <v>5.0</v>
      </c>
      <c r="D36" s="28" t="s">
        <v>28</v>
      </c>
      <c r="E36" s="29">
        <v>40.0</v>
      </c>
      <c r="F36" s="29">
        <v>125.0</v>
      </c>
      <c r="G36" s="29">
        <v>40.0</v>
      </c>
      <c r="H36" s="29">
        <v>50.0</v>
      </c>
      <c r="I36" s="29">
        <v>150.0</v>
      </c>
      <c r="J36" s="29">
        <v>80.0</v>
      </c>
      <c r="K36" s="29">
        <v>50.0</v>
      </c>
      <c r="L36" s="38">
        <v>30.0</v>
      </c>
      <c r="M36" s="38">
        <v>20.0</v>
      </c>
      <c r="N36" s="38">
        <v>30.0</v>
      </c>
      <c r="O36" s="39">
        <v>60.0</v>
      </c>
      <c r="P36" s="29" t="s">
        <v>24</v>
      </c>
    </row>
    <row r="37" ht="15.75" customHeight="1">
      <c r="A37" s="25"/>
      <c r="B37" s="32" t="s">
        <v>34</v>
      </c>
      <c r="C37" s="33">
        <v>1.0</v>
      </c>
      <c r="D37" s="34" t="s">
        <v>23</v>
      </c>
      <c r="E37" s="41">
        <v>240000.0</v>
      </c>
      <c r="F37" s="41">
        <v>2400000.0</v>
      </c>
      <c r="G37" s="41">
        <v>3500000.0</v>
      </c>
      <c r="H37" s="41">
        <v>5400000.0</v>
      </c>
      <c r="I37" s="41">
        <v>5400000.0</v>
      </c>
      <c r="J37" s="41">
        <v>3.5E7</v>
      </c>
      <c r="K37" s="41">
        <v>700000.0</v>
      </c>
      <c r="L37" s="41">
        <v>540000.0</v>
      </c>
      <c r="M37" s="41">
        <v>1.4E7</v>
      </c>
      <c r="N37" s="41">
        <v>2400000.0</v>
      </c>
      <c r="O37" s="41">
        <v>2800000.0</v>
      </c>
      <c r="P37" s="23" t="s">
        <v>24</v>
      </c>
    </row>
    <row r="38" ht="15.75" customHeight="1">
      <c r="A38" s="25"/>
      <c r="B38" s="26"/>
      <c r="C38" s="27">
        <v>2.0</v>
      </c>
      <c r="D38" s="28" t="s">
        <v>25</v>
      </c>
      <c r="E38" s="42">
        <v>240000.0</v>
      </c>
      <c r="F38" s="42">
        <v>210000.0</v>
      </c>
      <c r="G38" s="42">
        <v>1300000.0</v>
      </c>
      <c r="H38" s="42">
        <v>5400000.0</v>
      </c>
      <c r="I38" s="42">
        <v>9200000.0</v>
      </c>
      <c r="J38" s="42">
        <v>3500000.0</v>
      </c>
      <c r="K38" s="42">
        <v>490000.0</v>
      </c>
      <c r="L38" s="42">
        <v>280000.0</v>
      </c>
      <c r="M38" s="42">
        <v>3.5E7</v>
      </c>
      <c r="N38" s="42">
        <v>1300000.0</v>
      </c>
      <c r="O38" s="42">
        <v>3300000.0</v>
      </c>
      <c r="P38" s="29" t="s">
        <v>24</v>
      </c>
    </row>
    <row r="39" ht="15.75" customHeight="1">
      <c r="A39" s="25"/>
      <c r="B39" s="26"/>
      <c r="C39" s="27">
        <v>3.0</v>
      </c>
      <c r="D39" s="28" t="s">
        <v>26</v>
      </c>
      <c r="E39" s="42">
        <v>3500000.0</v>
      </c>
      <c r="F39" s="42">
        <v>1300000.0</v>
      </c>
      <c r="G39" s="42">
        <v>330000.0</v>
      </c>
      <c r="H39" s="42">
        <v>5400000.0</v>
      </c>
      <c r="I39" s="42">
        <v>3500000.0</v>
      </c>
      <c r="J39" s="42">
        <v>2200000.0</v>
      </c>
      <c r="K39" s="42">
        <v>490000.0</v>
      </c>
      <c r="L39" s="42">
        <v>540000.0</v>
      </c>
      <c r="M39" s="42">
        <v>330000.0</v>
      </c>
      <c r="N39" s="42">
        <v>3500000.0</v>
      </c>
      <c r="O39" s="42">
        <v>1.6E8</v>
      </c>
      <c r="P39" s="29" t="s">
        <v>24</v>
      </c>
    </row>
    <row r="40" ht="15.75" customHeight="1">
      <c r="A40" s="25"/>
      <c r="B40" s="26"/>
      <c r="C40" s="27">
        <v>4.0</v>
      </c>
      <c r="D40" s="28" t="s">
        <v>27</v>
      </c>
      <c r="E40" s="42">
        <v>2400000.0</v>
      </c>
      <c r="F40" s="42">
        <v>470000.0</v>
      </c>
      <c r="G40" s="42">
        <v>1300000.0</v>
      </c>
      <c r="H40" s="42">
        <v>3500000.0</v>
      </c>
      <c r="I40" s="42">
        <v>9200000.0</v>
      </c>
      <c r="J40" s="42">
        <v>1300000.0</v>
      </c>
      <c r="K40" s="43">
        <v>1100000.0</v>
      </c>
      <c r="L40" s="42">
        <v>1600000.0</v>
      </c>
      <c r="M40" s="42">
        <v>490000.0</v>
      </c>
      <c r="N40" s="42">
        <v>5400000.0</v>
      </c>
      <c r="O40" s="42">
        <v>2.4E7</v>
      </c>
      <c r="P40" s="29" t="s">
        <v>24</v>
      </c>
    </row>
    <row r="41" ht="15.75" customHeight="1">
      <c r="A41" s="25"/>
      <c r="B41" s="31"/>
      <c r="C41" s="27">
        <v>5.0</v>
      </c>
      <c r="D41" s="28" t="s">
        <v>28</v>
      </c>
      <c r="E41" s="42">
        <v>9200000.0</v>
      </c>
      <c r="F41" s="42">
        <v>1300000.0</v>
      </c>
      <c r="G41" s="42">
        <v>940000.0</v>
      </c>
      <c r="H41" s="42">
        <v>1.6E7</v>
      </c>
      <c r="I41" s="42">
        <v>5400000.0</v>
      </c>
      <c r="J41" s="42">
        <v>2400000.0</v>
      </c>
      <c r="K41" s="42">
        <v>790000.0</v>
      </c>
      <c r="L41" s="42">
        <v>5400000.0</v>
      </c>
      <c r="M41" s="42">
        <v>540000.0</v>
      </c>
      <c r="N41" s="42">
        <v>9200000.0</v>
      </c>
      <c r="O41" s="42">
        <v>1500000.0</v>
      </c>
      <c r="P41" s="29" t="s">
        <v>24</v>
      </c>
    </row>
    <row r="42" ht="15.75" customHeight="1">
      <c r="A42" s="25"/>
      <c r="B42" s="32" t="s">
        <v>35</v>
      </c>
      <c r="C42" s="33">
        <v>1.0</v>
      </c>
      <c r="D42" s="44" t="s">
        <v>36</v>
      </c>
      <c r="E42" s="45" t="s">
        <v>24</v>
      </c>
      <c r="F42" s="45" t="s">
        <v>24</v>
      </c>
      <c r="G42" s="45" t="s">
        <v>24</v>
      </c>
      <c r="H42" s="45" t="s">
        <v>24</v>
      </c>
      <c r="I42" s="45" t="s">
        <v>24</v>
      </c>
      <c r="J42" s="45" t="s">
        <v>24</v>
      </c>
      <c r="K42" s="45" t="s">
        <v>24</v>
      </c>
      <c r="L42" s="45" t="s">
        <v>24</v>
      </c>
      <c r="M42" s="45" t="s">
        <v>24</v>
      </c>
      <c r="N42" s="45" t="s">
        <v>24</v>
      </c>
      <c r="O42" s="45" t="s">
        <v>24</v>
      </c>
      <c r="P42" s="23" t="s">
        <v>24</v>
      </c>
    </row>
    <row r="43" ht="15.75" customHeight="1">
      <c r="A43" s="25"/>
      <c r="B43" s="26"/>
      <c r="C43" s="27">
        <v>2.0</v>
      </c>
      <c r="D43" s="28" t="s">
        <v>25</v>
      </c>
      <c r="E43" s="29" t="s">
        <v>24</v>
      </c>
      <c r="F43" s="29" t="s">
        <v>24</v>
      </c>
      <c r="G43" s="29" t="s">
        <v>24</v>
      </c>
      <c r="H43" s="29" t="s">
        <v>24</v>
      </c>
      <c r="I43" s="29" t="s">
        <v>24</v>
      </c>
      <c r="J43" s="29" t="s">
        <v>24</v>
      </c>
      <c r="K43" s="29" t="s">
        <v>24</v>
      </c>
      <c r="L43" s="29" t="s">
        <v>24</v>
      </c>
      <c r="M43" s="29" t="s">
        <v>24</v>
      </c>
      <c r="N43" s="29" t="s">
        <v>24</v>
      </c>
      <c r="O43" s="29" t="s">
        <v>24</v>
      </c>
      <c r="P43" s="29" t="s">
        <v>24</v>
      </c>
    </row>
    <row r="44" ht="15.75" customHeight="1">
      <c r="A44" s="25"/>
      <c r="B44" s="26"/>
      <c r="C44" s="27">
        <v>3.0</v>
      </c>
      <c r="D44" s="28" t="s">
        <v>26</v>
      </c>
      <c r="E44" s="29" t="s">
        <v>24</v>
      </c>
      <c r="F44" s="29" t="s">
        <v>24</v>
      </c>
      <c r="G44" s="29" t="s">
        <v>24</v>
      </c>
      <c r="H44" s="29" t="s">
        <v>24</v>
      </c>
      <c r="I44" s="29" t="s">
        <v>24</v>
      </c>
      <c r="J44" s="29" t="s">
        <v>24</v>
      </c>
      <c r="K44" s="29" t="s">
        <v>24</v>
      </c>
      <c r="L44" s="29" t="s">
        <v>24</v>
      </c>
      <c r="M44" s="29" t="s">
        <v>24</v>
      </c>
      <c r="N44" s="29" t="s">
        <v>24</v>
      </c>
      <c r="O44" s="29" t="s">
        <v>24</v>
      </c>
      <c r="P44" s="29" t="s">
        <v>24</v>
      </c>
    </row>
    <row r="45" ht="15.75" customHeight="1">
      <c r="A45" s="25"/>
      <c r="B45" s="26"/>
      <c r="C45" s="27">
        <v>4.0</v>
      </c>
      <c r="D45" s="28" t="s">
        <v>27</v>
      </c>
      <c r="E45" s="29" t="s">
        <v>24</v>
      </c>
      <c r="F45" s="29" t="s">
        <v>24</v>
      </c>
      <c r="G45" s="29" t="s">
        <v>24</v>
      </c>
      <c r="H45" s="29" t="s">
        <v>24</v>
      </c>
      <c r="I45" s="29" t="s">
        <v>24</v>
      </c>
      <c r="J45" s="29" t="s">
        <v>24</v>
      </c>
      <c r="K45" s="29" t="s">
        <v>24</v>
      </c>
      <c r="L45" s="29" t="s">
        <v>24</v>
      </c>
      <c r="M45" s="29" t="s">
        <v>24</v>
      </c>
      <c r="N45" s="29" t="s">
        <v>24</v>
      </c>
      <c r="O45" s="29" t="s">
        <v>24</v>
      </c>
      <c r="P45" s="29" t="s">
        <v>24</v>
      </c>
    </row>
    <row r="46" ht="15.75" customHeight="1">
      <c r="A46" s="25"/>
      <c r="B46" s="31"/>
      <c r="C46" s="27">
        <v>5.0</v>
      </c>
      <c r="D46" s="28" t="s">
        <v>28</v>
      </c>
      <c r="E46" s="29" t="s">
        <v>24</v>
      </c>
      <c r="F46" s="29" t="s">
        <v>24</v>
      </c>
      <c r="G46" s="29" t="s">
        <v>24</v>
      </c>
      <c r="H46" s="29" t="s">
        <v>24</v>
      </c>
      <c r="I46" s="29" t="s">
        <v>24</v>
      </c>
      <c r="J46" s="29" t="s">
        <v>24</v>
      </c>
      <c r="K46" s="29" t="s">
        <v>24</v>
      </c>
      <c r="L46" s="29" t="s">
        <v>24</v>
      </c>
      <c r="M46" s="29" t="s">
        <v>24</v>
      </c>
      <c r="N46" s="29" t="s">
        <v>24</v>
      </c>
      <c r="O46" s="29" t="s">
        <v>24</v>
      </c>
      <c r="P46" s="29" t="s">
        <v>24</v>
      </c>
    </row>
    <row r="47" ht="15.75" customHeight="1">
      <c r="A47" s="25"/>
      <c r="B47" s="32" t="s">
        <v>37</v>
      </c>
      <c r="C47" s="33">
        <v>1.0</v>
      </c>
      <c r="D47" s="34" t="s">
        <v>23</v>
      </c>
      <c r="E47" s="23">
        <v>0.179</v>
      </c>
      <c r="F47" s="23">
        <v>0.139</v>
      </c>
      <c r="G47" s="23">
        <v>1.518</v>
      </c>
      <c r="H47" s="23">
        <v>0.647</v>
      </c>
      <c r="I47" s="23" t="s">
        <v>38</v>
      </c>
      <c r="J47" s="23" t="s">
        <v>38</v>
      </c>
      <c r="K47" s="23" t="s">
        <v>38</v>
      </c>
      <c r="L47" s="23">
        <v>0.067</v>
      </c>
      <c r="M47" s="23">
        <v>1.066</v>
      </c>
      <c r="N47" s="23" t="s">
        <v>38</v>
      </c>
      <c r="O47" s="23">
        <v>0.103</v>
      </c>
      <c r="P47" s="23" t="s">
        <v>24</v>
      </c>
    </row>
    <row r="48" ht="15.75" customHeight="1">
      <c r="A48" s="25"/>
      <c r="B48" s="26"/>
      <c r="C48" s="27">
        <v>2.0</v>
      </c>
      <c r="D48" s="28" t="s">
        <v>25</v>
      </c>
      <c r="E48" s="29">
        <v>0.09</v>
      </c>
      <c r="F48" s="29">
        <v>0.242</v>
      </c>
      <c r="G48" s="29">
        <v>1.872</v>
      </c>
      <c r="H48" s="29">
        <v>0.881</v>
      </c>
      <c r="I48" s="29" t="s">
        <v>38</v>
      </c>
      <c r="J48" s="29" t="s">
        <v>38</v>
      </c>
      <c r="K48" s="29" t="s">
        <v>38</v>
      </c>
      <c r="L48" s="29" t="s">
        <v>38</v>
      </c>
      <c r="M48" s="29">
        <v>0.739</v>
      </c>
      <c r="N48" s="29">
        <v>0.178</v>
      </c>
      <c r="O48" s="29">
        <v>0.261</v>
      </c>
      <c r="P48" s="29" t="s">
        <v>24</v>
      </c>
    </row>
    <row r="49" ht="15.75" customHeight="1">
      <c r="A49" s="25"/>
      <c r="B49" s="26"/>
      <c r="C49" s="27">
        <v>3.0</v>
      </c>
      <c r="D49" s="28" t="s">
        <v>26</v>
      </c>
      <c r="E49" s="29">
        <v>0.088</v>
      </c>
      <c r="F49" s="29">
        <v>0.062</v>
      </c>
      <c r="G49" s="29">
        <v>0.498</v>
      </c>
      <c r="H49" s="29">
        <v>0.206</v>
      </c>
      <c r="I49" s="29" t="s">
        <v>38</v>
      </c>
      <c r="J49" s="29" t="s">
        <v>38</v>
      </c>
      <c r="K49" s="29" t="s">
        <v>38</v>
      </c>
      <c r="L49" s="46">
        <v>0.09</v>
      </c>
      <c r="M49" s="29">
        <v>1.336</v>
      </c>
      <c r="N49" s="29">
        <v>0.539</v>
      </c>
      <c r="O49" s="29">
        <v>0.135</v>
      </c>
      <c r="P49" s="29" t="s">
        <v>24</v>
      </c>
    </row>
    <row r="50" ht="15.75" customHeight="1">
      <c r="A50" s="25"/>
      <c r="B50" s="26"/>
      <c r="C50" s="27">
        <v>4.0</v>
      </c>
      <c r="D50" s="28" t="s">
        <v>27</v>
      </c>
      <c r="E50" s="29" t="s">
        <v>38</v>
      </c>
      <c r="F50" s="29">
        <v>0.102</v>
      </c>
      <c r="G50" s="29">
        <v>0.196</v>
      </c>
      <c r="H50" s="29">
        <v>0.148</v>
      </c>
      <c r="I50" s="29" t="s">
        <v>38</v>
      </c>
      <c r="J50" s="29">
        <v>0.055</v>
      </c>
      <c r="K50" s="29" t="s">
        <v>38</v>
      </c>
      <c r="L50" s="29" t="s">
        <v>38</v>
      </c>
      <c r="M50" s="29">
        <v>1.555</v>
      </c>
      <c r="N50" s="29">
        <v>0.118</v>
      </c>
      <c r="O50" s="29">
        <v>0.248</v>
      </c>
      <c r="P50" s="29" t="s">
        <v>24</v>
      </c>
    </row>
    <row r="51" ht="15.75" customHeight="1">
      <c r="A51" s="25"/>
      <c r="B51" s="31"/>
      <c r="C51" s="27">
        <v>5.0</v>
      </c>
      <c r="D51" s="28" t="s">
        <v>28</v>
      </c>
      <c r="E51" s="29">
        <v>0.067</v>
      </c>
      <c r="F51" s="29">
        <v>0.099</v>
      </c>
      <c r="G51" s="29">
        <v>0.422</v>
      </c>
      <c r="H51" s="29">
        <v>0.188</v>
      </c>
      <c r="I51" s="29" t="s">
        <v>38</v>
      </c>
      <c r="J51" s="29">
        <v>0.059</v>
      </c>
      <c r="K51" s="29" t="s">
        <v>38</v>
      </c>
      <c r="L51" s="29">
        <v>1.133</v>
      </c>
      <c r="M51" s="29">
        <v>1.581</v>
      </c>
      <c r="N51" s="29">
        <v>0.169</v>
      </c>
      <c r="O51" s="29">
        <v>0.071</v>
      </c>
      <c r="P51" s="29" t="s">
        <v>24</v>
      </c>
    </row>
    <row r="52" ht="15.75" customHeight="1">
      <c r="A52" s="25"/>
      <c r="B52" s="32" t="s">
        <v>39</v>
      </c>
      <c r="C52" s="33">
        <v>1.0</v>
      </c>
      <c r="D52" s="34" t="s">
        <v>23</v>
      </c>
      <c r="E52" s="45">
        <v>2.58</v>
      </c>
      <c r="F52" s="23">
        <v>2.964</v>
      </c>
      <c r="G52" s="23">
        <v>1.518</v>
      </c>
      <c r="H52" s="23">
        <v>1.894</v>
      </c>
      <c r="I52" s="23">
        <v>3.031</v>
      </c>
      <c r="J52" s="23">
        <v>2.413</v>
      </c>
      <c r="K52" s="23">
        <v>1.84</v>
      </c>
      <c r="L52" s="23">
        <v>1.595</v>
      </c>
      <c r="M52" s="23">
        <v>0.926</v>
      </c>
      <c r="N52" s="23">
        <v>2.168</v>
      </c>
      <c r="O52" s="45">
        <v>2.644</v>
      </c>
      <c r="P52" s="23" t="s">
        <v>24</v>
      </c>
    </row>
    <row r="53" ht="15.75" customHeight="1">
      <c r="A53" s="25"/>
      <c r="B53" s="26"/>
      <c r="C53" s="27">
        <v>2.0</v>
      </c>
      <c r="D53" s="28" t="s">
        <v>25</v>
      </c>
      <c r="E53" s="29">
        <v>2.467</v>
      </c>
      <c r="F53" s="29">
        <v>3.592</v>
      </c>
      <c r="G53" s="29">
        <v>1.872</v>
      </c>
      <c r="H53" s="29">
        <v>1.844</v>
      </c>
      <c r="I53" s="46">
        <v>3.09</v>
      </c>
      <c r="J53" s="29">
        <v>2.479</v>
      </c>
      <c r="K53" s="29">
        <v>1.821</v>
      </c>
      <c r="L53" s="46">
        <v>1.28</v>
      </c>
      <c r="M53" s="46">
        <v>0.95</v>
      </c>
      <c r="N53" s="29">
        <v>1.828</v>
      </c>
      <c r="O53" s="29">
        <v>2.377</v>
      </c>
      <c r="P53" s="29" t="s">
        <v>24</v>
      </c>
    </row>
    <row r="54" ht="15.75" customHeight="1">
      <c r="A54" s="25"/>
      <c r="B54" s="26"/>
      <c r="C54" s="27">
        <v>3.0</v>
      </c>
      <c r="D54" s="28" t="s">
        <v>26</v>
      </c>
      <c r="E54" s="29">
        <v>3.647</v>
      </c>
      <c r="F54" s="29">
        <v>4.935</v>
      </c>
      <c r="G54" s="29">
        <v>0.498</v>
      </c>
      <c r="H54" s="29">
        <v>2.423</v>
      </c>
      <c r="I54" s="46">
        <v>3.7</v>
      </c>
      <c r="J54" s="29">
        <v>3.619</v>
      </c>
      <c r="K54" s="29">
        <v>2.535</v>
      </c>
      <c r="L54" s="29">
        <v>1.906</v>
      </c>
      <c r="M54" s="29">
        <v>1.091</v>
      </c>
      <c r="N54" s="29">
        <v>1.51</v>
      </c>
      <c r="O54" s="29">
        <v>4.287</v>
      </c>
      <c r="P54" s="29" t="s">
        <v>24</v>
      </c>
    </row>
    <row r="55" ht="15.75" customHeight="1">
      <c r="A55" s="25"/>
      <c r="B55" s="26"/>
      <c r="C55" s="27">
        <v>4.0</v>
      </c>
      <c r="D55" s="28" t="s">
        <v>27</v>
      </c>
      <c r="E55" s="46">
        <v>3.83</v>
      </c>
      <c r="F55" s="29">
        <v>4.811</v>
      </c>
      <c r="G55" s="29">
        <v>0.196</v>
      </c>
      <c r="H55" s="29">
        <v>2.453</v>
      </c>
      <c r="I55" s="29">
        <v>3.672</v>
      </c>
      <c r="J55" s="29">
        <v>3.586</v>
      </c>
      <c r="K55" s="29">
        <v>2.517</v>
      </c>
      <c r="L55" s="29">
        <v>2.094</v>
      </c>
      <c r="M55" s="29">
        <v>0.982</v>
      </c>
      <c r="N55" s="29">
        <v>1.894</v>
      </c>
      <c r="O55" s="46">
        <v>4.03</v>
      </c>
      <c r="P55" s="29" t="s">
        <v>24</v>
      </c>
    </row>
    <row r="56" ht="15.75" customHeight="1">
      <c r="A56" s="25"/>
      <c r="B56" s="31"/>
      <c r="C56" s="27">
        <v>5.0</v>
      </c>
      <c r="D56" s="28" t="s">
        <v>28</v>
      </c>
      <c r="E56" s="29">
        <v>3.408</v>
      </c>
      <c r="F56" s="29">
        <v>4.777</v>
      </c>
      <c r="G56" s="29">
        <v>0.422</v>
      </c>
      <c r="H56" s="29">
        <v>2.227</v>
      </c>
      <c r="I56" s="46">
        <v>3.6636</v>
      </c>
      <c r="J56" s="29">
        <v>3.421</v>
      </c>
      <c r="K56" s="29">
        <v>2.257</v>
      </c>
      <c r="L56" s="29">
        <v>1.558</v>
      </c>
      <c r="M56" s="29">
        <v>0.943</v>
      </c>
      <c r="N56" s="46">
        <v>2.163</v>
      </c>
      <c r="O56" s="29">
        <v>3.934</v>
      </c>
      <c r="P56" s="29" t="s">
        <v>24</v>
      </c>
    </row>
    <row r="57" ht="15.75" customHeight="1">
      <c r="A57" s="25"/>
      <c r="B57" s="32" t="s">
        <v>40</v>
      </c>
      <c r="C57" s="33">
        <v>1.0</v>
      </c>
      <c r="D57" s="34" t="s">
        <v>23</v>
      </c>
      <c r="E57" s="23">
        <v>34.0</v>
      </c>
      <c r="F57" s="23">
        <v>63.0</v>
      </c>
      <c r="G57" s="23">
        <v>50.0</v>
      </c>
      <c r="H57" s="23">
        <v>99.0</v>
      </c>
      <c r="I57" s="23">
        <v>44.0</v>
      </c>
      <c r="J57" s="23">
        <v>78.0</v>
      </c>
      <c r="K57" s="23">
        <v>63.0</v>
      </c>
      <c r="L57" s="23">
        <v>27.0</v>
      </c>
      <c r="M57" s="36">
        <v>30.0</v>
      </c>
      <c r="N57" s="23">
        <v>34.0</v>
      </c>
      <c r="O57" s="23">
        <v>40.0</v>
      </c>
      <c r="P57" s="23" t="s">
        <v>24</v>
      </c>
    </row>
    <row r="58" ht="15.75" customHeight="1">
      <c r="A58" s="25"/>
      <c r="B58" s="26"/>
      <c r="C58" s="27">
        <v>2.0</v>
      </c>
      <c r="D58" s="28" t="s">
        <v>25</v>
      </c>
      <c r="E58" s="29">
        <v>29.0</v>
      </c>
      <c r="F58" s="29">
        <v>63.0</v>
      </c>
      <c r="G58" s="29">
        <v>60.0</v>
      </c>
      <c r="H58" s="29">
        <v>65.0</v>
      </c>
      <c r="I58" s="29">
        <v>420.0</v>
      </c>
      <c r="J58" s="29">
        <v>39.0</v>
      </c>
      <c r="K58" s="29">
        <v>39.0</v>
      </c>
      <c r="L58" s="29">
        <v>28.0</v>
      </c>
      <c r="M58" s="38">
        <v>14.0</v>
      </c>
      <c r="N58" s="29">
        <v>23.0</v>
      </c>
      <c r="O58" s="29">
        <v>46.0</v>
      </c>
      <c r="P58" s="29" t="s">
        <v>24</v>
      </c>
    </row>
    <row r="59" ht="15.75" customHeight="1">
      <c r="A59" s="25"/>
      <c r="B59" s="26"/>
      <c r="C59" s="27">
        <v>3.0</v>
      </c>
      <c r="D59" s="28" t="s">
        <v>26</v>
      </c>
      <c r="E59" s="29">
        <v>246.0</v>
      </c>
      <c r="F59" s="29">
        <v>48.0</v>
      </c>
      <c r="G59" s="29">
        <v>149.0</v>
      </c>
      <c r="H59" s="29">
        <v>50.0</v>
      </c>
      <c r="I59" s="29">
        <v>63.0</v>
      </c>
      <c r="J59" s="29">
        <v>342.0</v>
      </c>
      <c r="K59" s="29">
        <v>112.0</v>
      </c>
      <c r="L59" s="29">
        <v>32.0</v>
      </c>
      <c r="M59" s="38">
        <v>27.0</v>
      </c>
      <c r="N59" s="29">
        <v>30.0</v>
      </c>
      <c r="O59" s="29">
        <v>47.0</v>
      </c>
      <c r="P59" s="29" t="s">
        <v>24</v>
      </c>
    </row>
    <row r="60" ht="15.75" customHeight="1">
      <c r="A60" s="25"/>
      <c r="B60" s="26"/>
      <c r="C60" s="27">
        <v>4.0</v>
      </c>
      <c r="D60" s="28" t="s">
        <v>27</v>
      </c>
      <c r="E60" s="29">
        <v>253.0</v>
      </c>
      <c r="F60" s="29">
        <v>515.0</v>
      </c>
      <c r="G60" s="29">
        <v>159.0</v>
      </c>
      <c r="H60" s="29">
        <v>99.0</v>
      </c>
      <c r="I60" s="29">
        <v>430.0</v>
      </c>
      <c r="J60" s="29">
        <v>195.0</v>
      </c>
      <c r="K60" s="29">
        <v>59.0</v>
      </c>
      <c r="L60" s="29">
        <v>24.0</v>
      </c>
      <c r="M60" s="38">
        <v>21.0</v>
      </c>
      <c r="N60" s="29">
        <v>30.0</v>
      </c>
      <c r="O60" s="47">
        <v>225.0</v>
      </c>
      <c r="P60" s="29" t="s">
        <v>24</v>
      </c>
    </row>
    <row r="61" ht="15.75" customHeight="1">
      <c r="A61" s="25"/>
      <c r="B61" s="31"/>
      <c r="C61" s="27">
        <v>5.0</v>
      </c>
      <c r="D61" s="28" t="s">
        <v>28</v>
      </c>
      <c r="E61" s="29">
        <v>366.0</v>
      </c>
      <c r="F61" s="29">
        <v>573.0</v>
      </c>
      <c r="G61" s="29">
        <v>129.0</v>
      </c>
      <c r="H61" s="29">
        <v>119.0</v>
      </c>
      <c r="I61" s="29">
        <v>391.0</v>
      </c>
      <c r="J61" s="29">
        <v>146.0</v>
      </c>
      <c r="K61" s="29">
        <v>59.0</v>
      </c>
      <c r="L61" s="29">
        <v>24.0</v>
      </c>
      <c r="M61" s="38">
        <v>20.0</v>
      </c>
      <c r="N61" s="29">
        <v>39.0</v>
      </c>
      <c r="O61" s="29">
        <v>142.0</v>
      </c>
      <c r="P61" s="29" t="s">
        <v>24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P1"/>
    <mergeCell ref="A2:P2"/>
    <mergeCell ref="A3:P3"/>
    <mergeCell ref="A5:P5"/>
    <mergeCell ref="A6:P6"/>
    <mergeCell ref="B7:B11"/>
    <mergeCell ref="B12:B16"/>
    <mergeCell ref="B52:B56"/>
    <mergeCell ref="B57:B61"/>
    <mergeCell ref="B17:B21"/>
    <mergeCell ref="B22:B26"/>
    <mergeCell ref="B27:B31"/>
    <mergeCell ref="B32:B36"/>
    <mergeCell ref="B37:B41"/>
    <mergeCell ref="B42:B46"/>
    <mergeCell ref="B47:B51"/>
  </mergeCells>
  <printOptions horizontalCentered="1" verticalCentered="1"/>
  <pageMargins bottom="0.0" footer="0.0" header="0.0" left="0.0" right="0.0" top="0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37.57"/>
    <col customWidth="1" min="3" max="3" width="11.86"/>
    <col customWidth="1" min="4" max="4" width="73.14"/>
    <col customWidth="1" min="5" max="5" width="18.14"/>
    <col customWidth="1" min="6" max="6" width="17.71"/>
    <col customWidth="1" min="7" max="9" width="18.14"/>
    <col customWidth="1" min="10" max="10" width="18.0"/>
    <col customWidth="1" min="11" max="11" width="16.57"/>
    <col customWidth="1" min="12" max="12" width="17.71"/>
    <col customWidth="1" min="13" max="13" width="18.0"/>
    <col customWidth="1" min="14" max="14" width="16.14"/>
    <col customWidth="1" min="15" max="15" width="18.0"/>
    <col customWidth="1" min="16" max="16" width="16.57"/>
    <col customWidth="1" min="17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>
      <c r="A4" s="10" t="s">
        <v>3</v>
      </c>
      <c r="B4" s="11" t="s">
        <v>4</v>
      </c>
      <c r="C4" s="11" t="s">
        <v>5</v>
      </c>
      <c r="D4" s="11" t="s">
        <v>6</v>
      </c>
      <c r="E4" s="12" t="s">
        <v>7</v>
      </c>
      <c r="F4" s="12" t="s">
        <v>8</v>
      </c>
      <c r="G4" s="11" t="s">
        <v>9</v>
      </c>
      <c r="H4" s="11" t="s">
        <v>10</v>
      </c>
      <c r="I4" s="11" t="s">
        <v>11</v>
      </c>
      <c r="J4" s="11" t="s">
        <v>12</v>
      </c>
      <c r="K4" s="12" t="s">
        <v>13</v>
      </c>
      <c r="L4" s="12" t="s">
        <v>14</v>
      </c>
      <c r="M4" s="11" t="s">
        <v>15</v>
      </c>
      <c r="N4" s="11" t="s">
        <v>16</v>
      </c>
      <c r="O4" s="11" t="s">
        <v>17</v>
      </c>
      <c r="P4" s="11" t="s">
        <v>18</v>
      </c>
    </row>
    <row r="5">
      <c r="A5" s="13" t="s">
        <v>41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5"/>
    </row>
    <row r="6">
      <c r="A6" s="16" t="s">
        <v>20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8"/>
    </row>
    <row r="7">
      <c r="A7" s="19" t="s">
        <v>21</v>
      </c>
      <c r="B7" s="20" t="s">
        <v>22</v>
      </c>
      <c r="C7" s="21">
        <v>1.0</v>
      </c>
      <c r="D7" s="48" t="s">
        <v>42</v>
      </c>
      <c r="E7" s="49">
        <v>2.8</v>
      </c>
      <c r="F7" s="49">
        <v>4.48</v>
      </c>
      <c r="G7" s="49">
        <v>0.89</v>
      </c>
      <c r="H7" s="50">
        <v>1.3</v>
      </c>
      <c r="I7" s="50">
        <v>1.5</v>
      </c>
      <c r="J7" s="49">
        <v>0.78</v>
      </c>
      <c r="K7" s="50">
        <v>1.2</v>
      </c>
      <c r="L7" s="49">
        <v>0.38</v>
      </c>
      <c r="M7" s="50">
        <v>3.18</v>
      </c>
      <c r="N7" s="50">
        <v>3.95</v>
      </c>
      <c r="O7" s="50">
        <v>1.05</v>
      </c>
      <c r="P7" s="23" t="s">
        <v>24</v>
      </c>
    </row>
    <row r="8">
      <c r="A8" s="25"/>
      <c r="B8" s="26"/>
      <c r="C8" s="27">
        <v>2.0</v>
      </c>
      <c r="D8" s="51" t="s">
        <v>43</v>
      </c>
      <c r="E8" s="52">
        <v>1.0</v>
      </c>
      <c r="F8" s="53">
        <v>0.65</v>
      </c>
      <c r="G8" s="53">
        <v>0.98</v>
      </c>
      <c r="H8" s="54">
        <v>0.5</v>
      </c>
      <c r="I8" s="54">
        <v>0.7</v>
      </c>
      <c r="J8" s="53">
        <v>0.38</v>
      </c>
      <c r="K8" s="54">
        <v>0.42</v>
      </c>
      <c r="L8" s="53">
        <v>0.49</v>
      </c>
      <c r="M8" s="54">
        <v>0.8</v>
      </c>
      <c r="N8" s="54">
        <v>0.8</v>
      </c>
      <c r="O8" s="54">
        <v>0.5</v>
      </c>
      <c r="P8" s="29" t="s">
        <v>24</v>
      </c>
    </row>
    <row r="9">
      <c r="A9" s="25"/>
      <c r="B9" s="26"/>
      <c r="C9" s="27">
        <v>3.0</v>
      </c>
      <c r="D9" s="51" t="s">
        <v>44</v>
      </c>
      <c r="E9" s="53">
        <v>0.9</v>
      </c>
      <c r="F9" s="53">
        <v>0.76</v>
      </c>
      <c r="G9" s="53">
        <v>0.85</v>
      </c>
      <c r="H9" s="53">
        <v>0.75</v>
      </c>
      <c r="I9" s="54">
        <v>0.8</v>
      </c>
      <c r="J9" s="53">
        <v>0.15</v>
      </c>
      <c r="K9" s="54">
        <v>0.06</v>
      </c>
      <c r="L9" s="53">
        <v>0.34</v>
      </c>
      <c r="M9" s="54">
        <v>1.02</v>
      </c>
      <c r="N9" s="54">
        <v>0.61</v>
      </c>
      <c r="O9" s="54">
        <v>0.1</v>
      </c>
      <c r="P9" s="29" t="s">
        <v>24</v>
      </c>
    </row>
    <row r="10">
      <c r="A10" s="25"/>
      <c r="B10" s="26"/>
      <c r="C10" s="27">
        <v>4.0</v>
      </c>
      <c r="D10" s="51" t="s">
        <v>45</v>
      </c>
      <c r="E10" s="53">
        <v>0.9</v>
      </c>
      <c r="F10" s="54">
        <v>0.6</v>
      </c>
      <c r="G10" s="54">
        <v>0.6</v>
      </c>
      <c r="H10" s="54">
        <v>0.8</v>
      </c>
      <c r="I10" s="54">
        <v>0.7</v>
      </c>
      <c r="J10" s="53">
        <v>0.15</v>
      </c>
      <c r="K10" s="54">
        <v>0.1</v>
      </c>
      <c r="L10" s="53">
        <v>0.35</v>
      </c>
      <c r="M10" s="54">
        <v>0.6</v>
      </c>
      <c r="N10" s="54">
        <v>0.6</v>
      </c>
      <c r="O10" s="54">
        <v>0.27</v>
      </c>
      <c r="P10" s="29" t="s">
        <v>24</v>
      </c>
    </row>
    <row r="11">
      <c r="A11" s="25"/>
      <c r="B11" s="31"/>
      <c r="C11" s="27">
        <v>5.0</v>
      </c>
      <c r="D11" s="51" t="s">
        <v>46</v>
      </c>
      <c r="E11" s="53">
        <v>0.8</v>
      </c>
      <c r="F11" s="53">
        <v>0.68</v>
      </c>
      <c r="G11" s="53">
        <v>0.51</v>
      </c>
      <c r="H11" s="53">
        <v>0.25</v>
      </c>
      <c r="I11" s="54">
        <v>0.26</v>
      </c>
      <c r="J11" s="54">
        <v>0.1</v>
      </c>
      <c r="K11" s="54">
        <v>0.12</v>
      </c>
      <c r="L11" s="53">
        <v>0.5</v>
      </c>
      <c r="M11" s="54">
        <v>0.5</v>
      </c>
      <c r="N11" s="54">
        <v>0.59</v>
      </c>
      <c r="O11" s="54">
        <v>0.25</v>
      </c>
      <c r="P11" s="29" t="s">
        <v>24</v>
      </c>
    </row>
    <row r="12">
      <c r="A12" s="25"/>
      <c r="B12" s="32" t="s">
        <v>29</v>
      </c>
      <c r="C12" s="33">
        <v>1.0</v>
      </c>
      <c r="D12" s="48" t="s">
        <v>42</v>
      </c>
      <c r="E12" s="49">
        <v>39.0</v>
      </c>
      <c r="F12" s="49">
        <v>73.0</v>
      </c>
      <c r="G12" s="49">
        <v>81.0</v>
      </c>
      <c r="H12" s="49">
        <v>65.0</v>
      </c>
      <c r="I12" s="49">
        <v>45.0</v>
      </c>
      <c r="J12" s="49">
        <v>43.0</v>
      </c>
      <c r="K12" s="49">
        <v>93.0</v>
      </c>
      <c r="L12" s="49">
        <v>23.0</v>
      </c>
      <c r="M12" s="49">
        <v>8.0</v>
      </c>
      <c r="N12" s="49">
        <v>11.0</v>
      </c>
      <c r="O12" s="49">
        <v>68.0</v>
      </c>
      <c r="P12" s="23" t="s">
        <v>24</v>
      </c>
    </row>
    <row r="13">
      <c r="A13" s="25"/>
      <c r="B13" s="26"/>
      <c r="C13" s="27">
        <v>2.0</v>
      </c>
      <c r="D13" s="51" t="s">
        <v>43</v>
      </c>
      <c r="E13" s="53">
        <v>139.0</v>
      </c>
      <c r="F13" s="53">
        <v>150.0</v>
      </c>
      <c r="G13" s="53">
        <v>96.0</v>
      </c>
      <c r="H13" s="53">
        <v>62.0</v>
      </c>
      <c r="I13" s="53">
        <v>24.0</v>
      </c>
      <c r="J13" s="53">
        <v>31.0</v>
      </c>
      <c r="K13" s="53">
        <v>70.0</v>
      </c>
      <c r="L13" s="53">
        <v>91.0</v>
      </c>
      <c r="M13" s="53">
        <v>30.0</v>
      </c>
      <c r="N13" s="53">
        <v>36.0</v>
      </c>
      <c r="O13" s="53">
        <v>44.0</v>
      </c>
      <c r="P13" s="29" t="s">
        <v>24</v>
      </c>
    </row>
    <row r="14">
      <c r="A14" s="25"/>
      <c r="B14" s="26"/>
      <c r="C14" s="27">
        <v>3.0</v>
      </c>
      <c r="D14" s="51" t="s">
        <v>44</v>
      </c>
      <c r="E14" s="53">
        <v>120.0</v>
      </c>
      <c r="F14" s="53">
        <v>116.0</v>
      </c>
      <c r="G14" s="53">
        <v>84.0</v>
      </c>
      <c r="H14" s="53">
        <v>64.0</v>
      </c>
      <c r="I14" s="53">
        <v>36.0</v>
      </c>
      <c r="J14" s="53">
        <v>37.0</v>
      </c>
      <c r="K14" s="53">
        <v>71.0</v>
      </c>
      <c r="L14" s="53">
        <v>89.0</v>
      </c>
      <c r="M14" s="53">
        <v>22.0</v>
      </c>
      <c r="N14" s="53">
        <v>42.0</v>
      </c>
      <c r="O14" s="53">
        <v>52.0</v>
      </c>
      <c r="P14" s="29" t="s">
        <v>24</v>
      </c>
    </row>
    <row r="15">
      <c r="A15" s="25"/>
      <c r="B15" s="26"/>
      <c r="C15" s="27">
        <v>4.0</v>
      </c>
      <c r="D15" s="51" t="s">
        <v>45</v>
      </c>
      <c r="E15" s="53">
        <v>117.0</v>
      </c>
      <c r="F15" s="53">
        <v>120.0</v>
      </c>
      <c r="G15" s="53">
        <v>122.0</v>
      </c>
      <c r="H15" s="53">
        <v>64.0</v>
      </c>
      <c r="I15" s="53">
        <v>28.0</v>
      </c>
      <c r="J15" s="53">
        <v>63.0</v>
      </c>
      <c r="K15" s="53">
        <v>100.0</v>
      </c>
      <c r="L15" s="53">
        <v>46.0</v>
      </c>
      <c r="M15" s="53">
        <v>20.0</v>
      </c>
      <c r="N15" s="53">
        <v>38.0</v>
      </c>
      <c r="O15" s="53">
        <v>46.0</v>
      </c>
      <c r="P15" s="29" t="s">
        <v>24</v>
      </c>
    </row>
    <row r="16">
      <c r="A16" s="25"/>
      <c r="B16" s="31"/>
      <c r="C16" s="27">
        <v>5.0</v>
      </c>
      <c r="D16" s="51" t="s">
        <v>46</v>
      </c>
      <c r="E16" s="53">
        <v>116.0</v>
      </c>
      <c r="F16" s="53">
        <v>125.0</v>
      </c>
      <c r="G16" s="53">
        <v>70.0</v>
      </c>
      <c r="H16" s="53">
        <v>73.0</v>
      </c>
      <c r="I16" s="53">
        <v>36.0</v>
      </c>
      <c r="J16" s="53">
        <v>95.0</v>
      </c>
      <c r="K16" s="53">
        <v>77.0</v>
      </c>
      <c r="L16" s="53">
        <v>44.0</v>
      </c>
      <c r="M16" s="53">
        <v>22.0</v>
      </c>
      <c r="N16" s="53">
        <v>65.0</v>
      </c>
      <c r="O16" s="53">
        <v>61.0</v>
      </c>
      <c r="P16" s="29" t="s">
        <v>24</v>
      </c>
    </row>
    <row r="17">
      <c r="A17" s="25"/>
      <c r="B17" s="32" t="s">
        <v>30</v>
      </c>
      <c r="C17" s="33">
        <v>1.0</v>
      </c>
      <c r="D17" s="48" t="s">
        <v>42</v>
      </c>
      <c r="E17" s="49">
        <v>23.0</v>
      </c>
      <c r="F17" s="49">
        <v>21.0</v>
      </c>
      <c r="G17" s="49">
        <v>21.0</v>
      </c>
      <c r="H17" s="49">
        <v>16.0</v>
      </c>
      <c r="I17" s="49">
        <v>27.0</v>
      </c>
      <c r="J17" s="49">
        <v>13.0</v>
      </c>
      <c r="K17" s="49">
        <v>30.0</v>
      </c>
      <c r="L17" s="49">
        <v>22.0</v>
      </c>
      <c r="M17" s="49">
        <v>21.0</v>
      </c>
      <c r="N17" s="49">
        <v>35.0</v>
      </c>
      <c r="O17" s="49">
        <v>24.0</v>
      </c>
      <c r="P17" s="23" t="s">
        <v>24</v>
      </c>
    </row>
    <row r="18">
      <c r="A18" s="25"/>
      <c r="B18" s="26"/>
      <c r="C18" s="27">
        <v>2.0</v>
      </c>
      <c r="D18" s="51" t="s">
        <v>43</v>
      </c>
      <c r="E18" s="53">
        <v>17.0</v>
      </c>
      <c r="F18" s="53">
        <v>110.0</v>
      </c>
      <c r="G18" s="53">
        <v>50.0</v>
      </c>
      <c r="H18" s="53">
        <v>29.0</v>
      </c>
      <c r="I18" s="53">
        <v>26.0</v>
      </c>
      <c r="J18" s="53">
        <v>24.0</v>
      </c>
      <c r="K18" s="53">
        <v>39.0</v>
      </c>
      <c r="L18" s="53">
        <v>35.0</v>
      </c>
      <c r="M18" s="53">
        <v>20.0</v>
      </c>
      <c r="N18" s="53">
        <v>9.0</v>
      </c>
      <c r="O18" s="53">
        <v>12.0</v>
      </c>
      <c r="P18" s="29" t="s">
        <v>24</v>
      </c>
    </row>
    <row r="19">
      <c r="A19" s="25"/>
      <c r="B19" s="26"/>
      <c r="C19" s="27">
        <v>3.0</v>
      </c>
      <c r="D19" s="51" t="s">
        <v>44</v>
      </c>
      <c r="E19" s="53">
        <v>17.0</v>
      </c>
      <c r="F19" s="53">
        <v>42.0</v>
      </c>
      <c r="G19" s="53">
        <v>25.0</v>
      </c>
      <c r="H19" s="53">
        <v>25.0</v>
      </c>
      <c r="I19" s="53">
        <v>37.0</v>
      </c>
      <c r="J19" s="53">
        <v>16.0</v>
      </c>
      <c r="K19" s="53">
        <v>30.0</v>
      </c>
      <c r="L19" s="53">
        <v>29.0</v>
      </c>
      <c r="M19" s="53">
        <v>28.0</v>
      </c>
      <c r="N19" s="53">
        <v>8.0</v>
      </c>
      <c r="O19" s="53">
        <v>18.0</v>
      </c>
      <c r="P19" s="29" t="s">
        <v>24</v>
      </c>
    </row>
    <row r="20">
      <c r="A20" s="25"/>
      <c r="B20" s="26"/>
      <c r="C20" s="27">
        <v>4.0</v>
      </c>
      <c r="D20" s="51" t="s">
        <v>45</v>
      </c>
      <c r="E20" s="53">
        <v>17.0</v>
      </c>
      <c r="F20" s="53">
        <v>61.0</v>
      </c>
      <c r="G20" s="53">
        <v>76.0</v>
      </c>
      <c r="H20" s="53">
        <v>27.0</v>
      </c>
      <c r="I20" s="53">
        <v>36.0</v>
      </c>
      <c r="J20" s="53">
        <v>28.0</v>
      </c>
      <c r="K20" s="53">
        <v>28.0</v>
      </c>
      <c r="L20" s="53">
        <v>13.0</v>
      </c>
      <c r="M20" s="53">
        <v>18.0</v>
      </c>
      <c r="N20" s="53">
        <v>21.0</v>
      </c>
      <c r="O20" s="53">
        <v>10.0</v>
      </c>
      <c r="P20" s="29" t="s">
        <v>24</v>
      </c>
    </row>
    <row r="21" ht="15.75" customHeight="1">
      <c r="A21" s="25"/>
      <c r="B21" s="31"/>
      <c r="C21" s="27">
        <v>5.0</v>
      </c>
      <c r="D21" s="51" t="s">
        <v>46</v>
      </c>
      <c r="E21" s="53">
        <v>17.0</v>
      </c>
      <c r="F21" s="53">
        <v>39.0</v>
      </c>
      <c r="G21" s="53">
        <v>22.0</v>
      </c>
      <c r="H21" s="53">
        <v>26.0</v>
      </c>
      <c r="I21" s="53">
        <v>76.0</v>
      </c>
      <c r="J21" s="53">
        <v>22.0</v>
      </c>
      <c r="K21" s="53">
        <v>24.0</v>
      </c>
      <c r="L21" s="53">
        <v>18.0</v>
      </c>
      <c r="M21" s="53">
        <v>27.0</v>
      </c>
      <c r="N21" s="53">
        <v>18.0</v>
      </c>
      <c r="O21" s="53">
        <v>10.0</v>
      </c>
      <c r="P21" s="29" t="s">
        <v>24</v>
      </c>
    </row>
    <row r="22" ht="15.75" customHeight="1">
      <c r="A22" s="25"/>
      <c r="B22" s="32" t="s">
        <v>31</v>
      </c>
      <c r="C22" s="33">
        <v>1.0</v>
      </c>
      <c r="D22" s="48" t="s">
        <v>42</v>
      </c>
      <c r="E22" s="49">
        <v>7.1</v>
      </c>
      <c r="F22" s="49">
        <v>7.15</v>
      </c>
      <c r="G22" s="49">
        <v>7.81</v>
      </c>
      <c r="H22" s="49">
        <v>7.36</v>
      </c>
      <c r="I22" s="49">
        <v>7.72</v>
      </c>
      <c r="J22" s="49">
        <v>7.75</v>
      </c>
      <c r="K22" s="49">
        <v>7.44</v>
      </c>
      <c r="L22" s="49">
        <v>7.73</v>
      </c>
      <c r="M22" s="49">
        <v>6.95</v>
      </c>
      <c r="N22" s="50">
        <v>6.98</v>
      </c>
      <c r="O22" s="50">
        <v>7.42</v>
      </c>
      <c r="P22" s="23" t="s">
        <v>24</v>
      </c>
    </row>
    <row r="23" ht="15.75" customHeight="1">
      <c r="A23" s="25"/>
      <c r="B23" s="26"/>
      <c r="C23" s="27">
        <v>2.0</v>
      </c>
      <c r="D23" s="51" t="s">
        <v>43</v>
      </c>
      <c r="E23" s="53">
        <v>6.9</v>
      </c>
      <c r="F23" s="53">
        <v>7.19</v>
      </c>
      <c r="G23" s="53">
        <v>7.43</v>
      </c>
      <c r="H23" s="53">
        <v>7.05</v>
      </c>
      <c r="I23" s="53">
        <v>7.11</v>
      </c>
      <c r="J23" s="53">
        <v>7.15</v>
      </c>
      <c r="K23" s="53">
        <v>7.28</v>
      </c>
      <c r="L23" s="53">
        <v>7.15</v>
      </c>
      <c r="M23" s="53">
        <v>6.69</v>
      </c>
      <c r="N23" s="54">
        <v>7.03</v>
      </c>
      <c r="O23" s="54">
        <v>7.12</v>
      </c>
      <c r="P23" s="29" t="s">
        <v>24</v>
      </c>
    </row>
    <row r="24" ht="15.75" customHeight="1">
      <c r="A24" s="25"/>
      <c r="B24" s="26"/>
      <c r="C24" s="27">
        <v>3.0</v>
      </c>
      <c r="D24" s="51" t="s">
        <v>44</v>
      </c>
      <c r="E24" s="53">
        <v>7.01</v>
      </c>
      <c r="F24" s="54">
        <v>7.2</v>
      </c>
      <c r="G24" s="53">
        <v>7.42</v>
      </c>
      <c r="H24" s="53">
        <v>7.15</v>
      </c>
      <c r="I24" s="53">
        <v>7.18</v>
      </c>
      <c r="J24" s="53">
        <v>7.09</v>
      </c>
      <c r="K24" s="53">
        <v>7.31</v>
      </c>
      <c r="L24" s="54">
        <v>7.0</v>
      </c>
      <c r="M24" s="53">
        <v>6.78</v>
      </c>
      <c r="N24" s="54">
        <v>7.08</v>
      </c>
      <c r="O24" s="54">
        <v>7.2</v>
      </c>
      <c r="P24" s="29" t="s">
        <v>24</v>
      </c>
    </row>
    <row r="25" ht="15.75" customHeight="1">
      <c r="A25" s="25"/>
      <c r="B25" s="26"/>
      <c r="C25" s="27">
        <v>4.0</v>
      </c>
      <c r="D25" s="51" t="s">
        <v>45</v>
      </c>
      <c r="E25" s="53">
        <v>6.95</v>
      </c>
      <c r="F25" s="53">
        <v>7.31</v>
      </c>
      <c r="G25" s="53">
        <v>7.42</v>
      </c>
      <c r="H25" s="53">
        <v>7.11</v>
      </c>
      <c r="I25" s="53">
        <v>7.15</v>
      </c>
      <c r="J25" s="53">
        <v>7.11</v>
      </c>
      <c r="K25" s="53">
        <v>7.3</v>
      </c>
      <c r="L25" s="53">
        <v>7.01</v>
      </c>
      <c r="M25" s="53">
        <v>6.96</v>
      </c>
      <c r="N25" s="54">
        <v>7.1</v>
      </c>
      <c r="O25" s="54">
        <v>7.24</v>
      </c>
      <c r="P25" s="29" t="s">
        <v>24</v>
      </c>
    </row>
    <row r="26" ht="15.75" customHeight="1">
      <c r="A26" s="25"/>
      <c r="B26" s="31"/>
      <c r="C26" s="27">
        <v>5.0</v>
      </c>
      <c r="D26" s="51" t="s">
        <v>46</v>
      </c>
      <c r="E26" s="53">
        <v>7.02</v>
      </c>
      <c r="F26" s="53">
        <v>7.42</v>
      </c>
      <c r="G26" s="53">
        <v>7.37</v>
      </c>
      <c r="H26" s="53">
        <v>7.01</v>
      </c>
      <c r="I26" s="53">
        <v>7.13</v>
      </c>
      <c r="J26" s="53">
        <v>7.08</v>
      </c>
      <c r="K26" s="53">
        <v>7.26</v>
      </c>
      <c r="L26" s="53">
        <v>7.06</v>
      </c>
      <c r="M26" s="53">
        <v>6.79</v>
      </c>
      <c r="N26" s="54">
        <v>7.1</v>
      </c>
      <c r="O26" s="54">
        <v>7.18</v>
      </c>
      <c r="P26" s="29" t="s">
        <v>24</v>
      </c>
    </row>
    <row r="27" ht="15.75" customHeight="1">
      <c r="A27" s="25"/>
      <c r="B27" s="32" t="s">
        <v>47</v>
      </c>
      <c r="C27" s="33">
        <v>1.0</v>
      </c>
      <c r="D27" s="48" t="s">
        <v>42</v>
      </c>
      <c r="E27" s="49">
        <v>26.2</v>
      </c>
      <c r="F27" s="49">
        <v>26.1</v>
      </c>
      <c r="G27" s="50">
        <v>27.7</v>
      </c>
      <c r="H27" s="49">
        <v>27.6</v>
      </c>
      <c r="I27" s="50">
        <v>31.2</v>
      </c>
      <c r="J27" s="50">
        <v>30.4</v>
      </c>
      <c r="K27" s="50">
        <v>27.6</v>
      </c>
      <c r="L27" s="49">
        <v>30.3</v>
      </c>
      <c r="M27" s="50">
        <v>28.8</v>
      </c>
      <c r="N27" s="50">
        <v>28.63</v>
      </c>
      <c r="O27" s="50">
        <v>28.4</v>
      </c>
      <c r="P27" s="23" t="s">
        <v>24</v>
      </c>
    </row>
    <row r="28" ht="15.75" customHeight="1">
      <c r="A28" s="25"/>
      <c r="B28" s="26"/>
      <c r="C28" s="27">
        <v>2.0</v>
      </c>
      <c r="D28" s="51" t="s">
        <v>43</v>
      </c>
      <c r="E28" s="53">
        <v>26.8</v>
      </c>
      <c r="F28" s="53">
        <v>29.6</v>
      </c>
      <c r="G28" s="54">
        <v>31.03</v>
      </c>
      <c r="H28" s="53">
        <v>28.5</v>
      </c>
      <c r="I28" s="54">
        <v>33.38</v>
      </c>
      <c r="J28" s="54">
        <v>33.3</v>
      </c>
      <c r="K28" s="54">
        <v>29.1</v>
      </c>
      <c r="L28" s="53">
        <v>34.05</v>
      </c>
      <c r="M28" s="54">
        <v>28.9</v>
      </c>
      <c r="N28" s="54">
        <v>28.9</v>
      </c>
      <c r="O28" s="54">
        <v>30.55</v>
      </c>
      <c r="P28" s="29" t="s">
        <v>24</v>
      </c>
    </row>
    <row r="29" ht="15.75" customHeight="1">
      <c r="A29" s="25"/>
      <c r="B29" s="26"/>
      <c r="C29" s="27">
        <v>3.0</v>
      </c>
      <c r="D29" s="51" t="s">
        <v>44</v>
      </c>
      <c r="E29" s="53">
        <v>27.2</v>
      </c>
      <c r="F29" s="52">
        <v>27.0</v>
      </c>
      <c r="G29" s="54">
        <v>31.1</v>
      </c>
      <c r="H29" s="53">
        <v>28.9</v>
      </c>
      <c r="I29" s="54">
        <v>33.4</v>
      </c>
      <c r="J29" s="54">
        <v>32.9</v>
      </c>
      <c r="K29" s="54">
        <v>29.35</v>
      </c>
      <c r="L29" s="54">
        <v>31.9</v>
      </c>
      <c r="M29" s="54">
        <v>28.8</v>
      </c>
      <c r="N29" s="54">
        <v>29.1</v>
      </c>
      <c r="O29" s="54">
        <v>30.7</v>
      </c>
      <c r="P29" s="29" t="s">
        <v>24</v>
      </c>
    </row>
    <row r="30" ht="15.75" customHeight="1">
      <c r="A30" s="25"/>
      <c r="B30" s="26"/>
      <c r="C30" s="27">
        <v>4.0</v>
      </c>
      <c r="D30" s="51" t="s">
        <v>45</v>
      </c>
      <c r="E30" s="53">
        <v>26.9</v>
      </c>
      <c r="F30" s="53">
        <v>28.7</v>
      </c>
      <c r="G30" s="54">
        <v>31.2</v>
      </c>
      <c r="H30" s="53">
        <v>30.1</v>
      </c>
      <c r="I30" s="54">
        <v>32.9</v>
      </c>
      <c r="J30" s="54">
        <v>33.8</v>
      </c>
      <c r="K30" s="54">
        <v>29.2</v>
      </c>
      <c r="L30" s="54">
        <v>31.6</v>
      </c>
      <c r="M30" s="54">
        <v>28.75</v>
      </c>
      <c r="N30" s="54">
        <v>29.2</v>
      </c>
      <c r="O30" s="54">
        <v>30.8</v>
      </c>
      <c r="P30" s="29" t="s">
        <v>24</v>
      </c>
    </row>
    <row r="31" ht="15.75" customHeight="1">
      <c r="A31" s="25"/>
      <c r="B31" s="31"/>
      <c r="C31" s="27">
        <v>5.0</v>
      </c>
      <c r="D31" s="51" t="s">
        <v>46</v>
      </c>
      <c r="E31" s="53">
        <v>27.3</v>
      </c>
      <c r="F31" s="53">
        <v>29.5</v>
      </c>
      <c r="G31" s="54">
        <v>29.8</v>
      </c>
      <c r="H31" s="53">
        <v>29.7</v>
      </c>
      <c r="I31" s="54">
        <v>32.58</v>
      </c>
      <c r="J31" s="53">
        <v>32.98</v>
      </c>
      <c r="K31" s="54">
        <v>29.1</v>
      </c>
      <c r="L31" s="54">
        <v>31.9</v>
      </c>
      <c r="M31" s="54">
        <v>28.8</v>
      </c>
      <c r="N31" s="54">
        <v>29.2</v>
      </c>
      <c r="O31" s="54">
        <v>30.8</v>
      </c>
      <c r="P31" s="29" t="s">
        <v>24</v>
      </c>
    </row>
    <row r="32" ht="15.75" customHeight="1">
      <c r="A32" s="25"/>
      <c r="B32" s="32" t="s">
        <v>33</v>
      </c>
      <c r="C32" s="33">
        <v>1.0</v>
      </c>
      <c r="D32" s="48" t="s">
        <v>42</v>
      </c>
      <c r="E32" s="49">
        <v>40.0</v>
      </c>
      <c r="F32" s="49">
        <v>80.0</v>
      </c>
      <c r="G32" s="49">
        <v>75.0</v>
      </c>
      <c r="H32" s="49">
        <v>60.0</v>
      </c>
      <c r="I32" s="49">
        <v>50.0</v>
      </c>
      <c r="J32" s="49">
        <v>80.0</v>
      </c>
      <c r="K32" s="49">
        <v>80.0</v>
      </c>
      <c r="L32" s="49">
        <v>40.0</v>
      </c>
      <c r="M32" s="49">
        <v>40.0</v>
      </c>
      <c r="N32" s="49">
        <v>40.0</v>
      </c>
      <c r="O32" s="49">
        <v>100.0</v>
      </c>
      <c r="P32" s="23" t="s">
        <v>24</v>
      </c>
    </row>
    <row r="33" ht="15.75" customHeight="1">
      <c r="A33" s="25"/>
      <c r="B33" s="26"/>
      <c r="C33" s="27">
        <v>2.0</v>
      </c>
      <c r="D33" s="51" t="s">
        <v>43</v>
      </c>
      <c r="E33" s="53">
        <v>25.0</v>
      </c>
      <c r="F33" s="53">
        <v>150.0</v>
      </c>
      <c r="G33" s="53">
        <v>200.0</v>
      </c>
      <c r="H33" s="53">
        <v>75.0</v>
      </c>
      <c r="I33" s="53">
        <v>80.0</v>
      </c>
      <c r="J33" s="53">
        <v>150.0</v>
      </c>
      <c r="K33" s="53">
        <v>150.0</v>
      </c>
      <c r="L33" s="53">
        <v>100.0</v>
      </c>
      <c r="M33" s="53">
        <v>20.0</v>
      </c>
      <c r="N33" s="53">
        <v>80.0</v>
      </c>
      <c r="O33" s="53">
        <v>200.0</v>
      </c>
      <c r="P33" s="29" t="s">
        <v>24</v>
      </c>
    </row>
    <row r="34" ht="15.75" customHeight="1">
      <c r="A34" s="25"/>
      <c r="B34" s="26"/>
      <c r="C34" s="27">
        <v>3.0</v>
      </c>
      <c r="D34" s="51" t="s">
        <v>44</v>
      </c>
      <c r="E34" s="53">
        <v>30.0</v>
      </c>
      <c r="F34" s="53">
        <v>40.0</v>
      </c>
      <c r="G34" s="53">
        <v>150.0</v>
      </c>
      <c r="H34" s="53">
        <v>75.0</v>
      </c>
      <c r="I34" s="53">
        <v>60.0</v>
      </c>
      <c r="J34" s="53">
        <v>100.0</v>
      </c>
      <c r="K34" s="53">
        <v>150.0</v>
      </c>
      <c r="L34" s="53">
        <v>40.0</v>
      </c>
      <c r="M34" s="53">
        <v>20.0</v>
      </c>
      <c r="N34" s="53">
        <v>80.0</v>
      </c>
      <c r="O34" s="53">
        <v>200.0</v>
      </c>
      <c r="P34" s="29" t="s">
        <v>24</v>
      </c>
    </row>
    <row r="35" ht="15.75" customHeight="1">
      <c r="A35" s="25"/>
      <c r="B35" s="26"/>
      <c r="C35" s="27">
        <v>4.0</v>
      </c>
      <c r="D35" s="51" t="s">
        <v>45</v>
      </c>
      <c r="E35" s="53">
        <v>40.0</v>
      </c>
      <c r="F35" s="53">
        <v>60.0</v>
      </c>
      <c r="G35" s="53">
        <v>250.0</v>
      </c>
      <c r="H35" s="53">
        <v>100.0</v>
      </c>
      <c r="I35" s="53">
        <v>100.0</v>
      </c>
      <c r="J35" s="53">
        <v>125.0</v>
      </c>
      <c r="K35" s="55">
        <v>150.0</v>
      </c>
      <c r="L35" s="53">
        <v>100.0</v>
      </c>
      <c r="M35" s="53">
        <v>80.0</v>
      </c>
      <c r="N35" s="53">
        <v>80.0</v>
      </c>
      <c r="O35" s="53">
        <v>200.0</v>
      </c>
      <c r="P35" s="29" t="s">
        <v>24</v>
      </c>
    </row>
    <row r="36" ht="15.75" customHeight="1">
      <c r="A36" s="25"/>
      <c r="B36" s="31"/>
      <c r="C36" s="27">
        <v>5.0</v>
      </c>
      <c r="D36" s="51" t="s">
        <v>46</v>
      </c>
      <c r="E36" s="53">
        <v>30.0</v>
      </c>
      <c r="F36" s="53">
        <v>80.0</v>
      </c>
      <c r="G36" s="53">
        <v>125.0</v>
      </c>
      <c r="H36" s="53">
        <v>125.0</v>
      </c>
      <c r="I36" s="53">
        <v>80.0</v>
      </c>
      <c r="J36" s="53">
        <v>150.0</v>
      </c>
      <c r="K36" s="53">
        <v>150.0</v>
      </c>
      <c r="L36" s="53">
        <v>100.0</v>
      </c>
      <c r="M36" s="53">
        <v>100.0</v>
      </c>
      <c r="N36" s="53">
        <v>80.0</v>
      </c>
      <c r="O36" s="53">
        <v>200.0</v>
      </c>
      <c r="P36" s="29" t="s">
        <v>24</v>
      </c>
    </row>
    <row r="37" ht="15.75" customHeight="1">
      <c r="A37" s="25"/>
      <c r="B37" s="32" t="s">
        <v>34</v>
      </c>
      <c r="C37" s="33">
        <v>1.0</v>
      </c>
      <c r="D37" s="48" t="s">
        <v>42</v>
      </c>
      <c r="E37" s="56">
        <v>170000.0</v>
      </c>
      <c r="F37" s="56">
        <v>6300000.0</v>
      </c>
      <c r="G37" s="56">
        <v>1.7E7</v>
      </c>
      <c r="H37" s="56">
        <v>2.2E7</v>
      </c>
      <c r="I37" s="56">
        <v>700000.0</v>
      </c>
      <c r="J37" s="56">
        <v>4600000.0</v>
      </c>
      <c r="K37" s="56">
        <v>2400000.0</v>
      </c>
      <c r="L37" s="56">
        <v>5400000.0</v>
      </c>
      <c r="M37" s="56">
        <v>240000.0</v>
      </c>
      <c r="N37" s="56">
        <v>3500000.0</v>
      </c>
      <c r="O37" s="56">
        <v>2.4E7</v>
      </c>
      <c r="P37" s="23" t="s">
        <v>24</v>
      </c>
    </row>
    <row r="38" ht="15.75" customHeight="1">
      <c r="A38" s="25"/>
      <c r="B38" s="26"/>
      <c r="C38" s="27">
        <v>2.0</v>
      </c>
      <c r="D38" s="51" t="s">
        <v>43</v>
      </c>
      <c r="E38" s="57">
        <v>2.4E7</v>
      </c>
      <c r="F38" s="57">
        <v>1.6E7</v>
      </c>
      <c r="G38" s="57">
        <v>1.1E7</v>
      </c>
      <c r="H38" s="57">
        <v>5400000.0</v>
      </c>
      <c r="I38" s="57">
        <v>2400000.0</v>
      </c>
      <c r="J38" s="57">
        <v>3500000.0</v>
      </c>
      <c r="K38" s="57">
        <v>5400000.0</v>
      </c>
      <c r="L38" s="57">
        <v>2400000.0</v>
      </c>
      <c r="M38" s="57">
        <v>1300000.0</v>
      </c>
      <c r="N38" s="57">
        <v>9200000.0</v>
      </c>
      <c r="O38" s="57">
        <v>2600000.0</v>
      </c>
      <c r="P38" s="29" t="s">
        <v>24</v>
      </c>
    </row>
    <row r="39" ht="15.75" customHeight="1">
      <c r="A39" s="25"/>
      <c r="B39" s="26"/>
      <c r="C39" s="27">
        <v>3.0</v>
      </c>
      <c r="D39" s="51" t="s">
        <v>44</v>
      </c>
      <c r="E39" s="57">
        <v>1.3E7</v>
      </c>
      <c r="F39" s="57">
        <v>1.6E7</v>
      </c>
      <c r="G39" s="57">
        <v>1.1E7</v>
      </c>
      <c r="H39" s="57">
        <v>3500000.0</v>
      </c>
      <c r="I39" s="57">
        <v>9200000.0</v>
      </c>
      <c r="J39" s="57">
        <v>5.4E7</v>
      </c>
      <c r="K39" s="57">
        <v>9200000.0</v>
      </c>
      <c r="L39" s="57">
        <v>1.6E7</v>
      </c>
      <c r="M39" s="57">
        <v>2100000.0</v>
      </c>
      <c r="N39" s="57">
        <v>2.4E7</v>
      </c>
      <c r="O39" s="57">
        <v>1.7E7</v>
      </c>
      <c r="P39" s="29" t="s">
        <v>24</v>
      </c>
    </row>
    <row r="40" ht="15.75" customHeight="1">
      <c r="A40" s="25"/>
      <c r="B40" s="26"/>
      <c r="C40" s="27">
        <v>4.0</v>
      </c>
      <c r="D40" s="51" t="s">
        <v>45</v>
      </c>
      <c r="E40" s="57">
        <v>9200000.0</v>
      </c>
      <c r="F40" s="57">
        <v>9200000.0</v>
      </c>
      <c r="G40" s="57">
        <v>1.7E7</v>
      </c>
      <c r="H40" s="57">
        <v>350000.0</v>
      </c>
      <c r="I40" s="57">
        <v>7000000.0</v>
      </c>
      <c r="J40" s="57">
        <v>1700000.0</v>
      </c>
      <c r="K40" s="58">
        <v>5400000.0</v>
      </c>
      <c r="L40" s="57">
        <v>790000.0</v>
      </c>
      <c r="M40" s="57">
        <v>1.7E7</v>
      </c>
      <c r="N40" s="57">
        <v>2200000.0</v>
      </c>
      <c r="O40" s="57">
        <v>5400000.0</v>
      </c>
      <c r="P40" s="29" t="s">
        <v>24</v>
      </c>
    </row>
    <row r="41" ht="15.75" customHeight="1">
      <c r="A41" s="25"/>
      <c r="B41" s="31"/>
      <c r="C41" s="27">
        <v>5.0</v>
      </c>
      <c r="D41" s="51" t="s">
        <v>46</v>
      </c>
      <c r="E41" s="57">
        <v>2.4E7</v>
      </c>
      <c r="F41" s="57">
        <v>4600000.0</v>
      </c>
      <c r="G41" s="57">
        <v>9200000.0</v>
      </c>
      <c r="H41" s="57">
        <v>9200000.0</v>
      </c>
      <c r="I41" s="57">
        <v>3500000.0</v>
      </c>
      <c r="J41" s="57">
        <v>5400000.0</v>
      </c>
      <c r="K41" s="57">
        <v>5400000.0</v>
      </c>
      <c r="L41" s="57">
        <v>790000.0</v>
      </c>
      <c r="M41" s="57">
        <v>3.5E7</v>
      </c>
      <c r="N41" s="57">
        <v>9200000.0</v>
      </c>
      <c r="O41" s="57">
        <v>7000000.0</v>
      </c>
      <c r="P41" s="29" t="s">
        <v>24</v>
      </c>
    </row>
    <row r="42" ht="15.75" customHeight="1">
      <c r="A42" s="25"/>
      <c r="B42" s="32" t="s">
        <v>48</v>
      </c>
      <c r="C42" s="33">
        <v>1.0</v>
      </c>
      <c r="D42" s="48" t="s">
        <v>42</v>
      </c>
      <c r="E42" s="49" t="s">
        <v>24</v>
      </c>
      <c r="F42" s="49" t="s">
        <v>24</v>
      </c>
      <c r="G42" s="49" t="s">
        <v>24</v>
      </c>
      <c r="H42" s="49" t="s">
        <v>24</v>
      </c>
      <c r="I42" s="49" t="s">
        <v>24</v>
      </c>
      <c r="J42" s="49" t="s">
        <v>24</v>
      </c>
      <c r="K42" s="49" t="s">
        <v>24</v>
      </c>
      <c r="L42" s="49" t="s">
        <v>24</v>
      </c>
      <c r="M42" s="49" t="s">
        <v>24</v>
      </c>
      <c r="N42" s="49" t="s">
        <v>24</v>
      </c>
      <c r="O42" s="49" t="s">
        <v>24</v>
      </c>
      <c r="P42" s="23" t="s">
        <v>24</v>
      </c>
    </row>
    <row r="43" ht="15.75" customHeight="1">
      <c r="A43" s="25"/>
      <c r="B43" s="26"/>
      <c r="C43" s="27">
        <v>2.0</v>
      </c>
      <c r="D43" s="51" t="s">
        <v>43</v>
      </c>
      <c r="E43" s="53" t="s">
        <v>24</v>
      </c>
      <c r="F43" s="53" t="s">
        <v>24</v>
      </c>
      <c r="G43" s="53" t="s">
        <v>24</v>
      </c>
      <c r="H43" s="53" t="s">
        <v>24</v>
      </c>
      <c r="I43" s="53" t="s">
        <v>24</v>
      </c>
      <c r="J43" s="53" t="s">
        <v>24</v>
      </c>
      <c r="K43" s="53" t="s">
        <v>24</v>
      </c>
      <c r="L43" s="53" t="s">
        <v>24</v>
      </c>
      <c r="M43" s="53" t="s">
        <v>24</v>
      </c>
      <c r="N43" s="53" t="s">
        <v>24</v>
      </c>
      <c r="O43" s="53" t="s">
        <v>24</v>
      </c>
      <c r="P43" s="29" t="s">
        <v>24</v>
      </c>
    </row>
    <row r="44" ht="15.75" customHeight="1">
      <c r="A44" s="25"/>
      <c r="B44" s="26"/>
      <c r="C44" s="27">
        <v>3.0</v>
      </c>
      <c r="D44" s="51" t="s">
        <v>44</v>
      </c>
      <c r="E44" s="53" t="s">
        <v>24</v>
      </c>
      <c r="F44" s="53" t="s">
        <v>24</v>
      </c>
      <c r="G44" s="53" t="s">
        <v>24</v>
      </c>
      <c r="H44" s="53" t="s">
        <v>24</v>
      </c>
      <c r="I44" s="53" t="s">
        <v>24</v>
      </c>
      <c r="J44" s="53" t="s">
        <v>24</v>
      </c>
      <c r="K44" s="53" t="s">
        <v>24</v>
      </c>
      <c r="L44" s="53" t="s">
        <v>24</v>
      </c>
      <c r="M44" s="53" t="s">
        <v>24</v>
      </c>
      <c r="N44" s="53" t="s">
        <v>24</v>
      </c>
      <c r="O44" s="53" t="s">
        <v>24</v>
      </c>
      <c r="P44" s="29" t="s">
        <v>24</v>
      </c>
    </row>
    <row r="45" ht="15.75" customHeight="1">
      <c r="A45" s="25"/>
      <c r="B45" s="26"/>
      <c r="C45" s="27">
        <v>4.0</v>
      </c>
      <c r="D45" s="51" t="s">
        <v>45</v>
      </c>
      <c r="E45" s="53" t="s">
        <v>24</v>
      </c>
      <c r="F45" s="53" t="s">
        <v>24</v>
      </c>
      <c r="G45" s="53" t="s">
        <v>24</v>
      </c>
      <c r="H45" s="53" t="s">
        <v>24</v>
      </c>
      <c r="I45" s="53" t="s">
        <v>24</v>
      </c>
      <c r="J45" s="53" t="s">
        <v>24</v>
      </c>
      <c r="K45" s="53" t="s">
        <v>24</v>
      </c>
      <c r="L45" s="53" t="s">
        <v>24</v>
      </c>
      <c r="M45" s="53" t="s">
        <v>24</v>
      </c>
      <c r="N45" s="53" t="s">
        <v>24</v>
      </c>
      <c r="O45" s="53" t="s">
        <v>24</v>
      </c>
      <c r="P45" s="29" t="s">
        <v>24</v>
      </c>
    </row>
    <row r="46" ht="15.75" customHeight="1">
      <c r="A46" s="25"/>
      <c r="B46" s="31"/>
      <c r="C46" s="27">
        <v>5.0</v>
      </c>
      <c r="D46" s="51" t="s">
        <v>46</v>
      </c>
      <c r="E46" s="53" t="s">
        <v>24</v>
      </c>
      <c r="F46" s="53" t="s">
        <v>24</v>
      </c>
      <c r="G46" s="53" t="s">
        <v>24</v>
      </c>
      <c r="H46" s="53" t="s">
        <v>24</v>
      </c>
      <c r="I46" s="53" t="s">
        <v>24</v>
      </c>
      <c r="J46" s="53" t="s">
        <v>24</v>
      </c>
      <c r="K46" s="53" t="s">
        <v>24</v>
      </c>
      <c r="L46" s="53" t="s">
        <v>24</v>
      </c>
      <c r="M46" s="53" t="s">
        <v>24</v>
      </c>
      <c r="N46" s="53" t="s">
        <v>24</v>
      </c>
      <c r="O46" s="53" t="s">
        <v>24</v>
      </c>
      <c r="P46" s="29" t="s">
        <v>24</v>
      </c>
    </row>
    <row r="47" ht="15.75" customHeight="1">
      <c r="A47" s="25"/>
      <c r="B47" s="32" t="s">
        <v>49</v>
      </c>
      <c r="C47" s="33">
        <v>1.0</v>
      </c>
      <c r="D47" s="48" t="s">
        <v>42</v>
      </c>
      <c r="E47" s="49" t="s">
        <v>38</v>
      </c>
      <c r="F47" s="49">
        <v>0.305</v>
      </c>
      <c r="G47" s="49">
        <v>0.185</v>
      </c>
      <c r="H47" s="49">
        <v>0.313</v>
      </c>
      <c r="I47" s="49" t="s">
        <v>38</v>
      </c>
      <c r="J47" s="49">
        <v>0.095</v>
      </c>
      <c r="K47" s="49">
        <v>0.188</v>
      </c>
      <c r="L47" s="49" t="s">
        <v>38</v>
      </c>
      <c r="M47" s="49">
        <v>0.587</v>
      </c>
      <c r="N47" s="49">
        <v>0.505</v>
      </c>
      <c r="O47" s="59">
        <v>0.44</v>
      </c>
      <c r="P47" s="23" t="s">
        <v>24</v>
      </c>
    </row>
    <row r="48" ht="15.75" customHeight="1">
      <c r="A48" s="25"/>
      <c r="B48" s="26"/>
      <c r="C48" s="27">
        <v>2.0</v>
      </c>
      <c r="D48" s="51" t="s">
        <v>43</v>
      </c>
      <c r="E48" s="53">
        <v>0.421</v>
      </c>
      <c r="F48" s="53" t="s">
        <v>38</v>
      </c>
      <c r="G48" s="53">
        <v>0.207</v>
      </c>
      <c r="H48" s="53">
        <v>0.239</v>
      </c>
      <c r="I48" s="53" t="s">
        <v>38</v>
      </c>
      <c r="J48" s="53">
        <v>0.756</v>
      </c>
      <c r="K48" s="53">
        <v>0.086</v>
      </c>
      <c r="L48" s="53" t="s">
        <v>38</v>
      </c>
      <c r="M48" s="53" t="s">
        <v>38</v>
      </c>
      <c r="N48" s="53">
        <v>0.277</v>
      </c>
      <c r="O48" s="53">
        <v>0.061</v>
      </c>
      <c r="P48" s="29" t="s">
        <v>24</v>
      </c>
    </row>
    <row r="49" ht="15.75" customHeight="1">
      <c r="A49" s="25"/>
      <c r="B49" s="26"/>
      <c r="C49" s="27">
        <v>3.0</v>
      </c>
      <c r="D49" s="51" t="s">
        <v>44</v>
      </c>
      <c r="E49" s="53">
        <v>0.608</v>
      </c>
      <c r="F49" s="53" t="s">
        <v>38</v>
      </c>
      <c r="G49" s="53">
        <v>0.166</v>
      </c>
      <c r="H49" s="53">
        <v>0.294</v>
      </c>
      <c r="I49" s="53" t="s">
        <v>38</v>
      </c>
      <c r="J49" s="53">
        <v>0.652</v>
      </c>
      <c r="K49" s="53" t="s">
        <v>38</v>
      </c>
      <c r="L49" s="53" t="s">
        <v>38</v>
      </c>
      <c r="M49" s="53">
        <v>0.075</v>
      </c>
      <c r="N49" s="53">
        <v>0.189</v>
      </c>
      <c r="O49" s="53">
        <v>0.117</v>
      </c>
      <c r="P49" s="29" t="s">
        <v>24</v>
      </c>
    </row>
    <row r="50" ht="15.75" customHeight="1">
      <c r="A50" s="25"/>
      <c r="B50" s="26"/>
      <c r="C50" s="27">
        <v>4.0</v>
      </c>
      <c r="D50" s="51" t="s">
        <v>45</v>
      </c>
      <c r="E50" s="53">
        <v>0.197</v>
      </c>
      <c r="F50" s="53" t="s">
        <v>38</v>
      </c>
      <c r="G50" s="53">
        <v>0.082</v>
      </c>
      <c r="H50" s="53">
        <v>0.201</v>
      </c>
      <c r="I50" s="53" t="s">
        <v>38</v>
      </c>
      <c r="J50" s="53">
        <v>0.637</v>
      </c>
      <c r="K50" s="53" t="s">
        <v>38</v>
      </c>
      <c r="L50" s="53" t="s">
        <v>38</v>
      </c>
      <c r="M50" s="53" t="s">
        <v>38</v>
      </c>
      <c r="N50" s="53">
        <v>0.096</v>
      </c>
      <c r="O50" s="53">
        <v>0.168</v>
      </c>
      <c r="P50" s="29" t="s">
        <v>24</v>
      </c>
    </row>
    <row r="51" ht="15.75" customHeight="1">
      <c r="A51" s="25"/>
      <c r="B51" s="31"/>
      <c r="C51" s="27">
        <v>5.0</v>
      </c>
      <c r="D51" s="51" t="s">
        <v>46</v>
      </c>
      <c r="E51" s="53">
        <v>0.264</v>
      </c>
      <c r="F51" s="53" t="s">
        <v>38</v>
      </c>
      <c r="G51" s="53" t="s">
        <v>38</v>
      </c>
      <c r="H51" s="53">
        <v>0.354</v>
      </c>
      <c r="I51" s="53" t="s">
        <v>38</v>
      </c>
      <c r="J51" s="53">
        <v>1.482</v>
      </c>
      <c r="K51" s="53" t="s">
        <v>38</v>
      </c>
      <c r="L51" s="53" t="s">
        <v>38</v>
      </c>
      <c r="M51" s="53" t="s">
        <v>38</v>
      </c>
      <c r="N51" s="53">
        <v>0.144</v>
      </c>
      <c r="O51" s="53">
        <v>0.145</v>
      </c>
      <c r="P51" s="29" t="s">
        <v>24</v>
      </c>
    </row>
    <row r="52" ht="15.75" customHeight="1">
      <c r="A52" s="25"/>
      <c r="B52" s="32" t="s">
        <v>50</v>
      </c>
      <c r="C52" s="33">
        <v>1.0</v>
      </c>
      <c r="D52" s="48" t="s">
        <v>42</v>
      </c>
      <c r="E52" s="49">
        <v>2.757</v>
      </c>
      <c r="F52" s="49">
        <v>5.051</v>
      </c>
      <c r="G52" s="49">
        <v>4.606</v>
      </c>
      <c r="H52" s="49">
        <v>3.905</v>
      </c>
      <c r="I52" s="49">
        <v>3103.0</v>
      </c>
      <c r="J52" s="49">
        <v>3.758</v>
      </c>
      <c r="K52" s="49">
        <v>1.884</v>
      </c>
      <c r="L52" s="49">
        <v>2.266</v>
      </c>
      <c r="M52" s="49">
        <v>0.698</v>
      </c>
      <c r="N52" s="59">
        <v>0.76</v>
      </c>
      <c r="O52" s="59">
        <v>3.62</v>
      </c>
      <c r="P52" s="23" t="s">
        <v>24</v>
      </c>
    </row>
    <row r="53" ht="15.75" customHeight="1">
      <c r="A53" s="25"/>
      <c r="B53" s="26"/>
      <c r="C53" s="27">
        <v>2.0</v>
      </c>
      <c r="D53" s="51" t="s">
        <v>43</v>
      </c>
      <c r="E53" s="53">
        <v>1.444</v>
      </c>
      <c r="F53" s="53">
        <v>1.6</v>
      </c>
      <c r="G53" s="53">
        <v>2.185</v>
      </c>
      <c r="H53" s="53">
        <v>1.541</v>
      </c>
      <c r="I53" s="53">
        <v>1578.0</v>
      </c>
      <c r="J53" s="53">
        <v>1.285</v>
      </c>
      <c r="K53" s="53">
        <v>1.613</v>
      </c>
      <c r="L53" s="53">
        <v>1.351</v>
      </c>
      <c r="M53" s="53">
        <v>0.648</v>
      </c>
      <c r="N53" s="53">
        <v>0.911</v>
      </c>
      <c r="O53" s="60">
        <v>1.917</v>
      </c>
      <c r="P53" s="29" t="s">
        <v>24</v>
      </c>
    </row>
    <row r="54" ht="15.75" customHeight="1">
      <c r="A54" s="25"/>
      <c r="B54" s="26"/>
      <c r="C54" s="27">
        <v>3.0</v>
      </c>
      <c r="D54" s="51" t="s">
        <v>44</v>
      </c>
      <c r="E54" s="53">
        <v>1.391</v>
      </c>
      <c r="F54" s="53">
        <v>1.264</v>
      </c>
      <c r="G54" s="53">
        <v>2.133</v>
      </c>
      <c r="H54" s="53">
        <v>1.69</v>
      </c>
      <c r="I54" s="53">
        <v>1598.0</v>
      </c>
      <c r="J54" s="60">
        <v>1.21</v>
      </c>
      <c r="K54" s="53">
        <v>1.641</v>
      </c>
      <c r="L54" s="53">
        <v>1.149</v>
      </c>
      <c r="M54" s="53">
        <v>0.804</v>
      </c>
      <c r="N54" s="53">
        <v>0.698</v>
      </c>
      <c r="O54" s="60">
        <v>1.881</v>
      </c>
      <c r="P54" s="29" t="s">
        <v>24</v>
      </c>
    </row>
    <row r="55" ht="15.75" customHeight="1">
      <c r="A55" s="25"/>
      <c r="B55" s="26"/>
      <c r="C55" s="27">
        <v>4.0</v>
      </c>
      <c r="D55" s="51" t="s">
        <v>45</v>
      </c>
      <c r="E55" s="53">
        <v>1.231</v>
      </c>
      <c r="F55" s="53">
        <v>1.433</v>
      </c>
      <c r="G55" s="53">
        <v>2.383</v>
      </c>
      <c r="H55" s="53">
        <v>1.669</v>
      </c>
      <c r="I55" s="53">
        <v>1585.0</v>
      </c>
      <c r="J55" s="53">
        <v>1.315</v>
      </c>
      <c r="K55" s="53">
        <v>1.648</v>
      </c>
      <c r="L55" s="53">
        <v>1.469</v>
      </c>
      <c r="M55" s="60">
        <v>0.67</v>
      </c>
      <c r="N55" s="53">
        <v>0.975</v>
      </c>
      <c r="O55" s="60">
        <v>1.827</v>
      </c>
      <c r="P55" s="29" t="s">
        <v>24</v>
      </c>
    </row>
    <row r="56" ht="15.75" customHeight="1">
      <c r="A56" s="25"/>
      <c r="B56" s="31"/>
      <c r="C56" s="27">
        <v>5.0</v>
      </c>
      <c r="D56" s="51" t="s">
        <v>46</v>
      </c>
      <c r="E56" s="60">
        <v>1.16</v>
      </c>
      <c r="F56" s="53">
        <v>1.502</v>
      </c>
      <c r="G56" s="53">
        <v>0.89</v>
      </c>
      <c r="H56" s="53">
        <v>1.688</v>
      </c>
      <c r="I56" s="53">
        <v>1863.0</v>
      </c>
      <c r="J56" s="53">
        <v>1.387</v>
      </c>
      <c r="K56" s="53">
        <v>1.536</v>
      </c>
      <c r="L56" s="53">
        <v>1.274</v>
      </c>
      <c r="M56" s="53">
        <v>0.692</v>
      </c>
      <c r="N56" s="53">
        <v>0.953</v>
      </c>
      <c r="O56" s="60">
        <v>1.755</v>
      </c>
      <c r="P56" s="29" t="s">
        <v>24</v>
      </c>
    </row>
    <row r="57" ht="15.75" customHeight="1">
      <c r="A57" s="25"/>
      <c r="B57" s="32" t="s">
        <v>51</v>
      </c>
      <c r="C57" s="33">
        <v>1.0</v>
      </c>
      <c r="D57" s="48" t="s">
        <v>42</v>
      </c>
      <c r="E57" s="49">
        <v>83.0</v>
      </c>
      <c r="F57" s="56">
        <v>146.0</v>
      </c>
      <c r="G57" s="49">
        <v>119.0</v>
      </c>
      <c r="H57" s="49">
        <v>79.0</v>
      </c>
      <c r="I57" s="49">
        <v>89.0</v>
      </c>
      <c r="J57" s="49">
        <v>137.0</v>
      </c>
      <c r="K57" s="49">
        <v>68.0</v>
      </c>
      <c r="L57" s="61">
        <v>73.0</v>
      </c>
      <c r="M57" s="59">
        <v>30.0</v>
      </c>
      <c r="N57" s="49">
        <v>36.0</v>
      </c>
      <c r="O57" s="49">
        <v>1754.0</v>
      </c>
      <c r="P57" s="23" t="s">
        <v>24</v>
      </c>
    </row>
    <row r="58" ht="15.75" customHeight="1">
      <c r="A58" s="25"/>
      <c r="B58" s="26"/>
      <c r="C58" s="27">
        <v>2.0</v>
      </c>
      <c r="D58" s="51" t="s">
        <v>43</v>
      </c>
      <c r="E58" s="53">
        <v>787.0</v>
      </c>
      <c r="F58" s="57">
        <v>175.0</v>
      </c>
      <c r="G58" s="53">
        <v>1390.0</v>
      </c>
      <c r="H58" s="53">
        <v>2233.0</v>
      </c>
      <c r="I58" s="53">
        <v>1141.0</v>
      </c>
      <c r="J58" s="53">
        <v>1269.0</v>
      </c>
      <c r="K58" s="53">
        <v>244.0</v>
      </c>
      <c r="L58" s="53">
        <v>83.0</v>
      </c>
      <c r="M58" s="53">
        <v>32.0</v>
      </c>
      <c r="N58" s="53">
        <v>57.0</v>
      </c>
      <c r="O58" s="53">
        <v>794.0</v>
      </c>
      <c r="P58" s="29" t="s">
        <v>24</v>
      </c>
    </row>
    <row r="59" ht="15.75" customHeight="1">
      <c r="A59" s="25"/>
      <c r="B59" s="26"/>
      <c r="C59" s="27">
        <v>3.0</v>
      </c>
      <c r="D59" s="51" t="s">
        <v>44</v>
      </c>
      <c r="E59" s="53">
        <v>826.0</v>
      </c>
      <c r="F59" s="57">
        <v>68.0</v>
      </c>
      <c r="G59" s="53">
        <v>1290.0</v>
      </c>
      <c r="H59" s="53">
        <v>2134.0</v>
      </c>
      <c r="I59" s="53">
        <v>1191.0</v>
      </c>
      <c r="J59" s="53">
        <v>1367.0</v>
      </c>
      <c r="K59" s="53">
        <v>127.0</v>
      </c>
      <c r="L59" s="53">
        <v>29.0</v>
      </c>
      <c r="M59" s="53">
        <v>57.0</v>
      </c>
      <c r="N59" s="53">
        <v>59.0</v>
      </c>
      <c r="O59" s="53">
        <v>872.0</v>
      </c>
      <c r="P59" s="29" t="s">
        <v>24</v>
      </c>
    </row>
    <row r="60" ht="15.75" customHeight="1">
      <c r="A60" s="25"/>
      <c r="B60" s="26"/>
      <c r="C60" s="27">
        <v>4.0</v>
      </c>
      <c r="D60" s="51" t="s">
        <v>45</v>
      </c>
      <c r="E60" s="53">
        <v>777.0</v>
      </c>
      <c r="F60" s="57">
        <v>1098.0</v>
      </c>
      <c r="G60" s="53">
        <v>1171.0</v>
      </c>
      <c r="H60" s="53">
        <v>2680.0</v>
      </c>
      <c r="I60" s="53">
        <v>1042.0</v>
      </c>
      <c r="J60" s="53">
        <v>1416.0</v>
      </c>
      <c r="K60" s="53">
        <v>137.0</v>
      </c>
      <c r="L60" s="53">
        <v>342.0</v>
      </c>
      <c r="M60" s="53">
        <v>35.0</v>
      </c>
      <c r="N60" s="53">
        <v>76.0</v>
      </c>
      <c r="O60" s="53">
        <v>794.0</v>
      </c>
      <c r="P60" s="29" t="s">
        <v>24</v>
      </c>
    </row>
    <row r="61" ht="15.75" customHeight="1">
      <c r="A61" s="25"/>
      <c r="B61" s="31"/>
      <c r="C61" s="27">
        <v>5.0</v>
      </c>
      <c r="D61" s="51" t="s">
        <v>46</v>
      </c>
      <c r="E61" s="53">
        <v>826.0</v>
      </c>
      <c r="F61" s="57">
        <v>2283.0</v>
      </c>
      <c r="G61" s="53">
        <v>2432.0</v>
      </c>
      <c r="H61" s="53">
        <v>1985.0</v>
      </c>
      <c r="I61" s="53">
        <v>1141.0</v>
      </c>
      <c r="J61" s="53">
        <v>1318.0</v>
      </c>
      <c r="K61" s="53">
        <v>146.0</v>
      </c>
      <c r="L61" s="53">
        <v>854.0</v>
      </c>
      <c r="M61" s="53">
        <v>32.0</v>
      </c>
      <c r="N61" s="53">
        <v>65.0</v>
      </c>
      <c r="O61" s="53">
        <v>951.0</v>
      </c>
      <c r="P61" s="29" t="s">
        <v>24</v>
      </c>
    </row>
    <row r="62" ht="15.75" customHeight="1"/>
    <row r="63" ht="15.75" customHeight="1">
      <c r="A63" s="62" t="s">
        <v>52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P1"/>
    <mergeCell ref="A2:P2"/>
    <mergeCell ref="A3:P3"/>
    <mergeCell ref="A5:P5"/>
    <mergeCell ref="A6:P6"/>
    <mergeCell ref="B7:B11"/>
    <mergeCell ref="B12:B16"/>
    <mergeCell ref="B52:B56"/>
    <mergeCell ref="B57:B61"/>
    <mergeCell ref="B17:B21"/>
    <mergeCell ref="B22:B26"/>
    <mergeCell ref="B27:B31"/>
    <mergeCell ref="B32:B36"/>
    <mergeCell ref="B37:B41"/>
    <mergeCell ref="B42:B46"/>
    <mergeCell ref="B47:B51"/>
  </mergeCells>
  <printOptions horizontalCentered="1" verticalCentered="1"/>
  <pageMargins bottom="0.0" footer="0.0" header="0.0" left="0.0" right="0.0" top="0.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7.43"/>
    <col customWidth="1" min="3" max="3" width="11.0"/>
    <col customWidth="1" min="4" max="4" width="48.71"/>
    <col customWidth="1" min="5" max="5" width="14.0"/>
    <col customWidth="1" min="6" max="6" width="15.86"/>
    <col customWidth="1" min="7" max="7" width="14.0"/>
    <col customWidth="1" min="8" max="9" width="12.0"/>
    <col customWidth="1" min="10" max="11" width="14.29"/>
    <col customWidth="1" min="12" max="12" width="14.0"/>
    <col customWidth="1" min="13" max="13" width="14.29"/>
    <col customWidth="1" min="14" max="14" width="14.0"/>
    <col customWidth="1" min="15" max="15" width="15.86"/>
    <col customWidth="1" min="16" max="16" width="13.14"/>
    <col customWidth="1" min="17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>
      <c r="A4" s="10" t="s">
        <v>3</v>
      </c>
      <c r="B4" s="11" t="s">
        <v>4</v>
      </c>
      <c r="C4" s="11" t="s">
        <v>5</v>
      </c>
      <c r="D4" s="11" t="s">
        <v>6</v>
      </c>
      <c r="E4" s="12" t="s">
        <v>7</v>
      </c>
      <c r="F4" s="12" t="s">
        <v>8</v>
      </c>
      <c r="G4" s="11" t="s">
        <v>9</v>
      </c>
      <c r="H4" s="11" t="s">
        <v>10</v>
      </c>
      <c r="I4" s="11" t="s">
        <v>11</v>
      </c>
      <c r="J4" s="11" t="s">
        <v>12</v>
      </c>
      <c r="K4" s="12" t="s">
        <v>13</v>
      </c>
      <c r="L4" s="12" t="s">
        <v>14</v>
      </c>
      <c r="M4" s="11" t="s">
        <v>15</v>
      </c>
      <c r="N4" s="11" t="s">
        <v>16</v>
      </c>
      <c r="O4" s="11" t="s">
        <v>17</v>
      </c>
      <c r="P4" s="11" t="s">
        <v>18</v>
      </c>
    </row>
    <row r="5">
      <c r="A5" s="13" t="s">
        <v>53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5"/>
    </row>
    <row r="6">
      <c r="A6" s="16" t="s">
        <v>54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8"/>
    </row>
    <row r="7">
      <c r="A7" s="19" t="s">
        <v>21</v>
      </c>
      <c r="B7" s="20" t="s">
        <v>22</v>
      </c>
      <c r="C7" s="21">
        <v>1.0</v>
      </c>
      <c r="D7" s="48" t="s">
        <v>55</v>
      </c>
      <c r="E7" s="49">
        <v>1.5</v>
      </c>
      <c r="F7" s="50">
        <v>3.6</v>
      </c>
      <c r="G7" s="49">
        <v>6.5</v>
      </c>
      <c r="H7" s="50">
        <v>5.6</v>
      </c>
      <c r="I7" s="50">
        <v>4.9</v>
      </c>
      <c r="J7" s="50">
        <v>6.5</v>
      </c>
      <c r="K7" s="49">
        <v>2.15</v>
      </c>
      <c r="L7" s="50">
        <v>6.18</v>
      </c>
      <c r="M7" s="49">
        <v>1.75</v>
      </c>
      <c r="N7" s="49">
        <v>3.21</v>
      </c>
      <c r="O7" s="50">
        <v>4.5</v>
      </c>
      <c r="P7" s="23" t="s">
        <v>24</v>
      </c>
    </row>
    <row r="8">
      <c r="A8" s="25"/>
      <c r="B8" s="26"/>
      <c r="C8" s="27">
        <v>2.0</v>
      </c>
      <c r="D8" s="51" t="s">
        <v>56</v>
      </c>
      <c r="E8" s="54">
        <v>1.0</v>
      </c>
      <c r="F8" s="53">
        <v>1.16</v>
      </c>
      <c r="G8" s="53">
        <v>1.77</v>
      </c>
      <c r="H8" s="53">
        <v>3.07</v>
      </c>
      <c r="I8" s="54">
        <v>1.2</v>
      </c>
      <c r="J8" s="54">
        <v>1.9</v>
      </c>
      <c r="K8" s="54">
        <v>0.5</v>
      </c>
      <c r="L8" s="54">
        <v>4.81</v>
      </c>
      <c r="M8" s="54">
        <v>1.2</v>
      </c>
      <c r="N8" s="54">
        <v>1.3</v>
      </c>
      <c r="O8" s="54">
        <v>1.28</v>
      </c>
      <c r="P8" s="29" t="s">
        <v>24</v>
      </c>
    </row>
    <row r="9">
      <c r="A9" s="25"/>
      <c r="B9" s="31"/>
      <c r="C9" s="27">
        <v>3.0</v>
      </c>
      <c r="D9" s="51" t="s">
        <v>57</v>
      </c>
      <c r="E9" s="53">
        <v>0.7</v>
      </c>
      <c r="F9" s="53">
        <v>1.27</v>
      </c>
      <c r="G9" s="53">
        <v>4.78</v>
      </c>
      <c r="H9" s="54">
        <v>4.2</v>
      </c>
      <c r="I9" s="54">
        <v>4.5</v>
      </c>
      <c r="J9" s="53">
        <v>4.81</v>
      </c>
      <c r="K9" s="53">
        <v>0.65</v>
      </c>
      <c r="L9" s="54">
        <v>5.79</v>
      </c>
      <c r="M9" s="53">
        <v>2.95</v>
      </c>
      <c r="N9" s="54">
        <v>1.1</v>
      </c>
      <c r="O9" s="54">
        <v>1.4</v>
      </c>
      <c r="P9" s="29" t="s">
        <v>24</v>
      </c>
    </row>
    <row r="10">
      <c r="A10" s="25"/>
      <c r="B10" s="32" t="s">
        <v>29</v>
      </c>
      <c r="C10" s="33">
        <v>1.0</v>
      </c>
      <c r="D10" s="48" t="s">
        <v>55</v>
      </c>
      <c r="E10" s="49">
        <v>132.0</v>
      </c>
      <c r="F10" s="49">
        <v>14.0</v>
      </c>
      <c r="G10" s="49">
        <v>36.0</v>
      </c>
      <c r="H10" s="49">
        <v>26.0</v>
      </c>
      <c r="I10" s="49">
        <v>19.0</v>
      </c>
      <c r="J10" s="49">
        <v>30.0</v>
      </c>
      <c r="K10" s="49">
        <v>14.0</v>
      </c>
      <c r="L10" s="49">
        <v>15.0</v>
      </c>
      <c r="M10" s="49">
        <v>8.0</v>
      </c>
      <c r="N10" s="49">
        <v>16.0</v>
      </c>
      <c r="O10" s="49">
        <v>14.0</v>
      </c>
      <c r="P10" s="23" t="s">
        <v>24</v>
      </c>
    </row>
    <row r="11">
      <c r="A11" s="25"/>
      <c r="B11" s="26"/>
      <c r="C11" s="27">
        <v>2.0</v>
      </c>
      <c r="D11" s="51" t="s">
        <v>56</v>
      </c>
      <c r="E11" s="53">
        <v>88.0</v>
      </c>
      <c r="F11" s="53">
        <v>131.0</v>
      </c>
      <c r="G11" s="53">
        <v>26.0</v>
      </c>
      <c r="H11" s="52">
        <v>4.0</v>
      </c>
      <c r="I11" s="53">
        <v>36.0</v>
      </c>
      <c r="J11" s="53">
        <v>22.0</v>
      </c>
      <c r="K11" s="53">
        <v>76.0</v>
      </c>
      <c r="L11" s="53">
        <v>15.0</v>
      </c>
      <c r="M11" s="53">
        <v>8.0</v>
      </c>
      <c r="N11" s="53">
        <v>34.0</v>
      </c>
      <c r="O11" s="53">
        <v>28.0</v>
      </c>
      <c r="P11" s="29" t="s">
        <v>24</v>
      </c>
    </row>
    <row r="12">
      <c r="A12" s="25"/>
      <c r="B12" s="31"/>
      <c r="C12" s="27">
        <v>3.0</v>
      </c>
      <c r="D12" s="51" t="s">
        <v>57</v>
      </c>
      <c r="E12" s="53">
        <v>97.0</v>
      </c>
      <c r="F12" s="53">
        <v>22.0</v>
      </c>
      <c r="G12" s="53">
        <v>18.0</v>
      </c>
      <c r="H12" s="52">
        <v>2.0</v>
      </c>
      <c r="I12" s="53">
        <v>14.0</v>
      </c>
      <c r="J12" s="53">
        <v>23.0</v>
      </c>
      <c r="K12" s="53">
        <v>24.0</v>
      </c>
      <c r="L12" s="53">
        <v>11.0</v>
      </c>
      <c r="M12" s="53">
        <v>13.0</v>
      </c>
      <c r="N12" s="53">
        <v>26.0</v>
      </c>
      <c r="O12" s="63">
        <v>10.0</v>
      </c>
      <c r="P12" s="29" t="s">
        <v>24</v>
      </c>
    </row>
    <row r="13">
      <c r="A13" s="25"/>
      <c r="B13" s="32" t="s">
        <v>30</v>
      </c>
      <c r="C13" s="33">
        <v>1.0</v>
      </c>
      <c r="D13" s="48" t="s">
        <v>55</v>
      </c>
      <c r="E13" s="49">
        <v>43.0</v>
      </c>
      <c r="F13" s="49">
        <v>13.0</v>
      </c>
      <c r="G13" s="49">
        <v>19.0</v>
      </c>
      <c r="H13" s="49">
        <v>74.0</v>
      </c>
      <c r="I13" s="49">
        <v>19.0</v>
      </c>
      <c r="J13" s="49">
        <v>23.0</v>
      </c>
      <c r="K13" s="49">
        <v>20.0</v>
      </c>
      <c r="L13" s="49">
        <v>14.0</v>
      </c>
      <c r="M13" s="49">
        <v>14.0</v>
      </c>
      <c r="N13" s="49">
        <v>10.0</v>
      </c>
      <c r="O13" s="49">
        <v>10.0</v>
      </c>
      <c r="P13" s="23" t="s">
        <v>24</v>
      </c>
    </row>
    <row r="14">
      <c r="A14" s="25"/>
      <c r="B14" s="26"/>
      <c r="C14" s="27">
        <v>2.0</v>
      </c>
      <c r="D14" s="51" t="s">
        <v>56</v>
      </c>
      <c r="E14" s="53">
        <v>35.0</v>
      </c>
      <c r="F14" s="53">
        <v>48.0</v>
      </c>
      <c r="G14" s="53">
        <v>76.0</v>
      </c>
      <c r="H14" s="53">
        <v>97.0</v>
      </c>
      <c r="I14" s="53">
        <v>65.0</v>
      </c>
      <c r="J14" s="53">
        <v>52.0</v>
      </c>
      <c r="K14" s="53">
        <v>69.0</v>
      </c>
      <c r="L14" s="53">
        <v>26.0</v>
      </c>
      <c r="M14" s="53">
        <v>13.0</v>
      </c>
      <c r="N14" s="53">
        <v>34.0</v>
      </c>
      <c r="O14" s="53">
        <v>50.0</v>
      </c>
      <c r="P14" s="29" t="s">
        <v>24</v>
      </c>
    </row>
    <row r="15">
      <c r="A15" s="25"/>
      <c r="B15" s="31"/>
      <c r="C15" s="27">
        <v>3.0</v>
      </c>
      <c r="D15" s="51" t="s">
        <v>57</v>
      </c>
      <c r="E15" s="53">
        <v>67.0</v>
      </c>
      <c r="F15" s="53">
        <v>33.0</v>
      </c>
      <c r="G15" s="53">
        <v>52.0</v>
      </c>
      <c r="H15" s="53">
        <v>95.0</v>
      </c>
      <c r="I15" s="53">
        <v>73.0</v>
      </c>
      <c r="J15" s="53">
        <v>115.0</v>
      </c>
      <c r="K15" s="53">
        <v>79.0</v>
      </c>
      <c r="L15" s="53">
        <v>26.0</v>
      </c>
      <c r="M15" s="53">
        <v>41.0</v>
      </c>
      <c r="N15" s="53">
        <v>46.0</v>
      </c>
      <c r="O15" s="53">
        <v>83.0</v>
      </c>
      <c r="P15" s="29" t="s">
        <v>24</v>
      </c>
    </row>
    <row r="16">
      <c r="A16" s="25"/>
      <c r="B16" s="32" t="s">
        <v>31</v>
      </c>
      <c r="C16" s="33">
        <v>1.0</v>
      </c>
      <c r="D16" s="48" t="s">
        <v>55</v>
      </c>
      <c r="E16" s="50">
        <v>7.2</v>
      </c>
      <c r="F16" s="49">
        <v>7.35</v>
      </c>
      <c r="G16" s="49">
        <v>7.83</v>
      </c>
      <c r="H16" s="49">
        <v>7.79</v>
      </c>
      <c r="I16" s="49">
        <v>7.41</v>
      </c>
      <c r="J16" s="49">
        <v>7.96</v>
      </c>
      <c r="K16" s="49">
        <v>7.45</v>
      </c>
      <c r="L16" s="49">
        <v>8.49</v>
      </c>
      <c r="M16" s="49">
        <v>6.64</v>
      </c>
      <c r="N16" s="50">
        <v>7.0</v>
      </c>
      <c r="O16" s="50">
        <v>7.4</v>
      </c>
      <c r="P16" s="23" t="s">
        <v>24</v>
      </c>
    </row>
    <row r="17">
      <c r="A17" s="25"/>
      <c r="B17" s="26"/>
      <c r="C17" s="27">
        <v>2.0</v>
      </c>
      <c r="D17" s="51" t="s">
        <v>56</v>
      </c>
      <c r="E17" s="64">
        <v>7.15</v>
      </c>
      <c r="F17" s="65">
        <v>7.65</v>
      </c>
      <c r="G17" s="65">
        <v>7.43</v>
      </c>
      <c r="H17" s="65">
        <v>7.55</v>
      </c>
      <c r="I17" s="65">
        <v>7.39</v>
      </c>
      <c r="J17" s="65">
        <v>7.21</v>
      </c>
      <c r="K17" s="65">
        <v>7.36</v>
      </c>
      <c r="L17" s="64">
        <v>8.2</v>
      </c>
      <c r="M17" s="65">
        <v>6.93</v>
      </c>
      <c r="N17" s="65">
        <v>7.12</v>
      </c>
      <c r="O17" s="64">
        <v>7.15</v>
      </c>
      <c r="P17" s="29" t="s">
        <v>24</v>
      </c>
    </row>
    <row r="18">
      <c r="A18" s="25"/>
      <c r="B18" s="31"/>
      <c r="C18" s="27">
        <v>3.0</v>
      </c>
      <c r="D18" s="51" t="s">
        <v>57</v>
      </c>
      <c r="E18" s="54">
        <v>7.3</v>
      </c>
      <c r="F18" s="53">
        <v>7.76</v>
      </c>
      <c r="G18" s="53">
        <v>7.79</v>
      </c>
      <c r="H18" s="53">
        <v>7.64</v>
      </c>
      <c r="I18" s="53">
        <v>7.49</v>
      </c>
      <c r="J18" s="54">
        <v>7.8</v>
      </c>
      <c r="K18" s="53">
        <v>7.54</v>
      </c>
      <c r="L18" s="54">
        <v>8.3</v>
      </c>
      <c r="M18" s="53">
        <v>7.25</v>
      </c>
      <c r="N18" s="53">
        <v>7.42</v>
      </c>
      <c r="O18" s="54">
        <v>7.41</v>
      </c>
      <c r="P18" s="29" t="s">
        <v>24</v>
      </c>
    </row>
    <row r="19">
      <c r="A19" s="25"/>
      <c r="B19" s="32" t="s">
        <v>58</v>
      </c>
      <c r="C19" s="33">
        <v>1.0</v>
      </c>
      <c r="D19" s="48" t="s">
        <v>55</v>
      </c>
      <c r="E19" s="50">
        <v>26.7</v>
      </c>
      <c r="F19" s="49">
        <v>26.1</v>
      </c>
      <c r="G19" s="49">
        <v>29.1</v>
      </c>
      <c r="H19" s="50">
        <v>32.2</v>
      </c>
      <c r="I19" s="50">
        <v>31.8</v>
      </c>
      <c r="J19" s="49">
        <v>33.68</v>
      </c>
      <c r="K19" s="50">
        <v>31.5</v>
      </c>
      <c r="L19" s="49">
        <v>34.18</v>
      </c>
      <c r="M19" s="50">
        <v>29.4</v>
      </c>
      <c r="N19" s="50">
        <v>30.3</v>
      </c>
      <c r="O19" s="50">
        <v>29.6</v>
      </c>
      <c r="P19" s="23" t="s">
        <v>24</v>
      </c>
    </row>
    <row r="20">
      <c r="A20" s="25"/>
      <c r="B20" s="26"/>
      <c r="C20" s="27">
        <v>2.0</v>
      </c>
      <c r="D20" s="51" t="s">
        <v>56</v>
      </c>
      <c r="E20" s="64">
        <v>27.2</v>
      </c>
      <c r="F20" s="66">
        <v>26.0</v>
      </c>
      <c r="G20" s="65">
        <v>29.2</v>
      </c>
      <c r="H20" s="65">
        <v>32.45</v>
      </c>
      <c r="I20" s="64">
        <v>32.1</v>
      </c>
      <c r="J20" s="64">
        <v>32.0</v>
      </c>
      <c r="K20" s="64">
        <v>30.4</v>
      </c>
      <c r="L20" s="64">
        <v>33.4</v>
      </c>
      <c r="M20" s="64">
        <v>30.2</v>
      </c>
      <c r="N20" s="64">
        <v>30.55</v>
      </c>
      <c r="O20" s="64">
        <v>29.4</v>
      </c>
      <c r="P20" s="29" t="s">
        <v>24</v>
      </c>
    </row>
    <row r="21" ht="15.75" customHeight="1">
      <c r="A21" s="25"/>
      <c r="B21" s="31"/>
      <c r="C21" s="27">
        <v>3.0</v>
      </c>
      <c r="D21" s="51" t="s">
        <v>57</v>
      </c>
      <c r="E21" s="54">
        <v>27.5</v>
      </c>
      <c r="F21" s="53">
        <v>26.5</v>
      </c>
      <c r="G21" s="53">
        <v>30.1</v>
      </c>
      <c r="H21" s="54">
        <v>32.2</v>
      </c>
      <c r="I21" s="54">
        <v>33.1</v>
      </c>
      <c r="J21" s="53">
        <v>32.75</v>
      </c>
      <c r="K21" s="54">
        <v>30.3</v>
      </c>
      <c r="L21" s="54">
        <v>33.5</v>
      </c>
      <c r="M21" s="54">
        <v>30.1</v>
      </c>
      <c r="N21" s="54">
        <v>30.8</v>
      </c>
      <c r="O21" s="54">
        <v>30.1</v>
      </c>
      <c r="P21" s="29" t="s">
        <v>24</v>
      </c>
    </row>
    <row r="22" ht="15.75" customHeight="1">
      <c r="A22" s="25"/>
      <c r="B22" s="32" t="s">
        <v>33</v>
      </c>
      <c r="C22" s="33">
        <v>1.0</v>
      </c>
      <c r="D22" s="48" t="s">
        <v>55</v>
      </c>
      <c r="E22" s="49">
        <v>20.0</v>
      </c>
      <c r="F22" s="49">
        <v>40.0</v>
      </c>
      <c r="G22" s="49">
        <v>60.0</v>
      </c>
      <c r="H22" s="49">
        <v>60.0</v>
      </c>
      <c r="I22" s="49">
        <v>80.0</v>
      </c>
      <c r="J22" s="49">
        <v>80.0</v>
      </c>
      <c r="K22" s="49">
        <v>100.0</v>
      </c>
      <c r="L22" s="49">
        <v>50.0</v>
      </c>
      <c r="M22" s="49">
        <v>40.0</v>
      </c>
      <c r="N22" s="49">
        <v>40.0</v>
      </c>
      <c r="O22" s="49">
        <v>40.0</v>
      </c>
      <c r="P22" s="23" t="s">
        <v>24</v>
      </c>
    </row>
    <row r="23" ht="15.75" customHeight="1">
      <c r="A23" s="25"/>
      <c r="B23" s="26"/>
      <c r="C23" s="27">
        <v>2.0</v>
      </c>
      <c r="D23" s="51" t="s">
        <v>56</v>
      </c>
      <c r="E23" s="53">
        <v>20.0</v>
      </c>
      <c r="F23" s="53">
        <v>40.0</v>
      </c>
      <c r="G23" s="53">
        <v>40.0</v>
      </c>
      <c r="H23" s="53">
        <v>30.0</v>
      </c>
      <c r="I23" s="53">
        <v>40.0</v>
      </c>
      <c r="J23" s="53">
        <v>40.0</v>
      </c>
      <c r="K23" s="53">
        <v>40.0</v>
      </c>
      <c r="L23" s="53">
        <v>30.0</v>
      </c>
      <c r="M23" s="53">
        <v>30.0</v>
      </c>
      <c r="N23" s="53">
        <v>20.0</v>
      </c>
      <c r="O23" s="53">
        <v>40.0</v>
      </c>
      <c r="P23" s="29" t="s">
        <v>24</v>
      </c>
    </row>
    <row r="24" ht="15.75" customHeight="1">
      <c r="A24" s="25"/>
      <c r="B24" s="31"/>
      <c r="C24" s="27">
        <v>3.0</v>
      </c>
      <c r="D24" s="51" t="s">
        <v>57</v>
      </c>
      <c r="E24" s="53">
        <v>30.0</v>
      </c>
      <c r="F24" s="53">
        <v>40.0</v>
      </c>
      <c r="G24" s="53">
        <v>40.0</v>
      </c>
      <c r="H24" s="53">
        <v>40.0</v>
      </c>
      <c r="I24" s="53">
        <v>40.0</v>
      </c>
      <c r="J24" s="53">
        <v>40.0</v>
      </c>
      <c r="K24" s="53">
        <v>40.0</v>
      </c>
      <c r="L24" s="53">
        <v>20.0</v>
      </c>
      <c r="M24" s="53">
        <v>40.0</v>
      </c>
      <c r="N24" s="53">
        <v>20.0</v>
      </c>
      <c r="O24" s="53">
        <v>20.0</v>
      </c>
      <c r="P24" s="29" t="s">
        <v>24</v>
      </c>
    </row>
    <row r="25" ht="15.75" customHeight="1">
      <c r="A25" s="25"/>
      <c r="B25" s="32" t="s">
        <v>34</v>
      </c>
      <c r="C25" s="33">
        <v>1.0</v>
      </c>
      <c r="D25" s="48" t="s">
        <v>55</v>
      </c>
      <c r="E25" s="56">
        <v>540000.0</v>
      </c>
      <c r="F25" s="56">
        <v>24000.0</v>
      </c>
      <c r="G25" s="56">
        <v>110000.0</v>
      </c>
      <c r="H25" s="56">
        <v>160000.0</v>
      </c>
      <c r="I25" s="56">
        <v>920000.0</v>
      </c>
      <c r="J25" s="56">
        <v>110000.0</v>
      </c>
      <c r="K25" s="56">
        <v>920000.0</v>
      </c>
      <c r="L25" s="56">
        <v>170000.0</v>
      </c>
      <c r="M25" s="56">
        <v>21000.0</v>
      </c>
      <c r="N25" s="56">
        <v>70000.0</v>
      </c>
      <c r="O25" s="56">
        <v>240000.0</v>
      </c>
      <c r="P25" s="23" t="s">
        <v>24</v>
      </c>
    </row>
    <row r="26" ht="15.75" customHeight="1">
      <c r="A26" s="25"/>
      <c r="B26" s="26"/>
      <c r="C26" s="27">
        <v>2.0</v>
      </c>
      <c r="D26" s="51" t="s">
        <v>56</v>
      </c>
      <c r="E26" s="57">
        <v>350000.0</v>
      </c>
      <c r="F26" s="57">
        <v>2400000.0</v>
      </c>
      <c r="G26" s="57">
        <v>540000.0</v>
      </c>
      <c r="H26" s="57">
        <v>28000.0</v>
      </c>
      <c r="I26" s="57">
        <v>220000.0</v>
      </c>
      <c r="J26" s="57">
        <v>540000.0</v>
      </c>
      <c r="K26" s="57">
        <v>220000.0</v>
      </c>
      <c r="L26" s="57">
        <v>33000.0</v>
      </c>
      <c r="M26" s="57">
        <v>110000.0</v>
      </c>
      <c r="N26" s="57">
        <v>350000.0</v>
      </c>
      <c r="O26" s="57">
        <v>2400000.0</v>
      </c>
      <c r="P26" s="29" t="s">
        <v>24</v>
      </c>
    </row>
    <row r="27" ht="15.75" customHeight="1">
      <c r="A27" s="25"/>
      <c r="B27" s="31"/>
      <c r="C27" s="27">
        <v>3.0</v>
      </c>
      <c r="D27" s="51" t="s">
        <v>57</v>
      </c>
      <c r="E27" s="57">
        <v>350000.0</v>
      </c>
      <c r="F27" s="57">
        <v>240000.0</v>
      </c>
      <c r="G27" s="57">
        <v>24000.0</v>
      </c>
      <c r="H27" s="57">
        <v>2400.0</v>
      </c>
      <c r="I27" s="57">
        <v>4900.0</v>
      </c>
      <c r="J27" s="57">
        <v>1300.0</v>
      </c>
      <c r="K27" s="57">
        <v>540000.0</v>
      </c>
      <c r="L27" s="57">
        <v>49000.0</v>
      </c>
      <c r="M27" s="57">
        <v>70000.0</v>
      </c>
      <c r="N27" s="57">
        <v>240000.0</v>
      </c>
      <c r="O27" s="57">
        <v>2400000.0</v>
      </c>
      <c r="P27" s="29" t="s">
        <v>24</v>
      </c>
    </row>
    <row r="28" ht="15.75" customHeight="1">
      <c r="A28" s="25"/>
      <c r="B28" s="32" t="s">
        <v>59</v>
      </c>
      <c r="C28" s="33">
        <v>1.0</v>
      </c>
      <c r="D28" s="48" t="s">
        <v>55</v>
      </c>
      <c r="E28" s="49" t="s">
        <v>24</v>
      </c>
      <c r="F28" s="49" t="s">
        <v>24</v>
      </c>
      <c r="G28" s="49" t="s">
        <v>24</v>
      </c>
      <c r="H28" s="49" t="s">
        <v>24</v>
      </c>
      <c r="I28" s="49" t="s">
        <v>24</v>
      </c>
      <c r="J28" s="49" t="s">
        <v>24</v>
      </c>
      <c r="K28" s="49" t="s">
        <v>24</v>
      </c>
      <c r="L28" s="49" t="s">
        <v>24</v>
      </c>
      <c r="M28" s="49" t="s">
        <v>24</v>
      </c>
      <c r="N28" s="49" t="s">
        <v>24</v>
      </c>
      <c r="O28" s="49" t="s">
        <v>24</v>
      </c>
      <c r="P28" s="23" t="s">
        <v>24</v>
      </c>
    </row>
    <row r="29" ht="15.75" customHeight="1">
      <c r="A29" s="25"/>
      <c r="B29" s="26"/>
      <c r="C29" s="27">
        <v>2.0</v>
      </c>
      <c r="D29" s="51" t="s">
        <v>56</v>
      </c>
      <c r="E29" s="53" t="s">
        <v>24</v>
      </c>
      <c r="F29" s="53" t="s">
        <v>24</v>
      </c>
      <c r="G29" s="53" t="s">
        <v>24</v>
      </c>
      <c r="H29" s="53" t="s">
        <v>24</v>
      </c>
      <c r="I29" s="53" t="s">
        <v>24</v>
      </c>
      <c r="J29" s="53" t="s">
        <v>24</v>
      </c>
      <c r="K29" s="53" t="s">
        <v>24</v>
      </c>
      <c r="L29" s="53" t="s">
        <v>24</v>
      </c>
      <c r="M29" s="53" t="s">
        <v>24</v>
      </c>
      <c r="N29" s="53" t="s">
        <v>24</v>
      </c>
      <c r="O29" s="53" t="s">
        <v>24</v>
      </c>
      <c r="P29" s="29" t="s">
        <v>24</v>
      </c>
    </row>
    <row r="30" ht="15.75" customHeight="1">
      <c r="A30" s="25"/>
      <c r="B30" s="31"/>
      <c r="C30" s="27">
        <v>3.0</v>
      </c>
      <c r="D30" s="51" t="s">
        <v>57</v>
      </c>
      <c r="E30" s="53" t="s">
        <v>24</v>
      </c>
      <c r="F30" s="53" t="s">
        <v>24</v>
      </c>
      <c r="G30" s="53" t="s">
        <v>24</v>
      </c>
      <c r="H30" s="53" t="s">
        <v>24</v>
      </c>
      <c r="I30" s="53" t="s">
        <v>24</v>
      </c>
      <c r="J30" s="53" t="s">
        <v>24</v>
      </c>
      <c r="K30" s="53" t="s">
        <v>24</v>
      </c>
      <c r="L30" s="53" t="s">
        <v>24</v>
      </c>
      <c r="M30" s="53" t="s">
        <v>24</v>
      </c>
      <c r="N30" s="53" t="s">
        <v>24</v>
      </c>
      <c r="O30" s="53" t="s">
        <v>24</v>
      </c>
      <c r="P30" s="29" t="s">
        <v>24</v>
      </c>
    </row>
    <row r="31" ht="15.75" customHeight="1">
      <c r="A31" s="25"/>
      <c r="B31" s="32" t="s">
        <v>60</v>
      </c>
      <c r="C31" s="33">
        <v>1.0</v>
      </c>
      <c r="D31" s="48" t="s">
        <v>55</v>
      </c>
      <c r="E31" s="53">
        <v>0.065</v>
      </c>
      <c r="F31" s="53">
        <v>0.119</v>
      </c>
      <c r="G31" s="53" t="s">
        <v>38</v>
      </c>
      <c r="H31" s="53" t="s">
        <v>38</v>
      </c>
      <c r="I31" s="53" t="s">
        <v>38</v>
      </c>
      <c r="J31" s="53">
        <v>0.11</v>
      </c>
      <c r="K31" s="53" t="s">
        <v>38</v>
      </c>
      <c r="L31" s="53" t="s">
        <v>38</v>
      </c>
      <c r="M31" s="53" t="s">
        <v>38</v>
      </c>
      <c r="N31" s="53">
        <v>0.087</v>
      </c>
      <c r="O31" s="53">
        <v>0.181</v>
      </c>
      <c r="P31" s="23" t="s">
        <v>24</v>
      </c>
    </row>
    <row r="32" ht="15.75" customHeight="1">
      <c r="A32" s="25"/>
      <c r="B32" s="26"/>
      <c r="C32" s="27">
        <v>2.0</v>
      </c>
      <c r="D32" s="51" t="s">
        <v>56</v>
      </c>
      <c r="E32" s="65" t="s">
        <v>38</v>
      </c>
      <c r="F32" s="65" t="s">
        <v>38</v>
      </c>
      <c r="G32" s="53" t="s">
        <v>38</v>
      </c>
      <c r="H32" s="53" t="s">
        <v>38</v>
      </c>
      <c r="I32" s="53" t="s">
        <v>38</v>
      </c>
      <c r="J32" s="65">
        <v>0.261</v>
      </c>
      <c r="K32" s="53" t="s">
        <v>38</v>
      </c>
      <c r="L32" s="53" t="s">
        <v>38</v>
      </c>
      <c r="M32" s="65">
        <v>0.217</v>
      </c>
      <c r="N32" s="65">
        <v>0.065</v>
      </c>
      <c r="O32" s="65">
        <v>0.075</v>
      </c>
      <c r="P32" s="29" t="s">
        <v>24</v>
      </c>
    </row>
    <row r="33" ht="15.75" customHeight="1">
      <c r="A33" s="25"/>
      <c r="B33" s="31"/>
      <c r="C33" s="27">
        <v>3.0</v>
      </c>
      <c r="D33" s="51" t="s">
        <v>57</v>
      </c>
      <c r="E33" s="53">
        <v>0.077</v>
      </c>
      <c r="F33" s="65" t="s">
        <v>38</v>
      </c>
      <c r="G33" s="53" t="s">
        <v>38</v>
      </c>
      <c r="H33" s="53" t="s">
        <v>38</v>
      </c>
      <c r="I33" s="53" t="s">
        <v>38</v>
      </c>
      <c r="J33" s="53">
        <v>0.214</v>
      </c>
      <c r="K33" s="53">
        <v>0.048</v>
      </c>
      <c r="L33" s="53">
        <v>0.093</v>
      </c>
      <c r="M33" s="53" t="s">
        <v>38</v>
      </c>
      <c r="N33" s="60">
        <v>0.099</v>
      </c>
      <c r="O33" s="53">
        <v>0.067</v>
      </c>
      <c r="P33" s="29" t="s">
        <v>24</v>
      </c>
    </row>
    <row r="34" ht="15.75" customHeight="1">
      <c r="A34" s="25"/>
      <c r="B34" s="32" t="s">
        <v>61</v>
      </c>
      <c r="C34" s="33">
        <v>1.0</v>
      </c>
      <c r="D34" s="48" t="s">
        <v>55</v>
      </c>
      <c r="E34" s="53">
        <v>0.941</v>
      </c>
      <c r="F34" s="53">
        <v>0.61</v>
      </c>
      <c r="G34" s="53">
        <v>0.293</v>
      </c>
      <c r="H34" s="53">
        <v>0.52</v>
      </c>
      <c r="I34" s="53">
        <v>0.429</v>
      </c>
      <c r="J34" s="53">
        <v>0.528</v>
      </c>
      <c r="K34" s="53">
        <v>0.992</v>
      </c>
      <c r="L34" s="53">
        <v>0.348</v>
      </c>
      <c r="M34" s="53">
        <v>0.584</v>
      </c>
      <c r="N34" s="53">
        <v>0.953</v>
      </c>
      <c r="O34" s="53">
        <v>0.682</v>
      </c>
      <c r="P34" s="23" t="s">
        <v>24</v>
      </c>
    </row>
    <row r="35" ht="15.75" customHeight="1">
      <c r="A35" s="25"/>
      <c r="B35" s="26"/>
      <c r="C35" s="27">
        <v>2.0</v>
      </c>
      <c r="D35" s="51" t="s">
        <v>56</v>
      </c>
      <c r="E35" s="65">
        <v>0.976</v>
      </c>
      <c r="F35" s="65">
        <v>0.739</v>
      </c>
      <c r="G35" s="65">
        <v>0.148</v>
      </c>
      <c r="H35" s="65">
        <v>0.421</v>
      </c>
      <c r="I35" s="65">
        <v>0.608</v>
      </c>
      <c r="J35" s="65">
        <v>0.396</v>
      </c>
      <c r="K35" s="65">
        <v>0.494</v>
      </c>
      <c r="L35" s="65">
        <v>0.407</v>
      </c>
      <c r="M35" s="65">
        <v>0.599</v>
      </c>
      <c r="N35" s="65">
        <v>0.709</v>
      </c>
      <c r="O35" s="67">
        <v>0.6</v>
      </c>
      <c r="P35" s="29" t="s">
        <v>24</v>
      </c>
    </row>
    <row r="36" ht="15.75" customHeight="1">
      <c r="A36" s="25"/>
      <c r="B36" s="31"/>
      <c r="C36" s="27">
        <v>3.0</v>
      </c>
      <c r="D36" s="51" t="s">
        <v>57</v>
      </c>
      <c r="E36" s="54">
        <v>1.01</v>
      </c>
      <c r="F36" s="53">
        <v>0.956</v>
      </c>
      <c r="G36" s="53">
        <v>0.178</v>
      </c>
      <c r="H36" s="53">
        <v>0.567</v>
      </c>
      <c r="I36" s="60">
        <v>0.86</v>
      </c>
      <c r="J36" s="53">
        <v>0.653</v>
      </c>
      <c r="K36" s="53">
        <v>0.963</v>
      </c>
      <c r="L36" s="53">
        <v>0.409</v>
      </c>
      <c r="M36" s="53">
        <v>0.831</v>
      </c>
      <c r="N36" s="53">
        <v>0.899</v>
      </c>
      <c r="O36" s="53">
        <v>0.996</v>
      </c>
      <c r="P36" s="29" t="s">
        <v>24</v>
      </c>
    </row>
    <row r="37" ht="15.75" customHeight="1">
      <c r="A37" s="25"/>
      <c r="B37" s="32" t="s">
        <v>51</v>
      </c>
      <c r="C37" s="33">
        <v>1.0</v>
      </c>
      <c r="D37" s="48" t="s">
        <v>55</v>
      </c>
      <c r="E37" s="57">
        <v>9082.0</v>
      </c>
      <c r="F37" s="57">
        <v>291.0</v>
      </c>
      <c r="G37" s="57">
        <v>199.0</v>
      </c>
      <c r="H37" s="57">
        <v>149.0</v>
      </c>
      <c r="I37" s="57">
        <v>195.0</v>
      </c>
      <c r="J37" s="57">
        <v>234.0</v>
      </c>
      <c r="K37" s="57">
        <v>86.0</v>
      </c>
      <c r="L37" s="57">
        <v>328.0</v>
      </c>
      <c r="M37" s="57">
        <v>132.0</v>
      </c>
      <c r="N37" s="57">
        <v>22.0</v>
      </c>
      <c r="O37" s="57">
        <v>123.0</v>
      </c>
      <c r="P37" s="23" t="s">
        <v>24</v>
      </c>
    </row>
    <row r="38" ht="15.75" customHeight="1">
      <c r="A38" s="25"/>
      <c r="B38" s="26"/>
      <c r="C38" s="27">
        <v>2.0</v>
      </c>
      <c r="D38" s="51" t="s">
        <v>56</v>
      </c>
      <c r="E38" s="57">
        <v>10102.0</v>
      </c>
      <c r="F38" s="57">
        <v>13404.0</v>
      </c>
      <c r="G38" s="57">
        <v>15782.0</v>
      </c>
      <c r="H38" s="57">
        <v>21539.0</v>
      </c>
      <c r="I38" s="57">
        <v>79037.0</v>
      </c>
      <c r="J38" s="57">
        <v>15913.0</v>
      </c>
      <c r="K38" s="57">
        <v>14742.0</v>
      </c>
      <c r="L38" s="68">
        <v>8201.0</v>
      </c>
      <c r="M38" s="68">
        <v>4588.0</v>
      </c>
      <c r="N38" s="57">
        <v>58.0</v>
      </c>
      <c r="O38" s="57">
        <v>14505.0</v>
      </c>
      <c r="P38" s="29" t="s">
        <v>24</v>
      </c>
    </row>
    <row r="39" ht="15.75" customHeight="1">
      <c r="A39" s="25"/>
      <c r="B39" s="31"/>
      <c r="C39" s="27">
        <v>3.0</v>
      </c>
      <c r="D39" s="51" t="s">
        <v>57</v>
      </c>
      <c r="E39" s="57">
        <v>10296.0</v>
      </c>
      <c r="F39" s="57">
        <v>6353.0</v>
      </c>
      <c r="G39" s="57">
        <v>12507.0</v>
      </c>
      <c r="H39" s="57">
        <v>26403.0</v>
      </c>
      <c r="I39" s="57">
        <v>15034.0</v>
      </c>
      <c r="J39" s="57">
        <v>16694.0</v>
      </c>
      <c r="K39" s="57">
        <v>8493.0</v>
      </c>
      <c r="L39" s="57">
        <v>8689.0</v>
      </c>
      <c r="M39" s="57">
        <v>2343.0</v>
      </c>
      <c r="N39" s="57">
        <v>43.0</v>
      </c>
      <c r="O39" s="57">
        <v>9115.0</v>
      </c>
      <c r="P39" s="29" t="s">
        <v>24</v>
      </c>
    </row>
    <row r="40" ht="15.75" customHeight="1"/>
    <row r="41" ht="15.75" customHeight="1">
      <c r="C41" s="62" t="s">
        <v>62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P1"/>
    <mergeCell ref="A2:P2"/>
    <mergeCell ref="A3:P3"/>
    <mergeCell ref="A5:P5"/>
    <mergeCell ref="A6:P6"/>
    <mergeCell ref="B7:B9"/>
    <mergeCell ref="B10:B12"/>
    <mergeCell ref="B34:B36"/>
    <mergeCell ref="B37:B39"/>
    <mergeCell ref="B13:B15"/>
    <mergeCell ref="B16:B18"/>
    <mergeCell ref="B19:B21"/>
    <mergeCell ref="B22:B24"/>
    <mergeCell ref="B25:B27"/>
    <mergeCell ref="B28:B30"/>
    <mergeCell ref="B31:B33"/>
  </mergeCells>
  <printOptions horizontalCentered="1" verticalCentered="1"/>
  <pageMargins bottom="0.0" footer="0.0" header="0.0" left="0.0" right="0.0" top="0.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33.43"/>
    <col customWidth="1" min="3" max="3" width="11.0"/>
    <col customWidth="1" min="4" max="4" width="37.71"/>
    <col customWidth="1" min="5" max="5" width="11.0"/>
    <col customWidth="1" min="6" max="6" width="12.86"/>
    <col customWidth="1" min="7" max="8" width="11.0"/>
    <col customWidth="1" min="9" max="9" width="12.86"/>
    <col customWidth="1" min="10" max="12" width="11.0"/>
    <col customWidth="1" min="13" max="13" width="14.0"/>
    <col customWidth="1" min="14" max="14" width="11.0"/>
    <col customWidth="1" min="15" max="15" width="13.0"/>
    <col customWidth="1" min="16" max="16" width="13.14"/>
    <col customWidth="1" min="17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>
      <c r="A4" s="10" t="s">
        <v>3</v>
      </c>
      <c r="B4" s="11" t="s">
        <v>4</v>
      </c>
      <c r="C4" s="11" t="s">
        <v>5</v>
      </c>
      <c r="D4" s="11" t="s">
        <v>6</v>
      </c>
      <c r="E4" s="12" t="s">
        <v>7</v>
      </c>
      <c r="F4" s="12" t="s">
        <v>8</v>
      </c>
      <c r="G4" s="11" t="s">
        <v>9</v>
      </c>
      <c r="H4" s="11" t="s">
        <v>10</v>
      </c>
      <c r="I4" s="11" t="s">
        <v>11</v>
      </c>
      <c r="J4" s="11" t="s">
        <v>12</v>
      </c>
      <c r="K4" s="12" t="s">
        <v>13</v>
      </c>
      <c r="L4" s="12" t="s">
        <v>14</v>
      </c>
      <c r="M4" s="11" t="s">
        <v>15</v>
      </c>
      <c r="N4" s="11" t="s">
        <v>16</v>
      </c>
      <c r="O4" s="11" t="s">
        <v>17</v>
      </c>
      <c r="P4" s="11" t="s">
        <v>18</v>
      </c>
    </row>
    <row r="5">
      <c r="A5" s="13" t="s">
        <v>63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5"/>
    </row>
    <row r="6">
      <c r="A6" s="16" t="s">
        <v>54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8"/>
    </row>
    <row r="7">
      <c r="A7" s="19" t="s">
        <v>21</v>
      </c>
      <c r="B7" s="20" t="s">
        <v>22</v>
      </c>
      <c r="C7" s="21">
        <v>1.0</v>
      </c>
      <c r="D7" s="48" t="s">
        <v>64</v>
      </c>
      <c r="E7" s="23">
        <v>3.3</v>
      </c>
      <c r="F7" s="23">
        <v>1.5</v>
      </c>
      <c r="G7" s="23">
        <v>1.12</v>
      </c>
      <c r="H7" s="23">
        <v>1.33</v>
      </c>
      <c r="I7" s="23">
        <v>5.81</v>
      </c>
      <c r="J7" s="24">
        <v>1.4</v>
      </c>
      <c r="K7" s="24">
        <v>1.58</v>
      </c>
      <c r="L7" s="23">
        <v>2.69</v>
      </c>
      <c r="M7" s="23">
        <v>2.84</v>
      </c>
      <c r="N7" s="24">
        <v>0.95</v>
      </c>
      <c r="O7" s="23">
        <v>1.29</v>
      </c>
      <c r="P7" s="23" t="s">
        <v>24</v>
      </c>
    </row>
    <row r="8">
      <c r="A8" s="25"/>
      <c r="B8" s="26"/>
      <c r="C8" s="27">
        <v>2.0</v>
      </c>
      <c r="D8" s="51" t="s">
        <v>65</v>
      </c>
      <c r="E8" s="29">
        <v>3.6</v>
      </c>
      <c r="F8" s="29">
        <v>0.9</v>
      </c>
      <c r="G8" s="29">
        <v>0.78</v>
      </c>
      <c r="H8" s="30">
        <v>1.3</v>
      </c>
      <c r="I8" s="29">
        <v>5.72</v>
      </c>
      <c r="J8" s="29">
        <v>1.38</v>
      </c>
      <c r="K8" s="30">
        <v>1.4</v>
      </c>
      <c r="L8" s="29">
        <v>2.25</v>
      </c>
      <c r="M8" s="30">
        <v>2.7</v>
      </c>
      <c r="N8" s="30">
        <v>0.78</v>
      </c>
      <c r="O8" s="29">
        <v>0.68</v>
      </c>
      <c r="P8" s="29" t="s">
        <v>24</v>
      </c>
    </row>
    <row r="9">
      <c r="A9" s="25"/>
      <c r="B9" s="31"/>
      <c r="C9" s="27">
        <v>3.0</v>
      </c>
      <c r="D9" s="51" t="s">
        <v>66</v>
      </c>
      <c r="E9" s="29">
        <v>2.8</v>
      </c>
      <c r="F9" s="29">
        <v>0.8</v>
      </c>
      <c r="G9" s="29">
        <v>0.49</v>
      </c>
      <c r="H9" s="29">
        <v>0.96</v>
      </c>
      <c r="I9" s="30">
        <v>5.9</v>
      </c>
      <c r="J9" s="29">
        <v>1.26</v>
      </c>
      <c r="K9" s="30">
        <v>1.2</v>
      </c>
      <c r="L9" s="30">
        <v>2.3</v>
      </c>
      <c r="M9" s="29">
        <v>2.65</v>
      </c>
      <c r="N9" s="30">
        <v>0.7</v>
      </c>
      <c r="O9" s="29">
        <v>0.72</v>
      </c>
      <c r="P9" s="29" t="s">
        <v>24</v>
      </c>
    </row>
    <row r="10">
      <c r="A10" s="25"/>
      <c r="B10" s="32" t="s">
        <v>29</v>
      </c>
      <c r="C10" s="33">
        <v>1.0</v>
      </c>
      <c r="D10" s="48" t="s">
        <v>64</v>
      </c>
      <c r="E10" s="23">
        <v>10.0</v>
      </c>
      <c r="F10" s="23">
        <v>35.0</v>
      </c>
      <c r="G10" s="23">
        <v>26.0</v>
      </c>
      <c r="H10" s="23">
        <v>32.0</v>
      </c>
      <c r="I10" s="23">
        <v>115.0</v>
      </c>
      <c r="J10" s="23">
        <v>73.0</v>
      </c>
      <c r="K10" s="23">
        <v>29.0</v>
      </c>
      <c r="L10" s="23">
        <v>12.0</v>
      </c>
      <c r="M10" s="23">
        <v>13.0</v>
      </c>
      <c r="N10" s="23">
        <v>15.0</v>
      </c>
      <c r="O10" s="23">
        <v>22.0</v>
      </c>
      <c r="P10" s="23" t="s">
        <v>24</v>
      </c>
    </row>
    <row r="11">
      <c r="A11" s="25"/>
      <c r="B11" s="26"/>
      <c r="C11" s="27">
        <v>2.0</v>
      </c>
      <c r="D11" s="51" t="s">
        <v>65</v>
      </c>
      <c r="E11" s="69">
        <v>9.0</v>
      </c>
      <c r="F11" s="29">
        <v>41.0</v>
      </c>
      <c r="G11" s="29">
        <v>16.0</v>
      </c>
      <c r="H11" s="29">
        <v>39.0</v>
      </c>
      <c r="I11" s="29">
        <v>136.0</v>
      </c>
      <c r="J11" s="29">
        <v>15.0</v>
      </c>
      <c r="K11" s="29">
        <v>24.0</v>
      </c>
      <c r="L11" s="29">
        <v>43.0</v>
      </c>
      <c r="M11" s="29">
        <v>3.0</v>
      </c>
      <c r="N11" s="29">
        <v>17.0</v>
      </c>
      <c r="O11" s="29">
        <v>9.0</v>
      </c>
      <c r="P11" s="29" t="s">
        <v>24</v>
      </c>
    </row>
    <row r="12">
      <c r="A12" s="25"/>
      <c r="B12" s="31"/>
      <c r="C12" s="27">
        <v>3.0</v>
      </c>
      <c r="D12" s="51" t="s">
        <v>66</v>
      </c>
      <c r="E12" s="29">
        <v>13.0</v>
      </c>
      <c r="F12" s="29">
        <v>124.0</v>
      </c>
      <c r="G12" s="29">
        <v>20.0</v>
      </c>
      <c r="H12" s="29">
        <v>30.0</v>
      </c>
      <c r="I12" s="29">
        <v>115.0</v>
      </c>
      <c r="J12" s="29">
        <v>21.0</v>
      </c>
      <c r="K12" s="29">
        <v>25.0</v>
      </c>
      <c r="L12" s="29">
        <v>16.0</v>
      </c>
      <c r="M12" s="29">
        <v>23.0</v>
      </c>
      <c r="N12" s="29">
        <v>21.0</v>
      </c>
      <c r="O12" s="29">
        <v>17.0</v>
      </c>
      <c r="P12" s="29" t="s">
        <v>24</v>
      </c>
    </row>
    <row r="13">
      <c r="A13" s="25"/>
      <c r="B13" s="32" t="s">
        <v>30</v>
      </c>
      <c r="C13" s="33">
        <v>1.0</v>
      </c>
      <c r="D13" s="48" t="s">
        <v>64</v>
      </c>
      <c r="E13" s="23">
        <v>14.0</v>
      </c>
      <c r="F13" s="23">
        <v>28.0</v>
      </c>
      <c r="G13" s="23">
        <v>29.0</v>
      </c>
      <c r="H13" s="23">
        <v>37.0</v>
      </c>
      <c r="I13" s="23">
        <v>37.0</v>
      </c>
      <c r="J13" s="23">
        <v>26.0</v>
      </c>
      <c r="K13" s="23">
        <v>28.0</v>
      </c>
      <c r="L13" s="23">
        <v>62.0</v>
      </c>
      <c r="M13" s="23">
        <v>10.0</v>
      </c>
      <c r="N13" s="23">
        <v>9.0</v>
      </c>
      <c r="O13" s="23">
        <v>6.0</v>
      </c>
      <c r="P13" s="23" t="s">
        <v>24</v>
      </c>
    </row>
    <row r="14">
      <c r="A14" s="25"/>
      <c r="B14" s="26"/>
      <c r="C14" s="27">
        <v>2.0</v>
      </c>
      <c r="D14" s="51" t="s">
        <v>65</v>
      </c>
      <c r="E14" s="29">
        <v>18.0</v>
      </c>
      <c r="F14" s="29">
        <v>29.0</v>
      </c>
      <c r="G14" s="29">
        <v>16.0</v>
      </c>
      <c r="H14" s="29">
        <v>38.0</v>
      </c>
      <c r="I14" s="29">
        <v>38.0</v>
      </c>
      <c r="J14" s="29">
        <v>17.0</v>
      </c>
      <c r="K14" s="29">
        <v>20.0</v>
      </c>
      <c r="L14" s="29">
        <v>55.0</v>
      </c>
      <c r="M14" s="29">
        <v>8.0</v>
      </c>
      <c r="N14" s="29">
        <v>15.0</v>
      </c>
      <c r="O14" s="29">
        <v>8.0</v>
      </c>
      <c r="P14" s="29" t="s">
        <v>24</v>
      </c>
    </row>
    <row r="15">
      <c r="A15" s="25"/>
      <c r="B15" s="31"/>
      <c r="C15" s="27">
        <v>3.0</v>
      </c>
      <c r="D15" s="51" t="s">
        <v>66</v>
      </c>
      <c r="E15" s="29">
        <v>11.0</v>
      </c>
      <c r="F15" s="29">
        <v>23.0</v>
      </c>
      <c r="G15" s="29">
        <v>16.0</v>
      </c>
      <c r="H15" s="29">
        <v>40.0</v>
      </c>
      <c r="I15" s="29">
        <v>40.0</v>
      </c>
      <c r="J15" s="29">
        <v>15.0</v>
      </c>
      <c r="K15" s="29">
        <v>27.0</v>
      </c>
      <c r="L15" s="29">
        <v>56.0</v>
      </c>
      <c r="M15" s="29">
        <v>14.0</v>
      </c>
      <c r="N15" s="29">
        <v>14.0</v>
      </c>
      <c r="O15" s="29">
        <v>13.0</v>
      </c>
      <c r="P15" s="29" t="s">
        <v>24</v>
      </c>
    </row>
    <row r="16">
      <c r="A16" s="25"/>
      <c r="B16" s="32" t="s">
        <v>31</v>
      </c>
      <c r="C16" s="33">
        <v>1.0</v>
      </c>
      <c r="D16" s="48" t="s">
        <v>64</v>
      </c>
      <c r="E16" s="23">
        <v>7.25</v>
      </c>
      <c r="F16" s="23">
        <v>7.16</v>
      </c>
      <c r="G16" s="23">
        <v>7.83</v>
      </c>
      <c r="H16" s="23">
        <v>7.45</v>
      </c>
      <c r="I16" s="23">
        <v>8.07</v>
      </c>
      <c r="J16" s="24">
        <v>7.3</v>
      </c>
      <c r="K16" s="23">
        <v>7.41</v>
      </c>
      <c r="L16" s="23">
        <v>7.69</v>
      </c>
      <c r="M16" s="24">
        <v>7.7</v>
      </c>
      <c r="N16" s="23">
        <v>7.38</v>
      </c>
      <c r="O16" s="23">
        <v>7.03</v>
      </c>
      <c r="P16" s="23" t="s">
        <v>24</v>
      </c>
    </row>
    <row r="17">
      <c r="A17" s="25"/>
      <c r="B17" s="26"/>
      <c r="C17" s="27">
        <v>2.0</v>
      </c>
      <c r="D17" s="51" t="s">
        <v>65</v>
      </c>
      <c r="E17" s="29">
        <v>7.29</v>
      </c>
      <c r="F17" s="29">
        <v>7.21</v>
      </c>
      <c r="G17" s="29">
        <v>7.92</v>
      </c>
      <c r="H17" s="29">
        <v>7.38</v>
      </c>
      <c r="I17" s="29">
        <v>8.23</v>
      </c>
      <c r="J17" s="29">
        <v>7.35</v>
      </c>
      <c r="K17" s="29">
        <v>7.34</v>
      </c>
      <c r="L17" s="29">
        <v>7.58</v>
      </c>
      <c r="M17" s="30">
        <v>7.56</v>
      </c>
      <c r="N17" s="30">
        <v>7.3</v>
      </c>
      <c r="O17" s="29">
        <v>7.26</v>
      </c>
      <c r="P17" s="29" t="s">
        <v>24</v>
      </c>
    </row>
    <row r="18">
      <c r="A18" s="25"/>
      <c r="B18" s="31"/>
      <c r="C18" s="27">
        <v>3.0</v>
      </c>
      <c r="D18" s="51" t="s">
        <v>66</v>
      </c>
      <c r="E18" s="29">
        <v>7.18</v>
      </c>
      <c r="F18" s="29">
        <v>7.09</v>
      </c>
      <c r="G18" s="29">
        <v>7.84</v>
      </c>
      <c r="H18" s="29">
        <v>7.41</v>
      </c>
      <c r="I18" s="29">
        <v>8.29</v>
      </c>
      <c r="J18" s="29">
        <v>7.38</v>
      </c>
      <c r="K18" s="29">
        <v>7.37</v>
      </c>
      <c r="L18" s="29">
        <v>7.49</v>
      </c>
      <c r="M18" s="30">
        <v>7.46</v>
      </c>
      <c r="N18" s="29">
        <v>7.42</v>
      </c>
      <c r="O18" s="29">
        <v>7.33</v>
      </c>
      <c r="P18" s="29" t="s">
        <v>24</v>
      </c>
    </row>
    <row r="19">
      <c r="A19" s="25"/>
      <c r="B19" s="32" t="s">
        <v>67</v>
      </c>
      <c r="C19" s="33">
        <v>1.0</v>
      </c>
      <c r="D19" s="48" t="s">
        <v>64</v>
      </c>
      <c r="E19" s="23">
        <v>28.9</v>
      </c>
      <c r="F19" s="23">
        <v>28.1</v>
      </c>
      <c r="G19" s="23">
        <v>30.1</v>
      </c>
      <c r="H19" s="23">
        <v>30.6</v>
      </c>
      <c r="I19" s="23">
        <v>34.8</v>
      </c>
      <c r="J19" s="24">
        <v>31.8</v>
      </c>
      <c r="K19" s="24">
        <v>29.4</v>
      </c>
      <c r="L19" s="24">
        <v>30.5</v>
      </c>
      <c r="M19" s="24">
        <v>34.3</v>
      </c>
      <c r="N19" s="24">
        <v>30.6</v>
      </c>
      <c r="O19" s="24">
        <v>30.5</v>
      </c>
      <c r="P19" s="23" t="s">
        <v>24</v>
      </c>
    </row>
    <row r="20">
      <c r="A20" s="25"/>
      <c r="B20" s="26"/>
      <c r="C20" s="27">
        <v>2.0</v>
      </c>
      <c r="D20" s="51" t="s">
        <v>65</v>
      </c>
      <c r="E20" s="29">
        <v>28.8</v>
      </c>
      <c r="F20" s="29">
        <v>28.2</v>
      </c>
      <c r="G20" s="29">
        <v>30.1</v>
      </c>
      <c r="H20" s="29">
        <v>31.2</v>
      </c>
      <c r="I20" s="29">
        <v>35.7</v>
      </c>
      <c r="J20" s="30">
        <v>32.7</v>
      </c>
      <c r="K20" s="30">
        <v>29.3</v>
      </c>
      <c r="L20" s="30">
        <v>30.7</v>
      </c>
      <c r="M20" s="30">
        <v>33.33</v>
      </c>
      <c r="N20" s="30">
        <v>30.6</v>
      </c>
      <c r="O20" s="29">
        <v>30.83</v>
      </c>
      <c r="P20" s="29" t="s">
        <v>24</v>
      </c>
    </row>
    <row r="21" ht="15.75" customHeight="1">
      <c r="A21" s="25"/>
      <c r="B21" s="31"/>
      <c r="C21" s="27">
        <v>3.0</v>
      </c>
      <c r="D21" s="51" t="s">
        <v>66</v>
      </c>
      <c r="E21" s="29">
        <v>30.1</v>
      </c>
      <c r="F21" s="69">
        <v>28.0</v>
      </c>
      <c r="G21" s="29">
        <v>29.9</v>
      </c>
      <c r="H21" s="29">
        <v>29.8</v>
      </c>
      <c r="I21" s="29">
        <v>35.4</v>
      </c>
      <c r="J21" s="30">
        <v>33.0</v>
      </c>
      <c r="K21" s="30">
        <v>30.4</v>
      </c>
      <c r="L21" s="30">
        <v>30.6</v>
      </c>
      <c r="M21" s="30">
        <v>33.78</v>
      </c>
      <c r="N21" s="30">
        <v>30.4</v>
      </c>
      <c r="O21" s="30">
        <v>30.8</v>
      </c>
      <c r="P21" s="29" t="s">
        <v>24</v>
      </c>
    </row>
    <row r="22" ht="15.75" customHeight="1">
      <c r="A22" s="25"/>
      <c r="B22" s="32" t="s">
        <v>33</v>
      </c>
      <c r="C22" s="33">
        <v>1.0</v>
      </c>
      <c r="D22" s="48" t="s">
        <v>64</v>
      </c>
      <c r="E22" s="23">
        <v>10.0</v>
      </c>
      <c r="F22" s="23">
        <v>80.0</v>
      </c>
      <c r="G22" s="23">
        <v>80.0</v>
      </c>
      <c r="H22" s="23">
        <v>100.0</v>
      </c>
      <c r="I22" s="23">
        <v>100.0</v>
      </c>
      <c r="J22" s="23">
        <v>60.0</v>
      </c>
      <c r="K22" s="23">
        <v>80.0</v>
      </c>
      <c r="L22" s="23">
        <v>40.0</v>
      </c>
      <c r="M22" s="23">
        <v>30.0</v>
      </c>
      <c r="N22" s="23">
        <v>40.0</v>
      </c>
      <c r="O22" s="23">
        <v>40.0</v>
      </c>
      <c r="P22" s="23" t="s">
        <v>24</v>
      </c>
    </row>
    <row r="23" ht="15.75" customHeight="1">
      <c r="A23" s="25"/>
      <c r="B23" s="26"/>
      <c r="C23" s="27">
        <v>2.0</v>
      </c>
      <c r="D23" s="51" t="s">
        <v>65</v>
      </c>
      <c r="E23" s="29">
        <v>40.0</v>
      </c>
      <c r="F23" s="29">
        <v>60.0</v>
      </c>
      <c r="G23" s="29">
        <v>100.0</v>
      </c>
      <c r="H23" s="29">
        <v>75.0</v>
      </c>
      <c r="I23" s="29">
        <v>60.0</v>
      </c>
      <c r="J23" s="29">
        <v>80.0</v>
      </c>
      <c r="K23" s="29">
        <v>100.0</v>
      </c>
      <c r="L23" s="29">
        <v>60.0</v>
      </c>
      <c r="M23" s="29">
        <v>30.0</v>
      </c>
      <c r="N23" s="29">
        <v>40.0</v>
      </c>
      <c r="O23" s="29">
        <v>40.0</v>
      </c>
      <c r="P23" s="29" t="s">
        <v>24</v>
      </c>
    </row>
    <row r="24" ht="15.75" customHeight="1">
      <c r="A24" s="25"/>
      <c r="B24" s="31"/>
      <c r="C24" s="27">
        <v>3.0</v>
      </c>
      <c r="D24" s="51" t="s">
        <v>66</v>
      </c>
      <c r="E24" s="29">
        <v>40.0</v>
      </c>
      <c r="F24" s="29">
        <v>80.0</v>
      </c>
      <c r="G24" s="29">
        <v>75.0</v>
      </c>
      <c r="H24" s="29">
        <v>75.0</v>
      </c>
      <c r="I24" s="29">
        <v>80.0</v>
      </c>
      <c r="J24" s="29">
        <v>60.0</v>
      </c>
      <c r="K24" s="29">
        <v>80.0</v>
      </c>
      <c r="L24" s="29">
        <v>60.0</v>
      </c>
      <c r="M24" s="29">
        <v>60.0</v>
      </c>
      <c r="N24" s="29">
        <v>40.0</v>
      </c>
      <c r="O24" s="29">
        <v>40.0</v>
      </c>
      <c r="P24" s="29" t="s">
        <v>24</v>
      </c>
    </row>
    <row r="25" ht="15.75" customHeight="1">
      <c r="A25" s="25"/>
      <c r="B25" s="32" t="s">
        <v>34</v>
      </c>
      <c r="C25" s="33">
        <v>1.0</v>
      </c>
      <c r="D25" s="48" t="s">
        <v>64</v>
      </c>
      <c r="E25" s="41">
        <v>920000.0</v>
      </c>
      <c r="F25" s="41">
        <v>2400000.0</v>
      </c>
      <c r="G25" s="41">
        <v>33000.0</v>
      </c>
      <c r="H25" s="41">
        <v>140000.0</v>
      </c>
      <c r="I25" s="41">
        <v>540000.0</v>
      </c>
      <c r="J25" s="41">
        <v>1600000.0</v>
      </c>
      <c r="K25" s="41">
        <v>540000.0</v>
      </c>
      <c r="L25" s="41">
        <v>170000.0</v>
      </c>
      <c r="M25" s="41">
        <v>2200.0</v>
      </c>
      <c r="N25" s="41">
        <v>920000.0</v>
      </c>
      <c r="O25" s="41">
        <v>240000.0</v>
      </c>
      <c r="P25" s="23" t="s">
        <v>24</v>
      </c>
    </row>
    <row r="26" ht="15.75" customHeight="1">
      <c r="A26" s="25"/>
      <c r="B26" s="26"/>
      <c r="C26" s="27">
        <v>2.0</v>
      </c>
      <c r="D26" s="51" t="s">
        <v>65</v>
      </c>
      <c r="E26" s="42">
        <v>540000.0</v>
      </c>
      <c r="F26" s="42">
        <v>1300000.0</v>
      </c>
      <c r="G26" s="42">
        <v>170000.0</v>
      </c>
      <c r="H26" s="42">
        <v>160000.0</v>
      </c>
      <c r="I26" s="42">
        <v>170000.0</v>
      </c>
      <c r="J26" s="42">
        <v>350000.0</v>
      </c>
      <c r="K26" s="42">
        <v>350000.0</v>
      </c>
      <c r="L26" s="42">
        <v>240000.0</v>
      </c>
      <c r="M26" s="42">
        <v>2600.0</v>
      </c>
      <c r="N26" s="42">
        <v>920000.0</v>
      </c>
      <c r="O26" s="42">
        <v>5400000.0</v>
      </c>
      <c r="P26" s="29" t="s">
        <v>24</v>
      </c>
    </row>
    <row r="27" ht="15.75" customHeight="1">
      <c r="A27" s="25"/>
      <c r="B27" s="31"/>
      <c r="C27" s="27">
        <v>3.0</v>
      </c>
      <c r="D27" s="51" t="s">
        <v>66</v>
      </c>
      <c r="E27" s="42">
        <v>540000.0</v>
      </c>
      <c r="F27" s="42">
        <v>1300000.0</v>
      </c>
      <c r="G27" s="42">
        <v>350000.0</v>
      </c>
      <c r="H27" s="42">
        <v>160000.0</v>
      </c>
      <c r="I27" s="42">
        <v>350000.0</v>
      </c>
      <c r="J27" s="42" t="s">
        <v>68</v>
      </c>
      <c r="K27" s="42">
        <v>460000.0</v>
      </c>
      <c r="L27" s="42">
        <v>2400000.0</v>
      </c>
      <c r="M27" s="42">
        <v>2200.0</v>
      </c>
      <c r="N27" s="42">
        <v>920000.0</v>
      </c>
      <c r="O27" s="42">
        <v>920000.0</v>
      </c>
      <c r="P27" s="29" t="s">
        <v>24</v>
      </c>
    </row>
    <row r="28" ht="15.75" customHeight="1">
      <c r="A28" s="25"/>
      <c r="B28" s="32" t="s">
        <v>69</v>
      </c>
      <c r="C28" s="33">
        <v>1.0</v>
      </c>
      <c r="D28" s="48" t="s">
        <v>64</v>
      </c>
      <c r="E28" s="23" t="s">
        <v>24</v>
      </c>
      <c r="F28" s="23" t="s">
        <v>24</v>
      </c>
      <c r="G28" s="23" t="s">
        <v>24</v>
      </c>
      <c r="H28" s="23" t="s">
        <v>24</v>
      </c>
      <c r="I28" s="23" t="s">
        <v>24</v>
      </c>
      <c r="J28" s="23" t="s">
        <v>24</v>
      </c>
      <c r="K28" s="23" t="s">
        <v>24</v>
      </c>
      <c r="L28" s="23" t="s">
        <v>24</v>
      </c>
      <c r="M28" s="23" t="s">
        <v>24</v>
      </c>
      <c r="N28" s="23" t="s">
        <v>24</v>
      </c>
      <c r="O28" s="23" t="s">
        <v>24</v>
      </c>
      <c r="P28" s="23" t="s">
        <v>24</v>
      </c>
    </row>
    <row r="29" ht="15.75" customHeight="1">
      <c r="A29" s="25"/>
      <c r="B29" s="26"/>
      <c r="C29" s="27">
        <v>2.0</v>
      </c>
      <c r="D29" s="51" t="s">
        <v>65</v>
      </c>
      <c r="E29" s="29" t="s">
        <v>24</v>
      </c>
      <c r="F29" s="29" t="s">
        <v>24</v>
      </c>
      <c r="G29" s="29" t="s">
        <v>24</v>
      </c>
      <c r="H29" s="29" t="s">
        <v>24</v>
      </c>
      <c r="I29" s="29" t="s">
        <v>24</v>
      </c>
      <c r="J29" s="29" t="s">
        <v>24</v>
      </c>
      <c r="K29" s="29" t="s">
        <v>24</v>
      </c>
      <c r="L29" s="29" t="s">
        <v>24</v>
      </c>
      <c r="M29" s="29" t="s">
        <v>24</v>
      </c>
      <c r="N29" s="29" t="s">
        <v>24</v>
      </c>
      <c r="O29" s="29" t="s">
        <v>24</v>
      </c>
      <c r="P29" s="29" t="s">
        <v>24</v>
      </c>
    </row>
    <row r="30" ht="15.75" customHeight="1">
      <c r="A30" s="25"/>
      <c r="B30" s="31"/>
      <c r="C30" s="27">
        <v>3.0</v>
      </c>
      <c r="D30" s="51" t="s">
        <v>66</v>
      </c>
      <c r="E30" s="29" t="s">
        <v>24</v>
      </c>
      <c r="F30" s="29" t="s">
        <v>24</v>
      </c>
      <c r="G30" s="29" t="s">
        <v>24</v>
      </c>
      <c r="H30" s="29" t="s">
        <v>24</v>
      </c>
      <c r="I30" s="29" t="s">
        <v>24</v>
      </c>
      <c r="J30" s="29" t="s">
        <v>24</v>
      </c>
      <c r="K30" s="29" t="s">
        <v>24</v>
      </c>
      <c r="L30" s="29" t="s">
        <v>24</v>
      </c>
      <c r="M30" s="29" t="s">
        <v>24</v>
      </c>
      <c r="N30" s="29" t="s">
        <v>24</v>
      </c>
      <c r="O30" s="29" t="s">
        <v>24</v>
      </c>
      <c r="P30" s="29" t="s">
        <v>24</v>
      </c>
    </row>
    <row r="31" ht="15.75" customHeight="1">
      <c r="A31" s="25"/>
      <c r="B31" s="32" t="s">
        <v>70</v>
      </c>
      <c r="C31" s="33">
        <v>1.0</v>
      </c>
      <c r="D31" s="48" t="s">
        <v>64</v>
      </c>
      <c r="E31" s="23">
        <v>0.675</v>
      </c>
      <c r="F31" s="23" t="s">
        <v>38</v>
      </c>
      <c r="G31" s="23">
        <v>0.362</v>
      </c>
      <c r="H31" s="23" t="s">
        <v>38</v>
      </c>
      <c r="I31" s="23">
        <v>0.115</v>
      </c>
      <c r="J31" s="23">
        <v>1.393</v>
      </c>
      <c r="K31" s="23" t="s">
        <v>38</v>
      </c>
      <c r="L31" s="45">
        <v>0.613</v>
      </c>
      <c r="M31" s="45">
        <v>1.632</v>
      </c>
      <c r="N31" s="23">
        <v>0.299</v>
      </c>
      <c r="O31" s="45">
        <v>0.146</v>
      </c>
      <c r="P31" s="23" t="s">
        <v>24</v>
      </c>
    </row>
    <row r="32" ht="15.75" customHeight="1">
      <c r="A32" s="25"/>
      <c r="B32" s="26"/>
      <c r="C32" s="27">
        <v>2.0</v>
      </c>
      <c r="D32" s="51" t="s">
        <v>65</v>
      </c>
      <c r="E32" s="29">
        <v>0.665</v>
      </c>
      <c r="F32" s="29" t="s">
        <v>38</v>
      </c>
      <c r="G32" s="29">
        <v>0.251</v>
      </c>
      <c r="H32" s="29" t="s">
        <v>38</v>
      </c>
      <c r="I32" s="29" t="s">
        <v>38</v>
      </c>
      <c r="J32" s="29">
        <v>0.084</v>
      </c>
      <c r="K32" s="46">
        <v>0.06</v>
      </c>
      <c r="L32" s="46">
        <v>0.482</v>
      </c>
      <c r="M32" s="46">
        <v>1.64</v>
      </c>
      <c r="N32" s="29">
        <v>0.089</v>
      </c>
      <c r="O32" s="29">
        <v>0.544</v>
      </c>
      <c r="P32" s="29" t="s">
        <v>24</v>
      </c>
    </row>
    <row r="33" ht="15.75" customHeight="1">
      <c r="A33" s="25"/>
      <c r="B33" s="31"/>
      <c r="C33" s="27">
        <v>3.0</v>
      </c>
      <c r="D33" s="51" t="s">
        <v>66</v>
      </c>
      <c r="E33" s="29">
        <v>0.416</v>
      </c>
      <c r="F33" s="29" t="s">
        <v>38</v>
      </c>
      <c r="G33" s="29">
        <v>0.143</v>
      </c>
      <c r="H33" s="29" t="s">
        <v>38</v>
      </c>
      <c r="I33" s="29">
        <v>0.106</v>
      </c>
      <c r="J33" s="29">
        <v>0.145</v>
      </c>
      <c r="K33" s="29" t="s">
        <v>38</v>
      </c>
      <c r="L33" s="46">
        <v>0.572</v>
      </c>
      <c r="M33" s="46">
        <v>1.682</v>
      </c>
      <c r="N33" s="29">
        <v>0.206</v>
      </c>
      <c r="O33" s="29">
        <v>0.677</v>
      </c>
      <c r="P33" s="29" t="s">
        <v>24</v>
      </c>
    </row>
    <row r="34" ht="15.75" customHeight="1">
      <c r="A34" s="25"/>
      <c r="B34" s="32" t="s">
        <v>71</v>
      </c>
      <c r="C34" s="33">
        <v>1.0</v>
      </c>
      <c r="D34" s="48" t="s">
        <v>64</v>
      </c>
      <c r="E34" s="23">
        <v>2.649</v>
      </c>
      <c r="F34" s="23">
        <v>4.238</v>
      </c>
      <c r="G34" s="23">
        <v>5.356</v>
      </c>
      <c r="H34" s="23">
        <v>3.971</v>
      </c>
      <c r="I34" s="23">
        <v>5.833</v>
      </c>
      <c r="J34" s="23">
        <v>2.992</v>
      </c>
      <c r="K34" s="23">
        <v>3.276</v>
      </c>
      <c r="L34" s="45">
        <v>1.019</v>
      </c>
      <c r="M34" s="23" t="s">
        <v>38</v>
      </c>
      <c r="N34" s="23">
        <v>2.499</v>
      </c>
      <c r="O34" s="23">
        <v>2.239</v>
      </c>
      <c r="P34" s="23" t="s">
        <v>24</v>
      </c>
    </row>
    <row r="35" ht="15.75" customHeight="1">
      <c r="A35" s="25"/>
      <c r="B35" s="26"/>
      <c r="C35" s="27">
        <v>2.0</v>
      </c>
      <c r="D35" s="51" t="s">
        <v>65</v>
      </c>
      <c r="E35" s="29">
        <v>2.759</v>
      </c>
      <c r="F35" s="29">
        <v>4.284</v>
      </c>
      <c r="G35" s="29">
        <v>5.264</v>
      </c>
      <c r="H35" s="29">
        <v>3.971</v>
      </c>
      <c r="I35" s="29">
        <v>5.838</v>
      </c>
      <c r="J35" s="29">
        <v>2.985</v>
      </c>
      <c r="K35" s="29">
        <v>3.223</v>
      </c>
      <c r="L35" s="46">
        <v>1.029</v>
      </c>
      <c r="M35" s="29" t="s">
        <v>38</v>
      </c>
      <c r="N35" s="29">
        <v>2.582</v>
      </c>
      <c r="O35" s="29">
        <v>2.222</v>
      </c>
      <c r="P35" s="29" t="s">
        <v>24</v>
      </c>
    </row>
    <row r="36" ht="15.75" customHeight="1">
      <c r="A36" s="25"/>
      <c r="B36" s="31"/>
      <c r="C36" s="27">
        <v>3.0</v>
      </c>
      <c r="D36" s="51" t="s">
        <v>66</v>
      </c>
      <c r="E36" s="29">
        <v>2.361</v>
      </c>
      <c r="F36" s="29">
        <v>4.227</v>
      </c>
      <c r="G36" s="29">
        <v>5.335</v>
      </c>
      <c r="H36" s="29">
        <v>3.993</v>
      </c>
      <c r="I36" s="29">
        <v>5.851</v>
      </c>
      <c r="J36" s="29">
        <v>2.956</v>
      </c>
      <c r="K36" s="29">
        <v>3.114</v>
      </c>
      <c r="L36" s="46">
        <v>1.007</v>
      </c>
      <c r="M36" s="29" t="s">
        <v>38</v>
      </c>
      <c r="N36" s="29">
        <v>2.656</v>
      </c>
      <c r="O36" s="29">
        <v>2.271</v>
      </c>
      <c r="P36" s="29" t="s">
        <v>24</v>
      </c>
    </row>
    <row r="37" ht="15.75" customHeight="1">
      <c r="A37" s="25"/>
      <c r="B37" s="32" t="s">
        <v>51</v>
      </c>
      <c r="C37" s="33">
        <v>1.0</v>
      </c>
      <c r="D37" s="48" t="s">
        <v>64</v>
      </c>
      <c r="E37" s="41">
        <v>1282.0</v>
      </c>
      <c r="F37" s="41">
        <v>1797.0</v>
      </c>
      <c r="G37" s="23">
        <v>3226.0</v>
      </c>
      <c r="H37" s="23">
        <v>7494.0</v>
      </c>
      <c r="I37" s="23">
        <v>1539.0</v>
      </c>
      <c r="J37" s="23">
        <v>1.393</v>
      </c>
      <c r="K37" s="23">
        <v>244.0</v>
      </c>
      <c r="L37" s="36">
        <v>49.0</v>
      </c>
      <c r="M37" s="36">
        <v>29.0</v>
      </c>
      <c r="N37" s="23">
        <v>158.0</v>
      </c>
      <c r="O37" s="23">
        <v>686.0</v>
      </c>
      <c r="P37" s="23" t="s">
        <v>24</v>
      </c>
    </row>
    <row r="38" ht="15.75" customHeight="1">
      <c r="A38" s="25"/>
      <c r="B38" s="26"/>
      <c r="C38" s="27">
        <v>2.0</v>
      </c>
      <c r="D38" s="51" t="s">
        <v>65</v>
      </c>
      <c r="E38" s="42">
        <v>1282.0</v>
      </c>
      <c r="F38" s="42">
        <v>1943.0</v>
      </c>
      <c r="G38" s="29">
        <v>2978.0</v>
      </c>
      <c r="H38" s="29">
        <v>7445.0</v>
      </c>
      <c r="I38" s="29">
        <v>1687.0</v>
      </c>
      <c r="J38" s="29">
        <v>0.084</v>
      </c>
      <c r="K38" s="29">
        <v>220.0</v>
      </c>
      <c r="L38" s="38">
        <v>29.0</v>
      </c>
      <c r="M38" s="38">
        <v>57.0</v>
      </c>
      <c r="N38" s="29">
        <v>160.0</v>
      </c>
      <c r="O38" s="29">
        <v>348.0</v>
      </c>
      <c r="P38" s="29" t="s">
        <v>24</v>
      </c>
    </row>
    <row r="39" ht="15.75" customHeight="1">
      <c r="A39" s="25"/>
      <c r="B39" s="31"/>
      <c r="C39" s="27">
        <v>3.0</v>
      </c>
      <c r="D39" s="51" t="s">
        <v>66</v>
      </c>
      <c r="E39" s="42">
        <v>1204.0</v>
      </c>
      <c r="F39" s="42">
        <v>2040.0</v>
      </c>
      <c r="G39" s="29">
        <v>3424.0</v>
      </c>
      <c r="H39" s="29">
        <v>5360.0</v>
      </c>
      <c r="I39" s="29">
        <v>1390.0</v>
      </c>
      <c r="J39" s="29">
        <v>0.145</v>
      </c>
      <c r="K39" s="29">
        <v>185.0</v>
      </c>
      <c r="L39" s="38">
        <v>29.0</v>
      </c>
      <c r="M39" s="38">
        <v>64.0</v>
      </c>
      <c r="N39" s="29">
        <v>189.0</v>
      </c>
      <c r="O39" s="29">
        <v>363.0</v>
      </c>
      <c r="P39" s="29" t="s">
        <v>24</v>
      </c>
    </row>
    <row r="40" ht="15.75" customHeight="1"/>
    <row r="41" ht="15.75" customHeight="1">
      <c r="A41" s="70" t="s">
        <v>62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P1"/>
    <mergeCell ref="A2:P2"/>
    <mergeCell ref="A3:P3"/>
    <mergeCell ref="A5:P5"/>
    <mergeCell ref="A6:P6"/>
    <mergeCell ref="B7:B9"/>
    <mergeCell ref="B10:B12"/>
    <mergeCell ref="B34:B36"/>
    <mergeCell ref="B37:B39"/>
    <mergeCell ref="B13:B15"/>
    <mergeCell ref="B16:B18"/>
    <mergeCell ref="B19:B21"/>
    <mergeCell ref="B22:B24"/>
    <mergeCell ref="B25:B27"/>
    <mergeCell ref="B28:B30"/>
    <mergeCell ref="B31:B33"/>
  </mergeCells>
  <printOptions horizontalCentered="1" verticalCentered="1"/>
  <pageMargins bottom="0.0" footer="0.0" header="0.0" left="0.0" right="0.0" top="0.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33.43"/>
    <col customWidth="1" min="3" max="3" width="11.0"/>
    <col customWidth="1" min="4" max="4" width="58.71"/>
    <col customWidth="1" min="5" max="5" width="14.71"/>
    <col customWidth="1" min="6" max="6" width="11.71"/>
    <col customWidth="1" min="7" max="7" width="8.71"/>
    <col customWidth="1" min="8" max="8" width="6.86"/>
    <col customWidth="1" min="9" max="9" width="12.57"/>
    <col customWidth="1" min="10" max="10" width="7.29"/>
    <col customWidth="1" min="11" max="11" width="6.29"/>
    <col customWidth="1" min="12" max="12" width="9.71"/>
    <col customWidth="1" min="13" max="13" width="14.0"/>
    <col customWidth="1" min="14" max="14" width="18.43"/>
    <col customWidth="1" min="15" max="15" width="13.0"/>
    <col customWidth="1" min="16" max="16" width="13.14"/>
    <col customWidth="1" min="17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>
      <c r="A4" s="10" t="s">
        <v>3</v>
      </c>
      <c r="B4" s="11" t="s">
        <v>4</v>
      </c>
      <c r="C4" s="11" t="s">
        <v>5</v>
      </c>
      <c r="D4" s="11" t="s">
        <v>6</v>
      </c>
      <c r="E4" s="12" t="s">
        <v>7</v>
      </c>
      <c r="F4" s="12" t="s">
        <v>8</v>
      </c>
      <c r="G4" s="11" t="s">
        <v>9</v>
      </c>
      <c r="H4" s="11" t="s">
        <v>10</v>
      </c>
      <c r="I4" s="11" t="s">
        <v>11</v>
      </c>
      <c r="J4" s="11" t="s">
        <v>12</v>
      </c>
      <c r="K4" s="12" t="s">
        <v>13</v>
      </c>
      <c r="L4" s="12" t="s">
        <v>14</v>
      </c>
      <c r="M4" s="11" t="s">
        <v>15</v>
      </c>
      <c r="N4" s="11" t="s">
        <v>16</v>
      </c>
      <c r="O4" s="11" t="s">
        <v>17</v>
      </c>
      <c r="P4" s="11" t="s">
        <v>18</v>
      </c>
    </row>
    <row r="5">
      <c r="A5" s="13" t="s">
        <v>72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5"/>
    </row>
    <row r="6">
      <c r="A6" s="16" t="s">
        <v>54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8"/>
    </row>
    <row r="7">
      <c r="A7" s="19" t="s">
        <v>21</v>
      </c>
      <c r="B7" s="20" t="s">
        <v>22</v>
      </c>
      <c r="C7" s="21">
        <v>1.0</v>
      </c>
      <c r="D7" s="71" t="s">
        <v>73</v>
      </c>
      <c r="E7" s="23">
        <v>15.0</v>
      </c>
      <c r="F7" s="23" t="s">
        <v>24</v>
      </c>
      <c r="G7" s="23" t="s">
        <v>24</v>
      </c>
      <c r="H7" s="23" t="s">
        <v>24</v>
      </c>
      <c r="I7" s="23">
        <v>1.43</v>
      </c>
      <c r="J7" s="23" t="s">
        <v>24</v>
      </c>
      <c r="K7" s="23" t="s">
        <v>24</v>
      </c>
      <c r="L7" s="23" t="s">
        <v>24</v>
      </c>
      <c r="M7" s="23">
        <v>1.18</v>
      </c>
      <c r="N7" s="23">
        <v>1.58</v>
      </c>
      <c r="O7" s="23" t="s">
        <v>24</v>
      </c>
      <c r="P7" s="23" t="s">
        <v>24</v>
      </c>
    </row>
    <row r="8">
      <c r="A8" s="25"/>
      <c r="B8" s="26"/>
      <c r="C8" s="27">
        <v>2.0</v>
      </c>
      <c r="D8" s="72" t="s">
        <v>74</v>
      </c>
      <c r="E8" s="29">
        <v>1.8</v>
      </c>
      <c r="F8" s="29" t="s">
        <v>24</v>
      </c>
      <c r="G8" s="29" t="s">
        <v>24</v>
      </c>
      <c r="H8" s="29" t="s">
        <v>24</v>
      </c>
      <c r="I8" s="30">
        <v>3.4</v>
      </c>
      <c r="J8" s="29" t="s">
        <v>24</v>
      </c>
      <c r="K8" s="29" t="s">
        <v>24</v>
      </c>
      <c r="L8" s="29" t="s">
        <v>24</v>
      </c>
      <c r="M8" s="29">
        <v>2.46</v>
      </c>
      <c r="N8" s="29">
        <v>1.48</v>
      </c>
      <c r="O8" s="29" t="s">
        <v>24</v>
      </c>
      <c r="P8" s="29" t="s">
        <v>24</v>
      </c>
    </row>
    <row r="9">
      <c r="A9" s="25"/>
      <c r="B9" s="31"/>
      <c r="C9" s="27">
        <v>3.0</v>
      </c>
      <c r="D9" s="72" t="s">
        <v>75</v>
      </c>
      <c r="E9" s="29">
        <v>1.9</v>
      </c>
      <c r="F9" s="29" t="s">
        <v>24</v>
      </c>
      <c r="G9" s="29" t="s">
        <v>24</v>
      </c>
      <c r="H9" s="29" t="s">
        <v>24</v>
      </c>
      <c r="I9" s="29">
        <v>3.03</v>
      </c>
      <c r="J9" s="29" t="s">
        <v>24</v>
      </c>
      <c r="K9" s="29" t="s">
        <v>24</v>
      </c>
      <c r="L9" s="29" t="s">
        <v>24</v>
      </c>
      <c r="M9" s="29">
        <v>2.3</v>
      </c>
      <c r="N9" s="29">
        <v>0.69</v>
      </c>
      <c r="O9" s="29" t="s">
        <v>24</v>
      </c>
      <c r="P9" s="29" t="s">
        <v>24</v>
      </c>
    </row>
    <row r="10">
      <c r="A10" s="25"/>
      <c r="B10" s="32" t="s">
        <v>29</v>
      </c>
      <c r="C10" s="33">
        <v>1.0</v>
      </c>
      <c r="D10" s="71" t="s">
        <v>73</v>
      </c>
      <c r="E10" s="23">
        <v>68.0</v>
      </c>
      <c r="F10" s="23" t="s">
        <v>24</v>
      </c>
      <c r="G10" s="23" t="s">
        <v>24</v>
      </c>
      <c r="H10" s="23" t="s">
        <v>24</v>
      </c>
      <c r="I10" s="23">
        <v>35.0</v>
      </c>
      <c r="J10" s="23" t="s">
        <v>24</v>
      </c>
      <c r="K10" s="23" t="s">
        <v>24</v>
      </c>
      <c r="L10" s="23" t="s">
        <v>24</v>
      </c>
      <c r="M10" s="23">
        <v>24.0</v>
      </c>
      <c r="N10" s="23">
        <v>19.0</v>
      </c>
      <c r="O10" s="23" t="s">
        <v>24</v>
      </c>
      <c r="P10" s="23" t="s">
        <v>24</v>
      </c>
    </row>
    <row r="11">
      <c r="A11" s="25"/>
      <c r="B11" s="26"/>
      <c r="C11" s="27">
        <v>2.0</v>
      </c>
      <c r="D11" s="72" t="s">
        <v>74</v>
      </c>
      <c r="E11" s="29">
        <v>39.0</v>
      </c>
      <c r="F11" s="29" t="s">
        <v>24</v>
      </c>
      <c r="G11" s="29" t="s">
        <v>24</v>
      </c>
      <c r="H11" s="29" t="s">
        <v>24</v>
      </c>
      <c r="I11" s="29">
        <v>11.0</v>
      </c>
      <c r="J11" s="29" t="s">
        <v>24</v>
      </c>
      <c r="K11" s="29" t="s">
        <v>24</v>
      </c>
      <c r="L11" s="29" t="s">
        <v>24</v>
      </c>
      <c r="M11" s="29">
        <v>18.0</v>
      </c>
      <c r="N11" s="29">
        <v>7.0</v>
      </c>
      <c r="O11" s="29" t="s">
        <v>24</v>
      </c>
      <c r="P11" s="29" t="s">
        <v>24</v>
      </c>
    </row>
    <row r="12">
      <c r="A12" s="25"/>
      <c r="B12" s="31"/>
      <c r="C12" s="27">
        <v>3.0</v>
      </c>
      <c r="D12" s="72" t="s">
        <v>75</v>
      </c>
      <c r="E12" s="29">
        <v>33.0</v>
      </c>
      <c r="F12" s="29" t="s">
        <v>24</v>
      </c>
      <c r="G12" s="29" t="s">
        <v>24</v>
      </c>
      <c r="H12" s="29" t="s">
        <v>24</v>
      </c>
      <c r="I12" s="29">
        <v>13.0</v>
      </c>
      <c r="J12" s="29" t="s">
        <v>24</v>
      </c>
      <c r="K12" s="29" t="s">
        <v>24</v>
      </c>
      <c r="L12" s="29" t="s">
        <v>24</v>
      </c>
      <c r="M12" s="29">
        <v>11.0</v>
      </c>
      <c r="N12" s="29">
        <v>10.0</v>
      </c>
      <c r="O12" s="29" t="s">
        <v>24</v>
      </c>
      <c r="P12" s="29" t="s">
        <v>24</v>
      </c>
    </row>
    <row r="13">
      <c r="A13" s="25"/>
      <c r="B13" s="32" t="s">
        <v>30</v>
      </c>
      <c r="C13" s="33">
        <v>1.0</v>
      </c>
      <c r="D13" s="71" t="s">
        <v>73</v>
      </c>
      <c r="E13" s="23">
        <v>52.0</v>
      </c>
      <c r="F13" s="23" t="s">
        <v>24</v>
      </c>
      <c r="G13" s="23" t="s">
        <v>24</v>
      </c>
      <c r="H13" s="23" t="s">
        <v>24</v>
      </c>
      <c r="I13" s="23">
        <v>28.0</v>
      </c>
      <c r="J13" s="23" t="s">
        <v>24</v>
      </c>
      <c r="K13" s="23" t="s">
        <v>24</v>
      </c>
      <c r="L13" s="23" t="s">
        <v>24</v>
      </c>
      <c r="M13" s="23">
        <v>27.0</v>
      </c>
      <c r="N13" s="23">
        <v>4.0</v>
      </c>
      <c r="O13" s="23" t="s">
        <v>24</v>
      </c>
      <c r="P13" s="23" t="s">
        <v>24</v>
      </c>
    </row>
    <row r="14">
      <c r="A14" s="25"/>
      <c r="B14" s="26"/>
      <c r="C14" s="27">
        <v>2.0</v>
      </c>
      <c r="D14" s="72" t="s">
        <v>74</v>
      </c>
      <c r="E14" s="29">
        <v>7.0</v>
      </c>
      <c r="F14" s="29" t="s">
        <v>24</v>
      </c>
      <c r="G14" s="29" t="s">
        <v>24</v>
      </c>
      <c r="H14" s="29" t="s">
        <v>24</v>
      </c>
      <c r="I14" s="29">
        <v>15.0</v>
      </c>
      <c r="J14" s="29" t="s">
        <v>24</v>
      </c>
      <c r="K14" s="29" t="s">
        <v>24</v>
      </c>
      <c r="L14" s="29" t="s">
        <v>24</v>
      </c>
      <c r="M14" s="29">
        <v>21.0</v>
      </c>
      <c r="N14" s="29">
        <v>16.0</v>
      </c>
      <c r="O14" s="29" t="s">
        <v>24</v>
      </c>
      <c r="P14" s="29" t="s">
        <v>24</v>
      </c>
    </row>
    <row r="15">
      <c r="A15" s="25"/>
      <c r="B15" s="31"/>
      <c r="C15" s="27">
        <v>3.0</v>
      </c>
      <c r="D15" s="72" t="s">
        <v>75</v>
      </c>
      <c r="E15" s="29">
        <v>7.0</v>
      </c>
      <c r="F15" s="29" t="s">
        <v>24</v>
      </c>
      <c r="G15" s="29" t="s">
        <v>24</v>
      </c>
      <c r="H15" s="29" t="s">
        <v>24</v>
      </c>
      <c r="I15" s="29">
        <v>13.0</v>
      </c>
      <c r="J15" s="29" t="s">
        <v>24</v>
      </c>
      <c r="K15" s="29" t="s">
        <v>24</v>
      </c>
      <c r="L15" s="29" t="s">
        <v>24</v>
      </c>
      <c r="M15" s="29">
        <v>16.0</v>
      </c>
      <c r="N15" s="29">
        <v>11.0</v>
      </c>
      <c r="O15" s="29" t="s">
        <v>24</v>
      </c>
      <c r="P15" s="29" t="s">
        <v>24</v>
      </c>
    </row>
    <row r="16">
      <c r="A16" s="25"/>
      <c r="B16" s="32" t="s">
        <v>31</v>
      </c>
      <c r="C16" s="33">
        <v>1.0</v>
      </c>
      <c r="D16" s="71" t="s">
        <v>73</v>
      </c>
      <c r="E16" s="23">
        <v>7.15</v>
      </c>
      <c r="F16" s="23" t="s">
        <v>24</v>
      </c>
      <c r="G16" s="23" t="s">
        <v>24</v>
      </c>
      <c r="H16" s="23" t="s">
        <v>24</v>
      </c>
      <c r="I16" s="24">
        <v>7.3</v>
      </c>
      <c r="J16" s="23" t="s">
        <v>24</v>
      </c>
      <c r="K16" s="23" t="s">
        <v>24</v>
      </c>
      <c r="L16" s="23" t="s">
        <v>24</v>
      </c>
      <c r="M16" s="23">
        <v>7.12</v>
      </c>
      <c r="N16" s="23">
        <v>7.86</v>
      </c>
      <c r="O16" s="23" t="s">
        <v>24</v>
      </c>
      <c r="P16" s="23" t="s">
        <v>24</v>
      </c>
    </row>
    <row r="17">
      <c r="A17" s="25"/>
      <c r="B17" s="26"/>
      <c r="C17" s="27">
        <v>2.0</v>
      </c>
      <c r="D17" s="72" t="s">
        <v>74</v>
      </c>
      <c r="E17" s="29">
        <v>7.35</v>
      </c>
      <c r="F17" s="29" t="s">
        <v>24</v>
      </c>
      <c r="G17" s="29" t="s">
        <v>24</v>
      </c>
      <c r="H17" s="29" t="s">
        <v>24</v>
      </c>
      <c r="I17" s="29">
        <v>7.28</v>
      </c>
      <c r="J17" s="29" t="s">
        <v>24</v>
      </c>
      <c r="K17" s="29" t="s">
        <v>24</v>
      </c>
      <c r="L17" s="29" t="s">
        <v>24</v>
      </c>
      <c r="M17" s="29">
        <v>7.05</v>
      </c>
      <c r="N17" s="29">
        <v>7.72</v>
      </c>
      <c r="O17" s="29" t="s">
        <v>24</v>
      </c>
      <c r="P17" s="29" t="s">
        <v>24</v>
      </c>
    </row>
    <row r="18">
      <c r="A18" s="25"/>
      <c r="B18" s="31"/>
      <c r="C18" s="27">
        <v>3.0</v>
      </c>
      <c r="D18" s="72" t="s">
        <v>75</v>
      </c>
      <c r="E18" s="29">
        <v>7.28</v>
      </c>
      <c r="F18" s="29" t="s">
        <v>24</v>
      </c>
      <c r="G18" s="29" t="s">
        <v>24</v>
      </c>
      <c r="H18" s="29" t="s">
        <v>24</v>
      </c>
      <c r="I18" s="29">
        <v>7.29</v>
      </c>
      <c r="J18" s="29" t="s">
        <v>24</v>
      </c>
      <c r="K18" s="29" t="s">
        <v>24</v>
      </c>
      <c r="L18" s="29" t="s">
        <v>24</v>
      </c>
      <c r="M18" s="29">
        <v>6.88</v>
      </c>
      <c r="N18" s="29">
        <v>7.71</v>
      </c>
      <c r="O18" s="29" t="s">
        <v>24</v>
      </c>
      <c r="P18" s="29" t="s">
        <v>24</v>
      </c>
    </row>
    <row r="19">
      <c r="A19" s="25"/>
      <c r="B19" s="32" t="s">
        <v>76</v>
      </c>
      <c r="C19" s="33">
        <v>1.0</v>
      </c>
      <c r="D19" s="71" t="s">
        <v>73</v>
      </c>
      <c r="E19" s="41">
        <v>3500000.0</v>
      </c>
      <c r="F19" s="23" t="s">
        <v>24</v>
      </c>
      <c r="G19" s="23" t="s">
        <v>24</v>
      </c>
      <c r="H19" s="23" t="s">
        <v>24</v>
      </c>
      <c r="I19" s="41">
        <v>540000.0</v>
      </c>
      <c r="J19" s="23" t="s">
        <v>24</v>
      </c>
      <c r="K19" s="23" t="s">
        <v>24</v>
      </c>
      <c r="L19" s="23" t="s">
        <v>24</v>
      </c>
      <c r="M19" s="41">
        <v>700000.0</v>
      </c>
      <c r="N19" s="41">
        <v>350000.0</v>
      </c>
      <c r="O19" s="23" t="s">
        <v>24</v>
      </c>
      <c r="P19" s="23" t="s">
        <v>24</v>
      </c>
    </row>
    <row r="20">
      <c r="A20" s="25"/>
      <c r="B20" s="26"/>
      <c r="C20" s="27">
        <v>2.0</v>
      </c>
      <c r="D20" s="72" t="s">
        <v>74</v>
      </c>
      <c r="E20" s="42">
        <v>1300000.0</v>
      </c>
      <c r="F20" s="29" t="s">
        <v>24</v>
      </c>
      <c r="G20" s="29" t="s">
        <v>24</v>
      </c>
      <c r="H20" s="29" t="s">
        <v>24</v>
      </c>
      <c r="I20" s="42">
        <v>350000.0</v>
      </c>
      <c r="J20" s="29" t="s">
        <v>24</v>
      </c>
      <c r="K20" s="29" t="s">
        <v>24</v>
      </c>
      <c r="L20" s="29" t="s">
        <v>24</v>
      </c>
      <c r="M20" s="42">
        <v>1700000.0</v>
      </c>
      <c r="N20" s="42">
        <v>220000.0</v>
      </c>
      <c r="O20" s="29" t="s">
        <v>24</v>
      </c>
      <c r="P20" s="29" t="s">
        <v>24</v>
      </c>
    </row>
    <row r="21" ht="15.75" customHeight="1">
      <c r="A21" s="25"/>
      <c r="B21" s="31"/>
      <c r="C21" s="27">
        <v>3.0</v>
      </c>
      <c r="D21" s="72" t="s">
        <v>75</v>
      </c>
      <c r="E21" s="42">
        <v>2400000.0</v>
      </c>
      <c r="F21" s="29" t="s">
        <v>24</v>
      </c>
      <c r="G21" s="29" t="s">
        <v>24</v>
      </c>
      <c r="H21" s="29" t="s">
        <v>24</v>
      </c>
      <c r="I21" s="42">
        <v>540000.0</v>
      </c>
      <c r="J21" s="29" t="s">
        <v>24</v>
      </c>
      <c r="K21" s="29" t="s">
        <v>24</v>
      </c>
      <c r="L21" s="29" t="s">
        <v>24</v>
      </c>
      <c r="M21" s="42">
        <v>170000.0</v>
      </c>
      <c r="N21" s="42">
        <v>350000.0</v>
      </c>
      <c r="O21" s="29" t="s">
        <v>24</v>
      </c>
      <c r="P21" s="29" t="s">
        <v>24</v>
      </c>
    </row>
    <row r="22" ht="15.75" customHeight="1">
      <c r="A22" s="25"/>
      <c r="B22" s="32" t="s">
        <v>77</v>
      </c>
      <c r="C22" s="33">
        <v>1.0</v>
      </c>
      <c r="D22" s="71" t="s">
        <v>73</v>
      </c>
      <c r="E22" s="23" t="s">
        <v>24</v>
      </c>
      <c r="F22" s="23" t="s">
        <v>24</v>
      </c>
      <c r="G22" s="23" t="s">
        <v>24</v>
      </c>
      <c r="H22" s="23" t="s">
        <v>24</v>
      </c>
      <c r="I22" s="23" t="s">
        <v>24</v>
      </c>
      <c r="J22" s="23" t="s">
        <v>24</v>
      </c>
      <c r="K22" s="23" t="s">
        <v>24</v>
      </c>
      <c r="L22" s="23" t="s">
        <v>24</v>
      </c>
      <c r="M22" s="23">
        <v>7.311</v>
      </c>
      <c r="N22" s="23">
        <v>12.023</v>
      </c>
      <c r="O22" s="23" t="s">
        <v>24</v>
      </c>
      <c r="P22" s="23" t="s">
        <v>24</v>
      </c>
    </row>
    <row r="23" ht="15.75" customHeight="1">
      <c r="A23" s="25"/>
      <c r="B23" s="26"/>
      <c r="C23" s="27">
        <v>2.0</v>
      </c>
      <c r="D23" s="72" t="s">
        <v>74</v>
      </c>
      <c r="E23" s="29" t="s">
        <v>24</v>
      </c>
      <c r="F23" s="29" t="s">
        <v>24</v>
      </c>
      <c r="G23" s="29" t="s">
        <v>24</v>
      </c>
      <c r="H23" s="29" t="s">
        <v>24</v>
      </c>
      <c r="I23" s="29" t="s">
        <v>24</v>
      </c>
      <c r="J23" s="29" t="s">
        <v>24</v>
      </c>
      <c r="K23" s="29" t="s">
        <v>24</v>
      </c>
      <c r="L23" s="29" t="s">
        <v>24</v>
      </c>
      <c r="M23" s="29">
        <v>3.45</v>
      </c>
      <c r="N23" s="29">
        <v>3.201</v>
      </c>
      <c r="O23" s="29" t="s">
        <v>24</v>
      </c>
      <c r="P23" s="29" t="s">
        <v>24</v>
      </c>
    </row>
    <row r="24" ht="15.75" customHeight="1">
      <c r="A24" s="25"/>
      <c r="B24" s="31"/>
      <c r="C24" s="27">
        <v>3.0</v>
      </c>
      <c r="D24" s="72" t="s">
        <v>75</v>
      </c>
      <c r="E24" s="29" t="s">
        <v>24</v>
      </c>
      <c r="F24" s="29" t="s">
        <v>24</v>
      </c>
      <c r="G24" s="29" t="s">
        <v>24</v>
      </c>
      <c r="H24" s="29" t="s">
        <v>24</v>
      </c>
      <c r="I24" s="29" t="s">
        <v>24</v>
      </c>
      <c r="J24" s="29" t="s">
        <v>24</v>
      </c>
      <c r="K24" s="29" t="s">
        <v>24</v>
      </c>
      <c r="L24" s="29" t="s">
        <v>24</v>
      </c>
      <c r="M24" s="29">
        <v>2.382</v>
      </c>
      <c r="N24" s="29">
        <v>4.679</v>
      </c>
      <c r="O24" s="29" t="s">
        <v>24</v>
      </c>
      <c r="P24" s="29" t="s">
        <v>24</v>
      </c>
    </row>
    <row r="25" ht="15.75" customHeight="1">
      <c r="A25" s="25"/>
      <c r="B25" s="32" t="s">
        <v>78</v>
      </c>
      <c r="C25" s="33">
        <v>1.0</v>
      </c>
      <c r="D25" s="71" t="s">
        <v>73</v>
      </c>
      <c r="E25" s="23">
        <v>0.526</v>
      </c>
      <c r="F25" s="23" t="s">
        <v>24</v>
      </c>
      <c r="G25" s="23" t="s">
        <v>24</v>
      </c>
      <c r="H25" s="23" t="s">
        <v>24</v>
      </c>
      <c r="I25" s="23">
        <v>1.446</v>
      </c>
      <c r="J25" s="23" t="s">
        <v>24</v>
      </c>
      <c r="K25" s="23" t="s">
        <v>24</v>
      </c>
      <c r="L25" s="23" t="s">
        <v>24</v>
      </c>
      <c r="M25" s="23">
        <v>0.276</v>
      </c>
      <c r="N25" s="23">
        <v>0.447</v>
      </c>
      <c r="O25" s="23" t="s">
        <v>24</v>
      </c>
      <c r="P25" s="23" t="s">
        <v>24</v>
      </c>
    </row>
    <row r="26" ht="15.75" customHeight="1">
      <c r="A26" s="25"/>
      <c r="B26" s="26"/>
      <c r="C26" s="27">
        <v>2.0</v>
      </c>
      <c r="D26" s="72" t="s">
        <v>74</v>
      </c>
      <c r="E26" s="29">
        <v>0.625</v>
      </c>
      <c r="F26" s="29" t="s">
        <v>24</v>
      </c>
      <c r="G26" s="29" t="s">
        <v>24</v>
      </c>
      <c r="H26" s="29" t="s">
        <v>24</v>
      </c>
      <c r="I26" s="46">
        <v>1.88</v>
      </c>
      <c r="J26" s="29" t="s">
        <v>24</v>
      </c>
      <c r="K26" s="29" t="s">
        <v>24</v>
      </c>
      <c r="L26" s="29" t="s">
        <v>24</v>
      </c>
      <c r="M26" s="29">
        <v>0.557</v>
      </c>
      <c r="N26" s="29">
        <v>1.143</v>
      </c>
      <c r="O26" s="29" t="s">
        <v>24</v>
      </c>
      <c r="P26" s="29" t="s">
        <v>24</v>
      </c>
    </row>
    <row r="27" ht="15.75" customHeight="1">
      <c r="A27" s="25"/>
      <c r="B27" s="31"/>
      <c r="C27" s="27">
        <v>3.0</v>
      </c>
      <c r="D27" s="72" t="s">
        <v>75</v>
      </c>
      <c r="E27" s="29">
        <v>0.117</v>
      </c>
      <c r="F27" s="29" t="s">
        <v>24</v>
      </c>
      <c r="G27" s="29" t="s">
        <v>24</v>
      </c>
      <c r="H27" s="29" t="s">
        <v>24</v>
      </c>
      <c r="I27" s="29">
        <v>1.703</v>
      </c>
      <c r="J27" s="29" t="s">
        <v>24</v>
      </c>
      <c r="K27" s="29" t="s">
        <v>24</v>
      </c>
      <c r="L27" s="29" t="s">
        <v>24</v>
      </c>
      <c r="M27" s="29">
        <v>0.785</v>
      </c>
      <c r="N27" s="29">
        <v>0.735</v>
      </c>
      <c r="O27" s="29" t="s">
        <v>24</v>
      </c>
      <c r="P27" s="29" t="s">
        <v>24</v>
      </c>
    </row>
    <row r="28" ht="15.75" customHeight="1">
      <c r="A28" s="25"/>
      <c r="B28" s="32" t="s">
        <v>79</v>
      </c>
      <c r="C28" s="33">
        <v>1.0</v>
      </c>
      <c r="D28" s="71" t="s">
        <v>73</v>
      </c>
      <c r="E28" s="23">
        <v>8.209</v>
      </c>
      <c r="F28" s="23" t="s">
        <v>24</v>
      </c>
      <c r="G28" s="23" t="s">
        <v>24</v>
      </c>
      <c r="H28" s="23" t="s">
        <v>24</v>
      </c>
      <c r="I28" s="45">
        <v>4.09</v>
      </c>
      <c r="J28" s="23" t="s">
        <v>24</v>
      </c>
      <c r="K28" s="23" t="s">
        <v>24</v>
      </c>
      <c r="L28" s="23" t="s">
        <v>24</v>
      </c>
      <c r="M28" s="23">
        <v>2.21</v>
      </c>
      <c r="N28" s="23">
        <v>2.507</v>
      </c>
      <c r="O28" s="23" t="s">
        <v>24</v>
      </c>
      <c r="P28" s="23" t="s">
        <v>24</v>
      </c>
    </row>
    <row r="29" ht="15.75" customHeight="1">
      <c r="A29" s="25"/>
      <c r="B29" s="26"/>
      <c r="C29" s="27">
        <v>2.0</v>
      </c>
      <c r="D29" s="72" t="s">
        <v>74</v>
      </c>
      <c r="E29" s="29">
        <v>3.92</v>
      </c>
      <c r="F29" s="29" t="s">
        <v>24</v>
      </c>
      <c r="G29" s="29" t="s">
        <v>24</v>
      </c>
      <c r="H29" s="29" t="s">
        <v>24</v>
      </c>
      <c r="I29" s="46">
        <v>2.662</v>
      </c>
      <c r="J29" s="29" t="s">
        <v>24</v>
      </c>
      <c r="K29" s="29" t="s">
        <v>24</v>
      </c>
      <c r="L29" s="29" t="s">
        <v>24</v>
      </c>
      <c r="M29" s="29">
        <v>1.106</v>
      </c>
      <c r="N29" s="29">
        <v>0.939</v>
      </c>
      <c r="O29" s="29" t="s">
        <v>24</v>
      </c>
      <c r="P29" s="29" t="s">
        <v>24</v>
      </c>
    </row>
    <row r="30" ht="15.75" customHeight="1">
      <c r="A30" s="25"/>
      <c r="B30" s="31"/>
      <c r="C30" s="27">
        <v>3.0</v>
      </c>
      <c r="D30" s="72" t="s">
        <v>75</v>
      </c>
      <c r="E30" s="29">
        <v>3.885</v>
      </c>
      <c r="F30" s="29" t="s">
        <v>24</v>
      </c>
      <c r="G30" s="29" t="s">
        <v>24</v>
      </c>
      <c r="H30" s="29" t="s">
        <v>24</v>
      </c>
      <c r="I30" s="46">
        <v>2.58</v>
      </c>
      <c r="J30" s="29" t="s">
        <v>24</v>
      </c>
      <c r="K30" s="29" t="s">
        <v>24</v>
      </c>
      <c r="L30" s="29" t="s">
        <v>24</v>
      </c>
      <c r="M30" s="29">
        <v>1.052</v>
      </c>
      <c r="N30" s="29">
        <v>1.432</v>
      </c>
      <c r="O30" s="29" t="s">
        <v>24</v>
      </c>
      <c r="P30" s="29" t="s">
        <v>24</v>
      </c>
    </row>
    <row r="31" ht="15.75" customHeight="1">
      <c r="A31" s="25"/>
      <c r="B31" s="32" t="s">
        <v>80</v>
      </c>
      <c r="C31" s="33">
        <v>1.0</v>
      </c>
      <c r="D31" s="71" t="s">
        <v>73</v>
      </c>
      <c r="E31" s="23">
        <v>27.8</v>
      </c>
      <c r="F31" s="23" t="s">
        <v>24</v>
      </c>
      <c r="G31" s="23" t="s">
        <v>24</v>
      </c>
      <c r="H31" s="23" t="s">
        <v>24</v>
      </c>
      <c r="I31" s="24">
        <v>31.0</v>
      </c>
      <c r="J31" s="23" t="s">
        <v>24</v>
      </c>
      <c r="K31" s="23" t="s">
        <v>24</v>
      </c>
      <c r="L31" s="23" t="s">
        <v>24</v>
      </c>
      <c r="M31" s="23">
        <v>7.12</v>
      </c>
      <c r="N31" s="23">
        <v>7.86</v>
      </c>
      <c r="O31" s="23" t="s">
        <v>24</v>
      </c>
      <c r="P31" s="23" t="s">
        <v>24</v>
      </c>
    </row>
    <row r="32" ht="15.75" customHeight="1">
      <c r="A32" s="25"/>
      <c r="B32" s="26"/>
      <c r="C32" s="27">
        <v>2.0</v>
      </c>
      <c r="D32" s="72" t="s">
        <v>74</v>
      </c>
      <c r="E32" s="29">
        <v>29.7</v>
      </c>
      <c r="F32" s="29" t="s">
        <v>24</v>
      </c>
      <c r="G32" s="29" t="s">
        <v>24</v>
      </c>
      <c r="H32" s="29" t="s">
        <v>24</v>
      </c>
      <c r="I32" s="30">
        <v>33.0</v>
      </c>
      <c r="J32" s="29" t="s">
        <v>24</v>
      </c>
      <c r="K32" s="29" t="s">
        <v>24</v>
      </c>
      <c r="L32" s="29" t="s">
        <v>24</v>
      </c>
      <c r="M32" s="29">
        <v>7.05</v>
      </c>
      <c r="N32" s="29">
        <v>7.72</v>
      </c>
      <c r="O32" s="29" t="s">
        <v>24</v>
      </c>
      <c r="P32" s="29" t="s">
        <v>24</v>
      </c>
    </row>
    <row r="33" ht="15.75" customHeight="1">
      <c r="A33" s="25"/>
      <c r="B33" s="31"/>
      <c r="C33" s="27">
        <v>3.0</v>
      </c>
      <c r="D33" s="72" t="s">
        <v>75</v>
      </c>
      <c r="E33" s="29">
        <v>29.6</v>
      </c>
      <c r="F33" s="29" t="s">
        <v>24</v>
      </c>
      <c r="G33" s="29" t="s">
        <v>24</v>
      </c>
      <c r="H33" s="29" t="s">
        <v>24</v>
      </c>
      <c r="I33" s="29">
        <v>33.18</v>
      </c>
      <c r="J33" s="29" t="s">
        <v>24</v>
      </c>
      <c r="K33" s="29" t="s">
        <v>24</v>
      </c>
      <c r="L33" s="29" t="s">
        <v>24</v>
      </c>
      <c r="M33" s="29">
        <v>6.88</v>
      </c>
      <c r="N33" s="29">
        <v>7.71</v>
      </c>
      <c r="O33" s="29" t="s">
        <v>24</v>
      </c>
      <c r="P33" s="29" t="s">
        <v>24</v>
      </c>
    </row>
    <row r="34" ht="15.75" customHeight="1">
      <c r="A34" s="25"/>
      <c r="B34" s="32" t="s">
        <v>81</v>
      </c>
      <c r="C34" s="33">
        <v>1.0</v>
      </c>
      <c r="D34" s="71" t="s">
        <v>73</v>
      </c>
      <c r="E34" s="23">
        <v>80.0</v>
      </c>
      <c r="F34" s="23" t="s">
        <v>24</v>
      </c>
      <c r="G34" s="23" t="s">
        <v>24</v>
      </c>
      <c r="H34" s="23" t="s">
        <v>24</v>
      </c>
      <c r="I34" s="23">
        <v>60.0</v>
      </c>
      <c r="J34" s="23" t="s">
        <v>24</v>
      </c>
      <c r="K34" s="23" t="s">
        <v>24</v>
      </c>
      <c r="L34" s="23" t="s">
        <v>24</v>
      </c>
      <c r="M34" s="23">
        <v>7.12</v>
      </c>
      <c r="N34" s="23">
        <v>7.86</v>
      </c>
      <c r="O34" s="23" t="s">
        <v>24</v>
      </c>
      <c r="P34" s="23" t="s">
        <v>24</v>
      </c>
    </row>
    <row r="35" ht="15.75" customHeight="1">
      <c r="A35" s="25"/>
      <c r="B35" s="26"/>
      <c r="C35" s="27">
        <v>2.0</v>
      </c>
      <c r="D35" s="72" t="s">
        <v>74</v>
      </c>
      <c r="E35" s="29">
        <v>60.0</v>
      </c>
      <c r="F35" s="29" t="s">
        <v>24</v>
      </c>
      <c r="G35" s="29" t="s">
        <v>24</v>
      </c>
      <c r="H35" s="29" t="s">
        <v>24</v>
      </c>
      <c r="I35" s="29">
        <v>30.0</v>
      </c>
      <c r="J35" s="29" t="s">
        <v>24</v>
      </c>
      <c r="K35" s="29" t="s">
        <v>24</v>
      </c>
      <c r="L35" s="29" t="s">
        <v>24</v>
      </c>
      <c r="M35" s="29">
        <v>7.05</v>
      </c>
      <c r="N35" s="29">
        <v>7.72</v>
      </c>
      <c r="O35" s="29" t="s">
        <v>24</v>
      </c>
      <c r="P35" s="29" t="s">
        <v>24</v>
      </c>
    </row>
    <row r="36" ht="15.75" customHeight="1">
      <c r="A36" s="25"/>
      <c r="B36" s="31"/>
      <c r="C36" s="27">
        <v>3.0</v>
      </c>
      <c r="D36" s="72" t="s">
        <v>75</v>
      </c>
      <c r="E36" s="29">
        <v>60.0</v>
      </c>
      <c r="F36" s="29" t="s">
        <v>24</v>
      </c>
      <c r="G36" s="29" t="s">
        <v>24</v>
      </c>
      <c r="H36" s="29" t="s">
        <v>24</v>
      </c>
      <c r="I36" s="29">
        <v>40.0</v>
      </c>
      <c r="J36" s="29" t="s">
        <v>24</v>
      </c>
      <c r="K36" s="29" t="s">
        <v>24</v>
      </c>
      <c r="L36" s="29" t="s">
        <v>24</v>
      </c>
      <c r="M36" s="29">
        <v>6.88</v>
      </c>
      <c r="N36" s="29">
        <v>7.71</v>
      </c>
      <c r="O36" s="29" t="s">
        <v>24</v>
      </c>
      <c r="P36" s="29" t="s">
        <v>24</v>
      </c>
    </row>
    <row r="37" ht="15.75" customHeight="1">
      <c r="A37" s="25"/>
      <c r="B37" s="32" t="s">
        <v>82</v>
      </c>
      <c r="C37" s="33">
        <v>1.0</v>
      </c>
      <c r="D37" s="71" t="s">
        <v>73</v>
      </c>
      <c r="E37" s="23">
        <v>6.0</v>
      </c>
      <c r="F37" s="23" t="s">
        <v>24</v>
      </c>
      <c r="G37" s="23" t="s">
        <v>24</v>
      </c>
      <c r="H37" s="23" t="s">
        <v>24</v>
      </c>
      <c r="I37" s="23">
        <v>33.0</v>
      </c>
      <c r="J37" s="23" t="s">
        <v>24</v>
      </c>
      <c r="K37" s="23" t="s">
        <v>24</v>
      </c>
      <c r="L37" s="23" t="s">
        <v>24</v>
      </c>
      <c r="M37" s="23">
        <v>7.12</v>
      </c>
      <c r="N37" s="23">
        <v>7.86</v>
      </c>
      <c r="O37" s="23" t="s">
        <v>24</v>
      </c>
      <c r="P37" s="23" t="s">
        <v>24</v>
      </c>
    </row>
    <row r="38" ht="15.75" customHeight="1">
      <c r="A38" s="25"/>
      <c r="B38" s="26"/>
      <c r="C38" s="27">
        <v>2.0</v>
      </c>
      <c r="D38" s="72" t="s">
        <v>74</v>
      </c>
      <c r="E38" s="29">
        <v>427.0</v>
      </c>
      <c r="F38" s="29" t="s">
        <v>24</v>
      </c>
      <c r="G38" s="29" t="s">
        <v>24</v>
      </c>
      <c r="H38" s="29" t="s">
        <v>24</v>
      </c>
      <c r="I38" s="29">
        <v>37.0</v>
      </c>
      <c r="J38" s="29" t="s">
        <v>24</v>
      </c>
      <c r="K38" s="29" t="s">
        <v>24</v>
      </c>
      <c r="L38" s="29" t="s">
        <v>24</v>
      </c>
      <c r="M38" s="29">
        <v>7.05</v>
      </c>
      <c r="N38" s="29">
        <v>7.72</v>
      </c>
      <c r="O38" s="29" t="s">
        <v>24</v>
      </c>
      <c r="P38" s="29" t="s">
        <v>24</v>
      </c>
    </row>
    <row r="39" ht="15.75" customHeight="1">
      <c r="A39" s="25"/>
      <c r="B39" s="31"/>
      <c r="C39" s="27">
        <v>3.0</v>
      </c>
      <c r="D39" s="72" t="s">
        <v>75</v>
      </c>
      <c r="E39" s="29">
        <v>427.0</v>
      </c>
      <c r="F39" s="29" t="s">
        <v>24</v>
      </c>
      <c r="G39" s="29" t="s">
        <v>24</v>
      </c>
      <c r="H39" s="29" t="s">
        <v>24</v>
      </c>
      <c r="I39" s="29">
        <v>37.0</v>
      </c>
      <c r="J39" s="29" t="s">
        <v>24</v>
      </c>
      <c r="K39" s="29" t="s">
        <v>24</v>
      </c>
      <c r="L39" s="29" t="s">
        <v>24</v>
      </c>
      <c r="M39" s="29">
        <v>6.88</v>
      </c>
      <c r="N39" s="29">
        <v>7.71</v>
      </c>
      <c r="O39" s="29" t="s">
        <v>24</v>
      </c>
      <c r="P39" s="29" t="s">
        <v>24</v>
      </c>
    </row>
    <row r="40" ht="15.75" customHeight="1"/>
    <row r="41" ht="15.75" customHeight="1">
      <c r="B41" s="62" t="s">
        <v>83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P1"/>
    <mergeCell ref="A2:P2"/>
    <mergeCell ref="A3:P3"/>
    <mergeCell ref="A5:P5"/>
    <mergeCell ref="A6:P6"/>
    <mergeCell ref="B7:B9"/>
    <mergeCell ref="B10:B12"/>
    <mergeCell ref="B34:B36"/>
    <mergeCell ref="B37:B39"/>
    <mergeCell ref="B13:B15"/>
    <mergeCell ref="B16:B18"/>
    <mergeCell ref="B19:B21"/>
    <mergeCell ref="B22:B24"/>
    <mergeCell ref="B25:B27"/>
    <mergeCell ref="B28:B30"/>
    <mergeCell ref="B31:B33"/>
  </mergeCells>
  <printOptions horizontalCentered="1" verticalCentered="1"/>
  <pageMargins bottom="0.0" footer="0.0" header="0.0" left="0.0" right="0.0" top="0.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40.86"/>
    <col customWidth="1" min="3" max="3" width="12.29"/>
    <col customWidth="1" min="4" max="4" width="67.71"/>
    <col customWidth="1" min="5" max="5" width="16.43"/>
    <col customWidth="1" min="6" max="6" width="13.71"/>
    <col customWidth="1" min="7" max="7" width="10.14"/>
    <col customWidth="1" min="8" max="8" width="9.14"/>
    <col customWidth="1" min="9" max="9" width="16.71"/>
    <col customWidth="1" min="10" max="10" width="8.0"/>
    <col customWidth="1" min="11" max="11" width="7.71"/>
    <col customWidth="1" min="12" max="12" width="10.86"/>
    <col customWidth="1" min="13" max="13" width="15.57"/>
    <col customWidth="1" min="14" max="14" width="12.29"/>
    <col customWidth="1" min="17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>
      <c r="A4" s="10" t="s">
        <v>3</v>
      </c>
      <c r="B4" s="11" t="s">
        <v>4</v>
      </c>
      <c r="C4" s="11" t="s">
        <v>5</v>
      </c>
      <c r="D4" s="11" t="s">
        <v>6</v>
      </c>
      <c r="E4" s="12" t="s">
        <v>7</v>
      </c>
      <c r="F4" s="12" t="s">
        <v>8</v>
      </c>
      <c r="G4" s="11" t="s">
        <v>9</v>
      </c>
      <c r="H4" s="11" t="s">
        <v>10</v>
      </c>
      <c r="I4" s="11" t="s">
        <v>11</v>
      </c>
      <c r="J4" s="11" t="s">
        <v>12</v>
      </c>
      <c r="K4" s="12" t="s">
        <v>13</v>
      </c>
      <c r="L4" s="12" t="s">
        <v>14</v>
      </c>
      <c r="M4" s="11" t="s">
        <v>15</v>
      </c>
      <c r="N4" s="11" t="s">
        <v>16</v>
      </c>
      <c r="O4" s="11" t="s">
        <v>17</v>
      </c>
      <c r="P4" s="11" t="s">
        <v>18</v>
      </c>
    </row>
    <row r="5">
      <c r="A5" s="13" t="s">
        <v>84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5"/>
    </row>
    <row r="6">
      <c r="A6" s="16" t="s">
        <v>20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8"/>
    </row>
    <row r="7">
      <c r="A7" s="19" t="s">
        <v>21</v>
      </c>
      <c r="B7" s="20" t="s">
        <v>22</v>
      </c>
      <c r="C7" s="21">
        <v>1.0</v>
      </c>
      <c r="D7" s="71" t="s">
        <v>85</v>
      </c>
      <c r="E7" s="49">
        <v>4.2</v>
      </c>
      <c r="F7" s="49" t="s">
        <v>24</v>
      </c>
      <c r="G7" s="49" t="s">
        <v>24</v>
      </c>
      <c r="H7" s="49" t="s">
        <v>24</v>
      </c>
      <c r="I7" s="50">
        <v>4.2</v>
      </c>
      <c r="J7" s="49" t="s">
        <v>24</v>
      </c>
      <c r="K7" s="49" t="s">
        <v>24</v>
      </c>
      <c r="L7" s="49" t="s">
        <v>24</v>
      </c>
      <c r="M7" s="49">
        <v>3.7</v>
      </c>
      <c r="N7" s="49" t="s">
        <v>24</v>
      </c>
      <c r="O7" s="49">
        <v>4.63</v>
      </c>
      <c r="P7" s="49" t="s">
        <v>24</v>
      </c>
    </row>
    <row r="8">
      <c r="A8" s="25"/>
      <c r="B8" s="26"/>
      <c r="C8" s="27">
        <v>2.0</v>
      </c>
      <c r="D8" s="72" t="s">
        <v>86</v>
      </c>
      <c r="E8" s="53">
        <v>4.8</v>
      </c>
      <c r="F8" s="53" t="s">
        <v>24</v>
      </c>
      <c r="G8" s="53" t="s">
        <v>24</v>
      </c>
      <c r="H8" s="53" t="s">
        <v>24</v>
      </c>
      <c r="I8" s="53">
        <v>3.67</v>
      </c>
      <c r="J8" s="53" t="s">
        <v>24</v>
      </c>
      <c r="K8" s="53" t="s">
        <v>24</v>
      </c>
      <c r="L8" s="53" t="s">
        <v>24</v>
      </c>
      <c r="M8" s="53">
        <v>3.85</v>
      </c>
      <c r="N8" s="53" t="s">
        <v>24</v>
      </c>
      <c r="O8" s="53">
        <v>4.39</v>
      </c>
      <c r="P8" s="53" t="s">
        <v>24</v>
      </c>
    </row>
    <row r="9">
      <c r="A9" s="25"/>
      <c r="B9" s="26"/>
      <c r="C9" s="27">
        <v>3.0</v>
      </c>
      <c r="D9" s="72" t="s">
        <v>87</v>
      </c>
      <c r="E9" s="53">
        <v>4.1</v>
      </c>
      <c r="F9" s="53" t="s">
        <v>24</v>
      </c>
      <c r="G9" s="53" t="s">
        <v>24</v>
      </c>
      <c r="H9" s="53" t="s">
        <v>24</v>
      </c>
      <c r="I9" s="53">
        <v>3.14</v>
      </c>
      <c r="J9" s="53" t="s">
        <v>24</v>
      </c>
      <c r="K9" s="53" t="s">
        <v>24</v>
      </c>
      <c r="L9" s="53" t="s">
        <v>24</v>
      </c>
      <c r="M9" s="53">
        <v>3.95</v>
      </c>
      <c r="N9" s="53" t="s">
        <v>24</v>
      </c>
      <c r="O9" s="53">
        <v>4.12</v>
      </c>
      <c r="P9" s="53" t="s">
        <v>24</v>
      </c>
    </row>
    <row r="10">
      <c r="A10" s="25"/>
      <c r="B10" s="26"/>
      <c r="C10" s="27">
        <v>4.0</v>
      </c>
      <c r="D10" s="72" t="s">
        <v>88</v>
      </c>
      <c r="E10" s="53">
        <v>4.3</v>
      </c>
      <c r="F10" s="53" t="s">
        <v>24</v>
      </c>
      <c r="G10" s="53" t="s">
        <v>24</v>
      </c>
      <c r="H10" s="53" t="s">
        <v>24</v>
      </c>
      <c r="I10" s="53">
        <v>3.75</v>
      </c>
      <c r="J10" s="53" t="s">
        <v>24</v>
      </c>
      <c r="K10" s="53" t="s">
        <v>24</v>
      </c>
      <c r="L10" s="53" t="s">
        <v>24</v>
      </c>
      <c r="M10" s="53">
        <v>3.7</v>
      </c>
      <c r="N10" s="53" t="s">
        <v>24</v>
      </c>
      <c r="O10" s="53">
        <v>3.97</v>
      </c>
      <c r="P10" s="53" t="s">
        <v>24</v>
      </c>
    </row>
    <row r="11">
      <c r="A11" s="25"/>
      <c r="B11" s="31"/>
      <c r="C11" s="27">
        <v>5.0</v>
      </c>
      <c r="D11" s="72" t="s">
        <v>89</v>
      </c>
      <c r="E11" s="53">
        <v>4.2</v>
      </c>
      <c r="F11" s="53" t="s">
        <v>24</v>
      </c>
      <c r="G11" s="53" t="s">
        <v>24</v>
      </c>
      <c r="H11" s="53" t="s">
        <v>24</v>
      </c>
      <c r="I11" s="54">
        <v>4.2</v>
      </c>
      <c r="J11" s="53" t="s">
        <v>24</v>
      </c>
      <c r="K11" s="53" t="s">
        <v>24</v>
      </c>
      <c r="L11" s="53" t="s">
        <v>24</v>
      </c>
      <c r="M11" s="53">
        <v>3.44</v>
      </c>
      <c r="N11" s="53" t="s">
        <v>24</v>
      </c>
      <c r="O11" s="53">
        <v>3.91</v>
      </c>
      <c r="P11" s="53" t="s">
        <v>24</v>
      </c>
    </row>
    <row r="12">
      <c r="A12" s="25"/>
      <c r="B12" s="32" t="s">
        <v>29</v>
      </c>
      <c r="C12" s="33">
        <v>1.0</v>
      </c>
      <c r="D12" s="71" t="s">
        <v>85</v>
      </c>
      <c r="E12" s="73">
        <v>3.0</v>
      </c>
      <c r="F12" s="49" t="s">
        <v>24</v>
      </c>
      <c r="G12" s="49" t="s">
        <v>24</v>
      </c>
      <c r="H12" s="49" t="s">
        <v>24</v>
      </c>
      <c r="I12" s="49">
        <v>24.0</v>
      </c>
      <c r="J12" s="49" t="s">
        <v>24</v>
      </c>
      <c r="K12" s="49" t="s">
        <v>24</v>
      </c>
      <c r="L12" s="49" t="s">
        <v>24</v>
      </c>
      <c r="M12" s="49">
        <v>12.0</v>
      </c>
      <c r="N12" s="49" t="s">
        <v>24</v>
      </c>
      <c r="O12" s="49">
        <v>4.0</v>
      </c>
      <c r="P12" s="49" t="s">
        <v>24</v>
      </c>
    </row>
    <row r="13">
      <c r="A13" s="25"/>
      <c r="B13" s="26"/>
      <c r="C13" s="27">
        <v>2.0</v>
      </c>
      <c r="D13" s="72" t="s">
        <v>86</v>
      </c>
      <c r="E13" s="52">
        <v>3.0</v>
      </c>
      <c r="F13" s="53" t="s">
        <v>24</v>
      </c>
      <c r="G13" s="53" t="s">
        <v>24</v>
      </c>
      <c r="H13" s="53" t="s">
        <v>24</v>
      </c>
      <c r="I13" s="53">
        <v>12.0</v>
      </c>
      <c r="J13" s="53" t="s">
        <v>24</v>
      </c>
      <c r="K13" s="53" t="s">
        <v>24</v>
      </c>
      <c r="L13" s="53" t="s">
        <v>24</v>
      </c>
      <c r="M13" s="53">
        <v>14.0</v>
      </c>
      <c r="N13" s="53" t="s">
        <v>24</v>
      </c>
      <c r="O13" s="53">
        <v>4.0</v>
      </c>
      <c r="P13" s="53" t="s">
        <v>24</v>
      </c>
    </row>
    <row r="14">
      <c r="A14" s="25"/>
      <c r="B14" s="26"/>
      <c r="C14" s="27">
        <v>3.0</v>
      </c>
      <c r="D14" s="72" t="s">
        <v>87</v>
      </c>
      <c r="E14" s="52">
        <v>5.0</v>
      </c>
      <c r="F14" s="53" t="s">
        <v>24</v>
      </c>
      <c r="G14" s="53" t="s">
        <v>24</v>
      </c>
      <c r="H14" s="53" t="s">
        <v>24</v>
      </c>
      <c r="I14" s="53">
        <v>8.0</v>
      </c>
      <c r="J14" s="53" t="s">
        <v>24</v>
      </c>
      <c r="K14" s="53" t="s">
        <v>24</v>
      </c>
      <c r="L14" s="53" t="s">
        <v>24</v>
      </c>
      <c r="M14" s="53">
        <v>14.0</v>
      </c>
      <c r="N14" s="53" t="s">
        <v>24</v>
      </c>
      <c r="O14" s="53">
        <v>6.0</v>
      </c>
      <c r="P14" s="53" t="s">
        <v>24</v>
      </c>
    </row>
    <row r="15">
      <c r="A15" s="25"/>
      <c r="B15" s="26"/>
      <c r="C15" s="27">
        <v>4.0</v>
      </c>
      <c r="D15" s="72" t="s">
        <v>88</v>
      </c>
      <c r="E15" s="52">
        <v>4.0</v>
      </c>
      <c r="F15" s="53" t="s">
        <v>24</v>
      </c>
      <c r="G15" s="53" t="s">
        <v>24</v>
      </c>
      <c r="H15" s="53" t="s">
        <v>24</v>
      </c>
      <c r="I15" s="53">
        <v>14.0</v>
      </c>
      <c r="J15" s="53" t="s">
        <v>24</v>
      </c>
      <c r="K15" s="53" t="s">
        <v>24</v>
      </c>
      <c r="L15" s="53" t="s">
        <v>24</v>
      </c>
      <c r="M15" s="53">
        <v>14.0</v>
      </c>
      <c r="N15" s="53" t="s">
        <v>24</v>
      </c>
      <c r="O15" s="53">
        <v>6.0</v>
      </c>
      <c r="P15" s="53" t="s">
        <v>24</v>
      </c>
    </row>
    <row r="16">
      <c r="A16" s="25"/>
      <c r="B16" s="31"/>
      <c r="C16" s="27">
        <v>5.0</v>
      </c>
      <c r="D16" s="72" t="s">
        <v>89</v>
      </c>
      <c r="E16" s="52">
        <v>4.0</v>
      </c>
      <c r="F16" s="53" t="s">
        <v>24</v>
      </c>
      <c r="G16" s="53" t="s">
        <v>24</v>
      </c>
      <c r="H16" s="53" t="s">
        <v>24</v>
      </c>
      <c r="I16" s="53">
        <v>8.0</v>
      </c>
      <c r="J16" s="53" t="s">
        <v>24</v>
      </c>
      <c r="K16" s="53" t="s">
        <v>24</v>
      </c>
      <c r="L16" s="53" t="s">
        <v>24</v>
      </c>
      <c r="M16" s="53">
        <v>14.0</v>
      </c>
      <c r="N16" s="53" t="s">
        <v>24</v>
      </c>
      <c r="O16" s="53">
        <v>6.0</v>
      </c>
      <c r="P16" s="53" t="s">
        <v>24</v>
      </c>
    </row>
    <row r="17">
      <c r="A17" s="25"/>
      <c r="B17" s="32" t="s">
        <v>30</v>
      </c>
      <c r="C17" s="33">
        <v>1.0</v>
      </c>
      <c r="D17" s="71" t="s">
        <v>85</v>
      </c>
      <c r="E17" s="49">
        <v>133.0</v>
      </c>
      <c r="F17" s="49" t="s">
        <v>24</v>
      </c>
      <c r="G17" s="49" t="s">
        <v>24</v>
      </c>
      <c r="H17" s="49" t="s">
        <v>24</v>
      </c>
      <c r="I17" s="49">
        <v>31.0</v>
      </c>
      <c r="J17" s="49" t="s">
        <v>24</v>
      </c>
      <c r="K17" s="49" t="s">
        <v>24</v>
      </c>
      <c r="L17" s="49" t="s">
        <v>24</v>
      </c>
      <c r="M17" s="49">
        <v>30.0</v>
      </c>
      <c r="N17" s="49" t="s">
        <v>24</v>
      </c>
      <c r="O17" s="49">
        <v>58.0</v>
      </c>
      <c r="P17" s="49" t="s">
        <v>24</v>
      </c>
    </row>
    <row r="18">
      <c r="A18" s="25"/>
      <c r="B18" s="26"/>
      <c r="C18" s="27">
        <v>2.0</v>
      </c>
      <c r="D18" s="72" t="s">
        <v>86</v>
      </c>
      <c r="E18" s="53">
        <v>66.0</v>
      </c>
      <c r="F18" s="53" t="s">
        <v>24</v>
      </c>
      <c r="G18" s="53" t="s">
        <v>24</v>
      </c>
      <c r="H18" s="53" t="s">
        <v>24</v>
      </c>
      <c r="I18" s="53">
        <v>22.0</v>
      </c>
      <c r="J18" s="53" t="s">
        <v>24</v>
      </c>
      <c r="K18" s="53" t="s">
        <v>24</v>
      </c>
      <c r="L18" s="53" t="s">
        <v>24</v>
      </c>
      <c r="M18" s="53">
        <v>34.0</v>
      </c>
      <c r="N18" s="53" t="s">
        <v>24</v>
      </c>
      <c r="O18" s="53">
        <v>59.0</v>
      </c>
      <c r="P18" s="53" t="s">
        <v>24</v>
      </c>
    </row>
    <row r="19">
      <c r="A19" s="25"/>
      <c r="B19" s="26"/>
      <c r="C19" s="27">
        <v>3.0</v>
      </c>
      <c r="D19" s="72" t="s">
        <v>87</v>
      </c>
      <c r="E19" s="53">
        <v>57.0</v>
      </c>
      <c r="F19" s="53" t="s">
        <v>24</v>
      </c>
      <c r="G19" s="53" t="s">
        <v>24</v>
      </c>
      <c r="H19" s="53" t="s">
        <v>24</v>
      </c>
      <c r="I19" s="53">
        <v>17.0</v>
      </c>
      <c r="J19" s="53" t="s">
        <v>24</v>
      </c>
      <c r="K19" s="53" t="s">
        <v>24</v>
      </c>
      <c r="L19" s="53" t="s">
        <v>24</v>
      </c>
      <c r="M19" s="53">
        <v>29.0</v>
      </c>
      <c r="N19" s="53" t="s">
        <v>24</v>
      </c>
      <c r="O19" s="53">
        <v>67.0</v>
      </c>
      <c r="P19" s="53" t="s">
        <v>24</v>
      </c>
    </row>
    <row r="20">
      <c r="A20" s="25"/>
      <c r="B20" s="26"/>
      <c r="C20" s="27">
        <v>4.0</v>
      </c>
      <c r="D20" s="72" t="s">
        <v>88</v>
      </c>
      <c r="E20" s="53">
        <v>102.0</v>
      </c>
      <c r="F20" s="53" t="s">
        <v>24</v>
      </c>
      <c r="G20" s="53" t="s">
        <v>24</v>
      </c>
      <c r="H20" s="53" t="s">
        <v>24</v>
      </c>
      <c r="I20" s="53">
        <v>43.0</v>
      </c>
      <c r="J20" s="53" t="s">
        <v>24</v>
      </c>
      <c r="K20" s="53" t="s">
        <v>24</v>
      </c>
      <c r="L20" s="53" t="s">
        <v>24</v>
      </c>
      <c r="M20" s="53">
        <v>31.0</v>
      </c>
      <c r="N20" s="53" t="s">
        <v>24</v>
      </c>
      <c r="O20" s="53">
        <v>53.0</v>
      </c>
      <c r="P20" s="53" t="s">
        <v>24</v>
      </c>
    </row>
    <row r="21" ht="15.75" customHeight="1">
      <c r="A21" s="25"/>
      <c r="B21" s="31"/>
      <c r="C21" s="27">
        <v>5.0</v>
      </c>
      <c r="D21" s="72" t="s">
        <v>89</v>
      </c>
      <c r="E21" s="53">
        <v>118.0</v>
      </c>
      <c r="F21" s="53" t="s">
        <v>24</v>
      </c>
      <c r="G21" s="53" t="s">
        <v>24</v>
      </c>
      <c r="H21" s="53" t="s">
        <v>24</v>
      </c>
      <c r="I21" s="53">
        <v>36.0</v>
      </c>
      <c r="J21" s="53" t="s">
        <v>24</v>
      </c>
      <c r="K21" s="53" t="s">
        <v>24</v>
      </c>
      <c r="L21" s="53" t="s">
        <v>24</v>
      </c>
      <c r="M21" s="53">
        <v>32.0</v>
      </c>
      <c r="N21" s="53" t="s">
        <v>24</v>
      </c>
      <c r="O21" s="53">
        <v>59.0</v>
      </c>
      <c r="P21" s="53" t="s">
        <v>24</v>
      </c>
    </row>
    <row r="22" ht="15.75" customHeight="1">
      <c r="A22" s="25"/>
      <c r="B22" s="32" t="s">
        <v>31</v>
      </c>
      <c r="C22" s="33">
        <v>1.0</v>
      </c>
      <c r="D22" s="71" t="s">
        <v>85</v>
      </c>
      <c r="E22" s="49">
        <v>7.6</v>
      </c>
      <c r="F22" s="49" t="s">
        <v>24</v>
      </c>
      <c r="G22" s="49" t="s">
        <v>24</v>
      </c>
      <c r="H22" s="49" t="s">
        <v>24</v>
      </c>
      <c r="I22" s="49">
        <v>7.37</v>
      </c>
      <c r="J22" s="49" t="s">
        <v>24</v>
      </c>
      <c r="K22" s="49" t="s">
        <v>24</v>
      </c>
      <c r="L22" s="49" t="s">
        <v>24</v>
      </c>
      <c r="M22" s="49">
        <v>7.84</v>
      </c>
      <c r="N22" s="49" t="s">
        <v>24</v>
      </c>
      <c r="O22" s="49">
        <v>8.65</v>
      </c>
      <c r="P22" s="49" t="s">
        <v>24</v>
      </c>
    </row>
    <row r="23" ht="15.75" customHeight="1">
      <c r="A23" s="25"/>
      <c r="B23" s="26"/>
      <c r="C23" s="27">
        <v>2.0</v>
      </c>
      <c r="D23" s="72" t="s">
        <v>86</v>
      </c>
      <c r="E23" s="53">
        <v>7.65</v>
      </c>
      <c r="F23" s="53" t="s">
        <v>24</v>
      </c>
      <c r="G23" s="53" t="s">
        <v>24</v>
      </c>
      <c r="H23" s="53" t="s">
        <v>24</v>
      </c>
      <c r="I23" s="53">
        <v>7.38</v>
      </c>
      <c r="J23" s="53" t="s">
        <v>24</v>
      </c>
      <c r="K23" s="53" t="s">
        <v>24</v>
      </c>
      <c r="L23" s="53" t="s">
        <v>24</v>
      </c>
      <c r="M23" s="53">
        <v>7.81</v>
      </c>
      <c r="N23" s="53" t="s">
        <v>24</v>
      </c>
      <c r="O23" s="53">
        <v>8.41</v>
      </c>
      <c r="P23" s="53" t="s">
        <v>24</v>
      </c>
    </row>
    <row r="24" ht="15.75" customHeight="1">
      <c r="A24" s="25"/>
      <c r="B24" s="26"/>
      <c r="C24" s="27">
        <v>3.0</v>
      </c>
      <c r="D24" s="72" t="s">
        <v>87</v>
      </c>
      <c r="E24" s="53">
        <v>7.62</v>
      </c>
      <c r="F24" s="53" t="s">
        <v>24</v>
      </c>
      <c r="G24" s="53" t="s">
        <v>24</v>
      </c>
      <c r="H24" s="53" t="s">
        <v>24</v>
      </c>
      <c r="I24" s="53">
        <v>7.23</v>
      </c>
      <c r="J24" s="53" t="s">
        <v>24</v>
      </c>
      <c r="K24" s="53" t="s">
        <v>24</v>
      </c>
      <c r="L24" s="53" t="s">
        <v>24</v>
      </c>
      <c r="M24" s="53">
        <v>7.95</v>
      </c>
      <c r="N24" s="53" t="s">
        <v>24</v>
      </c>
      <c r="O24" s="53">
        <v>8.28</v>
      </c>
      <c r="P24" s="53" t="s">
        <v>24</v>
      </c>
    </row>
    <row r="25" ht="15.75" customHeight="1">
      <c r="A25" s="25"/>
      <c r="B25" s="26"/>
      <c r="C25" s="27">
        <v>4.0</v>
      </c>
      <c r="D25" s="72" t="s">
        <v>88</v>
      </c>
      <c r="E25" s="54">
        <v>7.5</v>
      </c>
      <c r="F25" s="53" t="s">
        <v>24</v>
      </c>
      <c r="G25" s="53" t="s">
        <v>24</v>
      </c>
      <c r="H25" s="53" t="s">
        <v>24</v>
      </c>
      <c r="I25" s="53">
        <v>7.34</v>
      </c>
      <c r="J25" s="53" t="s">
        <v>24</v>
      </c>
      <c r="K25" s="53" t="s">
        <v>24</v>
      </c>
      <c r="L25" s="53" t="s">
        <v>24</v>
      </c>
      <c r="M25" s="53">
        <v>7.84</v>
      </c>
      <c r="N25" s="53" t="s">
        <v>24</v>
      </c>
      <c r="O25" s="53">
        <v>8.21</v>
      </c>
      <c r="P25" s="53" t="s">
        <v>24</v>
      </c>
    </row>
    <row r="26" ht="15.75" customHeight="1">
      <c r="A26" s="25"/>
      <c r="B26" s="31"/>
      <c r="C26" s="27">
        <v>5.0</v>
      </c>
      <c r="D26" s="72" t="s">
        <v>89</v>
      </c>
      <c r="E26" s="53">
        <v>7.48</v>
      </c>
      <c r="F26" s="53" t="s">
        <v>24</v>
      </c>
      <c r="G26" s="53" t="s">
        <v>24</v>
      </c>
      <c r="H26" s="53" t="s">
        <v>24</v>
      </c>
      <c r="I26" s="53">
        <v>7.38</v>
      </c>
      <c r="J26" s="53" t="s">
        <v>24</v>
      </c>
      <c r="K26" s="53" t="s">
        <v>24</v>
      </c>
      <c r="L26" s="53" t="s">
        <v>24</v>
      </c>
      <c r="M26" s="53">
        <v>7.8</v>
      </c>
      <c r="N26" s="53" t="s">
        <v>24</v>
      </c>
      <c r="O26" s="53">
        <v>8.27</v>
      </c>
      <c r="P26" s="53" t="s">
        <v>24</v>
      </c>
    </row>
    <row r="27" ht="15.75" customHeight="1">
      <c r="A27" s="25"/>
      <c r="B27" s="32" t="s">
        <v>76</v>
      </c>
      <c r="C27" s="33">
        <v>1.0</v>
      </c>
      <c r="D27" s="71" t="s">
        <v>85</v>
      </c>
      <c r="E27" s="49" t="s">
        <v>24</v>
      </c>
      <c r="F27" s="49" t="s">
        <v>24</v>
      </c>
      <c r="G27" s="49" t="s">
        <v>24</v>
      </c>
      <c r="H27" s="49" t="s">
        <v>24</v>
      </c>
      <c r="I27" s="49" t="s">
        <v>24</v>
      </c>
      <c r="J27" s="49" t="s">
        <v>24</v>
      </c>
      <c r="K27" s="49" t="s">
        <v>24</v>
      </c>
      <c r="L27" s="49" t="s">
        <v>24</v>
      </c>
      <c r="M27" s="56">
        <v>7000.0</v>
      </c>
      <c r="N27" s="49" t="s">
        <v>24</v>
      </c>
      <c r="O27" s="56">
        <v>160000.0</v>
      </c>
      <c r="P27" s="49" t="s">
        <v>24</v>
      </c>
    </row>
    <row r="28" ht="15.75" customHeight="1">
      <c r="A28" s="25"/>
      <c r="B28" s="26"/>
      <c r="C28" s="27">
        <v>2.0</v>
      </c>
      <c r="D28" s="72" t="s">
        <v>86</v>
      </c>
      <c r="E28" s="53" t="s">
        <v>24</v>
      </c>
      <c r="F28" s="53" t="s">
        <v>24</v>
      </c>
      <c r="G28" s="53" t="s">
        <v>24</v>
      </c>
      <c r="H28" s="53" t="s">
        <v>24</v>
      </c>
      <c r="I28" s="53" t="s">
        <v>24</v>
      </c>
      <c r="J28" s="53" t="s">
        <v>24</v>
      </c>
      <c r="K28" s="53" t="s">
        <v>24</v>
      </c>
      <c r="L28" s="53" t="s">
        <v>24</v>
      </c>
      <c r="M28" s="57">
        <v>5400.0</v>
      </c>
      <c r="N28" s="53" t="s">
        <v>24</v>
      </c>
      <c r="O28" s="57">
        <v>24000.0</v>
      </c>
      <c r="P28" s="53" t="s">
        <v>24</v>
      </c>
    </row>
    <row r="29" ht="15.75" customHeight="1">
      <c r="A29" s="25"/>
      <c r="B29" s="26"/>
      <c r="C29" s="27">
        <v>3.0</v>
      </c>
      <c r="D29" s="72" t="s">
        <v>87</v>
      </c>
      <c r="E29" s="53" t="s">
        <v>24</v>
      </c>
      <c r="F29" s="53" t="s">
        <v>24</v>
      </c>
      <c r="G29" s="53" t="s">
        <v>24</v>
      </c>
      <c r="H29" s="53" t="s">
        <v>24</v>
      </c>
      <c r="I29" s="53" t="s">
        <v>24</v>
      </c>
      <c r="J29" s="53" t="s">
        <v>24</v>
      </c>
      <c r="K29" s="53" t="s">
        <v>24</v>
      </c>
      <c r="L29" s="53" t="s">
        <v>24</v>
      </c>
      <c r="M29" s="57">
        <v>24000.0</v>
      </c>
      <c r="N29" s="53" t="s">
        <v>24</v>
      </c>
      <c r="O29" s="57">
        <v>240000.0</v>
      </c>
      <c r="P29" s="53" t="s">
        <v>24</v>
      </c>
    </row>
    <row r="30" ht="15.75" customHeight="1">
      <c r="A30" s="25"/>
      <c r="B30" s="26"/>
      <c r="C30" s="27">
        <v>4.0</v>
      </c>
      <c r="D30" s="72" t="s">
        <v>88</v>
      </c>
      <c r="E30" s="53" t="s">
        <v>24</v>
      </c>
      <c r="F30" s="53" t="s">
        <v>24</v>
      </c>
      <c r="G30" s="53" t="s">
        <v>24</v>
      </c>
      <c r="H30" s="53" t="s">
        <v>24</v>
      </c>
      <c r="I30" s="53" t="s">
        <v>24</v>
      </c>
      <c r="J30" s="53" t="s">
        <v>24</v>
      </c>
      <c r="K30" s="53" t="s">
        <v>24</v>
      </c>
      <c r="L30" s="53" t="s">
        <v>24</v>
      </c>
      <c r="M30" s="57">
        <v>16000.0</v>
      </c>
      <c r="N30" s="53" t="s">
        <v>24</v>
      </c>
      <c r="O30" s="57">
        <v>350000.0</v>
      </c>
      <c r="P30" s="53" t="s">
        <v>24</v>
      </c>
    </row>
    <row r="31" ht="15.75" customHeight="1">
      <c r="A31" s="25"/>
      <c r="B31" s="31"/>
      <c r="C31" s="27">
        <v>5.0</v>
      </c>
      <c r="D31" s="72" t="s">
        <v>89</v>
      </c>
      <c r="E31" s="53" t="s">
        <v>24</v>
      </c>
      <c r="F31" s="53" t="s">
        <v>24</v>
      </c>
      <c r="G31" s="53" t="s">
        <v>24</v>
      </c>
      <c r="H31" s="53" t="s">
        <v>24</v>
      </c>
      <c r="I31" s="53" t="s">
        <v>24</v>
      </c>
      <c r="J31" s="53" t="s">
        <v>24</v>
      </c>
      <c r="K31" s="53" t="s">
        <v>24</v>
      </c>
      <c r="L31" s="53" t="s">
        <v>24</v>
      </c>
      <c r="M31" s="57">
        <v>16000.0</v>
      </c>
      <c r="N31" s="53" t="s">
        <v>24</v>
      </c>
      <c r="O31" s="57">
        <v>540000.0</v>
      </c>
      <c r="P31" s="53" t="s">
        <v>24</v>
      </c>
    </row>
    <row r="32" ht="15.75" customHeight="1">
      <c r="A32" s="25"/>
      <c r="B32" s="32" t="s">
        <v>90</v>
      </c>
      <c r="C32" s="33">
        <v>1.0</v>
      </c>
      <c r="D32" s="71" t="s">
        <v>85</v>
      </c>
      <c r="E32" s="49" t="s">
        <v>24</v>
      </c>
      <c r="F32" s="49" t="s">
        <v>24</v>
      </c>
      <c r="G32" s="49" t="s">
        <v>24</v>
      </c>
      <c r="H32" s="49" t="s">
        <v>24</v>
      </c>
      <c r="I32" s="49" t="s">
        <v>24</v>
      </c>
      <c r="J32" s="49" t="s">
        <v>24</v>
      </c>
      <c r="K32" s="49" t="s">
        <v>24</v>
      </c>
      <c r="L32" s="49" t="s">
        <v>24</v>
      </c>
      <c r="M32" s="49">
        <v>0.179</v>
      </c>
      <c r="N32" s="49" t="s">
        <v>24</v>
      </c>
      <c r="O32" s="49">
        <v>0.218</v>
      </c>
      <c r="P32" s="49" t="s">
        <v>24</v>
      </c>
    </row>
    <row r="33" ht="15.75" customHeight="1">
      <c r="A33" s="25"/>
      <c r="B33" s="26"/>
      <c r="C33" s="27">
        <v>2.0</v>
      </c>
      <c r="D33" s="72" t="s">
        <v>86</v>
      </c>
      <c r="E33" s="53" t="s">
        <v>24</v>
      </c>
      <c r="F33" s="53" t="s">
        <v>24</v>
      </c>
      <c r="G33" s="53" t="s">
        <v>24</v>
      </c>
      <c r="H33" s="53" t="s">
        <v>24</v>
      </c>
      <c r="I33" s="53" t="s">
        <v>24</v>
      </c>
      <c r="J33" s="53" t="s">
        <v>24</v>
      </c>
      <c r="K33" s="53" t="s">
        <v>24</v>
      </c>
      <c r="L33" s="53" t="s">
        <v>24</v>
      </c>
      <c r="M33" s="53">
        <v>0.171</v>
      </c>
      <c r="N33" s="53" t="s">
        <v>24</v>
      </c>
      <c r="O33" s="53">
        <v>0.169</v>
      </c>
      <c r="P33" s="53" t="s">
        <v>24</v>
      </c>
    </row>
    <row r="34" ht="15.75" customHeight="1">
      <c r="A34" s="25"/>
      <c r="B34" s="26"/>
      <c r="C34" s="27">
        <v>3.0</v>
      </c>
      <c r="D34" s="72" t="s">
        <v>87</v>
      </c>
      <c r="E34" s="53" t="s">
        <v>24</v>
      </c>
      <c r="F34" s="53" t="s">
        <v>24</v>
      </c>
      <c r="G34" s="53" t="s">
        <v>24</v>
      </c>
      <c r="H34" s="53" t="s">
        <v>24</v>
      </c>
      <c r="I34" s="53" t="s">
        <v>24</v>
      </c>
      <c r="J34" s="53" t="s">
        <v>24</v>
      </c>
      <c r="K34" s="53" t="s">
        <v>24</v>
      </c>
      <c r="L34" s="53" t="s">
        <v>24</v>
      </c>
      <c r="M34" s="53">
        <v>0.19</v>
      </c>
      <c r="N34" s="53" t="s">
        <v>24</v>
      </c>
      <c r="O34" s="53">
        <v>0.134</v>
      </c>
      <c r="P34" s="53" t="s">
        <v>24</v>
      </c>
    </row>
    <row r="35" ht="15.75" customHeight="1">
      <c r="A35" s="25"/>
      <c r="B35" s="26"/>
      <c r="C35" s="27">
        <v>4.0</v>
      </c>
      <c r="D35" s="72" t="s">
        <v>88</v>
      </c>
      <c r="E35" s="53" t="s">
        <v>24</v>
      </c>
      <c r="F35" s="53" t="s">
        <v>24</v>
      </c>
      <c r="G35" s="53" t="s">
        <v>24</v>
      </c>
      <c r="H35" s="53" t="s">
        <v>24</v>
      </c>
      <c r="I35" s="53" t="s">
        <v>24</v>
      </c>
      <c r="J35" s="53" t="s">
        <v>24</v>
      </c>
      <c r="K35" s="53" t="s">
        <v>24</v>
      </c>
      <c r="L35" s="53" t="s">
        <v>24</v>
      </c>
      <c r="M35" s="53">
        <v>0.156</v>
      </c>
      <c r="N35" s="53" t="s">
        <v>24</v>
      </c>
      <c r="O35" s="53">
        <v>0.118</v>
      </c>
      <c r="P35" s="53" t="s">
        <v>24</v>
      </c>
    </row>
    <row r="36" ht="15.75" customHeight="1">
      <c r="A36" s="25"/>
      <c r="B36" s="31"/>
      <c r="C36" s="27">
        <v>5.0</v>
      </c>
      <c r="D36" s="72" t="s">
        <v>89</v>
      </c>
      <c r="E36" s="53" t="s">
        <v>24</v>
      </c>
      <c r="F36" s="53" t="s">
        <v>24</v>
      </c>
      <c r="G36" s="53" t="s">
        <v>24</v>
      </c>
      <c r="H36" s="53" t="s">
        <v>24</v>
      </c>
      <c r="I36" s="53" t="s">
        <v>24</v>
      </c>
      <c r="J36" s="53" t="s">
        <v>24</v>
      </c>
      <c r="K36" s="53" t="s">
        <v>24</v>
      </c>
      <c r="L36" s="53" t="s">
        <v>24</v>
      </c>
      <c r="M36" s="53">
        <v>0.132</v>
      </c>
      <c r="N36" s="53" t="s">
        <v>24</v>
      </c>
      <c r="O36" s="53">
        <v>0.12</v>
      </c>
      <c r="P36" s="53" t="s">
        <v>24</v>
      </c>
    </row>
    <row r="37" ht="15.75" customHeight="1">
      <c r="A37" s="25"/>
      <c r="B37" s="32" t="s">
        <v>91</v>
      </c>
      <c r="C37" s="33">
        <v>1.0</v>
      </c>
      <c r="D37" s="71" t="s">
        <v>85</v>
      </c>
      <c r="E37" s="49">
        <v>0.781</v>
      </c>
      <c r="F37" s="49" t="s">
        <v>24</v>
      </c>
      <c r="G37" s="49" t="s">
        <v>24</v>
      </c>
      <c r="H37" s="49" t="s">
        <v>24</v>
      </c>
      <c r="I37" s="59">
        <v>0.42</v>
      </c>
      <c r="J37" s="49" t="s">
        <v>24</v>
      </c>
      <c r="K37" s="49" t="s">
        <v>24</v>
      </c>
      <c r="L37" s="49" t="s">
        <v>24</v>
      </c>
      <c r="M37" s="49">
        <v>0.841</v>
      </c>
      <c r="N37" s="49" t="s">
        <v>24</v>
      </c>
      <c r="O37" s="49">
        <v>0.662</v>
      </c>
      <c r="P37" s="49" t="s">
        <v>24</v>
      </c>
    </row>
    <row r="38" ht="15.75" customHeight="1">
      <c r="A38" s="25"/>
      <c r="B38" s="26"/>
      <c r="C38" s="27">
        <v>2.0</v>
      </c>
      <c r="D38" s="72" t="s">
        <v>86</v>
      </c>
      <c r="E38" s="53">
        <v>0.071</v>
      </c>
      <c r="F38" s="53" t="s">
        <v>24</v>
      </c>
      <c r="G38" s="53" t="s">
        <v>24</v>
      </c>
      <c r="H38" s="53" t="s">
        <v>24</v>
      </c>
      <c r="I38" s="53">
        <v>0.473</v>
      </c>
      <c r="J38" s="53" t="s">
        <v>24</v>
      </c>
      <c r="K38" s="53" t="s">
        <v>24</v>
      </c>
      <c r="L38" s="53" t="s">
        <v>24</v>
      </c>
      <c r="M38" s="53">
        <v>0.667</v>
      </c>
      <c r="N38" s="53" t="s">
        <v>24</v>
      </c>
      <c r="O38" s="53">
        <v>517.0</v>
      </c>
      <c r="P38" s="53" t="s">
        <v>24</v>
      </c>
    </row>
    <row r="39" ht="15.75" customHeight="1">
      <c r="A39" s="25"/>
      <c r="B39" s="26"/>
      <c r="C39" s="27">
        <v>3.0</v>
      </c>
      <c r="D39" s="72" t="s">
        <v>87</v>
      </c>
      <c r="E39" s="53">
        <v>0.737</v>
      </c>
      <c r="F39" s="53" t="s">
        <v>24</v>
      </c>
      <c r="G39" s="53" t="s">
        <v>24</v>
      </c>
      <c r="H39" s="53" t="s">
        <v>24</v>
      </c>
      <c r="I39" s="53">
        <v>0.056</v>
      </c>
      <c r="J39" s="53" t="s">
        <v>24</v>
      </c>
      <c r="K39" s="53" t="s">
        <v>24</v>
      </c>
      <c r="L39" s="53" t="s">
        <v>24</v>
      </c>
      <c r="M39" s="53">
        <v>0.652</v>
      </c>
      <c r="N39" s="53" t="s">
        <v>24</v>
      </c>
      <c r="O39" s="53">
        <v>0.411</v>
      </c>
      <c r="P39" s="53" t="s">
        <v>24</v>
      </c>
    </row>
    <row r="40" ht="15.75" customHeight="1">
      <c r="A40" s="25"/>
      <c r="B40" s="26"/>
      <c r="C40" s="27">
        <v>4.0</v>
      </c>
      <c r="D40" s="72" t="s">
        <v>88</v>
      </c>
      <c r="E40" s="53">
        <v>0.945</v>
      </c>
      <c r="F40" s="53" t="s">
        <v>24</v>
      </c>
      <c r="G40" s="53" t="s">
        <v>24</v>
      </c>
      <c r="H40" s="53" t="s">
        <v>24</v>
      </c>
      <c r="I40" s="53">
        <v>0.101</v>
      </c>
      <c r="J40" s="53" t="s">
        <v>24</v>
      </c>
      <c r="K40" s="53" t="s">
        <v>24</v>
      </c>
      <c r="L40" s="53" t="s">
        <v>24</v>
      </c>
      <c r="M40" s="53">
        <v>0.685</v>
      </c>
      <c r="N40" s="53" t="s">
        <v>24</v>
      </c>
      <c r="O40" s="53">
        <v>0.53</v>
      </c>
      <c r="P40" s="53" t="s">
        <v>24</v>
      </c>
    </row>
    <row r="41" ht="15.75" customHeight="1">
      <c r="A41" s="25"/>
      <c r="B41" s="31"/>
      <c r="C41" s="27">
        <v>5.0</v>
      </c>
      <c r="D41" s="72" t="s">
        <v>89</v>
      </c>
      <c r="E41" s="60">
        <v>0.29</v>
      </c>
      <c r="F41" s="53" t="s">
        <v>24</v>
      </c>
      <c r="G41" s="53" t="s">
        <v>24</v>
      </c>
      <c r="H41" s="53" t="s">
        <v>24</v>
      </c>
      <c r="I41" s="53">
        <v>0.095</v>
      </c>
      <c r="J41" s="53" t="s">
        <v>24</v>
      </c>
      <c r="K41" s="53" t="s">
        <v>24</v>
      </c>
      <c r="L41" s="53" t="s">
        <v>24</v>
      </c>
      <c r="M41" s="53">
        <v>0.823</v>
      </c>
      <c r="N41" s="53" t="s">
        <v>24</v>
      </c>
      <c r="O41" s="53">
        <v>0.463</v>
      </c>
      <c r="P41" s="53" t="s">
        <v>24</v>
      </c>
    </row>
    <row r="42" ht="15.75" customHeight="1">
      <c r="A42" s="25"/>
      <c r="B42" s="32" t="s">
        <v>92</v>
      </c>
      <c r="C42" s="33">
        <v>1.0</v>
      </c>
      <c r="D42" s="71" t="s">
        <v>85</v>
      </c>
      <c r="E42" s="49">
        <v>0.345</v>
      </c>
      <c r="F42" s="49" t="s">
        <v>24</v>
      </c>
      <c r="G42" s="49" t="s">
        <v>24</v>
      </c>
      <c r="H42" s="49" t="s">
        <v>24</v>
      </c>
      <c r="I42" s="49">
        <v>0.091</v>
      </c>
      <c r="J42" s="49" t="s">
        <v>24</v>
      </c>
      <c r="K42" s="49" t="s">
        <v>24</v>
      </c>
      <c r="L42" s="49" t="s">
        <v>24</v>
      </c>
      <c r="M42" s="49" t="s">
        <v>24</v>
      </c>
      <c r="N42" s="49" t="s">
        <v>24</v>
      </c>
      <c r="O42" s="49" t="s">
        <v>24</v>
      </c>
      <c r="P42" s="49" t="s">
        <v>24</v>
      </c>
    </row>
    <row r="43" ht="15.75" customHeight="1">
      <c r="A43" s="25"/>
      <c r="B43" s="26"/>
      <c r="C43" s="27">
        <v>2.0</v>
      </c>
      <c r="D43" s="72" t="s">
        <v>86</v>
      </c>
      <c r="E43" s="53">
        <v>0.249</v>
      </c>
      <c r="F43" s="53" t="s">
        <v>24</v>
      </c>
      <c r="G43" s="53" t="s">
        <v>24</v>
      </c>
      <c r="H43" s="53" t="s">
        <v>24</v>
      </c>
      <c r="I43" s="60">
        <v>0.1</v>
      </c>
      <c r="J43" s="53" t="s">
        <v>24</v>
      </c>
      <c r="K43" s="53" t="s">
        <v>24</v>
      </c>
      <c r="L43" s="53" t="s">
        <v>24</v>
      </c>
      <c r="M43" s="53" t="s">
        <v>24</v>
      </c>
      <c r="N43" s="53" t="s">
        <v>24</v>
      </c>
      <c r="O43" s="53" t="s">
        <v>24</v>
      </c>
      <c r="P43" s="53" t="s">
        <v>24</v>
      </c>
    </row>
    <row r="44" ht="15.75" customHeight="1">
      <c r="A44" s="25"/>
      <c r="B44" s="26"/>
      <c r="C44" s="27">
        <v>3.0</v>
      </c>
      <c r="D44" s="72" t="s">
        <v>87</v>
      </c>
      <c r="E44" s="53">
        <v>0.235</v>
      </c>
      <c r="F44" s="53" t="s">
        <v>24</v>
      </c>
      <c r="G44" s="53" t="s">
        <v>24</v>
      </c>
      <c r="H44" s="53" t="s">
        <v>24</v>
      </c>
      <c r="I44" s="53">
        <v>0.164</v>
      </c>
      <c r="J44" s="53" t="s">
        <v>24</v>
      </c>
      <c r="K44" s="53" t="s">
        <v>24</v>
      </c>
      <c r="L44" s="53" t="s">
        <v>24</v>
      </c>
      <c r="M44" s="53" t="s">
        <v>24</v>
      </c>
      <c r="N44" s="53" t="s">
        <v>24</v>
      </c>
      <c r="O44" s="53" t="s">
        <v>24</v>
      </c>
      <c r="P44" s="53" t="s">
        <v>24</v>
      </c>
    </row>
    <row r="45" ht="15.75" customHeight="1">
      <c r="A45" s="25"/>
      <c r="B45" s="26"/>
      <c r="C45" s="27">
        <v>4.0</v>
      </c>
      <c r="D45" s="72" t="s">
        <v>88</v>
      </c>
      <c r="E45" s="53">
        <v>0.308</v>
      </c>
      <c r="F45" s="53" t="s">
        <v>24</v>
      </c>
      <c r="G45" s="53" t="s">
        <v>24</v>
      </c>
      <c r="H45" s="53" t="s">
        <v>24</v>
      </c>
      <c r="I45" s="53">
        <v>0.094</v>
      </c>
      <c r="J45" s="53" t="s">
        <v>24</v>
      </c>
      <c r="K45" s="53" t="s">
        <v>24</v>
      </c>
      <c r="L45" s="53" t="s">
        <v>24</v>
      </c>
      <c r="M45" s="53" t="s">
        <v>24</v>
      </c>
      <c r="N45" s="53" t="s">
        <v>24</v>
      </c>
      <c r="O45" s="53" t="s">
        <v>24</v>
      </c>
      <c r="P45" s="53" t="s">
        <v>24</v>
      </c>
    </row>
    <row r="46" ht="15.75" customHeight="1">
      <c r="A46" s="25"/>
      <c r="B46" s="31"/>
      <c r="C46" s="27">
        <v>5.0</v>
      </c>
      <c r="D46" s="72" t="s">
        <v>89</v>
      </c>
      <c r="E46" s="60">
        <v>0.32</v>
      </c>
      <c r="F46" s="53" t="s">
        <v>24</v>
      </c>
      <c r="G46" s="53" t="s">
        <v>24</v>
      </c>
      <c r="H46" s="53" t="s">
        <v>24</v>
      </c>
      <c r="I46" s="53">
        <v>0.092</v>
      </c>
      <c r="J46" s="53" t="s">
        <v>24</v>
      </c>
      <c r="K46" s="53" t="s">
        <v>24</v>
      </c>
      <c r="L46" s="53" t="s">
        <v>24</v>
      </c>
      <c r="M46" s="53" t="s">
        <v>24</v>
      </c>
      <c r="N46" s="53" t="s">
        <v>24</v>
      </c>
      <c r="O46" s="53" t="s">
        <v>24</v>
      </c>
      <c r="P46" s="53" t="s">
        <v>24</v>
      </c>
    </row>
    <row r="47" ht="15.75" customHeight="1">
      <c r="A47" s="25"/>
      <c r="B47" s="32" t="s">
        <v>80</v>
      </c>
      <c r="C47" s="33">
        <v>1.0</v>
      </c>
      <c r="D47" s="71" t="s">
        <v>85</v>
      </c>
      <c r="E47" s="49">
        <v>27.3</v>
      </c>
      <c r="F47" s="49" t="s">
        <v>24</v>
      </c>
      <c r="G47" s="49" t="s">
        <v>24</v>
      </c>
      <c r="H47" s="49" t="s">
        <v>24</v>
      </c>
      <c r="I47" s="50">
        <v>34.0</v>
      </c>
      <c r="J47" s="49" t="s">
        <v>24</v>
      </c>
      <c r="K47" s="49" t="s">
        <v>24</v>
      </c>
      <c r="L47" s="49" t="s">
        <v>24</v>
      </c>
      <c r="M47" s="49" t="s">
        <v>24</v>
      </c>
      <c r="N47" s="49" t="s">
        <v>24</v>
      </c>
      <c r="O47" s="49" t="s">
        <v>24</v>
      </c>
      <c r="P47" s="49" t="s">
        <v>24</v>
      </c>
    </row>
    <row r="48" ht="15.75" customHeight="1">
      <c r="A48" s="25"/>
      <c r="B48" s="26"/>
      <c r="C48" s="27">
        <v>2.0</v>
      </c>
      <c r="D48" s="72" t="s">
        <v>86</v>
      </c>
      <c r="E48" s="53">
        <v>27.1</v>
      </c>
      <c r="F48" s="53" t="s">
        <v>24</v>
      </c>
      <c r="G48" s="53" t="s">
        <v>24</v>
      </c>
      <c r="H48" s="53" t="s">
        <v>24</v>
      </c>
      <c r="I48" s="54">
        <v>33.9</v>
      </c>
      <c r="J48" s="53" t="s">
        <v>24</v>
      </c>
      <c r="K48" s="53" t="s">
        <v>24</v>
      </c>
      <c r="L48" s="53" t="s">
        <v>24</v>
      </c>
      <c r="M48" s="53" t="s">
        <v>24</v>
      </c>
      <c r="N48" s="53" t="s">
        <v>24</v>
      </c>
      <c r="O48" s="53" t="s">
        <v>24</v>
      </c>
      <c r="P48" s="53" t="s">
        <v>24</v>
      </c>
    </row>
    <row r="49" ht="15.75" customHeight="1">
      <c r="A49" s="25"/>
      <c r="B49" s="26"/>
      <c r="C49" s="27">
        <v>3.0</v>
      </c>
      <c r="D49" s="72" t="s">
        <v>87</v>
      </c>
      <c r="E49" s="53">
        <v>26.1</v>
      </c>
      <c r="F49" s="53" t="s">
        <v>24</v>
      </c>
      <c r="G49" s="53" t="s">
        <v>24</v>
      </c>
      <c r="H49" s="53" t="s">
        <v>24</v>
      </c>
      <c r="I49" s="54">
        <v>33.4</v>
      </c>
      <c r="J49" s="53" t="s">
        <v>24</v>
      </c>
      <c r="K49" s="53" t="s">
        <v>24</v>
      </c>
      <c r="L49" s="53" t="s">
        <v>24</v>
      </c>
      <c r="M49" s="53" t="s">
        <v>24</v>
      </c>
      <c r="N49" s="53" t="s">
        <v>24</v>
      </c>
      <c r="O49" s="53" t="s">
        <v>24</v>
      </c>
      <c r="P49" s="53" t="s">
        <v>24</v>
      </c>
    </row>
    <row r="50" ht="15.75" customHeight="1">
      <c r="A50" s="25"/>
      <c r="B50" s="26"/>
      <c r="C50" s="27">
        <v>4.0</v>
      </c>
      <c r="D50" s="72" t="s">
        <v>88</v>
      </c>
      <c r="E50" s="54">
        <v>26.3</v>
      </c>
      <c r="F50" s="53" t="s">
        <v>24</v>
      </c>
      <c r="G50" s="53" t="s">
        <v>24</v>
      </c>
      <c r="H50" s="53" t="s">
        <v>24</v>
      </c>
      <c r="I50" s="54">
        <v>33.4</v>
      </c>
      <c r="J50" s="53" t="s">
        <v>24</v>
      </c>
      <c r="K50" s="53" t="s">
        <v>24</v>
      </c>
      <c r="L50" s="53" t="s">
        <v>24</v>
      </c>
      <c r="M50" s="53" t="s">
        <v>24</v>
      </c>
      <c r="N50" s="53" t="s">
        <v>24</v>
      </c>
      <c r="O50" s="53" t="s">
        <v>24</v>
      </c>
      <c r="P50" s="53" t="s">
        <v>24</v>
      </c>
    </row>
    <row r="51" ht="15.75" customHeight="1">
      <c r="A51" s="25"/>
      <c r="B51" s="31"/>
      <c r="C51" s="27">
        <v>5.0</v>
      </c>
      <c r="D51" s="72" t="s">
        <v>89</v>
      </c>
      <c r="E51" s="53">
        <v>26.5</v>
      </c>
      <c r="F51" s="53" t="s">
        <v>24</v>
      </c>
      <c r="G51" s="53" t="s">
        <v>24</v>
      </c>
      <c r="H51" s="53" t="s">
        <v>24</v>
      </c>
      <c r="I51" s="54">
        <v>33.7</v>
      </c>
      <c r="J51" s="53" t="s">
        <v>24</v>
      </c>
      <c r="K51" s="53" t="s">
        <v>24</v>
      </c>
      <c r="L51" s="53" t="s">
        <v>24</v>
      </c>
      <c r="M51" s="53" t="s">
        <v>24</v>
      </c>
      <c r="N51" s="53" t="s">
        <v>24</v>
      </c>
      <c r="O51" s="53" t="s">
        <v>24</v>
      </c>
      <c r="P51" s="53" t="s">
        <v>24</v>
      </c>
    </row>
    <row r="52" ht="15.75" customHeight="1">
      <c r="A52" s="25"/>
      <c r="B52" s="32" t="s">
        <v>81</v>
      </c>
      <c r="C52" s="33">
        <v>1.0</v>
      </c>
      <c r="D52" s="71" t="s">
        <v>85</v>
      </c>
      <c r="E52" s="49">
        <v>40.0</v>
      </c>
      <c r="F52" s="49" t="s">
        <v>24</v>
      </c>
      <c r="G52" s="49" t="s">
        <v>24</v>
      </c>
      <c r="H52" s="49" t="s">
        <v>24</v>
      </c>
      <c r="I52" s="49">
        <v>20.0</v>
      </c>
      <c r="J52" s="49" t="s">
        <v>24</v>
      </c>
      <c r="K52" s="49" t="s">
        <v>24</v>
      </c>
      <c r="L52" s="49" t="s">
        <v>24</v>
      </c>
      <c r="M52" s="49" t="s">
        <v>24</v>
      </c>
      <c r="N52" s="49" t="s">
        <v>24</v>
      </c>
      <c r="O52" s="49" t="s">
        <v>24</v>
      </c>
      <c r="P52" s="49" t="s">
        <v>24</v>
      </c>
    </row>
    <row r="53" ht="15.75" customHeight="1">
      <c r="A53" s="25"/>
      <c r="B53" s="26"/>
      <c r="C53" s="27">
        <v>2.0</v>
      </c>
      <c r="D53" s="72" t="s">
        <v>86</v>
      </c>
      <c r="E53" s="53">
        <v>15.0</v>
      </c>
      <c r="F53" s="53" t="s">
        <v>24</v>
      </c>
      <c r="G53" s="53" t="s">
        <v>24</v>
      </c>
      <c r="H53" s="53" t="s">
        <v>24</v>
      </c>
      <c r="I53" s="53">
        <v>20.0</v>
      </c>
      <c r="J53" s="53" t="s">
        <v>24</v>
      </c>
      <c r="K53" s="53" t="s">
        <v>24</v>
      </c>
      <c r="L53" s="53" t="s">
        <v>24</v>
      </c>
      <c r="M53" s="53" t="s">
        <v>24</v>
      </c>
      <c r="N53" s="53" t="s">
        <v>24</v>
      </c>
      <c r="O53" s="53" t="s">
        <v>24</v>
      </c>
      <c r="P53" s="53" t="s">
        <v>24</v>
      </c>
    </row>
    <row r="54" ht="15.75" customHeight="1">
      <c r="A54" s="25"/>
      <c r="B54" s="26"/>
      <c r="C54" s="27">
        <v>3.0</v>
      </c>
      <c r="D54" s="72" t="s">
        <v>87</v>
      </c>
      <c r="E54" s="53">
        <v>40.0</v>
      </c>
      <c r="F54" s="53" t="s">
        <v>24</v>
      </c>
      <c r="G54" s="53" t="s">
        <v>24</v>
      </c>
      <c r="H54" s="53" t="s">
        <v>24</v>
      </c>
      <c r="I54" s="53">
        <v>20.0</v>
      </c>
      <c r="J54" s="53" t="s">
        <v>24</v>
      </c>
      <c r="K54" s="53" t="s">
        <v>24</v>
      </c>
      <c r="L54" s="53" t="s">
        <v>24</v>
      </c>
      <c r="M54" s="53" t="s">
        <v>24</v>
      </c>
      <c r="N54" s="53" t="s">
        <v>24</v>
      </c>
      <c r="O54" s="53" t="s">
        <v>24</v>
      </c>
      <c r="P54" s="53" t="s">
        <v>24</v>
      </c>
    </row>
    <row r="55" ht="15.75" customHeight="1">
      <c r="A55" s="25"/>
      <c r="B55" s="26"/>
      <c r="C55" s="27">
        <v>4.0</v>
      </c>
      <c r="D55" s="72" t="s">
        <v>88</v>
      </c>
      <c r="E55" s="53">
        <v>30.0</v>
      </c>
      <c r="F55" s="53" t="s">
        <v>24</v>
      </c>
      <c r="G55" s="53" t="s">
        <v>24</v>
      </c>
      <c r="H55" s="53" t="s">
        <v>24</v>
      </c>
      <c r="I55" s="53">
        <v>20.0</v>
      </c>
      <c r="J55" s="53" t="s">
        <v>24</v>
      </c>
      <c r="K55" s="53" t="s">
        <v>24</v>
      </c>
      <c r="L55" s="53" t="s">
        <v>24</v>
      </c>
      <c r="M55" s="53" t="s">
        <v>24</v>
      </c>
      <c r="N55" s="53" t="s">
        <v>24</v>
      </c>
      <c r="O55" s="53" t="s">
        <v>24</v>
      </c>
      <c r="P55" s="53" t="s">
        <v>24</v>
      </c>
    </row>
    <row r="56" ht="15.75" customHeight="1">
      <c r="A56" s="25"/>
      <c r="B56" s="31"/>
      <c r="C56" s="27">
        <v>5.0</v>
      </c>
      <c r="D56" s="72" t="s">
        <v>89</v>
      </c>
      <c r="E56" s="53">
        <v>30.0</v>
      </c>
      <c r="F56" s="53" t="s">
        <v>24</v>
      </c>
      <c r="G56" s="53" t="s">
        <v>24</v>
      </c>
      <c r="H56" s="53" t="s">
        <v>24</v>
      </c>
      <c r="I56" s="53">
        <v>20.0</v>
      </c>
      <c r="J56" s="53" t="s">
        <v>24</v>
      </c>
      <c r="K56" s="53" t="s">
        <v>24</v>
      </c>
      <c r="L56" s="53" t="s">
        <v>24</v>
      </c>
      <c r="M56" s="53" t="s">
        <v>24</v>
      </c>
      <c r="N56" s="53" t="s">
        <v>24</v>
      </c>
      <c r="O56" s="53" t="s">
        <v>24</v>
      </c>
      <c r="P56" s="53" t="s">
        <v>24</v>
      </c>
    </row>
    <row r="57" ht="15.75" customHeight="1">
      <c r="A57" s="25"/>
      <c r="B57" s="32" t="s">
        <v>93</v>
      </c>
      <c r="C57" s="33">
        <v>1.0</v>
      </c>
      <c r="D57" s="71" t="s">
        <v>85</v>
      </c>
      <c r="E57" s="56">
        <v>70000.0</v>
      </c>
      <c r="F57" s="56" t="s">
        <v>24</v>
      </c>
      <c r="G57" s="56" t="s">
        <v>24</v>
      </c>
      <c r="H57" s="56" t="s">
        <v>24</v>
      </c>
      <c r="I57" s="56">
        <v>1600000.0</v>
      </c>
      <c r="J57" s="49" t="s">
        <v>24</v>
      </c>
      <c r="K57" s="49" t="s">
        <v>24</v>
      </c>
      <c r="L57" s="49" t="s">
        <v>24</v>
      </c>
      <c r="M57" s="49" t="s">
        <v>24</v>
      </c>
      <c r="N57" s="49" t="s">
        <v>24</v>
      </c>
      <c r="O57" s="49" t="s">
        <v>24</v>
      </c>
      <c r="P57" s="49" t="s">
        <v>24</v>
      </c>
      <c r="Q57" s="74">
        <f t="shared" ref="Q57:Q66" si="1">GEOMEAN(E57,I57)</f>
        <v>334664.0106</v>
      </c>
      <c r="R57" s="74">
        <f>GEOMEAN(Q57:Q61)</f>
        <v>67461.0812</v>
      </c>
    </row>
    <row r="58" ht="15.75" customHeight="1">
      <c r="A58" s="25"/>
      <c r="B58" s="26"/>
      <c r="C58" s="27">
        <v>2.0</v>
      </c>
      <c r="D58" s="72" t="s">
        <v>86</v>
      </c>
      <c r="E58" s="57">
        <v>54000.0</v>
      </c>
      <c r="F58" s="57" t="s">
        <v>24</v>
      </c>
      <c r="G58" s="57" t="s">
        <v>24</v>
      </c>
      <c r="H58" s="57" t="s">
        <v>24</v>
      </c>
      <c r="I58" s="57">
        <v>350000.0</v>
      </c>
      <c r="J58" s="53" t="s">
        <v>24</v>
      </c>
      <c r="K58" s="53" t="s">
        <v>24</v>
      </c>
      <c r="L58" s="53" t="s">
        <v>24</v>
      </c>
      <c r="M58" s="53" t="s">
        <v>24</v>
      </c>
      <c r="N58" s="53" t="s">
        <v>24</v>
      </c>
      <c r="O58" s="53" t="s">
        <v>24</v>
      </c>
      <c r="P58" s="53" t="s">
        <v>24</v>
      </c>
      <c r="Q58" s="74">
        <f t="shared" si="1"/>
        <v>137477.2708</v>
      </c>
    </row>
    <row r="59" ht="15.75" customHeight="1">
      <c r="A59" s="25"/>
      <c r="B59" s="26"/>
      <c r="C59" s="27">
        <v>3.0</v>
      </c>
      <c r="D59" s="72" t="s">
        <v>87</v>
      </c>
      <c r="E59" s="57">
        <v>35000.0</v>
      </c>
      <c r="F59" s="57" t="s">
        <v>24</v>
      </c>
      <c r="G59" s="57" t="s">
        <v>24</v>
      </c>
      <c r="H59" s="57" t="s">
        <v>24</v>
      </c>
      <c r="I59" s="57">
        <v>17000.0</v>
      </c>
      <c r="J59" s="53" t="s">
        <v>24</v>
      </c>
      <c r="K59" s="53" t="s">
        <v>24</v>
      </c>
      <c r="L59" s="53" t="s">
        <v>24</v>
      </c>
      <c r="M59" s="53" t="s">
        <v>24</v>
      </c>
      <c r="N59" s="53" t="s">
        <v>24</v>
      </c>
      <c r="O59" s="53" t="s">
        <v>24</v>
      </c>
      <c r="P59" s="53" t="s">
        <v>24</v>
      </c>
      <c r="Q59" s="74">
        <f t="shared" si="1"/>
        <v>24392.62184</v>
      </c>
    </row>
    <row r="60" ht="15.75" customHeight="1">
      <c r="A60" s="25"/>
      <c r="B60" s="26"/>
      <c r="C60" s="27">
        <v>4.0</v>
      </c>
      <c r="D60" s="72" t="s">
        <v>88</v>
      </c>
      <c r="E60" s="57">
        <v>92000.0</v>
      </c>
      <c r="F60" s="57" t="s">
        <v>24</v>
      </c>
      <c r="G60" s="57" t="s">
        <v>24</v>
      </c>
      <c r="H60" s="57" t="s">
        <v>24</v>
      </c>
      <c r="I60" s="57">
        <v>13000.0</v>
      </c>
      <c r="J60" s="53" t="s">
        <v>24</v>
      </c>
      <c r="K60" s="53" t="s">
        <v>24</v>
      </c>
      <c r="L60" s="53" t="s">
        <v>24</v>
      </c>
      <c r="M60" s="53" t="s">
        <v>24</v>
      </c>
      <c r="N60" s="53" t="s">
        <v>24</v>
      </c>
      <c r="O60" s="53" t="s">
        <v>24</v>
      </c>
      <c r="P60" s="53" t="s">
        <v>24</v>
      </c>
      <c r="Q60" s="74">
        <f t="shared" si="1"/>
        <v>34583.23293</v>
      </c>
    </row>
    <row r="61" ht="15.75" customHeight="1">
      <c r="A61" s="25"/>
      <c r="B61" s="31"/>
      <c r="C61" s="27">
        <v>5.0</v>
      </c>
      <c r="D61" s="72" t="s">
        <v>89</v>
      </c>
      <c r="E61" s="57">
        <v>54000.0</v>
      </c>
      <c r="F61" s="57" t="s">
        <v>24</v>
      </c>
      <c r="G61" s="57" t="s">
        <v>24</v>
      </c>
      <c r="H61" s="57" t="s">
        <v>24</v>
      </c>
      <c r="I61" s="57">
        <v>24000.0</v>
      </c>
      <c r="J61" s="53" t="s">
        <v>24</v>
      </c>
      <c r="K61" s="53" t="s">
        <v>24</v>
      </c>
      <c r="L61" s="53" t="s">
        <v>24</v>
      </c>
      <c r="M61" s="53" t="s">
        <v>24</v>
      </c>
      <c r="N61" s="53" t="s">
        <v>24</v>
      </c>
      <c r="O61" s="53" t="s">
        <v>24</v>
      </c>
      <c r="P61" s="53" t="s">
        <v>24</v>
      </c>
      <c r="Q61" s="74">
        <f t="shared" si="1"/>
        <v>36000</v>
      </c>
    </row>
    <row r="62" ht="15.75" customHeight="1">
      <c r="A62" s="25"/>
      <c r="B62" s="32" t="s">
        <v>82</v>
      </c>
      <c r="C62" s="33">
        <v>1.0</v>
      </c>
      <c r="D62" s="71" t="s">
        <v>85</v>
      </c>
      <c r="E62" s="73">
        <v>6.0</v>
      </c>
      <c r="F62" s="49" t="s">
        <v>24</v>
      </c>
      <c r="G62" s="49" t="s">
        <v>24</v>
      </c>
      <c r="H62" s="49" t="s">
        <v>24</v>
      </c>
      <c r="I62" s="56">
        <v>5565.0</v>
      </c>
      <c r="J62" s="49" t="s">
        <v>24</v>
      </c>
      <c r="K62" s="49" t="s">
        <v>24</v>
      </c>
      <c r="L62" s="49" t="s">
        <v>24</v>
      </c>
      <c r="M62" s="49" t="s">
        <v>24</v>
      </c>
      <c r="N62" s="49" t="s">
        <v>24</v>
      </c>
      <c r="O62" s="49" t="s">
        <v>24</v>
      </c>
      <c r="P62" s="49" t="s">
        <v>24</v>
      </c>
      <c r="Q62" s="75">
        <f t="shared" si="1"/>
        <v>182.729308</v>
      </c>
    </row>
    <row r="63" ht="15.75" customHeight="1">
      <c r="A63" s="25"/>
      <c r="B63" s="26"/>
      <c r="C63" s="27">
        <v>2.0</v>
      </c>
      <c r="D63" s="72" t="s">
        <v>86</v>
      </c>
      <c r="E63" s="52">
        <v>5.0</v>
      </c>
      <c r="F63" s="53" t="s">
        <v>24</v>
      </c>
      <c r="G63" s="53" t="s">
        <v>24</v>
      </c>
      <c r="H63" s="53" t="s">
        <v>24</v>
      </c>
      <c r="I63" s="57">
        <v>4296.0</v>
      </c>
      <c r="J63" s="53" t="s">
        <v>24</v>
      </c>
      <c r="K63" s="53" t="s">
        <v>24</v>
      </c>
      <c r="L63" s="53" t="s">
        <v>24</v>
      </c>
      <c r="M63" s="53" t="s">
        <v>24</v>
      </c>
      <c r="N63" s="53" t="s">
        <v>24</v>
      </c>
      <c r="O63" s="53" t="s">
        <v>24</v>
      </c>
      <c r="P63" s="53" t="s">
        <v>24</v>
      </c>
      <c r="Q63" s="75">
        <f t="shared" si="1"/>
        <v>146.5605677</v>
      </c>
    </row>
    <row r="64" ht="15.75" customHeight="1">
      <c r="A64" s="25"/>
      <c r="B64" s="26"/>
      <c r="C64" s="27">
        <v>3.0</v>
      </c>
      <c r="D64" s="72" t="s">
        <v>87</v>
      </c>
      <c r="E64" s="63">
        <v>20.0</v>
      </c>
      <c r="F64" s="53" t="s">
        <v>24</v>
      </c>
      <c r="G64" s="53" t="s">
        <v>24</v>
      </c>
      <c r="H64" s="53" t="s">
        <v>24</v>
      </c>
      <c r="I64" s="57">
        <v>9421.0</v>
      </c>
      <c r="J64" s="53" t="s">
        <v>24</v>
      </c>
      <c r="K64" s="53" t="s">
        <v>24</v>
      </c>
      <c r="L64" s="53" t="s">
        <v>24</v>
      </c>
      <c r="M64" s="53" t="s">
        <v>24</v>
      </c>
      <c r="N64" s="53" t="s">
        <v>24</v>
      </c>
      <c r="O64" s="53" t="s">
        <v>24</v>
      </c>
      <c r="P64" s="53" t="s">
        <v>24</v>
      </c>
      <c r="Q64" s="76">
        <f t="shared" si="1"/>
        <v>434.0737265</v>
      </c>
    </row>
    <row r="65" ht="15.75" customHeight="1">
      <c r="A65" s="25"/>
      <c r="B65" s="26"/>
      <c r="C65" s="27">
        <v>4.0</v>
      </c>
      <c r="D65" s="72" t="s">
        <v>88</v>
      </c>
      <c r="E65" s="63">
        <v>13.0</v>
      </c>
      <c r="F65" s="53" t="s">
        <v>24</v>
      </c>
      <c r="G65" s="53" t="s">
        <v>24</v>
      </c>
      <c r="H65" s="53" t="s">
        <v>24</v>
      </c>
      <c r="I65" s="57">
        <v>8835.0</v>
      </c>
      <c r="J65" s="53" t="s">
        <v>24</v>
      </c>
      <c r="K65" s="53" t="s">
        <v>24</v>
      </c>
      <c r="L65" s="53" t="s">
        <v>24</v>
      </c>
      <c r="M65" s="53" t="s">
        <v>24</v>
      </c>
      <c r="N65" s="53" t="s">
        <v>24</v>
      </c>
      <c r="O65" s="53" t="s">
        <v>24</v>
      </c>
      <c r="P65" s="53" t="s">
        <v>24</v>
      </c>
      <c r="Q65" s="76">
        <f t="shared" si="1"/>
        <v>338.9026409</v>
      </c>
    </row>
    <row r="66" ht="15.75" customHeight="1">
      <c r="A66" s="25"/>
      <c r="B66" s="31"/>
      <c r="C66" s="27">
        <v>5.0</v>
      </c>
      <c r="D66" s="72" t="s">
        <v>89</v>
      </c>
      <c r="E66" s="63">
        <v>11.0</v>
      </c>
      <c r="F66" s="53" t="s">
        <v>24</v>
      </c>
      <c r="G66" s="53" t="s">
        <v>24</v>
      </c>
      <c r="H66" s="53" t="s">
        <v>24</v>
      </c>
      <c r="I66" s="57">
        <v>9030.0</v>
      </c>
      <c r="J66" s="53" t="s">
        <v>24</v>
      </c>
      <c r="K66" s="53" t="s">
        <v>24</v>
      </c>
      <c r="L66" s="53" t="s">
        <v>24</v>
      </c>
      <c r="M66" s="53" t="s">
        <v>24</v>
      </c>
      <c r="N66" s="53" t="s">
        <v>24</v>
      </c>
      <c r="O66" s="53" t="s">
        <v>24</v>
      </c>
      <c r="P66" s="53" t="s">
        <v>24</v>
      </c>
      <c r="Q66" s="76">
        <f t="shared" si="1"/>
        <v>315.1666226</v>
      </c>
    </row>
    <row r="67" ht="15.75" customHeight="1"/>
    <row r="68" ht="15.75" customHeight="1">
      <c r="C68" s="62" t="s">
        <v>52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P1"/>
    <mergeCell ref="A2:P2"/>
    <mergeCell ref="A3:P3"/>
    <mergeCell ref="A5:P5"/>
    <mergeCell ref="A6:P6"/>
    <mergeCell ref="B7:B11"/>
    <mergeCell ref="B12:B16"/>
    <mergeCell ref="B52:B56"/>
    <mergeCell ref="B57:B61"/>
    <mergeCell ref="B62:B66"/>
    <mergeCell ref="B17:B21"/>
    <mergeCell ref="B22:B26"/>
    <mergeCell ref="B27:B31"/>
    <mergeCell ref="B32:B36"/>
    <mergeCell ref="B37:B41"/>
    <mergeCell ref="B42:B46"/>
    <mergeCell ref="B47:B51"/>
  </mergeCells>
  <printOptions horizontalCentered="1" verticalCentered="1"/>
  <pageMargins bottom="0.0" footer="0.0" header="0.0" left="0.0" right="0.0" top="0.0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28.14"/>
    <col customWidth="1" min="3" max="3" width="18.43"/>
    <col customWidth="1" min="4" max="4" width="53.86"/>
    <col customWidth="1" min="5" max="5" width="16.29"/>
    <col customWidth="1" min="6" max="6" width="17.29"/>
    <col customWidth="1" min="7" max="7" width="13.29"/>
    <col customWidth="1" min="8" max="8" width="9.29"/>
    <col customWidth="1" min="9" max="9" width="13.43"/>
    <col customWidth="1" min="10" max="10" width="11.0"/>
    <col customWidth="1" min="11" max="11" width="8.71"/>
    <col customWidth="1" min="13" max="13" width="20.14"/>
    <col customWidth="1" min="14" max="14" width="16.14"/>
    <col customWidth="1" min="15" max="16" width="18.43"/>
    <col customWidth="1" min="17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>
      <c r="A4" s="10" t="s">
        <v>3</v>
      </c>
      <c r="B4" s="11" t="s">
        <v>4</v>
      </c>
      <c r="C4" s="11" t="s">
        <v>5</v>
      </c>
      <c r="D4" s="11" t="s">
        <v>6</v>
      </c>
      <c r="E4" s="12" t="s">
        <v>7</v>
      </c>
      <c r="F4" s="12" t="s">
        <v>8</v>
      </c>
      <c r="G4" s="11" t="s">
        <v>9</v>
      </c>
      <c r="H4" s="11" t="s">
        <v>10</v>
      </c>
      <c r="I4" s="11" t="s">
        <v>11</v>
      </c>
      <c r="J4" s="11" t="s">
        <v>12</v>
      </c>
      <c r="K4" s="12" t="s">
        <v>13</v>
      </c>
      <c r="L4" s="12" t="s">
        <v>14</v>
      </c>
      <c r="M4" s="11" t="s">
        <v>15</v>
      </c>
      <c r="N4" s="11" t="s">
        <v>16</v>
      </c>
      <c r="O4" s="11" t="s">
        <v>17</v>
      </c>
      <c r="P4" s="11" t="s">
        <v>18</v>
      </c>
    </row>
    <row r="5">
      <c r="A5" s="13" t="s">
        <v>94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5"/>
    </row>
    <row r="6">
      <c r="A6" s="16" t="s">
        <v>95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8"/>
    </row>
    <row r="7">
      <c r="A7" s="19" t="s">
        <v>21</v>
      </c>
      <c r="B7" s="20" t="s">
        <v>22</v>
      </c>
      <c r="C7" s="21">
        <v>1.0</v>
      </c>
      <c r="D7" s="48" t="s">
        <v>96</v>
      </c>
      <c r="E7" s="49">
        <v>6.3</v>
      </c>
      <c r="F7" s="56" t="s">
        <v>24</v>
      </c>
      <c r="G7" s="56" t="s">
        <v>24</v>
      </c>
      <c r="H7" s="56" t="s">
        <v>24</v>
      </c>
      <c r="I7" s="50">
        <v>6.8</v>
      </c>
      <c r="J7" s="56" t="s">
        <v>24</v>
      </c>
      <c r="K7" s="56" t="s">
        <v>24</v>
      </c>
      <c r="L7" s="56" t="s">
        <v>24</v>
      </c>
      <c r="M7" s="49">
        <v>4.02</v>
      </c>
      <c r="N7" s="56" t="s">
        <v>24</v>
      </c>
      <c r="O7" s="49">
        <v>3.8</v>
      </c>
      <c r="P7" s="56" t="s">
        <v>24</v>
      </c>
    </row>
    <row r="8">
      <c r="A8" s="25"/>
      <c r="B8" s="26"/>
      <c r="C8" s="27">
        <v>2.0</v>
      </c>
      <c r="D8" s="51" t="s">
        <v>97</v>
      </c>
      <c r="E8" s="53">
        <v>5.8</v>
      </c>
      <c r="F8" s="57" t="s">
        <v>24</v>
      </c>
      <c r="G8" s="57" t="s">
        <v>24</v>
      </c>
      <c r="H8" s="57" t="s">
        <v>24</v>
      </c>
      <c r="I8" s="53">
        <v>5.55</v>
      </c>
      <c r="J8" s="57" t="s">
        <v>24</v>
      </c>
      <c r="K8" s="57" t="s">
        <v>24</v>
      </c>
      <c r="L8" s="57" t="s">
        <v>24</v>
      </c>
      <c r="M8" s="53">
        <v>4.1</v>
      </c>
      <c r="N8" s="57" t="s">
        <v>24</v>
      </c>
      <c r="O8" s="53">
        <v>3.5</v>
      </c>
      <c r="P8" s="57" t="s">
        <v>24</v>
      </c>
    </row>
    <row r="9">
      <c r="A9" s="25"/>
      <c r="B9" s="26"/>
      <c r="C9" s="27">
        <v>3.0</v>
      </c>
      <c r="D9" s="51" t="s">
        <v>98</v>
      </c>
      <c r="E9" s="53">
        <v>5.2</v>
      </c>
      <c r="F9" s="57" t="s">
        <v>24</v>
      </c>
      <c r="G9" s="57" t="s">
        <v>24</v>
      </c>
      <c r="H9" s="57" t="s">
        <v>24</v>
      </c>
      <c r="I9" s="54">
        <v>6.5</v>
      </c>
      <c r="J9" s="57" t="s">
        <v>24</v>
      </c>
      <c r="K9" s="57" t="s">
        <v>24</v>
      </c>
      <c r="L9" s="57" t="s">
        <v>24</v>
      </c>
      <c r="M9" s="53">
        <v>3.83</v>
      </c>
      <c r="N9" s="57" t="s">
        <v>24</v>
      </c>
      <c r="O9" s="53">
        <v>2.93</v>
      </c>
      <c r="P9" s="57" t="s">
        <v>24</v>
      </c>
    </row>
    <row r="10">
      <c r="A10" s="25"/>
      <c r="B10" s="31"/>
      <c r="C10" s="27">
        <v>4.0</v>
      </c>
      <c r="D10" s="51" t="s">
        <v>99</v>
      </c>
      <c r="E10" s="57" t="s">
        <v>24</v>
      </c>
      <c r="F10" s="57" t="s">
        <v>24</v>
      </c>
      <c r="G10" s="57" t="s">
        <v>24</v>
      </c>
      <c r="H10" s="57" t="s">
        <v>24</v>
      </c>
      <c r="I10" s="57" t="s">
        <v>24</v>
      </c>
      <c r="J10" s="57" t="s">
        <v>24</v>
      </c>
      <c r="K10" s="57" t="s">
        <v>24</v>
      </c>
      <c r="L10" s="57" t="s">
        <v>24</v>
      </c>
      <c r="M10" s="53">
        <v>3.92</v>
      </c>
      <c r="N10" s="57" t="s">
        <v>24</v>
      </c>
      <c r="O10" s="53">
        <v>2.93</v>
      </c>
      <c r="P10" s="57" t="s">
        <v>24</v>
      </c>
    </row>
    <row r="11">
      <c r="A11" s="25"/>
      <c r="B11" s="32" t="s">
        <v>29</v>
      </c>
      <c r="C11" s="21">
        <v>1.0</v>
      </c>
      <c r="D11" s="48" t="s">
        <v>96</v>
      </c>
      <c r="E11" s="73">
        <v>3.0</v>
      </c>
      <c r="F11" s="56" t="s">
        <v>24</v>
      </c>
      <c r="G11" s="56" t="s">
        <v>24</v>
      </c>
      <c r="H11" s="56" t="s">
        <v>24</v>
      </c>
      <c r="I11" s="73">
        <v>4.0</v>
      </c>
      <c r="J11" s="56" t="s">
        <v>24</v>
      </c>
      <c r="K11" s="56" t="s">
        <v>24</v>
      </c>
      <c r="L11" s="56" t="s">
        <v>24</v>
      </c>
      <c r="M11" s="49">
        <v>10.0</v>
      </c>
      <c r="N11" s="56" t="s">
        <v>24</v>
      </c>
      <c r="O11" s="49">
        <v>9.0</v>
      </c>
      <c r="P11" s="56" t="s">
        <v>24</v>
      </c>
    </row>
    <row r="12">
      <c r="A12" s="25"/>
      <c r="B12" s="26"/>
      <c r="C12" s="27">
        <v>2.0</v>
      </c>
      <c r="D12" s="51" t="s">
        <v>97</v>
      </c>
      <c r="E12" s="52">
        <v>3.0</v>
      </c>
      <c r="F12" s="57" t="s">
        <v>24</v>
      </c>
      <c r="G12" s="57" t="s">
        <v>24</v>
      </c>
      <c r="H12" s="57" t="s">
        <v>24</v>
      </c>
      <c r="I12" s="52">
        <v>4.0</v>
      </c>
      <c r="J12" s="57" t="s">
        <v>24</v>
      </c>
      <c r="K12" s="57" t="s">
        <v>24</v>
      </c>
      <c r="L12" s="57" t="s">
        <v>24</v>
      </c>
      <c r="M12" s="53">
        <v>10.0</v>
      </c>
      <c r="N12" s="57" t="s">
        <v>24</v>
      </c>
      <c r="O12" s="53">
        <v>8.0</v>
      </c>
      <c r="P12" s="57" t="s">
        <v>24</v>
      </c>
    </row>
    <row r="13">
      <c r="A13" s="25"/>
      <c r="B13" s="26"/>
      <c r="C13" s="27">
        <v>3.0</v>
      </c>
      <c r="D13" s="51" t="s">
        <v>98</v>
      </c>
      <c r="E13" s="52">
        <v>3.0</v>
      </c>
      <c r="F13" s="57" t="s">
        <v>24</v>
      </c>
      <c r="G13" s="57" t="s">
        <v>24</v>
      </c>
      <c r="H13" s="57" t="s">
        <v>24</v>
      </c>
      <c r="I13" s="52">
        <v>5.0</v>
      </c>
      <c r="J13" s="57" t="s">
        <v>24</v>
      </c>
      <c r="K13" s="57" t="s">
        <v>24</v>
      </c>
      <c r="L13" s="57" t="s">
        <v>24</v>
      </c>
      <c r="M13" s="53">
        <v>11.0</v>
      </c>
      <c r="N13" s="57" t="s">
        <v>24</v>
      </c>
      <c r="O13" s="53">
        <v>6.0</v>
      </c>
      <c r="P13" s="57" t="s">
        <v>24</v>
      </c>
    </row>
    <row r="14">
      <c r="A14" s="25"/>
      <c r="B14" s="31"/>
      <c r="C14" s="27">
        <v>4.0</v>
      </c>
      <c r="D14" s="51" t="s">
        <v>99</v>
      </c>
      <c r="E14" s="57" t="s">
        <v>24</v>
      </c>
      <c r="F14" s="57" t="s">
        <v>24</v>
      </c>
      <c r="G14" s="57" t="s">
        <v>24</v>
      </c>
      <c r="H14" s="57" t="s">
        <v>24</v>
      </c>
      <c r="I14" s="57" t="s">
        <v>24</v>
      </c>
      <c r="J14" s="57" t="s">
        <v>24</v>
      </c>
      <c r="K14" s="57" t="s">
        <v>24</v>
      </c>
      <c r="L14" s="57" t="s">
        <v>24</v>
      </c>
      <c r="M14" s="53">
        <v>6.0</v>
      </c>
      <c r="N14" s="57" t="s">
        <v>24</v>
      </c>
      <c r="O14" s="53">
        <v>5.0</v>
      </c>
      <c r="P14" s="57" t="s">
        <v>24</v>
      </c>
    </row>
    <row r="15">
      <c r="A15" s="25"/>
      <c r="B15" s="32" t="s">
        <v>30</v>
      </c>
      <c r="C15" s="21">
        <v>1.0</v>
      </c>
      <c r="D15" s="48" t="s">
        <v>96</v>
      </c>
      <c r="E15" s="49">
        <v>20.0</v>
      </c>
      <c r="F15" s="56" t="s">
        <v>24</v>
      </c>
      <c r="G15" s="56" t="s">
        <v>24</v>
      </c>
      <c r="H15" s="56" t="s">
        <v>24</v>
      </c>
      <c r="I15" s="49">
        <v>21.0</v>
      </c>
      <c r="J15" s="56" t="s">
        <v>24</v>
      </c>
      <c r="K15" s="56" t="s">
        <v>24</v>
      </c>
      <c r="L15" s="56" t="s">
        <v>24</v>
      </c>
      <c r="M15" s="49">
        <v>15.0</v>
      </c>
      <c r="N15" s="56" t="s">
        <v>24</v>
      </c>
      <c r="O15" s="49">
        <v>13.0</v>
      </c>
      <c r="P15" s="56" t="s">
        <v>24</v>
      </c>
    </row>
    <row r="16">
      <c r="A16" s="25"/>
      <c r="B16" s="26"/>
      <c r="C16" s="27">
        <v>2.0</v>
      </c>
      <c r="D16" s="51" t="s">
        <v>97</v>
      </c>
      <c r="E16" s="53">
        <v>18.0</v>
      </c>
      <c r="F16" s="57" t="s">
        <v>24</v>
      </c>
      <c r="G16" s="57" t="s">
        <v>24</v>
      </c>
      <c r="H16" s="57" t="s">
        <v>24</v>
      </c>
      <c r="I16" s="53">
        <v>14.0</v>
      </c>
      <c r="J16" s="57" t="s">
        <v>24</v>
      </c>
      <c r="K16" s="57" t="s">
        <v>24</v>
      </c>
      <c r="L16" s="57" t="s">
        <v>24</v>
      </c>
      <c r="M16" s="53">
        <v>15.0</v>
      </c>
      <c r="N16" s="57" t="s">
        <v>24</v>
      </c>
      <c r="O16" s="53">
        <v>19.0</v>
      </c>
      <c r="P16" s="57" t="s">
        <v>24</v>
      </c>
    </row>
    <row r="17">
      <c r="A17" s="25"/>
      <c r="B17" s="26"/>
      <c r="C17" s="27">
        <v>3.0</v>
      </c>
      <c r="D17" s="51" t="s">
        <v>98</v>
      </c>
      <c r="E17" s="53">
        <v>17.0</v>
      </c>
      <c r="F17" s="57" t="s">
        <v>24</v>
      </c>
      <c r="G17" s="57" t="s">
        <v>24</v>
      </c>
      <c r="H17" s="57" t="s">
        <v>24</v>
      </c>
      <c r="I17" s="53">
        <v>21.0</v>
      </c>
      <c r="J17" s="57" t="s">
        <v>24</v>
      </c>
      <c r="K17" s="57" t="s">
        <v>24</v>
      </c>
      <c r="L17" s="57" t="s">
        <v>24</v>
      </c>
      <c r="M17" s="53">
        <v>16.0</v>
      </c>
      <c r="N17" s="57" t="s">
        <v>24</v>
      </c>
      <c r="O17" s="53">
        <v>12.0</v>
      </c>
      <c r="P17" s="57" t="s">
        <v>24</v>
      </c>
    </row>
    <row r="18">
      <c r="A18" s="25"/>
      <c r="B18" s="31"/>
      <c r="C18" s="27">
        <v>4.0</v>
      </c>
      <c r="D18" s="51" t="s">
        <v>99</v>
      </c>
      <c r="E18" s="57" t="s">
        <v>24</v>
      </c>
      <c r="F18" s="57" t="s">
        <v>24</v>
      </c>
      <c r="G18" s="57" t="s">
        <v>24</v>
      </c>
      <c r="H18" s="57" t="s">
        <v>24</v>
      </c>
      <c r="I18" s="57" t="s">
        <v>24</v>
      </c>
      <c r="J18" s="57" t="s">
        <v>24</v>
      </c>
      <c r="K18" s="57" t="s">
        <v>24</v>
      </c>
      <c r="L18" s="57" t="s">
        <v>24</v>
      </c>
      <c r="M18" s="53">
        <v>23.0</v>
      </c>
      <c r="N18" s="57" t="s">
        <v>24</v>
      </c>
      <c r="O18" s="53">
        <v>11.0</v>
      </c>
      <c r="P18" s="57" t="s">
        <v>24</v>
      </c>
    </row>
    <row r="19">
      <c r="A19" s="25"/>
      <c r="B19" s="32" t="s">
        <v>31</v>
      </c>
      <c r="C19" s="21">
        <v>1.0</v>
      </c>
      <c r="D19" s="48" t="s">
        <v>96</v>
      </c>
      <c r="E19" s="49">
        <v>7.31</v>
      </c>
      <c r="F19" s="56" t="s">
        <v>24</v>
      </c>
      <c r="G19" s="56" t="s">
        <v>24</v>
      </c>
      <c r="H19" s="56" t="s">
        <v>24</v>
      </c>
      <c r="I19" s="49">
        <v>7.24</v>
      </c>
      <c r="J19" s="56" t="s">
        <v>24</v>
      </c>
      <c r="K19" s="56" t="s">
        <v>24</v>
      </c>
      <c r="L19" s="56" t="s">
        <v>24</v>
      </c>
      <c r="M19" s="49">
        <v>8.27</v>
      </c>
      <c r="N19" s="56" t="s">
        <v>24</v>
      </c>
      <c r="O19" s="49">
        <v>8.45</v>
      </c>
      <c r="P19" s="56" t="s">
        <v>24</v>
      </c>
    </row>
    <row r="20">
      <c r="A20" s="25"/>
      <c r="B20" s="26"/>
      <c r="C20" s="27">
        <v>2.0</v>
      </c>
      <c r="D20" s="51" t="s">
        <v>97</v>
      </c>
      <c r="E20" s="53">
        <v>7.35</v>
      </c>
      <c r="F20" s="57" t="s">
        <v>24</v>
      </c>
      <c r="G20" s="57" t="s">
        <v>24</v>
      </c>
      <c r="H20" s="57" t="s">
        <v>24</v>
      </c>
      <c r="I20" s="54">
        <v>7.2</v>
      </c>
      <c r="J20" s="57" t="s">
        <v>24</v>
      </c>
      <c r="K20" s="57" t="s">
        <v>24</v>
      </c>
      <c r="L20" s="57" t="s">
        <v>24</v>
      </c>
      <c r="M20" s="53">
        <v>7.87</v>
      </c>
      <c r="N20" s="57" t="s">
        <v>24</v>
      </c>
      <c r="O20" s="53">
        <v>8.3</v>
      </c>
      <c r="P20" s="57" t="s">
        <v>24</v>
      </c>
    </row>
    <row r="21" ht="15.75" customHeight="1">
      <c r="A21" s="25"/>
      <c r="B21" s="26"/>
      <c r="C21" s="27">
        <v>3.0</v>
      </c>
      <c r="D21" s="51" t="s">
        <v>98</v>
      </c>
      <c r="E21" s="53">
        <v>7.33</v>
      </c>
      <c r="F21" s="57" t="s">
        <v>24</v>
      </c>
      <c r="G21" s="57" t="s">
        <v>24</v>
      </c>
      <c r="H21" s="57" t="s">
        <v>24</v>
      </c>
      <c r="I21" s="53">
        <v>7.59</v>
      </c>
      <c r="J21" s="57" t="s">
        <v>24</v>
      </c>
      <c r="K21" s="57" t="s">
        <v>24</v>
      </c>
      <c r="L21" s="57" t="s">
        <v>24</v>
      </c>
      <c r="M21" s="53">
        <v>7.8</v>
      </c>
      <c r="N21" s="57" t="s">
        <v>24</v>
      </c>
      <c r="O21" s="53">
        <v>8.14</v>
      </c>
      <c r="P21" s="57" t="s">
        <v>24</v>
      </c>
    </row>
    <row r="22" ht="15.75" customHeight="1">
      <c r="A22" s="25"/>
      <c r="B22" s="31"/>
      <c r="C22" s="27">
        <v>4.0</v>
      </c>
      <c r="D22" s="51" t="s">
        <v>99</v>
      </c>
      <c r="E22" s="57" t="s">
        <v>24</v>
      </c>
      <c r="F22" s="57" t="s">
        <v>24</v>
      </c>
      <c r="G22" s="57" t="s">
        <v>24</v>
      </c>
      <c r="H22" s="57" t="s">
        <v>24</v>
      </c>
      <c r="I22" s="57" t="s">
        <v>24</v>
      </c>
      <c r="J22" s="57" t="s">
        <v>24</v>
      </c>
      <c r="K22" s="57" t="s">
        <v>24</v>
      </c>
      <c r="L22" s="57" t="s">
        <v>24</v>
      </c>
      <c r="M22" s="53">
        <v>7.91</v>
      </c>
      <c r="N22" s="57" t="s">
        <v>24</v>
      </c>
      <c r="O22" s="53">
        <v>8.05</v>
      </c>
      <c r="P22" s="57" t="s">
        <v>24</v>
      </c>
    </row>
    <row r="23" ht="15.75" customHeight="1">
      <c r="A23" s="25"/>
      <c r="B23" s="32" t="s">
        <v>76</v>
      </c>
      <c r="C23" s="21">
        <v>1.0</v>
      </c>
      <c r="D23" s="48" t="s">
        <v>96</v>
      </c>
      <c r="E23" s="56" t="s">
        <v>24</v>
      </c>
      <c r="F23" s="56" t="s">
        <v>24</v>
      </c>
      <c r="G23" s="56" t="s">
        <v>24</v>
      </c>
      <c r="H23" s="56" t="s">
        <v>24</v>
      </c>
      <c r="I23" s="56" t="s">
        <v>24</v>
      </c>
      <c r="J23" s="56" t="s">
        <v>24</v>
      </c>
      <c r="K23" s="56" t="s">
        <v>24</v>
      </c>
      <c r="L23" s="56" t="s">
        <v>24</v>
      </c>
      <c r="M23" s="56">
        <v>11000.0</v>
      </c>
      <c r="N23" s="56" t="s">
        <v>24</v>
      </c>
      <c r="O23" s="56">
        <v>92000.0</v>
      </c>
      <c r="P23" s="56" t="s">
        <v>24</v>
      </c>
    </row>
    <row r="24" ht="15.75" customHeight="1">
      <c r="A24" s="25"/>
      <c r="B24" s="26"/>
      <c r="C24" s="27">
        <v>2.0</v>
      </c>
      <c r="D24" s="51" t="s">
        <v>97</v>
      </c>
      <c r="E24" s="57" t="s">
        <v>24</v>
      </c>
      <c r="F24" s="57" t="s">
        <v>24</v>
      </c>
      <c r="G24" s="57" t="s">
        <v>24</v>
      </c>
      <c r="H24" s="57" t="s">
        <v>24</v>
      </c>
      <c r="I24" s="57" t="s">
        <v>24</v>
      </c>
      <c r="J24" s="57" t="s">
        <v>24</v>
      </c>
      <c r="K24" s="57" t="s">
        <v>24</v>
      </c>
      <c r="L24" s="57" t="s">
        <v>24</v>
      </c>
      <c r="M24" s="57">
        <v>5400.0</v>
      </c>
      <c r="N24" s="57" t="s">
        <v>24</v>
      </c>
      <c r="O24" s="57">
        <v>92000.0</v>
      </c>
      <c r="P24" s="57" t="s">
        <v>24</v>
      </c>
    </row>
    <row r="25" ht="15.75" customHeight="1">
      <c r="A25" s="25"/>
      <c r="B25" s="26"/>
      <c r="C25" s="27">
        <v>3.0</v>
      </c>
      <c r="D25" s="51" t="s">
        <v>98</v>
      </c>
      <c r="E25" s="57" t="s">
        <v>24</v>
      </c>
      <c r="F25" s="57" t="s">
        <v>24</v>
      </c>
      <c r="G25" s="57" t="s">
        <v>24</v>
      </c>
      <c r="H25" s="57" t="s">
        <v>24</v>
      </c>
      <c r="I25" s="57" t="s">
        <v>24</v>
      </c>
      <c r="J25" s="57" t="s">
        <v>24</v>
      </c>
      <c r="K25" s="57" t="s">
        <v>24</v>
      </c>
      <c r="L25" s="57" t="s">
        <v>24</v>
      </c>
      <c r="M25" s="57">
        <v>9200.0</v>
      </c>
      <c r="N25" s="57" t="s">
        <v>24</v>
      </c>
      <c r="O25" s="57">
        <v>7900.0</v>
      </c>
      <c r="P25" s="57" t="s">
        <v>24</v>
      </c>
    </row>
    <row r="26" ht="15.75" customHeight="1">
      <c r="A26" s="25"/>
      <c r="B26" s="31"/>
      <c r="C26" s="27">
        <v>4.0</v>
      </c>
      <c r="D26" s="51" t="s">
        <v>99</v>
      </c>
      <c r="E26" s="57" t="s">
        <v>24</v>
      </c>
      <c r="F26" s="57" t="s">
        <v>24</v>
      </c>
      <c r="G26" s="57" t="s">
        <v>24</v>
      </c>
      <c r="H26" s="57" t="s">
        <v>24</v>
      </c>
      <c r="I26" s="57" t="s">
        <v>24</v>
      </c>
      <c r="J26" s="57" t="s">
        <v>24</v>
      </c>
      <c r="K26" s="57" t="s">
        <v>24</v>
      </c>
      <c r="L26" s="57" t="s">
        <v>24</v>
      </c>
      <c r="M26" s="57">
        <v>24000.0</v>
      </c>
      <c r="N26" s="57" t="s">
        <v>24</v>
      </c>
      <c r="O26" s="57">
        <v>24000.0</v>
      </c>
      <c r="P26" s="57" t="s">
        <v>24</v>
      </c>
    </row>
    <row r="27" ht="15.75" customHeight="1">
      <c r="A27" s="25"/>
      <c r="B27" s="32" t="s">
        <v>100</v>
      </c>
      <c r="C27" s="21">
        <v>1.0</v>
      </c>
      <c r="D27" s="48" t="s">
        <v>96</v>
      </c>
      <c r="E27" s="56" t="s">
        <v>24</v>
      </c>
      <c r="F27" s="56" t="s">
        <v>24</v>
      </c>
      <c r="G27" s="56" t="s">
        <v>24</v>
      </c>
      <c r="H27" s="56" t="s">
        <v>24</v>
      </c>
      <c r="I27" s="56" t="s">
        <v>24</v>
      </c>
      <c r="J27" s="56" t="s">
        <v>24</v>
      </c>
      <c r="K27" s="56" t="s">
        <v>24</v>
      </c>
      <c r="L27" s="56" t="s">
        <v>24</v>
      </c>
      <c r="M27" s="49">
        <v>0.117</v>
      </c>
      <c r="N27" s="56" t="s">
        <v>24</v>
      </c>
      <c r="O27" s="49">
        <v>0.163</v>
      </c>
      <c r="P27" s="56" t="s">
        <v>24</v>
      </c>
    </row>
    <row r="28" ht="15.75" customHeight="1">
      <c r="A28" s="25"/>
      <c r="B28" s="26"/>
      <c r="C28" s="27">
        <v>2.0</v>
      </c>
      <c r="D28" s="51" t="s">
        <v>97</v>
      </c>
      <c r="E28" s="57" t="s">
        <v>24</v>
      </c>
      <c r="F28" s="57" t="s">
        <v>24</v>
      </c>
      <c r="G28" s="57" t="s">
        <v>24</v>
      </c>
      <c r="H28" s="57" t="s">
        <v>24</v>
      </c>
      <c r="I28" s="57" t="s">
        <v>24</v>
      </c>
      <c r="J28" s="57" t="s">
        <v>24</v>
      </c>
      <c r="K28" s="57" t="s">
        <v>24</v>
      </c>
      <c r="L28" s="57" t="s">
        <v>24</v>
      </c>
      <c r="M28" s="53">
        <v>0.632</v>
      </c>
      <c r="N28" s="57" t="s">
        <v>24</v>
      </c>
      <c r="O28" s="53">
        <v>0.145</v>
      </c>
      <c r="P28" s="57" t="s">
        <v>24</v>
      </c>
    </row>
    <row r="29" ht="15.75" customHeight="1">
      <c r="A29" s="25"/>
      <c r="B29" s="26"/>
      <c r="C29" s="27">
        <v>3.0</v>
      </c>
      <c r="D29" s="51" t="s">
        <v>98</v>
      </c>
      <c r="E29" s="57" t="s">
        <v>24</v>
      </c>
      <c r="F29" s="57" t="s">
        <v>24</v>
      </c>
      <c r="G29" s="57" t="s">
        <v>24</v>
      </c>
      <c r="H29" s="57" t="s">
        <v>24</v>
      </c>
      <c r="I29" s="57" t="s">
        <v>24</v>
      </c>
      <c r="J29" s="57" t="s">
        <v>24</v>
      </c>
      <c r="K29" s="57" t="s">
        <v>24</v>
      </c>
      <c r="L29" s="57" t="s">
        <v>24</v>
      </c>
      <c r="M29" s="53">
        <v>0.263</v>
      </c>
      <c r="N29" s="57" t="s">
        <v>24</v>
      </c>
      <c r="O29" s="53">
        <v>0.193</v>
      </c>
      <c r="P29" s="57" t="s">
        <v>24</v>
      </c>
    </row>
    <row r="30" ht="15.75" customHeight="1">
      <c r="A30" s="25"/>
      <c r="B30" s="31"/>
      <c r="C30" s="27">
        <v>4.0</v>
      </c>
      <c r="D30" s="51" t="s">
        <v>99</v>
      </c>
      <c r="E30" s="57" t="s">
        <v>24</v>
      </c>
      <c r="F30" s="57" t="s">
        <v>24</v>
      </c>
      <c r="G30" s="57" t="s">
        <v>24</v>
      </c>
      <c r="H30" s="57" t="s">
        <v>24</v>
      </c>
      <c r="I30" s="57" t="s">
        <v>24</v>
      </c>
      <c r="J30" s="57" t="s">
        <v>24</v>
      </c>
      <c r="K30" s="57" t="s">
        <v>24</v>
      </c>
      <c r="L30" s="57" t="s">
        <v>24</v>
      </c>
      <c r="M30" s="53">
        <v>0.083</v>
      </c>
      <c r="N30" s="57" t="s">
        <v>24</v>
      </c>
      <c r="O30" s="53">
        <v>0.173</v>
      </c>
      <c r="P30" s="57" t="s">
        <v>24</v>
      </c>
    </row>
    <row r="31" ht="15.75" customHeight="1">
      <c r="A31" s="25"/>
      <c r="B31" s="32" t="s">
        <v>101</v>
      </c>
      <c r="C31" s="21">
        <v>1.0</v>
      </c>
      <c r="D31" s="48" t="s">
        <v>96</v>
      </c>
      <c r="E31" s="49" t="s">
        <v>38</v>
      </c>
      <c r="F31" s="56" t="s">
        <v>24</v>
      </c>
      <c r="G31" s="56" t="s">
        <v>24</v>
      </c>
      <c r="H31" s="56" t="s">
        <v>24</v>
      </c>
      <c r="I31" s="49" t="s">
        <v>38</v>
      </c>
      <c r="J31" s="56" t="s">
        <v>24</v>
      </c>
      <c r="K31" s="56" t="s">
        <v>24</v>
      </c>
      <c r="L31" s="56" t="s">
        <v>24</v>
      </c>
      <c r="M31" s="49">
        <v>0.072</v>
      </c>
      <c r="N31" s="56" t="s">
        <v>24</v>
      </c>
      <c r="O31" s="49">
        <v>0.4</v>
      </c>
      <c r="P31" s="56" t="s">
        <v>24</v>
      </c>
    </row>
    <row r="32" ht="15.75" customHeight="1">
      <c r="A32" s="25"/>
      <c r="B32" s="26"/>
      <c r="C32" s="27">
        <v>2.0</v>
      </c>
      <c r="D32" s="51" t="s">
        <v>97</v>
      </c>
      <c r="E32" s="53">
        <v>0.076</v>
      </c>
      <c r="F32" s="57" t="s">
        <v>24</v>
      </c>
      <c r="G32" s="57" t="s">
        <v>24</v>
      </c>
      <c r="H32" s="57" t="s">
        <v>24</v>
      </c>
      <c r="I32" s="53" t="s">
        <v>38</v>
      </c>
      <c r="J32" s="57" t="s">
        <v>24</v>
      </c>
      <c r="K32" s="57" t="s">
        <v>24</v>
      </c>
      <c r="L32" s="57" t="s">
        <v>24</v>
      </c>
      <c r="M32" s="53">
        <v>0.218</v>
      </c>
      <c r="N32" s="57" t="s">
        <v>24</v>
      </c>
      <c r="O32" s="53">
        <v>0.478</v>
      </c>
      <c r="P32" s="57" t="s">
        <v>24</v>
      </c>
    </row>
    <row r="33" ht="15.75" customHeight="1">
      <c r="A33" s="25"/>
      <c r="B33" s="26"/>
      <c r="C33" s="27">
        <v>3.0</v>
      </c>
      <c r="D33" s="51" t="s">
        <v>98</v>
      </c>
      <c r="E33" s="53">
        <v>0.136</v>
      </c>
      <c r="F33" s="57" t="s">
        <v>24</v>
      </c>
      <c r="G33" s="57" t="s">
        <v>24</v>
      </c>
      <c r="H33" s="57" t="s">
        <v>24</v>
      </c>
      <c r="I33" s="53" t="s">
        <v>38</v>
      </c>
      <c r="J33" s="57" t="s">
        <v>24</v>
      </c>
      <c r="K33" s="57" t="s">
        <v>24</v>
      </c>
      <c r="L33" s="57" t="s">
        <v>24</v>
      </c>
      <c r="M33" s="53">
        <v>0.452</v>
      </c>
      <c r="N33" s="57" t="s">
        <v>24</v>
      </c>
      <c r="O33" s="53">
        <v>0.398</v>
      </c>
      <c r="P33" s="57" t="s">
        <v>24</v>
      </c>
    </row>
    <row r="34" ht="15.75" customHeight="1">
      <c r="A34" s="25"/>
      <c r="B34" s="31"/>
      <c r="C34" s="27">
        <v>4.0</v>
      </c>
      <c r="D34" s="51" t="s">
        <v>99</v>
      </c>
      <c r="E34" s="57" t="s">
        <v>24</v>
      </c>
      <c r="F34" s="57" t="s">
        <v>24</v>
      </c>
      <c r="G34" s="57" t="s">
        <v>24</v>
      </c>
      <c r="H34" s="57" t="s">
        <v>24</v>
      </c>
      <c r="I34" s="57" t="s">
        <v>24</v>
      </c>
      <c r="J34" s="57" t="s">
        <v>24</v>
      </c>
      <c r="K34" s="57" t="s">
        <v>24</v>
      </c>
      <c r="L34" s="57" t="s">
        <v>24</v>
      </c>
      <c r="M34" s="53">
        <v>0.468</v>
      </c>
      <c r="N34" s="57" t="s">
        <v>24</v>
      </c>
      <c r="O34" s="53">
        <v>0.403</v>
      </c>
      <c r="P34" s="57" t="s">
        <v>24</v>
      </c>
    </row>
    <row r="35" ht="15.75" customHeight="1">
      <c r="A35" s="25"/>
      <c r="B35" s="32" t="s">
        <v>102</v>
      </c>
      <c r="C35" s="21">
        <v>1.0</v>
      </c>
      <c r="D35" s="48" t="s">
        <v>96</v>
      </c>
      <c r="E35" s="49">
        <v>0.09</v>
      </c>
      <c r="F35" s="56" t="s">
        <v>24</v>
      </c>
      <c r="G35" s="56" t="s">
        <v>24</v>
      </c>
      <c r="H35" s="56" t="s">
        <v>24</v>
      </c>
      <c r="I35" s="49">
        <v>0.31</v>
      </c>
      <c r="J35" s="56" t="s">
        <v>24</v>
      </c>
      <c r="K35" s="56" t="s">
        <v>24</v>
      </c>
      <c r="L35" s="56" t="s">
        <v>24</v>
      </c>
      <c r="M35" s="49">
        <v>0.107</v>
      </c>
      <c r="N35" s="56" t="s">
        <v>24</v>
      </c>
      <c r="O35" s="49">
        <v>0.293</v>
      </c>
      <c r="P35" s="56" t="s">
        <v>24</v>
      </c>
    </row>
    <row r="36" ht="15.75" customHeight="1">
      <c r="A36" s="25"/>
      <c r="B36" s="26"/>
      <c r="C36" s="27">
        <v>2.0</v>
      </c>
      <c r="D36" s="51" t="s">
        <v>97</v>
      </c>
      <c r="E36" s="53">
        <v>0.077</v>
      </c>
      <c r="F36" s="57" t="s">
        <v>24</v>
      </c>
      <c r="G36" s="57" t="s">
        <v>24</v>
      </c>
      <c r="H36" s="57" t="s">
        <v>24</v>
      </c>
      <c r="I36" s="53">
        <v>0.225</v>
      </c>
      <c r="J36" s="57" t="s">
        <v>24</v>
      </c>
      <c r="K36" s="57" t="s">
        <v>24</v>
      </c>
      <c r="L36" s="57" t="s">
        <v>24</v>
      </c>
      <c r="M36" s="53">
        <v>0.567</v>
      </c>
      <c r="N36" s="57" t="s">
        <v>24</v>
      </c>
      <c r="O36" s="53">
        <v>0.3</v>
      </c>
      <c r="P36" s="57" t="s">
        <v>24</v>
      </c>
    </row>
    <row r="37" ht="15.75" customHeight="1">
      <c r="A37" s="25"/>
      <c r="B37" s="26"/>
      <c r="C37" s="27">
        <v>3.0</v>
      </c>
      <c r="D37" s="51" t="s">
        <v>98</v>
      </c>
      <c r="E37" s="53">
        <v>0.059</v>
      </c>
      <c r="F37" s="57" t="s">
        <v>24</v>
      </c>
      <c r="G37" s="57" t="s">
        <v>24</v>
      </c>
      <c r="H37" s="57" t="s">
        <v>24</v>
      </c>
      <c r="I37" s="53">
        <v>0.115</v>
      </c>
      <c r="J37" s="57" t="s">
        <v>24</v>
      </c>
      <c r="K37" s="57" t="s">
        <v>24</v>
      </c>
      <c r="L37" s="57" t="s">
        <v>24</v>
      </c>
      <c r="M37" s="53">
        <v>0.348</v>
      </c>
      <c r="N37" s="57" t="s">
        <v>24</v>
      </c>
      <c r="O37" s="53">
        <v>0.28</v>
      </c>
      <c r="P37" s="57" t="s">
        <v>24</v>
      </c>
    </row>
    <row r="38" ht="15.75" customHeight="1">
      <c r="A38" s="25"/>
      <c r="B38" s="31"/>
      <c r="C38" s="27">
        <v>4.0</v>
      </c>
      <c r="D38" s="51" t="s">
        <v>99</v>
      </c>
      <c r="E38" s="57" t="s">
        <v>24</v>
      </c>
      <c r="F38" s="57" t="s">
        <v>24</v>
      </c>
      <c r="G38" s="57" t="s">
        <v>24</v>
      </c>
      <c r="H38" s="57" t="s">
        <v>24</v>
      </c>
      <c r="I38" s="57" t="s">
        <v>24</v>
      </c>
      <c r="J38" s="57" t="s">
        <v>24</v>
      </c>
      <c r="K38" s="57" t="s">
        <v>24</v>
      </c>
      <c r="L38" s="57" t="s">
        <v>24</v>
      </c>
      <c r="M38" s="53">
        <v>0.204</v>
      </c>
      <c r="N38" s="57" t="s">
        <v>24</v>
      </c>
      <c r="O38" s="53">
        <v>0.284</v>
      </c>
      <c r="P38" s="57" t="s">
        <v>24</v>
      </c>
    </row>
    <row r="39" ht="15.75" customHeight="1">
      <c r="A39" s="25"/>
      <c r="B39" s="32" t="s">
        <v>80</v>
      </c>
      <c r="C39" s="21">
        <v>1.0</v>
      </c>
      <c r="D39" s="48" t="s">
        <v>96</v>
      </c>
      <c r="E39" s="49">
        <v>26.7</v>
      </c>
      <c r="F39" s="56" t="s">
        <v>24</v>
      </c>
      <c r="G39" s="56" t="s">
        <v>24</v>
      </c>
      <c r="H39" s="56" t="s">
        <v>24</v>
      </c>
      <c r="I39" s="50">
        <v>31.6</v>
      </c>
      <c r="J39" s="56" t="s">
        <v>24</v>
      </c>
      <c r="K39" s="56" t="s">
        <v>24</v>
      </c>
      <c r="L39" s="56" t="s">
        <v>24</v>
      </c>
      <c r="M39" s="56" t="s">
        <v>24</v>
      </c>
      <c r="N39" s="56" t="s">
        <v>24</v>
      </c>
      <c r="O39" s="56" t="s">
        <v>24</v>
      </c>
      <c r="P39" s="56" t="s">
        <v>24</v>
      </c>
    </row>
    <row r="40" ht="15.75" customHeight="1">
      <c r="A40" s="25"/>
      <c r="B40" s="26"/>
      <c r="C40" s="27">
        <v>2.0</v>
      </c>
      <c r="D40" s="51" t="s">
        <v>97</v>
      </c>
      <c r="E40" s="53">
        <v>27.2</v>
      </c>
      <c r="F40" s="57" t="s">
        <v>24</v>
      </c>
      <c r="G40" s="57" t="s">
        <v>24</v>
      </c>
      <c r="H40" s="57" t="s">
        <v>24</v>
      </c>
      <c r="I40" s="54">
        <v>33.5</v>
      </c>
      <c r="J40" s="57" t="s">
        <v>24</v>
      </c>
      <c r="K40" s="57" t="s">
        <v>24</v>
      </c>
      <c r="L40" s="57" t="s">
        <v>24</v>
      </c>
      <c r="M40" s="57" t="s">
        <v>24</v>
      </c>
      <c r="N40" s="57" t="s">
        <v>24</v>
      </c>
      <c r="O40" s="57" t="s">
        <v>24</v>
      </c>
      <c r="P40" s="57" t="s">
        <v>24</v>
      </c>
    </row>
    <row r="41" ht="15.75" customHeight="1">
      <c r="A41" s="25"/>
      <c r="B41" s="26"/>
      <c r="C41" s="27">
        <v>3.0</v>
      </c>
      <c r="D41" s="51" t="s">
        <v>98</v>
      </c>
      <c r="E41" s="53">
        <v>27.5</v>
      </c>
      <c r="F41" s="57" t="s">
        <v>24</v>
      </c>
      <c r="G41" s="57" t="s">
        <v>24</v>
      </c>
      <c r="H41" s="57" t="s">
        <v>24</v>
      </c>
      <c r="I41" s="54">
        <v>33.3</v>
      </c>
      <c r="J41" s="57" t="s">
        <v>24</v>
      </c>
      <c r="K41" s="57" t="s">
        <v>24</v>
      </c>
      <c r="L41" s="57" t="s">
        <v>24</v>
      </c>
      <c r="M41" s="57" t="s">
        <v>24</v>
      </c>
      <c r="N41" s="57" t="s">
        <v>24</v>
      </c>
      <c r="O41" s="57" t="s">
        <v>24</v>
      </c>
      <c r="P41" s="57" t="s">
        <v>24</v>
      </c>
    </row>
    <row r="42" ht="15.75" customHeight="1">
      <c r="A42" s="25"/>
      <c r="B42" s="31"/>
      <c r="C42" s="27">
        <v>4.0</v>
      </c>
      <c r="D42" s="51" t="s">
        <v>99</v>
      </c>
      <c r="E42" s="57" t="s">
        <v>24</v>
      </c>
      <c r="F42" s="57" t="s">
        <v>24</v>
      </c>
      <c r="G42" s="57" t="s">
        <v>24</v>
      </c>
      <c r="H42" s="57" t="s">
        <v>24</v>
      </c>
      <c r="I42" s="57" t="s">
        <v>24</v>
      </c>
      <c r="J42" s="57" t="s">
        <v>24</v>
      </c>
      <c r="K42" s="57" t="s">
        <v>24</v>
      </c>
      <c r="L42" s="57" t="s">
        <v>24</v>
      </c>
      <c r="M42" s="57" t="s">
        <v>24</v>
      </c>
      <c r="N42" s="57" t="s">
        <v>24</v>
      </c>
      <c r="O42" s="57" t="s">
        <v>24</v>
      </c>
      <c r="P42" s="57" t="s">
        <v>24</v>
      </c>
    </row>
    <row r="43" ht="15.75" customHeight="1">
      <c r="A43" s="25"/>
      <c r="B43" s="32" t="s">
        <v>81</v>
      </c>
      <c r="C43" s="21">
        <v>1.0</v>
      </c>
      <c r="D43" s="48" t="s">
        <v>96</v>
      </c>
      <c r="E43" s="73">
        <v>5.0</v>
      </c>
      <c r="F43" s="56" t="s">
        <v>24</v>
      </c>
      <c r="G43" s="56" t="s">
        <v>24</v>
      </c>
      <c r="H43" s="56" t="s">
        <v>24</v>
      </c>
      <c r="I43" s="49">
        <v>10.0</v>
      </c>
      <c r="J43" s="56" t="s">
        <v>24</v>
      </c>
      <c r="K43" s="56" t="s">
        <v>24</v>
      </c>
      <c r="L43" s="56" t="s">
        <v>24</v>
      </c>
      <c r="M43" s="56" t="s">
        <v>24</v>
      </c>
      <c r="N43" s="56" t="s">
        <v>24</v>
      </c>
      <c r="O43" s="56" t="s">
        <v>24</v>
      </c>
      <c r="P43" s="56" t="s">
        <v>24</v>
      </c>
    </row>
    <row r="44" ht="15.75" customHeight="1">
      <c r="A44" s="25"/>
      <c r="B44" s="26"/>
      <c r="C44" s="27">
        <v>2.0</v>
      </c>
      <c r="D44" s="51" t="s">
        <v>97</v>
      </c>
      <c r="E44" s="52">
        <v>5.0</v>
      </c>
      <c r="F44" s="57" t="s">
        <v>24</v>
      </c>
      <c r="G44" s="57" t="s">
        <v>24</v>
      </c>
      <c r="H44" s="57" t="s">
        <v>24</v>
      </c>
      <c r="I44" s="53">
        <v>10.0</v>
      </c>
      <c r="J44" s="57" t="s">
        <v>24</v>
      </c>
      <c r="K44" s="57" t="s">
        <v>24</v>
      </c>
      <c r="L44" s="57" t="s">
        <v>24</v>
      </c>
      <c r="M44" s="57" t="s">
        <v>24</v>
      </c>
      <c r="N44" s="57" t="s">
        <v>24</v>
      </c>
      <c r="O44" s="57" t="s">
        <v>24</v>
      </c>
      <c r="P44" s="57" t="s">
        <v>24</v>
      </c>
    </row>
    <row r="45" ht="15.75" customHeight="1">
      <c r="A45" s="25"/>
      <c r="B45" s="26"/>
      <c r="C45" s="27">
        <v>3.0</v>
      </c>
      <c r="D45" s="51" t="s">
        <v>98</v>
      </c>
      <c r="E45" s="52">
        <v>5.0</v>
      </c>
      <c r="F45" s="57" t="s">
        <v>24</v>
      </c>
      <c r="G45" s="57" t="s">
        <v>24</v>
      </c>
      <c r="H45" s="57" t="s">
        <v>24</v>
      </c>
      <c r="I45" s="53">
        <v>10.0</v>
      </c>
      <c r="J45" s="57" t="s">
        <v>24</v>
      </c>
      <c r="K45" s="57" t="s">
        <v>24</v>
      </c>
      <c r="L45" s="57" t="s">
        <v>24</v>
      </c>
      <c r="M45" s="57" t="s">
        <v>24</v>
      </c>
      <c r="N45" s="57" t="s">
        <v>24</v>
      </c>
      <c r="O45" s="57" t="s">
        <v>24</v>
      </c>
      <c r="P45" s="57" t="s">
        <v>24</v>
      </c>
    </row>
    <row r="46" ht="17.25" customHeight="1">
      <c r="A46" s="25"/>
      <c r="B46" s="31"/>
      <c r="C46" s="27">
        <v>4.0</v>
      </c>
      <c r="D46" s="51" t="s">
        <v>99</v>
      </c>
      <c r="E46" s="57" t="s">
        <v>24</v>
      </c>
      <c r="F46" s="57" t="s">
        <v>24</v>
      </c>
      <c r="G46" s="57" t="s">
        <v>24</v>
      </c>
      <c r="H46" s="57" t="s">
        <v>24</v>
      </c>
      <c r="I46" s="57" t="s">
        <v>24</v>
      </c>
      <c r="J46" s="57" t="s">
        <v>24</v>
      </c>
      <c r="K46" s="57" t="s">
        <v>24</v>
      </c>
      <c r="L46" s="57" t="s">
        <v>24</v>
      </c>
      <c r="M46" s="57" t="s">
        <v>24</v>
      </c>
      <c r="N46" s="57" t="s">
        <v>24</v>
      </c>
      <c r="O46" s="57" t="s">
        <v>24</v>
      </c>
      <c r="P46" s="57" t="s">
        <v>24</v>
      </c>
    </row>
    <row r="47" ht="15.75" customHeight="1">
      <c r="A47" s="25"/>
      <c r="B47" s="32" t="s">
        <v>93</v>
      </c>
      <c r="C47" s="21">
        <v>1.0</v>
      </c>
      <c r="D47" s="48" t="s">
        <v>96</v>
      </c>
      <c r="E47" s="56">
        <v>90000.0</v>
      </c>
      <c r="F47" s="56" t="s">
        <v>24</v>
      </c>
      <c r="G47" s="56" t="s">
        <v>24</v>
      </c>
      <c r="H47" s="56" t="s">
        <v>24</v>
      </c>
      <c r="I47" s="56">
        <v>24000.0</v>
      </c>
      <c r="J47" s="56" t="s">
        <v>24</v>
      </c>
      <c r="K47" s="56" t="s">
        <v>24</v>
      </c>
      <c r="L47" s="56" t="s">
        <v>24</v>
      </c>
      <c r="M47" s="56" t="s">
        <v>24</v>
      </c>
      <c r="N47" s="56" t="s">
        <v>24</v>
      </c>
      <c r="O47" s="56" t="s">
        <v>24</v>
      </c>
      <c r="P47" s="56" t="s">
        <v>24</v>
      </c>
      <c r="Q47" s="74">
        <f t="shared" ref="Q47:Q54" si="1">geomean(E47,I47)</f>
        <v>46475.80015</v>
      </c>
      <c r="R47" s="74">
        <f>geomean(Q47:Q49)</f>
        <v>16273.75694</v>
      </c>
    </row>
    <row r="48" ht="15.75" customHeight="1">
      <c r="A48" s="25"/>
      <c r="B48" s="26"/>
      <c r="C48" s="27">
        <v>2.0</v>
      </c>
      <c r="D48" s="51" t="s">
        <v>97</v>
      </c>
      <c r="E48" s="57">
        <v>54000.0</v>
      </c>
      <c r="F48" s="57" t="s">
        <v>24</v>
      </c>
      <c r="G48" s="57" t="s">
        <v>24</v>
      </c>
      <c r="H48" s="57" t="s">
        <v>24</v>
      </c>
      <c r="I48" s="57">
        <v>3500.0</v>
      </c>
      <c r="J48" s="57" t="s">
        <v>24</v>
      </c>
      <c r="K48" s="57" t="s">
        <v>24</v>
      </c>
      <c r="L48" s="57" t="s">
        <v>24</v>
      </c>
      <c r="M48" s="57" t="s">
        <v>24</v>
      </c>
      <c r="N48" s="57" t="s">
        <v>24</v>
      </c>
      <c r="O48" s="57" t="s">
        <v>24</v>
      </c>
      <c r="P48" s="57" t="s">
        <v>24</v>
      </c>
      <c r="Q48" s="74">
        <f t="shared" si="1"/>
        <v>13747.72708</v>
      </c>
    </row>
    <row r="49" ht="15.75" customHeight="1">
      <c r="A49" s="25"/>
      <c r="B49" s="26"/>
      <c r="C49" s="27">
        <v>3.0</v>
      </c>
      <c r="D49" s="51" t="s">
        <v>98</v>
      </c>
      <c r="E49" s="57">
        <v>35000.0</v>
      </c>
      <c r="F49" s="57" t="s">
        <v>24</v>
      </c>
      <c r="G49" s="57" t="s">
        <v>24</v>
      </c>
      <c r="H49" s="57" t="s">
        <v>24</v>
      </c>
      <c r="I49" s="57">
        <v>1300.0</v>
      </c>
      <c r="J49" s="57" t="s">
        <v>24</v>
      </c>
      <c r="K49" s="57" t="s">
        <v>24</v>
      </c>
      <c r="L49" s="57" t="s">
        <v>24</v>
      </c>
      <c r="M49" s="57" t="s">
        <v>24</v>
      </c>
      <c r="N49" s="57" t="s">
        <v>24</v>
      </c>
      <c r="O49" s="57" t="s">
        <v>24</v>
      </c>
      <c r="P49" s="57" t="s">
        <v>24</v>
      </c>
      <c r="Q49" s="74">
        <f t="shared" si="1"/>
        <v>6745.368782</v>
      </c>
    </row>
    <row r="50" ht="15.75" customHeight="1">
      <c r="A50" s="25"/>
      <c r="B50" s="31"/>
      <c r="C50" s="27">
        <v>4.0</v>
      </c>
      <c r="D50" s="51" t="s">
        <v>99</v>
      </c>
      <c r="E50" s="57" t="s">
        <v>24</v>
      </c>
      <c r="F50" s="57" t="s">
        <v>24</v>
      </c>
      <c r="G50" s="57" t="s">
        <v>24</v>
      </c>
      <c r="H50" s="57" t="s">
        <v>24</v>
      </c>
      <c r="I50" s="57" t="s">
        <v>24</v>
      </c>
      <c r="J50" s="57" t="s">
        <v>24</v>
      </c>
      <c r="K50" s="57" t="s">
        <v>24</v>
      </c>
      <c r="L50" s="57" t="s">
        <v>24</v>
      </c>
      <c r="M50" s="57" t="s">
        <v>24</v>
      </c>
      <c r="N50" s="57" t="s">
        <v>24</v>
      </c>
      <c r="O50" s="57" t="s">
        <v>24</v>
      </c>
      <c r="P50" s="57" t="s">
        <v>24</v>
      </c>
      <c r="Q50" s="74" t="str">
        <f t="shared" si="1"/>
        <v>#NUM!</v>
      </c>
    </row>
    <row r="51" ht="15.75" customHeight="1">
      <c r="A51" s="25"/>
      <c r="B51" s="32" t="s">
        <v>82</v>
      </c>
      <c r="C51" s="21">
        <v>1.0</v>
      </c>
      <c r="D51" s="48" t="s">
        <v>96</v>
      </c>
      <c r="E51" s="77">
        <v>8.0</v>
      </c>
      <c r="F51" s="56" t="s">
        <v>24</v>
      </c>
      <c r="G51" s="56" t="s">
        <v>24</v>
      </c>
      <c r="H51" s="56" t="s">
        <v>24</v>
      </c>
      <c r="I51" s="78">
        <v>32.0</v>
      </c>
      <c r="J51" s="56" t="s">
        <v>24</v>
      </c>
      <c r="K51" s="56" t="s">
        <v>24</v>
      </c>
      <c r="L51" s="56" t="s">
        <v>24</v>
      </c>
      <c r="M51" s="56" t="s">
        <v>24</v>
      </c>
      <c r="N51" s="56" t="s">
        <v>24</v>
      </c>
      <c r="O51" s="56" t="s">
        <v>24</v>
      </c>
      <c r="P51" s="56" t="s">
        <v>24</v>
      </c>
      <c r="Q51" s="75">
        <f t="shared" si="1"/>
        <v>16</v>
      </c>
    </row>
    <row r="52" ht="15.75" customHeight="1">
      <c r="A52" s="25"/>
      <c r="B52" s="26"/>
      <c r="C52" s="27">
        <v>2.0</v>
      </c>
      <c r="D52" s="51" t="s">
        <v>97</v>
      </c>
      <c r="E52" s="79">
        <v>3.0</v>
      </c>
      <c r="F52" s="57" t="s">
        <v>24</v>
      </c>
      <c r="G52" s="57" t="s">
        <v>24</v>
      </c>
      <c r="H52" s="57" t="s">
        <v>24</v>
      </c>
      <c r="I52" s="80">
        <v>11.0</v>
      </c>
      <c r="J52" s="57" t="s">
        <v>24</v>
      </c>
      <c r="K52" s="57" t="s">
        <v>24</v>
      </c>
      <c r="L52" s="57" t="s">
        <v>24</v>
      </c>
      <c r="M52" s="57" t="s">
        <v>24</v>
      </c>
      <c r="N52" s="57" t="s">
        <v>24</v>
      </c>
      <c r="O52" s="57" t="s">
        <v>24</v>
      </c>
      <c r="P52" s="57" t="s">
        <v>24</v>
      </c>
      <c r="Q52" s="75">
        <f t="shared" si="1"/>
        <v>5.744562647</v>
      </c>
    </row>
    <row r="53" ht="15.75" customHeight="1">
      <c r="A53" s="25"/>
      <c r="B53" s="26"/>
      <c r="C53" s="27">
        <v>3.0</v>
      </c>
      <c r="D53" s="51" t="s">
        <v>98</v>
      </c>
      <c r="E53" s="79">
        <v>4.0</v>
      </c>
      <c r="F53" s="57" t="s">
        <v>24</v>
      </c>
      <c r="G53" s="57" t="s">
        <v>24</v>
      </c>
      <c r="H53" s="57" t="s">
        <v>24</v>
      </c>
      <c r="I53" s="80">
        <v>645.0</v>
      </c>
      <c r="J53" s="57" t="s">
        <v>24</v>
      </c>
      <c r="K53" s="57" t="s">
        <v>24</v>
      </c>
      <c r="L53" s="57" t="s">
        <v>24</v>
      </c>
      <c r="M53" s="57" t="s">
        <v>24</v>
      </c>
      <c r="N53" s="57" t="s">
        <v>24</v>
      </c>
      <c r="O53" s="57" t="s">
        <v>24</v>
      </c>
      <c r="P53" s="57" t="s">
        <v>24</v>
      </c>
      <c r="Q53" s="75">
        <f t="shared" si="1"/>
        <v>50.7937004</v>
      </c>
    </row>
    <row r="54" ht="15.75" customHeight="1">
      <c r="A54" s="25"/>
      <c r="B54" s="31"/>
      <c r="C54" s="27">
        <v>4.0</v>
      </c>
      <c r="D54" s="51" t="s">
        <v>99</v>
      </c>
      <c r="E54" s="57" t="s">
        <v>24</v>
      </c>
      <c r="F54" s="57" t="s">
        <v>24</v>
      </c>
      <c r="G54" s="57" t="s">
        <v>24</v>
      </c>
      <c r="H54" s="57" t="s">
        <v>24</v>
      </c>
      <c r="I54" s="57" t="s">
        <v>24</v>
      </c>
      <c r="J54" s="57" t="s">
        <v>24</v>
      </c>
      <c r="K54" s="57" t="s">
        <v>24</v>
      </c>
      <c r="L54" s="57" t="s">
        <v>24</v>
      </c>
      <c r="M54" s="57" t="s">
        <v>24</v>
      </c>
      <c r="N54" s="57" t="s">
        <v>24</v>
      </c>
      <c r="O54" s="57" t="s">
        <v>24</v>
      </c>
      <c r="P54" s="57" t="s">
        <v>24</v>
      </c>
      <c r="Q54" s="74" t="str">
        <f t="shared" si="1"/>
        <v>#NUM!</v>
      </c>
    </row>
    <row r="55" ht="15.75" customHeight="1"/>
    <row r="56" ht="15.75" customHeight="1">
      <c r="C56" s="62" t="s">
        <v>52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P1"/>
    <mergeCell ref="A2:P2"/>
    <mergeCell ref="A3:P3"/>
    <mergeCell ref="A5:P5"/>
    <mergeCell ref="A6:P6"/>
    <mergeCell ref="B7:B10"/>
    <mergeCell ref="B11:B14"/>
    <mergeCell ref="B43:B46"/>
    <mergeCell ref="B47:B50"/>
    <mergeCell ref="B51:B54"/>
    <mergeCell ref="B15:B18"/>
    <mergeCell ref="B19:B22"/>
    <mergeCell ref="B23:B26"/>
    <mergeCell ref="B27:B30"/>
    <mergeCell ref="B31:B34"/>
    <mergeCell ref="B35:B38"/>
    <mergeCell ref="B39:B42"/>
  </mergeCells>
  <printOptions horizontalCentered="1" verticalCentered="1"/>
  <pageMargins bottom="0.0" footer="0.0" header="0.0" left="0.0" right="0.7" top="0.0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9.86"/>
    <col customWidth="1" min="3" max="3" width="11.86"/>
    <col customWidth="1" min="4" max="4" width="38.86"/>
    <col customWidth="1" min="5" max="5" width="16.57"/>
    <col customWidth="1" min="6" max="6" width="12.57"/>
    <col customWidth="1" min="7" max="7" width="9.43"/>
    <col customWidth="1" min="8" max="8" width="10.86"/>
    <col customWidth="1" min="9" max="9" width="7.14"/>
    <col customWidth="1" min="10" max="10" width="15.43"/>
    <col customWidth="1" min="11" max="11" width="10.86"/>
    <col customWidth="1" min="12" max="12" width="10.57"/>
    <col customWidth="1" min="13" max="13" width="14.86"/>
    <col customWidth="1" min="14" max="14" width="11.86"/>
    <col customWidth="1" min="15" max="15" width="13.86"/>
    <col customWidth="1" min="16" max="16" width="16.0"/>
    <col customWidth="1" min="17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>
      <c r="A4" s="10" t="s">
        <v>3</v>
      </c>
      <c r="B4" s="11" t="s">
        <v>4</v>
      </c>
      <c r="C4" s="11" t="s">
        <v>5</v>
      </c>
      <c r="D4" s="11" t="s">
        <v>6</v>
      </c>
      <c r="E4" s="12" t="s">
        <v>7</v>
      </c>
      <c r="F4" s="12" t="s">
        <v>8</v>
      </c>
      <c r="G4" s="11" t="s">
        <v>9</v>
      </c>
      <c r="H4" s="11" t="s">
        <v>10</v>
      </c>
      <c r="I4" s="11" t="s">
        <v>11</v>
      </c>
      <c r="J4" s="11" t="s">
        <v>12</v>
      </c>
      <c r="K4" s="12" t="s">
        <v>13</v>
      </c>
      <c r="L4" s="12" t="s">
        <v>14</v>
      </c>
      <c r="M4" s="11" t="s">
        <v>15</v>
      </c>
      <c r="N4" s="11" t="s">
        <v>16</v>
      </c>
      <c r="O4" s="11" t="s">
        <v>17</v>
      </c>
      <c r="P4" s="11" t="s">
        <v>18</v>
      </c>
    </row>
    <row r="5">
      <c r="A5" s="13" t="s">
        <v>103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5"/>
    </row>
    <row r="6">
      <c r="A6" s="16" t="s">
        <v>54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8"/>
    </row>
    <row r="7">
      <c r="A7" s="19" t="s">
        <v>21</v>
      </c>
      <c r="B7" s="20" t="s">
        <v>22</v>
      </c>
      <c r="C7" s="21">
        <v>1.0</v>
      </c>
      <c r="D7" s="48" t="s">
        <v>104</v>
      </c>
      <c r="E7" s="49">
        <v>5.6</v>
      </c>
      <c r="F7" s="56" t="s">
        <v>24</v>
      </c>
      <c r="G7" s="56" t="s">
        <v>24</v>
      </c>
      <c r="H7" s="56" t="s">
        <v>24</v>
      </c>
      <c r="I7" s="56" t="s">
        <v>24</v>
      </c>
      <c r="J7" s="49">
        <v>5.3</v>
      </c>
      <c r="K7" s="56" t="s">
        <v>24</v>
      </c>
      <c r="L7" s="56" t="s">
        <v>24</v>
      </c>
      <c r="M7" s="49">
        <v>3.15</v>
      </c>
      <c r="N7" s="56" t="s">
        <v>24</v>
      </c>
      <c r="O7" s="56" t="s">
        <v>24</v>
      </c>
      <c r="P7" s="49">
        <v>2.76</v>
      </c>
    </row>
    <row r="8">
      <c r="A8" s="25"/>
      <c r="B8" s="26"/>
      <c r="C8" s="27">
        <v>2.0</v>
      </c>
      <c r="D8" s="51" t="s">
        <v>105</v>
      </c>
      <c r="E8" s="53">
        <v>5.8</v>
      </c>
      <c r="F8" s="57" t="s">
        <v>24</v>
      </c>
      <c r="G8" s="57" t="s">
        <v>24</v>
      </c>
      <c r="H8" s="57" t="s">
        <v>24</v>
      </c>
      <c r="I8" s="57" t="s">
        <v>24</v>
      </c>
      <c r="J8" s="53">
        <v>3.57</v>
      </c>
      <c r="K8" s="57" t="s">
        <v>24</v>
      </c>
      <c r="L8" s="57" t="s">
        <v>24</v>
      </c>
      <c r="M8" s="53">
        <v>3.28</v>
      </c>
      <c r="N8" s="57" t="s">
        <v>24</v>
      </c>
      <c r="O8" s="57" t="s">
        <v>24</v>
      </c>
      <c r="P8" s="53">
        <v>2.1</v>
      </c>
    </row>
    <row r="9">
      <c r="A9" s="25"/>
      <c r="B9" s="31"/>
      <c r="C9" s="27">
        <v>3.0</v>
      </c>
      <c r="D9" s="51" t="s">
        <v>106</v>
      </c>
      <c r="E9" s="53">
        <v>5.2</v>
      </c>
      <c r="F9" s="57" t="s">
        <v>24</v>
      </c>
      <c r="G9" s="57" t="s">
        <v>24</v>
      </c>
      <c r="H9" s="57" t="s">
        <v>24</v>
      </c>
      <c r="I9" s="57" t="s">
        <v>24</v>
      </c>
      <c r="J9" s="53">
        <v>5.6</v>
      </c>
      <c r="K9" s="57" t="s">
        <v>24</v>
      </c>
      <c r="L9" s="57" t="s">
        <v>24</v>
      </c>
      <c r="M9" s="53">
        <v>3.11</v>
      </c>
      <c r="N9" s="57" t="s">
        <v>24</v>
      </c>
      <c r="O9" s="57" t="s">
        <v>24</v>
      </c>
      <c r="P9" s="53">
        <v>1.98</v>
      </c>
    </row>
    <row r="10">
      <c r="A10" s="25"/>
      <c r="B10" s="32" t="s">
        <v>29</v>
      </c>
      <c r="C10" s="33">
        <v>1.0</v>
      </c>
      <c r="D10" s="48" t="s">
        <v>104</v>
      </c>
      <c r="E10" s="49">
        <v>15.0</v>
      </c>
      <c r="F10" s="56" t="s">
        <v>24</v>
      </c>
      <c r="G10" s="56" t="s">
        <v>24</v>
      </c>
      <c r="H10" s="56" t="s">
        <v>24</v>
      </c>
      <c r="I10" s="56" t="s">
        <v>24</v>
      </c>
      <c r="J10" s="49">
        <v>25.0</v>
      </c>
      <c r="K10" s="56" t="s">
        <v>24</v>
      </c>
      <c r="L10" s="56" t="s">
        <v>24</v>
      </c>
      <c r="M10" s="49">
        <v>13.0</v>
      </c>
      <c r="N10" s="56" t="s">
        <v>24</v>
      </c>
      <c r="O10" s="56" t="s">
        <v>24</v>
      </c>
      <c r="P10" s="49">
        <v>22.0</v>
      </c>
    </row>
    <row r="11">
      <c r="A11" s="25"/>
      <c r="B11" s="26"/>
      <c r="C11" s="27">
        <v>2.0</v>
      </c>
      <c r="D11" s="51" t="s">
        <v>105</v>
      </c>
      <c r="E11" s="53">
        <v>23.0</v>
      </c>
      <c r="F11" s="57" t="s">
        <v>24</v>
      </c>
      <c r="G11" s="57" t="s">
        <v>24</v>
      </c>
      <c r="H11" s="57" t="s">
        <v>24</v>
      </c>
      <c r="I11" s="57" t="s">
        <v>24</v>
      </c>
      <c r="J11" s="53">
        <v>20.0</v>
      </c>
      <c r="K11" s="57" t="s">
        <v>24</v>
      </c>
      <c r="L11" s="57" t="s">
        <v>24</v>
      </c>
      <c r="M11" s="53">
        <v>12.0</v>
      </c>
      <c r="N11" s="57" t="s">
        <v>24</v>
      </c>
      <c r="O11" s="57" t="s">
        <v>24</v>
      </c>
      <c r="P11" s="53">
        <v>44.0</v>
      </c>
    </row>
    <row r="12">
      <c r="A12" s="25"/>
      <c r="B12" s="31"/>
      <c r="C12" s="27">
        <v>3.0</v>
      </c>
      <c r="D12" s="51" t="s">
        <v>106</v>
      </c>
      <c r="E12" s="53">
        <v>21.0</v>
      </c>
      <c r="F12" s="57" t="s">
        <v>24</v>
      </c>
      <c r="G12" s="57" t="s">
        <v>24</v>
      </c>
      <c r="H12" s="57" t="s">
        <v>24</v>
      </c>
      <c r="I12" s="57" t="s">
        <v>24</v>
      </c>
      <c r="J12" s="53">
        <v>22.0</v>
      </c>
      <c r="K12" s="57" t="s">
        <v>24</v>
      </c>
      <c r="L12" s="57" t="s">
        <v>24</v>
      </c>
      <c r="M12" s="53">
        <v>17.0</v>
      </c>
      <c r="N12" s="57" t="s">
        <v>24</v>
      </c>
      <c r="O12" s="57" t="s">
        <v>24</v>
      </c>
      <c r="P12" s="53">
        <v>26.0</v>
      </c>
    </row>
    <row r="13">
      <c r="A13" s="25"/>
      <c r="B13" s="32" t="s">
        <v>30</v>
      </c>
      <c r="C13" s="33">
        <v>1.0</v>
      </c>
      <c r="D13" s="48" t="s">
        <v>104</v>
      </c>
      <c r="E13" s="49">
        <v>28.0</v>
      </c>
      <c r="F13" s="56" t="s">
        <v>24</v>
      </c>
      <c r="G13" s="56" t="s">
        <v>24</v>
      </c>
      <c r="H13" s="56" t="s">
        <v>24</v>
      </c>
      <c r="I13" s="56" t="s">
        <v>24</v>
      </c>
      <c r="J13" s="49">
        <v>38.0</v>
      </c>
      <c r="K13" s="56" t="s">
        <v>24</v>
      </c>
      <c r="L13" s="56" t="s">
        <v>24</v>
      </c>
      <c r="M13" s="49">
        <v>13.0</v>
      </c>
      <c r="N13" s="56" t="s">
        <v>24</v>
      </c>
      <c r="O13" s="56" t="s">
        <v>24</v>
      </c>
      <c r="P13" s="49">
        <v>9.0</v>
      </c>
    </row>
    <row r="14">
      <c r="A14" s="25"/>
      <c r="B14" s="26"/>
      <c r="C14" s="27">
        <v>2.0</v>
      </c>
      <c r="D14" s="51" t="s">
        <v>105</v>
      </c>
      <c r="E14" s="53">
        <v>22.0</v>
      </c>
      <c r="F14" s="57" t="s">
        <v>24</v>
      </c>
      <c r="G14" s="57" t="s">
        <v>24</v>
      </c>
      <c r="H14" s="57" t="s">
        <v>24</v>
      </c>
      <c r="I14" s="57" t="s">
        <v>24</v>
      </c>
      <c r="J14" s="53">
        <v>29.0</v>
      </c>
      <c r="K14" s="57" t="s">
        <v>24</v>
      </c>
      <c r="L14" s="57" t="s">
        <v>24</v>
      </c>
      <c r="M14" s="53">
        <v>14.0</v>
      </c>
      <c r="N14" s="57" t="s">
        <v>24</v>
      </c>
      <c r="O14" s="57" t="s">
        <v>24</v>
      </c>
      <c r="P14" s="53">
        <v>14.0</v>
      </c>
    </row>
    <row r="15">
      <c r="A15" s="25"/>
      <c r="B15" s="31"/>
      <c r="C15" s="27">
        <v>3.0</v>
      </c>
      <c r="D15" s="51" t="s">
        <v>106</v>
      </c>
      <c r="E15" s="53">
        <v>37.0</v>
      </c>
      <c r="F15" s="57" t="s">
        <v>24</v>
      </c>
      <c r="G15" s="57" t="s">
        <v>24</v>
      </c>
      <c r="H15" s="57" t="s">
        <v>24</v>
      </c>
      <c r="I15" s="57" t="s">
        <v>24</v>
      </c>
      <c r="J15" s="53">
        <v>48.0</v>
      </c>
      <c r="K15" s="57" t="s">
        <v>24</v>
      </c>
      <c r="L15" s="57" t="s">
        <v>24</v>
      </c>
      <c r="M15" s="53">
        <v>11.0</v>
      </c>
      <c r="N15" s="57" t="s">
        <v>24</v>
      </c>
      <c r="O15" s="57" t="s">
        <v>24</v>
      </c>
      <c r="P15" s="53">
        <v>11.0</v>
      </c>
    </row>
    <row r="16">
      <c r="A16" s="25"/>
      <c r="B16" s="32" t="s">
        <v>31</v>
      </c>
      <c r="C16" s="33">
        <v>1.0</v>
      </c>
      <c r="D16" s="48" t="s">
        <v>104</v>
      </c>
      <c r="E16" s="49">
        <v>7.45</v>
      </c>
      <c r="F16" s="56" t="s">
        <v>24</v>
      </c>
      <c r="G16" s="56" t="s">
        <v>24</v>
      </c>
      <c r="H16" s="56" t="s">
        <v>24</v>
      </c>
      <c r="I16" s="56" t="s">
        <v>24</v>
      </c>
      <c r="J16" s="49">
        <v>7.39</v>
      </c>
      <c r="K16" s="56" t="s">
        <v>24</v>
      </c>
      <c r="L16" s="56" t="s">
        <v>24</v>
      </c>
      <c r="M16" s="49">
        <v>8.43</v>
      </c>
      <c r="N16" s="56" t="s">
        <v>24</v>
      </c>
      <c r="O16" s="56" t="s">
        <v>24</v>
      </c>
      <c r="P16" s="49">
        <v>8.12</v>
      </c>
    </row>
    <row r="17">
      <c r="A17" s="25"/>
      <c r="B17" s="26"/>
      <c r="C17" s="27">
        <v>2.0</v>
      </c>
      <c r="D17" s="51" t="s">
        <v>105</v>
      </c>
      <c r="E17" s="53">
        <v>7.35</v>
      </c>
      <c r="F17" s="57" t="s">
        <v>24</v>
      </c>
      <c r="G17" s="57" t="s">
        <v>24</v>
      </c>
      <c r="H17" s="57" t="s">
        <v>24</v>
      </c>
      <c r="I17" s="57" t="s">
        <v>24</v>
      </c>
      <c r="J17" s="53">
        <v>7.34</v>
      </c>
      <c r="K17" s="57" t="s">
        <v>24</v>
      </c>
      <c r="L17" s="57" t="s">
        <v>24</v>
      </c>
      <c r="M17" s="53">
        <v>7.8</v>
      </c>
      <c r="N17" s="57" t="s">
        <v>24</v>
      </c>
      <c r="O17" s="57" t="s">
        <v>24</v>
      </c>
      <c r="P17" s="53">
        <v>8.4</v>
      </c>
    </row>
    <row r="18">
      <c r="A18" s="25"/>
      <c r="B18" s="31"/>
      <c r="C18" s="27">
        <v>3.0</v>
      </c>
      <c r="D18" s="51" t="s">
        <v>106</v>
      </c>
      <c r="E18" s="53">
        <v>7.38</v>
      </c>
      <c r="F18" s="57" t="s">
        <v>24</v>
      </c>
      <c r="G18" s="57" t="s">
        <v>24</v>
      </c>
      <c r="H18" s="57" t="s">
        <v>24</v>
      </c>
      <c r="I18" s="57" t="s">
        <v>24</v>
      </c>
      <c r="J18" s="53">
        <v>7.73</v>
      </c>
      <c r="K18" s="57" t="s">
        <v>24</v>
      </c>
      <c r="L18" s="57" t="s">
        <v>24</v>
      </c>
      <c r="M18" s="53">
        <v>7.77</v>
      </c>
      <c r="N18" s="57" t="s">
        <v>24</v>
      </c>
      <c r="O18" s="57" t="s">
        <v>24</v>
      </c>
      <c r="P18" s="53">
        <v>8.3</v>
      </c>
    </row>
    <row r="19">
      <c r="A19" s="25"/>
      <c r="B19" s="32" t="s">
        <v>76</v>
      </c>
      <c r="C19" s="33">
        <v>1.0</v>
      </c>
      <c r="D19" s="48" t="s">
        <v>104</v>
      </c>
      <c r="E19" s="56" t="s">
        <v>24</v>
      </c>
      <c r="F19" s="56" t="s">
        <v>24</v>
      </c>
      <c r="G19" s="56" t="s">
        <v>24</v>
      </c>
      <c r="H19" s="56" t="s">
        <v>24</v>
      </c>
      <c r="I19" s="56" t="s">
        <v>24</v>
      </c>
      <c r="J19" s="56" t="s">
        <v>24</v>
      </c>
      <c r="K19" s="56" t="s">
        <v>24</v>
      </c>
      <c r="L19" s="56" t="s">
        <v>24</v>
      </c>
      <c r="M19" s="56">
        <v>54000.0</v>
      </c>
      <c r="N19" s="56" t="s">
        <v>24</v>
      </c>
      <c r="O19" s="56" t="s">
        <v>24</v>
      </c>
      <c r="P19" s="56">
        <v>1600000.0</v>
      </c>
    </row>
    <row r="20">
      <c r="A20" s="25"/>
      <c r="B20" s="26"/>
      <c r="C20" s="27">
        <v>2.0</v>
      </c>
      <c r="D20" s="51" t="s">
        <v>105</v>
      </c>
      <c r="E20" s="57" t="s">
        <v>24</v>
      </c>
      <c r="F20" s="57" t="s">
        <v>24</v>
      </c>
      <c r="G20" s="57" t="s">
        <v>24</v>
      </c>
      <c r="H20" s="57" t="s">
        <v>24</v>
      </c>
      <c r="I20" s="57" t="s">
        <v>24</v>
      </c>
      <c r="J20" s="57" t="s">
        <v>24</v>
      </c>
      <c r="K20" s="57" t="s">
        <v>24</v>
      </c>
      <c r="L20" s="57" t="s">
        <v>24</v>
      </c>
      <c r="M20" s="57">
        <v>92000.0</v>
      </c>
      <c r="N20" s="57" t="s">
        <v>24</v>
      </c>
      <c r="O20" s="57" t="s">
        <v>24</v>
      </c>
      <c r="P20" s="57">
        <v>540000.0</v>
      </c>
    </row>
    <row r="21" ht="15.75" customHeight="1">
      <c r="A21" s="25"/>
      <c r="B21" s="31"/>
      <c r="C21" s="27">
        <v>3.0</v>
      </c>
      <c r="D21" s="51" t="s">
        <v>106</v>
      </c>
      <c r="E21" s="57" t="s">
        <v>24</v>
      </c>
      <c r="F21" s="57" t="s">
        <v>24</v>
      </c>
      <c r="G21" s="57" t="s">
        <v>24</v>
      </c>
      <c r="H21" s="57" t="s">
        <v>24</v>
      </c>
      <c r="I21" s="57" t="s">
        <v>24</v>
      </c>
      <c r="J21" s="57" t="s">
        <v>24</v>
      </c>
      <c r="K21" s="57" t="s">
        <v>24</v>
      </c>
      <c r="L21" s="57" t="s">
        <v>24</v>
      </c>
      <c r="M21" s="57">
        <v>92000.0</v>
      </c>
      <c r="N21" s="57" t="s">
        <v>24</v>
      </c>
      <c r="O21" s="57" t="s">
        <v>24</v>
      </c>
      <c r="P21" s="57">
        <v>1600000.0</v>
      </c>
    </row>
    <row r="22" ht="15.75" customHeight="1">
      <c r="A22" s="25"/>
      <c r="B22" s="32" t="s">
        <v>107</v>
      </c>
      <c r="C22" s="33">
        <v>1.0</v>
      </c>
      <c r="D22" s="48" t="s">
        <v>104</v>
      </c>
      <c r="E22" s="56" t="s">
        <v>24</v>
      </c>
      <c r="F22" s="56" t="s">
        <v>24</v>
      </c>
      <c r="G22" s="56" t="s">
        <v>24</v>
      </c>
      <c r="H22" s="56" t="s">
        <v>24</v>
      </c>
      <c r="I22" s="56" t="s">
        <v>24</v>
      </c>
      <c r="J22" s="56" t="s">
        <v>24</v>
      </c>
      <c r="K22" s="56" t="s">
        <v>24</v>
      </c>
      <c r="L22" s="56" t="s">
        <v>24</v>
      </c>
      <c r="M22" s="49">
        <v>0.587</v>
      </c>
      <c r="N22" s="56" t="s">
        <v>24</v>
      </c>
      <c r="O22" s="56" t="s">
        <v>24</v>
      </c>
      <c r="P22" s="49">
        <v>3.136</v>
      </c>
    </row>
    <row r="23" ht="15.75" customHeight="1">
      <c r="A23" s="25"/>
      <c r="B23" s="26"/>
      <c r="C23" s="27">
        <v>2.0</v>
      </c>
      <c r="D23" s="51" t="s">
        <v>105</v>
      </c>
      <c r="E23" s="57" t="s">
        <v>24</v>
      </c>
      <c r="F23" s="57" t="s">
        <v>24</v>
      </c>
      <c r="G23" s="57" t="s">
        <v>24</v>
      </c>
      <c r="H23" s="57" t="s">
        <v>24</v>
      </c>
      <c r="I23" s="57" t="s">
        <v>24</v>
      </c>
      <c r="J23" s="57" t="s">
        <v>24</v>
      </c>
      <c r="K23" s="57" t="s">
        <v>24</v>
      </c>
      <c r="L23" s="57" t="s">
        <v>24</v>
      </c>
      <c r="M23" s="53">
        <v>0.538</v>
      </c>
      <c r="N23" s="57" t="s">
        <v>24</v>
      </c>
      <c r="O23" s="57" t="s">
        <v>24</v>
      </c>
      <c r="P23" s="53">
        <v>2.706</v>
      </c>
    </row>
    <row r="24" ht="15.75" customHeight="1">
      <c r="A24" s="25"/>
      <c r="B24" s="31"/>
      <c r="C24" s="27">
        <v>3.0</v>
      </c>
      <c r="D24" s="51" t="s">
        <v>106</v>
      </c>
      <c r="E24" s="57" t="s">
        <v>24</v>
      </c>
      <c r="F24" s="57" t="s">
        <v>24</v>
      </c>
      <c r="G24" s="57" t="s">
        <v>24</v>
      </c>
      <c r="H24" s="57" t="s">
        <v>24</v>
      </c>
      <c r="I24" s="57" t="s">
        <v>24</v>
      </c>
      <c r="J24" s="57" t="s">
        <v>24</v>
      </c>
      <c r="K24" s="57" t="s">
        <v>24</v>
      </c>
      <c r="L24" s="57" t="s">
        <v>24</v>
      </c>
      <c r="M24" s="53">
        <v>1.103</v>
      </c>
      <c r="N24" s="57" t="s">
        <v>24</v>
      </c>
      <c r="O24" s="57" t="s">
        <v>24</v>
      </c>
      <c r="P24" s="53">
        <v>2.885</v>
      </c>
    </row>
    <row r="25" ht="15.75" customHeight="1">
      <c r="A25" s="25"/>
      <c r="B25" s="32" t="s">
        <v>108</v>
      </c>
      <c r="C25" s="33">
        <v>1.0</v>
      </c>
      <c r="D25" s="48" t="s">
        <v>104</v>
      </c>
      <c r="E25" s="49">
        <v>0.156</v>
      </c>
      <c r="F25" s="56" t="s">
        <v>24</v>
      </c>
      <c r="G25" s="56" t="s">
        <v>24</v>
      </c>
      <c r="H25" s="56" t="s">
        <v>24</v>
      </c>
      <c r="I25" s="56" t="s">
        <v>24</v>
      </c>
      <c r="J25" s="49" t="s">
        <v>38</v>
      </c>
      <c r="K25" s="56" t="s">
        <v>24</v>
      </c>
      <c r="L25" s="56" t="s">
        <v>24</v>
      </c>
      <c r="M25" s="49">
        <v>0.552</v>
      </c>
      <c r="N25" s="56" t="s">
        <v>24</v>
      </c>
      <c r="O25" s="56" t="s">
        <v>24</v>
      </c>
      <c r="P25" s="49" t="s">
        <v>38</v>
      </c>
    </row>
    <row r="26" ht="15.75" customHeight="1">
      <c r="A26" s="25"/>
      <c r="B26" s="26"/>
      <c r="C26" s="27">
        <v>2.0</v>
      </c>
      <c r="D26" s="51" t="s">
        <v>105</v>
      </c>
      <c r="E26" s="53">
        <v>0.15</v>
      </c>
      <c r="F26" s="57" t="s">
        <v>24</v>
      </c>
      <c r="G26" s="57" t="s">
        <v>24</v>
      </c>
      <c r="H26" s="57" t="s">
        <v>24</v>
      </c>
      <c r="I26" s="57" t="s">
        <v>24</v>
      </c>
      <c r="J26" s="53" t="s">
        <v>38</v>
      </c>
      <c r="K26" s="57" t="s">
        <v>24</v>
      </c>
      <c r="L26" s="57" t="s">
        <v>24</v>
      </c>
      <c r="M26" s="53">
        <v>0.055</v>
      </c>
      <c r="N26" s="57" t="s">
        <v>24</v>
      </c>
      <c r="O26" s="57" t="s">
        <v>24</v>
      </c>
      <c r="P26" s="53" t="s">
        <v>38</v>
      </c>
    </row>
    <row r="27" ht="15.75" customHeight="1">
      <c r="A27" s="25"/>
      <c r="B27" s="31"/>
      <c r="C27" s="27">
        <v>3.0</v>
      </c>
      <c r="D27" s="51" t="s">
        <v>106</v>
      </c>
      <c r="E27" s="53" t="s">
        <v>38</v>
      </c>
      <c r="F27" s="57" t="s">
        <v>24</v>
      </c>
      <c r="G27" s="57" t="s">
        <v>24</v>
      </c>
      <c r="H27" s="57" t="s">
        <v>24</v>
      </c>
      <c r="I27" s="57" t="s">
        <v>24</v>
      </c>
      <c r="J27" s="53" t="s">
        <v>38</v>
      </c>
      <c r="K27" s="57" t="s">
        <v>24</v>
      </c>
      <c r="L27" s="57" t="s">
        <v>24</v>
      </c>
      <c r="M27" s="53">
        <v>0.087</v>
      </c>
      <c r="N27" s="57" t="s">
        <v>24</v>
      </c>
      <c r="O27" s="57" t="s">
        <v>24</v>
      </c>
      <c r="P27" s="53">
        <v>0.238</v>
      </c>
    </row>
    <row r="28" ht="15.75" customHeight="1">
      <c r="A28" s="25"/>
      <c r="B28" s="32" t="s">
        <v>109</v>
      </c>
      <c r="C28" s="33">
        <v>1.0</v>
      </c>
      <c r="D28" s="48" t="s">
        <v>104</v>
      </c>
      <c r="E28" s="49">
        <v>1.646</v>
      </c>
      <c r="F28" s="56" t="s">
        <v>24</v>
      </c>
      <c r="G28" s="56" t="s">
        <v>24</v>
      </c>
      <c r="H28" s="56" t="s">
        <v>24</v>
      </c>
      <c r="I28" s="56" t="s">
        <v>24</v>
      </c>
      <c r="J28" s="49">
        <v>2564.0</v>
      </c>
      <c r="K28" s="56" t="s">
        <v>24</v>
      </c>
      <c r="L28" s="56" t="s">
        <v>24</v>
      </c>
      <c r="M28" s="49">
        <v>0.716</v>
      </c>
      <c r="N28" s="56" t="s">
        <v>24</v>
      </c>
      <c r="O28" s="56" t="s">
        <v>24</v>
      </c>
      <c r="P28" s="49">
        <v>1.285</v>
      </c>
    </row>
    <row r="29" ht="15.75" customHeight="1">
      <c r="A29" s="25"/>
      <c r="B29" s="26"/>
      <c r="C29" s="27">
        <v>2.0</v>
      </c>
      <c r="D29" s="51" t="s">
        <v>105</v>
      </c>
      <c r="E29" s="53">
        <v>1.625</v>
      </c>
      <c r="F29" s="57" t="s">
        <v>24</v>
      </c>
      <c r="G29" s="57" t="s">
        <v>24</v>
      </c>
      <c r="H29" s="57" t="s">
        <v>24</v>
      </c>
      <c r="I29" s="57" t="s">
        <v>24</v>
      </c>
      <c r="J29" s="53">
        <v>1495.0</v>
      </c>
      <c r="K29" s="57" t="s">
        <v>24</v>
      </c>
      <c r="L29" s="57" t="s">
        <v>24</v>
      </c>
      <c r="M29" s="53">
        <v>0.685</v>
      </c>
      <c r="N29" s="57" t="s">
        <v>24</v>
      </c>
      <c r="O29" s="57" t="s">
        <v>24</v>
      </c>
      <c r="P29" s="53">
        <v>1.355</v>
      </c>
    </row>
    <row r="30" ht="15.75" customHeight="1">
      <c r="A30" s="25"/>
      <c r="B30" s="31"/>
      <c r="C30" s="27">
        <v>3.0</v>
      </c>
      <c r="D30" s="51" t="s">
        <v>106</v>
      </c>
      <c r="E30" s="53">
        <v>1.585</v>
      </c>
      <c r="F30" s="57" t="s">
        <v>24</v>
      </c>
      <c r="G30" s="57" t="s">
        <v>24</v>
      </c>
      <c r="H30" s="57" t="s">
        <v>24</v>
      </c>
      <c r="I30" s="57" t="s">
        <v>24</v>
      </c>
      <c r="J30" s="53">
        <v>1031.0</v>
      </c>
      <c r="K30" s="57" t="s">
        <v>24</v>
      </c>
      <c r="L30" s="57" t="s">
        <v>24</v>
      </c>
      <c r="M30" s="53">
        <v>0.833</v>
      </c>
      <c r="N30" s="57" t="s">
        <v>24</v>
      </c>
      <c r="O30" s="57" t="s">
        <v>24</v>
      </c>
      <c r="P30" s="53">
        <v>1.321</v>
      </c>
    </row>
    <row r="31" ht="15.75" customHeight="1">
      <c r="A31" s="25"/>
      <c r="B31" s="32" t="s">
        <v>80</v>
      </c>
      <c r="C31" s="33">
        <v>1.0</v>
      </c>
      <c r="D31" s="48" t="s">
        <v>104</v>
      </c>
      <c r="E31" s="49">
        <v>26.7</v>
      </c>
      <c r="F31" s="56" t="s">
        <v>24</v>
      </c>
      <c r="G31" s="56" t="s">
        <v>24</v>
      </c>
      <c r="H31" s="56" t="s">
        <v>24</v>
      </c>
      <c r="I31" s="56" t="s">
        <v>24</v>
      </c>
      <c r="J31" s="50">
        <v>31.9</v>
      </c>
      <c r="K31" s="56" t="s">
        <v>24</v>
      </c>
      <c r="L31" s="56" t="s">
        <v>24</v>
      </c>
      <c r="M31" s="56" t="s">
        <v>24</v>
      </c>
      <c r="N31" s="56" t="s">
        <v>24</v>
      </c>
      <c r="O31" s="56" t="s">
        <v>24</v>
      </c>
      <c r="P31" s="56" t="s">
        <v>24</v>
      </c>
    </row>
    <row r="32" ht="15.75" customHeight="1">
      <c r="A32" s="25"/>
      <c r="B32" s="26"/>
      <c r="C32" s="27">
        <v>2.0</v>
      </c>
      <c r="D32" s="51" t="s">
        <v>105</v>
      </c>
      <c r="E32" s="53">
        <v>28.7</v>
      </c>
      <c r="F32" s="57" t="s">
        <v>24</v>
      </c>
      <c r="G32" s="57" t="s">
        <v>24</v>
      </c>
      <c r="H32" s="57" t="s">
        <v>24</v>
      </c>
      <c r="I32" s="57" t="s">
        <v>24</v>
      </c>
      <c r="J32" s="54">
        <v>33.2</v>
      </c>
      <c r="K32" s="57" t="s">
        <v>24</v>
      </c>
      <c r="L32" s="57" t="s">
        <v>24</v>
      </c>
      <c r="M32" s="57" t="s">
        <v>24</v>
      </c>
      <c r="N32" s="57" t="s">
        <v>24</v>
      </c>
      <c r="O32" s="57" t="s">
        <v>24</v>
      </c>
      <c r="P32" s="57" t="s">
        <v>24</v>
      </c>
    </row>
    <row r="33" ht="15.75" customHeight="1">
      <c r="A33" s="25"/>
      <c r="B33" s="31"/>
      <c r="C33" s="27">
        <v>3.0</v>
      </c>
      <c r="D33" s="51" t="s">
        <v>106</v>
      </c>
      <c r="E33" s="53">
        <v>28.2</v>
      </c>
      <c r="F33" s="57" t="s">
        <v>24</v>
      </c>
      <c r="G33" s="57" t="s">
        <v>24</v>
      </c>
      <c r="H33" s="57" t="s">
        <v>24</v>
      </c>
      <c r="I33" s="57" t="s">
        <v>24</v>
      </c>
      <c r="J33" s="54">
        <v>33.95</v>
      </c>
      <c r="K33" s="57" t="s">
        <v>24</v>
      </c>
      <c r="L33" s="57" t="s">
        <v>24</v>
      </c>
      <c r="M33" s="57" t="s">
        <v>24</v>
      </c>
      <c r="N33" s="57" t="s">
        <v>24</v>
      </c>
      <c r="O33" s="57" t="s">
        <v>24</v>
      </c>
      <c r="P33" s="57" t="s">
        <v>24</v>
      </c>
    </row>
    <row r="34" ht="15.75" customHeight="1">
      <c r="A34" s="25"/>
      <c r="B34" s="32" t="s">
        <v>81</v>
      </c>
      <c r="C34" s="33">
        <v>1.0</v>
      </c>
      <c r="D34" s="48" t="s">
        <v>104</v>
      </c>
      <c r="E34" s="49">
        <v>75.0</v>
      </c>
      <c r="F34" s="56" t="s">
        <v>24</v>
      </c>
      <c r="G34" s="56" t="s">
        <v>24</v>
      </c>
      <c r="H34" s="56" t="s">
        <v>24</v>
      </c>
      <c r="I34" s="56" t="s">
        <v>24</v>
      </c>
      <c r="J34" s="49">
        <v>500.0</v>
      </c>
      <c r="K34" s="56" t="s">
        <v>24</v>
      </c>
      <c r="L34" s="56" t="s">
        <v>24</v>
      </c>
      <c r="M34" s="56" t="s">
        <v>24</v>
      </c>
      <c r="N34" s="56" t="s">
        <v>24</v>
      </c>
      <c r="O34" s="56" t="s">
        <v>24</v>
      </c>
      <c r="P34" s="56" t="s">
        <v>24</v>
      </c>
    </row>
    <row r="35" ht="15.75" customHeight="1">
      <c r="A35" s="25"/>
      <c r="B35" s="26"/>
      <c r="C35" s="27">
        <v>2.0</v>
      </c>
      <c r="D35" s="51" t="s">
        <v>105</v>
      </c>
      <c r="E35" s="53">
        <v>75.0</v>
      </c>
      <c r="F35" s="57" t="s">
        <v>24</v>
      </c>
      <c r="G35" s="57" t="s">
        <v>24</v>
      </c>
      <c r="H35" s="57" t="s">
        <v>24</v>
      </c>
      <c r="I35" s="57" t="s">
        <v>24</v>
      </c>
      <c r="J35" s="53">
        <v>250.0</v>
      </c>
      <c r="K35" s="57" t="s">
        <v>24</v>
      </c>
      <c r="L35" s="57" t="s">
        <v>24</v>
      </c>
      <c r="M35" s="57" t="s">
        <v>24</v>
      </c>
      <c r="N35" s="57" t="s">
        <v>24</v>
      </c>
      <c r="O35" s="57" t="s">
        <v>24</v>
      </c>
      <c r="P35" s="57" t="s">
        <v>24</v>
      </c>
    </row>
    <row r="36" ht="15.75" customHeight="1">
      <c r="A36" s="25"/>
      <c r="B36" s="31"/>
      <c r="C36" s="27">
        <v>3.0</v>
      </c>
      <c r="D36" s="51" t="s">
        <v>106</v>
      </c>
      <c r="E36" s="53">
        <v>50.0</v>
      </c>
      <c r="F36" s="57" t="s">
        <v>24</v>
      </c>
      <c r="G36" s="57" t="s">
        <v>24</v>
      </c>
      <c r="H36" s="57" t="s">
        <v>24</v>
      </c>
      <c r="I36" s="57" t="s">
        <v>24</v>
      </c>
      <c r="J36" s="53">
        <v>250.0</v>
      </c>
      <c r="K36" s="57" t="s">
        <v>24</v>
      </c>
      <c r="L36" s="57" t="s">
        <v>24</v>
      </c>
      <c r="M36" s="57" t="s">
        <v>24</v>
      </c>
      <c r="N36" s="57" t="s">
        <v>24</v>
      </c>
      <c r="O36" s="57" t="s">
        <v>24</v>
      </c>
      <c r="P36" s="57" t="s">
        <v>24</v>
      </c>
    </row>
    <row r="37" ht="15.75" customHeight="1">
      <c r="A37" s="25"/>
      <c r="B37" s="32" t="s">
        <v>93</v>
      </c>
      <c r="C37" s="33">
        <v>1.0</v>
      </c>
      <c r="D37" s="48" t="s">
        <v>104</v>
      </c>
      <c r="E37" s="56">
        <v>2400000.0</v>
      </c>
      <c r="F37" s="56" t="s">
        <v>24</v>
      </c>
      <c r="G37" s="56" t="s">
        <v>24</v>
      </c>
      <c r="H37" s="56" t="s">
        <v>24</v>
      </c>
      <c r="I37" s="56" t="s">
        <v>24</v>
      </c>
      <c r="J37" s="56">
        <v>790000.0</v>
      </c>
      <c r="K37" s="56" t="s">
        <v>24</v>
      </c>
      <c r="L37" s="56" t="s">
        <v>24</v>
      </c>
      <c r="M37" s="56" t="s">
        <v>24</v>
      </c>
      <c r="N37" s="56" t="s">
        <v>24</v>
      </c>
      <c r="O37" s="56" t="s">
        <v>24</v>
      </c>
      <c r="P37" s="56" t="s">
        <v>24</v>
      </c>
    </row>
    <row r="38" ht="15.75" customHeight="1">
      <c r="A38" s="25"/>
      <c r="B38" s="26"/>
      <c r="C38" s="27">
        <v>2.0</v>
      </c>
      <c r="D38" s="51" t="s">
        <v>105</v>
      </c>
      <c r="E38" s="57">
        <v>2400000.0</v>
      </c>
      <c r="F38" s="57" t="s">
        <v>24</v>
      </c>
      <c r="G38" s="57" t="s">
        <v>24</v>
      </c>
      <c r="H38" s="57" t="s">
        <v>24</v>
      </c>
      <c r="I38" s="57" t="s">
        <v>24</v>
      </c>
      <c r="J38" s="57">
        <v>330000.0</v>
      </c>
      <c r="K38" s="57" t="s">
        <v>24</v>
      </c>
      <c r="L38" s="57" t="s">
        <v>24</v>
      </c>
      <c r="M38" s="57" t="s">
        <v>24</v>
      </c>
      <c r="N38" s="57" t="s">
        <v>24</v>
      </c>
      <c r="O38" s="57" t="s">
        <v>24</v>
      </c>
      <c r="P38" s="57" t="s">
        <v>24</v>
      </c>
    </row>
    <row r="39" ht="15.75" customHeight="1">
      <c r="A39" s="25"/>
      <c r="B39" s="31"/>
      <c r="C39" s="27">
        <v>3.0</v>
      </c>
      <c r="D39" s="51" t="s">
        <v>106</v>
      </c>
      <c r="E39" s="57">
        <v>3500000.0</v>
      </c>
      <c r="F39" s="57" t="s">
        <v>24</v>
      </c>
      <c r="G39" s="57" t="s">
        <v>24</v>
      </c>
      <c r="H39" s="57" t="s">
        <v>24</v>
      </c>
      <c r="I39" s="57" t="s">
        <v>24</v>
      </c>
      <c r="J39" s="57">
        <v>330000.0</v>
      </c>
      <c r="K39" s="57" t="s">
        <v>24</v>
      </c>
      <c r="L39" s="57" t="s">
        <v>24</v>
      </c>
      <c r="M39" s="57" t="s">
        <v>24</v>
      </c>
      <c r="N39" s="57" t="s">
        <v>24</v>
      </c>
      <c r="O39" s="57" t="s">
        <v>24</v>
      </c>
      <c r="P39" s="57" t="s">
        <v>24</v>
      </c>
    </row>
    <row r="40" ht="15.75" customHeight="1">
      <c r="A40" s="25"/>
      <c r="B40" s="32" t="s">
        <v>82</v>
      </c>
      <c r="C40" s="33">
        <v>1.0</v>
      </c>
      <c r="D40" s="48" t="s">
        <v>104</v>
      </c>
      <c r="E40" s="81">
        <v>192.0</v>
      </c>
      <c r="F40" s="56" t="s">
        <v>24</v>
      </c>
      <c r="G40" s="56" t="s">
        <v>24</v>
      </c>
      <c r="H40" s="56" t="s">
        <v>24</v>
      </c>
      <c r="I40" s="56" t="s">
        <v>24</v>
      </c>
      <c r="J40" s="81">
        <v>3612.0</v>
      </c>
      <c r="K40" s="56" t="s">
        <v>24</v>
      </c>
      <c r="L40" s="56" t="s">
        <v>24</v>
      </c>
      <c r="M40" s="56" t="s">
        <v>24</v>
      </c>
      <c r="N40" s="56" t="s">
        <v>24</v>
      </c>
      <c r="O40" s="56" t="s">
        <v>24</v>
      </c>
      <c r="P40" s="56" t="s">
        <v>24</v>
      </c>
    </row>
    <row r="41" ht="15.75" customHeight="1">
      <c r="A41" s="25"/>
      <c r="B41" s="26"/>
      <c r="C41" s="27">
        <v>2.0</v>
      </c>
      <c r="D41" s="51" t="s">
        <v>105</v>
      </c>
      <c r="E41" s="82">
        <v>447.0</v>
      </c>
      <c r="F41" s="57" t="s">
        <v>24</v>
      </c>
      <c r="G41" s="57" t="s">
        <v>24</v>
      </c>
      <c r="H41" s="57" t="s">
        <v>24</v>
      </c>
      <c r="I41" s="57" t="s">
        <v>24</v>
      </c>
      <c r="J41" s="82">
        <v>5125.0</v>
      </c>
      <c r="K41" s="57" t="s">
        <v>24</v>
      </c>
      <c r="L41" s="57" t="s">
        <v>24</v>
      </c>
      <c r="M41" s="57" t="s">
        <v>24</v>
      </c>
      <c r="N41" s="57" t="s">
        <v>24</v>
      </c>
      <c r="O41" s="57" t="s">
        <v>24</v>
      </c>
      <c r="P41" s="57" t="s">
        <v>24</v>
      </c>
    </row>
    <row r="42" ht="15.75" customHeight="1">
      <c r="A42" s="25"/>
      <c r="B42" s="31"/>
      <c r="C42" s="27">
        <v>3.0</v>
      </c>
      <c r="D42" s="51" t="s">
        <v>106</v>
      </c>
      <c r="E42" s="82">
        <v>175.0</v>
      </c>
      <c r="F42" s="57" t="s">
        <v>24</v>
      </c>
      <c r="G42" s="57" t="s">
        <v>24</v>
      </c>
      <c r="H42" s="57" t="s">
        <v>24</v>
      </c>
      <c r="I42" s="57" t="s">
        <v>24</v>
      </c>
      <c r="J42" s="82">
        <v>5906.0</v>
      </c>
      <c r="K42" s="57" t="s">
        <v>24</v>
      </c>
      <c r="L42" s="57" t="s">
        <v>24</v>
      </c>
      <c r="M42" s="57" t="s">
        <v>24</v>
      </c>
      <c r="N42" s="57" t="s">
        <v>24</v>
      </c>
      <c r="O42" s="57" t="s">
        <v>24</v>
      </c>
      <c r="P42" s="57" t="s">
        <v>24</v>
      </c>
    </row>
    <row r="43" ht="15.75" customHeight="1"/>
    <row r="44" ht="15.75" customHeight="1">
      <c r="A44" s="62" t="s">
        <v>110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P1"/>
    <mergeCell ref="A2:P2"/>
    <mergeCell ref="A3:P3"/>
    <mergeCell ref="A5:P5"/>
    <mergeCell ref="A6:P6"/>
    <mergeCell ref="B7:B9"/>
    <mergeCell ref="B10:B12"/>
    <mergeCell ref="B34:B36"/>
    <mergeCell ref="B37:B39"/>
    <mergeCell ref="B40:B42"/>
    <mergeCell ref="B13:B15"/>
    <mergeCell ref="B16:B18"/>
    <mergeCell ref="B19:B21"/>
    <mergeCell ref="B22:B24"/>
    <mergeCell ref="B25:B27"/>
    <mergeCell ref="B28:B30"/>
    <mergeCell ref="B31:B33"/>
  </mergeCells>
  <printOptions horizontalCentered="1" verticalCentered="1"/>
  <pageMargins bottom="0.0" footer="0.0" header="0.0" left="0.0" right="0.0" top="0.0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4.71"/>
    <col customWidth="1" min="3" max="3" width="8.43"/>
    <col customWidth="1" min="4" max="4" width="29.0"/>
    <col customWidth="1" min="5" max="5" width="12.43"/>
    <col customWidth="1" min="6" max="6" width="9.43"/>
    <col customWidth="1" min="7" max="7" width="7.14"/>
    <col customWidth="1" min="8" max="8" width="5.71"/>
    <col customWidth="1" min="9" max="9" width="11.43"/>
    <col customWidth="1" min="10" max="10" width="5.57"/>
    <col customWidth="1" min="11" max="11" width="5.0"/>
    <col customWidth="1" min="12" max="12" width="7.71"/>
    <col customWidth="1" min="13" max="13" width="11.14"/>
    <col customWidth="1" min="14" max="14" width="8.71"/>
    <col customWidth="1" min="15" max="15" width="10.86"/>
    <col customWidth="1" min="16" max="16" width="10.71"/>
    <col customWidth="1" min="17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>
      <c r="A4" s="10" t="s">
        <v>3</v>
      </c>
      <c r="B4" s="11" t="s">
        <v>4</v>
      </c>
      <c r="C4" s="11" t="s">
        <v>5</v>
      </c>
      <c r="D4" s="11" t="s">
        <v>6</v>
      </c>
      <c r="E4" s="12" t="s">
        <v>7</v>
      </c>
      <c r="F4" s="12" t="s">
        <v>8</v>
      </c>
      <c r="G4" s="11" t="s">
        <v>9</v>
      </c>
      <c r="H4" s="11" t="s">
        <v>10</v>
      </c>
      <c r="I4" s="11" t="s">
        <v>11</v>
      </c>
      <c r="J4" s="11" t="s">
        <v>12</v>
      </c>
      <c r="K4" s="12" t="s">
        <v>13</v>
      </c>
      <c r="L4" s="12" t="s">
        <v>14</v>
      </c>
      <c r="M4" s="11" t="s">
        <v>15</v>
      </c>
      <c r="N4" s="11" t="s">
        <v>16</v>
      </c>
      <c r="O4" s="11" t="s">
        <v>17</v>
      </c>
      <c r="P4" s="11" t="s">
        <v>18</v>
      </c>
    </row>
    <row r="5">
      <c r="A5" s="13" t="s">
        <v>111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5"/>
    </row>
    <row r="6">
      <c r="A6" s="16" t="s">
        <v>54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8"/>
    </row>
    <row r="7">
      <c r="A7" s="19" t="s">
        <v>21</v>
      </c>
      <c r="B7" s="20" t="s">
        <v>22</v>
      </c>
      <c r="C7" s="21">
        <v>1.0</v>
      </c>
      <c r="D7" s="48" t="s">
        <v>112</v>
      </c>
      <c r="E7" s="23">
        <v>5.8</v>
      </c>
      <c r="F7" s="23" t="s">
        <v>24</v>
      </c>
      <c r="G7" s="23" t="s">
        <v>24</v>
      </c>
      <c r="H7" s="23" t="s">
        <v>24</v>
      </c>
      <c r="I7" s="24">
        <v>5.0</v>
      </c>
      <c r="J7" s="23" t="s">
        <v>24</v>
      </c>
      <c r="K7" s="23" t="s">
        <v>24</v>
      </c>
      <c r="L7" s="23" t="s">
        <v>24</v>
      </c>
      <c r="M7" s="23">
        <v>4.43</v>
      </c>
      <c r="N7" s="23">
        <v>5.25</v>
      </c>
      <c r="O7" s="23" t="s">
        <v>24</v>
      </c>
      <c r="P7" s="23" t="s">
        <v>24</v>
      </c>
    </row>
    <row r="8">
      <c r="A8" s="25"/>
      <c r="B8" s="26"/>
      <c r="C8" s="27">
        <v>2.0</v>
      </c>
      <c r="D8" s="51" t="s">
        <v>113</v>
      </c>
      <c r="E8" s="29">
        <v>5.2</v>
      </c>
      <c r="F8" s="29" t="s">
        <v>24</v>
      </c>
      <c r="G8" s="29" t="s">
        <v>24</v>
      </c>
      <c r="H8" s="29" t="s">
        <v>24</v>
      </c>
      <c r="I8" s="29">
        <v>5.73</v>
      </c>
      <c r="J8" s="29" t="s">
        <v>24</v>
      </c>
      <c r="K8" s="29" t="s">
        <v>24</v>
      </c>
      <c r="L8" s="29" t="s">
        <v>24</v>
      </c>
      <c r="M8" s="29">
        <v>3.93</v>
      </c>
      <c r="N8" s="29">
        <v>4.49</v>
      </c>
      <c r="O8" s="29" t="s">
        <v>24</v>
      </c>
      <c r="P8" s="29" t="s">
        <v>24</v>
      </c>
    </row>
    <row r="9">
      <c r="A9" s="25"/>
      <c r="B9" s="31"/>
      <c r="C9" s="27">
        <v>3.0</v>
      </c>
      <c r="D9" s="83" t="s">
        <v>114</v>
      </c>
      <c r="E9" s="29">
        <v>3.8</v>
      </c>
      <c r="F9" s="29" t="s">
        <v>24</v>
      </c>
      <c r="G9" s="29" t="s">
        <v>24</v>
      </c>
      <c r="H9" s="29" t="s">
        <v>24</v>
      </c>
      <c r="I9" s="29">
        <v>6.06</v>
      </c>
      <c r="J9" s="29" t="s">
        <v>24</v>
      </c>
      <c r="K9" s="29" t="s">
        <v>24</v>
      </c>
      <c r="L9" s="29" t="s">
        <v>24</v>
      </c>
      <c r="M9" s="29">
        <v>2.66</v>
      </c>
      <c r="N9" s="29">
        <v>4.07</v>
      </c>
      <c r="O9" s="29" t="s">
        <v>24</v>
      </c>
      <c r="P9" s="29" t="s">
        <v>24</v>
      </c>
    </row>
    <row r="10">
      <c r="A10" s="25"/>
      <c r="B10" s="32" t="s">
        <v>29</v>
      </c>
      <c r="C10" s="33">
        <v>1.0</v>
      </c>
      <c r="D10" s="48" t="s">
        <v>112</v>
      </c>
      <c r="E10" s="23" t="s">
        <v>115</v>
      </c>
      <c r="F10" s="23" t="s">
        <v>24</v>
      </c>
      <c r="G10" s="23" t="s">
        <v>24</v>
      </c>
      <c r="H10" s="23" t="s">
        <v>24</v>
      </c>
      <c r="I10" s="35">
        <v>6.0</v>
      </c>
      <c r="J10" s="23" t="s">
        <v>24</v>
      </c>
      <c r="K10" s="23" t="s">
        <v>24</v>
      </c>
      <c r="L10" s="23" t="s">
        <v>24</v>
      </c>
      <c r="M10" s="23">
        <v>5.0</v>
      </c>
      <c r="N10" s="23" t="s">
        <v>116</v>
      </c>
      <c r="O10" s="23" t="s">
        <v>24</v>
      </c>
      <c r="P10" s="23" t="s">
        <v>24</v>
      </c>
    </row>
    <row r="11">
      <c r="A11" s="25"/>
      <c r="B11" s="26"/>
      <c r="C11" s="27">
        <v>2.0</v>
      </c>
      <c r="D11" s="51" t="s">
        <v>113</v>
      </c>
      <c r="E11" s="69">
        <v>4.0</v>
      </c>
      <c r="F11" s="29" t="s">
        <v>24</v>
      </c>
      <c r="G11" s="29" t="s">
        <v>24</v>
      </c>
      <c r="H11" s="29" t="s">
        <v>24</v>
      </c>
      <c r="I11" s="69">
        <v>5.0</v>
      </c>
      <c r="J11" s="29" t="s">
        <v>24</v>
      </c>
      <c r="K11" s="29" t="s">
        <v>24</v>
      </c>
      <c r="L11" s="29" t="s">
        <v>24</v>
      </c>
      <c r="M11" s="29">
        <v>4.0</v>
      </c>
      <c r="N11" s="29">
        <v>3.0</v>
      </c>
      <c r="O11" s="29" t="s">
        <v>24</v>
      </c>
      <c r="P11" s="29" t="s">
        <v>24</v>
      </c>
    </row>
    <row r="12">
      <c r="A12" s="25"/>
      <c r="B12" s="31"/>
      <c r="C12" s="27">
        <v>3.0</v>
      </c>
      <c r="D12" s="83" t="s">
        <v>114</v>
      </c>
      <c r="E12" s="69">
        <v>7.0</v>
      </c>
      <c r="F12" s="29" t="s">
        <v>24</v>
      </c>
      <c r="G12" s="29" t="s">
        <v>24</v>
      </c>
      <c r="H12" s="29" t="s">
        <v>24</v>
      </c>
      <c r="I12" s="69">
        <v>4.0</v>
      </c>
      <c r="J12" s="29" t="s">
        <v>24</v>
      </c>
      <c r="K12" s="29" t="s">
        <v>24</v>
      </c>
      <c r="L12" s="29" t="s">
        <v>24</v>
      </c>
      <c r="M12" s="29">
        <v>8.0</v>
      </c>
      <c r="N12" s="29">
        <v>4.0</v>
      </c>
      <c r="O12" s="29" t="s">
        <v>24</v>
      </c>
      <c r="P12" s="29" t="s">
        <v>24</v>
      </c>
    </row>
    <row r="13">
      <c r="A13" s="25"/>
      <c r="B13" s="32" t="s">
        <v>30</v>
      </c>
      <c r="C13" s="33">
        <v>1.0</v>
      </c>
      <c r="D13" s="48" t="s">
        <v>112</v>
      </c>
      <c r="E13" s="23">
        <v>26.0</v>
      </c>
      <c r="F13" s="23" t="s">
        <v>24</v>
      </c>
      <c r="G13" s="23" t="s">
        <v>24</v>
      </c>
      <c r="H13" s="23" t="s">
        <v>24</v>
      </c>
      <c r="I13" s="23">
        <v>22.0</v>
      </c>
      <c r="J13" s="23" t="s">
        <v>24</v>
      </c>
      <c r="K13" s="23" t="s">
        <v>24</v>
      </c>
      <c r="L13" s="23" t="s">
        <v>24</v>
      </c>
      <c r="M13" s="23">
        <v>10.0</v>
      </c>
      <c r="N13" s="23">
        <v>42.0</v>
      </c>
      <c r="O13" s="23" t="s">
        <v>24</v>
      </c>
      <c r="P13" s="23" t="s">
        <v>24</v>
      </c>
    </row>
    <row r="14">
      <c r="A14" s="25"/>
      <c r="B14" s="26"/>
      <c r="C14" s="27">
        <v>2.0</v>
      </c>
      <c r="D14" s="51" t="s">
        <v>113</v>
      </c>
      <c r="E14" s="29">
        <v>34.0</v>
      </c>
      <c r="F14" s="29" t="s">
        <v>24</v>
      </c>
      <c r="G14" s="29" t="s">
        <v>24</v>
      </c>
      <c r="H14" s="29" t="s">
        <v>24</v>
      </c>
      <c r="I14" s="29">
        <v>32.0</v>
      </c>
      <c r="J14" s="29" t="s">
        <v>24</v>
      </c>
      <c r="K14" s="29" t="s">
        <v>24</v>
      </c>
      <c r="L14" s="29" t="s">
        <v>24</v>
      </c>
      <c r="M14" s="29">
        <v>9.0</v>
      </c>
      <c r="N14" s="29">
        <v>24.0</v>
      </c>
      <c r="O14" s="29" t="s">
        <v>24</v>
      </c>
      <c r="P14" s="29" t="s">
        <v>24</v>
      </c>
    </row>
    <row r="15">
      <c r="A15" s="25"/>
      <c r="B15" s="31"/>
      <c r="C15" s="27">
        <v>3.0</v>
      </c>
      <c r="D15" s="83" t="s">
        <v>114</v>
      </c>
      <c r="E15" s="29">
        <v>15.0</v>
      </c>
      <c r="F15" s="29" t="s">
        <v>24</v>
      </c>
      <c r="G15" s="29" t="s">
        <v>24</v>
      </c>
      <c r="H15" s="29" t="s">
        <v>24</v>
      </c>
      <c r="I15" s="29">
        <v>53.0</v>
      </c>
      <c r="J15" s="29" t="s">
        <v>24</v>
      </c>
      <c r="K15" s="29" t="s">
        <v>24</v>
      </c>
      <c r="L15" s="29" t="s">
        <v>24</v>
      </c>
      <c r="M15" s="29">
        <v>11.0</v>
      </c>
      <c r="N15" s="29">
        <v>17.0</v>
      </c>
      <c r="O15" s="29" t="s">
        <v>24</v>
      </c>
      <c r="P15" s="29" t="s">
        <v>24</v>
      </c>
    </row>
    <row r="16">
      <c r="A16" s="25"/>
      <c r="B16" s="32" t="s">
        <v>31</v>
      </c>
      <c r="C16" s="33">
        <v>1.0</v>
      </c>
      <c r="D16" s="48" t="s">
        <v>112</v>
      </c>
      <c r="E16" s="23">
        <v>7.56</v>
      </c>
      <c r="F16" s="23" t="s">
        <v>24</v>
      </c>
      <c r="G16" s="23" t="s">
        <v>24</v>
      </c>
      <c r="H16" s="23" t="s">
        <v>24</v>
      </c>
      <c r="I16" s="24">
        <v>7.0</v>
      </c>
      <c r="J16" s="23" t="s">
        <v>24</v>
      </c>
      <c r="K16" s="23" t="s">
        <v>24</v>
      </c>
      <c r="L16" s="23" t="s">
        <v>24</v>
      </c>
      <c r="M16" s="23">
        <v>8.73</v>
      </c>
      <c r="N16" s="23">
        <v>7.54</v>
      </c>
      <c r="O16" s="23" t="s">
        <v>24</v>
      </c>
      <c r="P16" s="23" t="s">
        <v>24</v>
      </c>
    </row>
    <row r="17">
      <c r="A17" s="25"/>
      <c r="B17" s="26"/>
      <c r="C17" s="27">
        <v>2.0</v>
      </c>
      <c r="D17" s="51" t="s">
        <v>113</v>
      </c>
      <c r="E17" s="84">
        <v>7.45</v>
      </c>
      <c r="F17" s="29" t="s">
        <v>24</v>
      </c>
      <c r="G17" s="29" t="s">
        <v>24</v>
      </c>
      <c r="H17" s="29" t="s">
        <v>24</v>
      </c>
      <c r="I17" s="84">
        <v>7.07</v>
      </c>
      <c r="J17" s="29" t="s">
        <v>24</v>
      </c>
      <c r="K17" s="29" t="s">
        <v>24</v>
      </c>
      <c r="L17" s="29" t="s">
        <v>24</v>
      </c>
      <c r="M17" s="84">
        <v>7.56</v>
      </c>
      <c r="N17" s="84">
        <v>7.7</v>
      </c>
      <c r="O17" s="29" t="s">
        <v>24</v>
      </c>
      <c r="P17" s="29" t="s">
        <v>24</v>
      </c>
    </row>
    <row r="18">
      <c r="A18" s="25"/>
      <c r="B18" s="31"/>
      <c r="C18" s="27">
        <v>3.0</v>
      </c>
      <c r="D18" s="83" t="s">
        <v>114</v>
      </c>
      <c r="E18" s="30">
        <v>7.5</v>
      </c>
      <c r="F18" s="29" t="s">
        <v>24</v>
      </c>
      <c r="G18" s="29" t="s">
        <v>24</v>
      </c>
      <c r="H18" s="29" t="s">
        <v>24</v>
      </c>
      <c r="I18" s="29">
        <v>7.47</v>
      </c>
      <c r="J18" s="29" t="s">
        <v>24</v>
      </c>
      <c r="K18" s="29" t="s">
        <v>24</v>
      </c>
      <c r="L18" s="29" t="s">
        <v>24</v>
      </c>
      <c r="M18" s="29">
        <v>7.39</v>
      </c>
      <c r="N18" s="29">
        <v>7.3</v>
      </c>
      <c r="O18" s="29" t="s">
        <v>24</v>
      </c>
      <c r="P18" s="29" t="s">
        <v>24</v>
      </c>
    </row>
    <row r="19">
      <c r="A19" s="25"/>
      <c r="B19" s="32" t="s">
        <v>76</v>
      </c>
      <c r="C19" s="33">
        <v>1.0</v>
      </c>
      <c r="D19" s="48" t="s">
        <v>112</v>
      </c>
      <c r="E19" s="23" t="s">
        <v>24</v>
      </c>
      <c r="F19" s="23" t="s">
        <v>24</v>
      </c>
      <c r="G19" s="23" t="s">
        <v>24</v>
      </c>
      <c r="H19" s="23" t="s">
        <v>24</v>
      </c>
      <c r="I19" s="23" t="s">
        <v>24</v>
      </c>
      <c r="J19" s="23" t="s">
        <v>24</v>
      </c>
      <c r="K19" s="23" t="s">
        <v>24</v>
      </c>
      <c r="L19" s="23" t="s">
        <v>24</v>
      </c>
      <c r="M19" s="23">
        <v>9200.0</v>
      </c>
      <c r="N19" s="23">
        <v>54000.0</v>
      </c>
      <c r="O19" s="23" t="s">
        <v>24</v>
      </c>
      <c r="P19" s="23" t="s">
        <v>24</v>
      </c>
    </row>
    <row r="20">
      <c r="A20" s="25"/>
      <c r="B20" s="26"/>
      <c r="C20" s="27">
        <v>2.0</v>
      </c>
      <c r="D20" s="51" t="s">
        <v>113</v>
      </c>
      <c r="E20" s="29" t="s">
        <v>24</v>
      </c>
      <c r="F20" s="29" t="s">
        <v>24</v>
      </c>
      <c r="G20" s="29" t="s">
        <v>24</v>
      </c>
      <c r="H20" s="29" t="s">
        <v>24</v>
      </c>
      <c r="I20" s="29" t="s">
        <v>24</v>
      </c>
      <c r="J20" s="29" t="s">
        <v>24</v>
      </c>
      <c r="K20" s="29" t="s">
        <v>24</v>
      </c>
      <c r="L20" s="29" t="s">
        <v>24</v>
      </c>
      <c r="M20" s="29">
        <v>54000.0</v>
      </c>
      <c r="N20" s="29">
        <v>92000.0</v>
      </c>
      <c r="O20" s="29" t="s">
        <v>24</v>
      </c>
      <c r="P20" s="29" t="s">
        <v>24</v>
      </c>
    </row>
    <row r="21" ht="15.75" customHeight="1">
      <c r="A21" s="25"/>
      <c r="B21" s="31"/>
      <c r="C21" s="27">
        <v>3.0</v>
      </c>
      <c r="D21" s="83" t="s">
        <v>114</v>
      </c>
      <c r="E21" s="29" t="s">
        <v>24</v>
      </c>
      <c r="F21" s="29" t="s">
        <v>24</v>
      </c>
      <c r="G21" s="29" t="s">
        <v>24</v>
      </c>
      <c r="H21" s="29" t="s">
        <v>24</v>
      </c>
      <c r="I21" s="29" t="s">
        <v>24</v>
      </c>
      <c r="J21" s="29" t="s">
        <v>24</v>
      </c>
      <c r="K21" s="29" t="s">
        <v>24</v>
      </c>
      <c r="L21" s="29" t="s">
        <v>24</v>
      </c>
      <c r="M21" s="29">
        <v>35000.0</v>
      </c>
      <c r="N21" s="29">
        <v>92000.0</v>
      </c>
      <c r="O21" s="29" t="s">
        <v>24</v>
      </c>
      <c r="P21" s="29" t="s">
        <v>24</v>
      </c>
    </row>
    <row r="22" ht="15.75" customHeight="1">
      <c r="A22" s="25"/>
      <c r="B22" s="32" t="s">
        <v>117</v>
      </c>
      <c r="C22" s="33">
        <v>1.0</v>
      </c>
      <c r="D22" s="48" t="s">
        <v>112</v>
      </c>
      <c r="E22" s="23" t="s">
        <v>24</v>
      </c>
      <c r="F22" s="23" t="s">
        <v>24</v>
      </c>
      <c r="G22" s="23" t="s">
        <v>24</v>
      </c>
      <c r="H22" s="23" t="s">
        <v>24</v>
      </c>
      <c r="I22" s="23" t="s">
        <v>24</v>
      </c>
      <c r="J22" s="23" t="s">
        <v>24</v>
      </c>
      <c r="K22" s="23" t="s">
        <v>24</v>
      </c>
      <c r="L22" s="23" t="s">
        <v>24</v>
      </c>
      <c r="M22" s="23">
        <v>0.048</v>
      </c>
      <c r="N22" s="23">
        <v>0.141</v>
      </c>
      <c r="O22" s="23" t="s">
        <v>24</v>
      </c>
      <c r="P22" s="23" t="s">
        <v>24</v>
      </c>
    </row>
    <row r="23" ht="15.75" customHeight="1">
      <c r="A23" s="25"/>
      <c r="B23" s="26"/>
      <c r="C23" s="27">
        <v>2.0</v>
      </c>
      <c r="D23" s="51" t="s">
        <v>113</v>
      </c>
      <c r="E23" s="29" t="s">
        <v>24</v>
      </c>
      <c r="F23" s="29" t="s">
        <v>24</v>
      </c>
      <c r="G23" s="29" t="s">
        <v>24</v>
      </c>
      <c r="H23" s="29" t="s">
        <v>24</v>
      </c>
      <c r="I23" s="29" t="s">
        <v>24</v>
      </c>
      <c r="J23" s="29" t="s">
        <v>24</v>
      </c>
      <c r="K23" s="29" t="s">
        <v>24</v>
      </c>
      <c r="L23" s="29" t="s">
        <v>24</v>
      </c>
      <c r="M23" s="84">
        <v>0.159</v>
      </c>
      <c r="N23" s="84">
        <v>0.152</v>
      </c>
      <c r="O23" s="29" t="s">
        <v>24</v>
      </c>
      <c r="P23" s="29" t="s">
        <v>24</v>
      </c>
    </row>
    <row r="24" ht="15.75" customHeight="1">
      <c r="A24" s="25"/>
      <c r="B24" s="31"/>
      <c r="C24" s="27">
        <v>3.0</v>
      </c>
      <c r="D24" s="83" t="s">
        <v>114</v>
      </c>
      <c r="E24" s="29" t="s">
        <v>24</v>
      </c>
      <c r="F24" s="29" t="s">
        <v>24</v>
      </c>
      <c r="G24" s="29" t="s">
        <v>24</v>
      </c>
      <c r="H24" s="29" t="s">
        <v>24</v>
      </c>
      <c r="I24" s="29" t="s">
        <v>24</v>
      </c>
      <c r="J24" s="29" t="s">
        <v>24</v>
      </c>
      <c r="K24" s="29" t="s">
        <v>24</v>
      </c>
      <c r="L24" s="29" t="s">
        <v>24</v>
      </c>
      <c r="M24" s="29">
        <v>0.407</v>
      </c>
      <c r="N24" s="29">
        <v>0.15</v>
      </c>
      <c r="O24" s="29" t="s">
        <v>24</v>
      </c>
      <c r="P24" s="29" t="s">
        <v>24</v>
      </c>
    </row>
    <row r="25" ht="15.75" customHeight="1">
      <c r="A25" s="25"/>
      <c r="B25" s="32" t="s">
        <v>118</v>
      </c>
      <c r="C25" s="33">
        <v>1.0</v>
      </c>
      <c r="D25" s="48" t="s">
        <v>112</v>
      </c>
      <c r="E25" s="23">
        <v>0.592</v>
      </c>
      <c r="F25" s="23" t="s">
        <v>24</v>
      </c>
      <c r="G25" s="23" t="s">
        <v>24</v>
      </c>
      <c r="H25" s="23" t="s">
        <v>24</v>
      </c>
      <c r="I25" s="23">
        <v>0.331</v>
      </c>
      <c r="J25" s="23" t="s">
        <v>24</v>
      </c>
      <c r="K25" s="23" t="s">
        <v>24</v>
      </c>
      <c r="L25" s="23" t="s">
        <v>24</v>
      </c>
      <c r="M25" s="23">
        <v>0.261</v>
      </c>
      <c r="N25" s="23">
        <v>0.339</v>
      </c>
      <c r="O25" s="23" t="s">
        <v>24</v>
      </c>
      <c r="P25" s="23" t="s">
        <v>24</v>
      </c>
    </row>
    <row r="26" ht="15.75" customHeight="1">
      <c r="A26" s="25"/>
      <c r="B26" s="26"/>
      <c r="C26" s="27">
        <v>2.0</v>
      </c>
      <c r="D26" s="51" t="s">
        <v>113</v>
      </c>
      <c r="E26" s="85">
        <v>0.717</v>
      </c>
      <c r="F26" s="29" t="s">
        <v>24</v>
      </c>
      <c r="G26" s="29" t="s">
        <v>24</v>
      </c>
      <c r="H26" s="29" t="s">
        <v>24</v>
      </c>
      <c r="I26" s="84">
        <v>0.131</v>
      </c>
      <c r="J26" s="29" t="s">
        <v>24</v>
      </c>
      <c r="K26" s="29" t="s">
        <v>24</v>
      </c>
      <c r="L26" s="29" t="s">
        <v>24</v>
      </c>
      <c r="M26" s="29">
        <v>0.291</v>
      </c>
      <c r="N26" s="29">
        <v>0.136</v>
      </c>
      <c r="O26" s="29" t="s">
        <v>24</v>
      </c>
      <c r="P26" s="29" t="s">
        <v>24</v>
      </c>
    </row>
    <row r="27" ht="15.75" customHeight="1">
      <c r="A27" s="25"/>
      <c r="B27" s="31"/>
      <c r="C27" s="27">
        <v>3.0</v>
      </c>
      <c r="D27" s="83" t="s">
        <v>114</v>
      </c>
      <c r="E27" s="46">
        <v>0.55</v>
      </c>
      <c r="F27" s="29" t="s">
        <v>24</v>
      </c>
      <c r="G27" s="29" t="s">
        <v>24</v>
      </c>
      <c r="H27" s="29" t="s">
        <v>24</v>
      </c>
      <c r="I27" s="29" t="s">
        <v>38</v>
      </c>
      <c r="J27" s="29" t="s">
        <v>24</v>
      </c>
      <c r="K27" s="29" t="s">
        <v>24</v>
      </c>
      <c r="L27" s="29" t="s">
        <v>24</v>
      </c>
      <c r="M27" s="29">
        <v>0.16</v>
      </c>
      <c r="N27" s="29">
        <v>0.186</v>
      </c>
      <c r="O27" s="29" t="s">
        <v>24</v>
      </c>
      <c r="P27" s="29" t="s">
        <v>24</v>
      </c>
    </row>
    <row r="28" ht="15.75" customHeight="1">
      <c r="A28" s="25"/>
      <c r="B28" s="86" t="s">
        <v>119</v>
      </c>
      <c r="C28" s="33">
        <v>1.0</v>
      </c>
      <c r="D28" s="48" t="s">
        <v>112</v>
      </c>
      <c r="E28" s="23">
        <v>0.136</v>
      </c>
      <c r="F28" s="23" t="s">
        <v>24</v>
      </c>
      <c r="G28" s="23" t="s">
        <v>24</v>
      </c>
      <c r="H28" s="23" t="s">
        <v>24</v>
      </c>
      <c r="I28" s="23" t="s">
        <v>120</v>
      </c>
      <c r="J28" s="23" t="s">
        <v>24</v>
      </c>
      <c r="K28" s="23" t="s">
        <v>24</v>
      </c>
      <c r="L28" s="23" t="s">
        <v>24</v>
      </c>
      <c r="M28" s="23">
        <v>0.062</v>
      </c>
      <c r="N28" s="23">
        <v>0.163</v>
      </c>
      <c r="O28" s="23" t="s">
        <v>24</v>
      </c>
      <c r="P28" s="23" t="s">
        <v>24</v>
      </c>
    </row>
    <row r="29" ht="15.75" customHeight="1">
      <c r="A29" s="25"/>
      <c r="B29" s="86"/>
      <c r="C29" s="27">
        <v>2.0</v>
      </c>
      <c r="D29" s="51" t="s">
        <v>113</v>
      </c>
      <c r="E29" s="84">
        <v>0.113</v>
      </c>
      <c r="F29" s="29" t="s">
        <v>24</v>
      </c>
      <c r="G29" s="29" t="s">
        <v>24</v>
      </c>
      <c r="H29" s="29" t="s">
        <v>24</v>
      </c>
      <c r="I29" s="84">
        <v>0.079</v>
      </c>
      <c r="J29" s="29" t="s">
        <v>24</v>
      </c>
      <c r="K29" s="29" t="s">
        <v>24</v>
      </c>
      <c r="L29" s="29" t="s">
        <v>24</v>
      </c>
      <c r="M29" s="29">
        <v>0.08</v>
      </c>
      <c r="N29" s="29">
        <v>1.08</v>
      </c>
      <c r="O29" s="29" t="s">
        <v>24</v>
      </c>
      <c r="P29" s="29" t="s">
        <v>24</v>
      </c>
    </row>
    <row r="30" ht="15.75" customHeight="1">
      <c r="A30" s="25"/>
      <c r="B30" s="86"/>
      <c r="C30" s="27">
        <v>3.0</v>
      </c>
      <c r="D30" s="51" t="s">
        <v>114</v>
      </c>
      <c r="E30" s="29">
        <v>0.107</v>
      </c>
      <c r="F30" s="29" t="s">
        <v>24</v>
      </c>
      <c r="G30" s="29" t="s">
        <v>24</v>
      </c>
      <c r="H30" s="29" t="s">
        <v>24</v>
      </c>
      <c r="I30" s="46">
        <v>0.07</v>
      </c>
      <c r="J30" s="29" t="s">
        <v>24</v>
      </c>
      <c r="K30" s="29" t="s">
        <v>24</v>
      </c>
      <c r="L30" s="29" t="s">
        <v>24</v>
      </c>
      <c r="M30" s="29">
        <v>0.115</v>
      </c>
      <c r="N30" s="29">
        <v>0.079</v>
      </c>
      <c r="O30" s="29" t="s">
        <v>24</v>
      </c>
      <c r="P30" s="29" t="s">
        <v>24</v>
      </c>
    </row>
    <row r="31" ht="15.75" customHeight="1">
      <c r="A31" s="25"/>
      <c r="B31" s="32" t="s">
        <v>80</v>
      </c>
      <c r="C31" s="33">
        <v>1.0</v>
      </c>
      <c r="D31" s="48" t="s">
        <v>112</v>
      </c>
      <c r="E31" s="23">
        <v>27.8</v>
      </c>
      <c r="F31" s="23" t="s">
        <v>24</v>
      </c>
      <c r="G31" s="23" t="s">
        <v>24</v>
      </c>
      <c r="H31" s="23" t="s">
        <v>24</v>
      </c>
      <c r="I31" s="23">
        <v>30.2</v>
      </c>
      <c r="J31" s="23" t="s">
        <v>24</v>
      </c>
      <c r="K31" s="23" t="s">
        <v>24</v>
      </c>
      <c r="L31" s="23" t="s">
        <v>24</v>
      </c>
      <c r="M31" s="23" t="s">
        <v>24</v>
      </c>
      <c r="N31" s="23" t="s">
        <v>24</v>
      </c>
      <c r="O31" s="23" t="s">
        <v>24</v>
      </c>
      <c r="P31" s="23" t="s">
        <v>24</v>
      </c>
    </row>
    <row r="32" ht="15.75" customHeight="1">
      <c r="A32" s="25"/>
      <c r="B32" s="26"/>
      <c r="C32" s="27">
        <v>2.0</v>
      </c>
      <c r="D32" s="51" t="s">
        <v>113</v>
      </c>
      <c r="E32" s="84">
        <v>28.1</v>
      </c>
      <c r="F32" s="29" t="s">
        <v>24</v>
      </c>
      <c r="G32" s="29" t="s">
        <v>24</v>
      </c>
      <c r="H32" s="29" t="s">
        <v>24</v>
      </c>
      <c r="I32" s="84">
        <v>31.8</v>
      </c>
      <c r="J32" s="29" t="s">
        <v>24</v>
      </c>
      <c r="K32" s="29" t="s">
        <v>24</v>
      </c>
      <c r="L32" s="29" t="s">
        <v>24</v>
      </c>
      <c r="M32" s="29" t="s">
        <v>24</v>
      </c>
      <c r="N32" s="29" t="s">
        <v>24</v>
      </c>
      <c r="O32" s="29" t="s">
        <v>24</v>
      </c>
      <c r="P32" s="29" t="s">
        <v>24</v>
      </c>
    </row>
    <row r="33" ht="15.75" customHeight="1">
      <c r="A33" s="25"/>
      <c r="B33" s="31"/>
      <c r="C33" s="27">
        <v>3.0</v>
      </c>
      <c r="D33" s="83" t="s">
        <v>114</v>
      </c>
      <c r="E33" s="69">
        <v>28.2</v>
      </c>
      <c r="F33" s="29" t="s">
        <v>24</v>
      </c>
      <c r="G33" s="29" t="s">
        <v>24</v>
      </c>
      <c r="H33" s="29" t="s">
        <v>24</v>
      </c>
      <c r="I33" s="29">
        <v>32.98</v>
      </c>
      <c r="J33" s="29" t="s">
        <v>24</v>
      </c>
      <c r="K33" s="29" t="s">
        <v>24</v>
      </c>
      <c r="L33" s="29" t="s">
        <v>24</v>
      </c>
      <c r="M33" s="29" t="s">
        <v>24</v>
      </c>
      <c r="N33" s="29" t="s">
        <v>24</v>
      </c>
      <c r="O33" s="29" t="s">
        <v>24</v>
      </c>
      <c r="P33" s="29" t="s">
        <v>24</v>
      </c>
    </row>
    <row r="34" ht="15.75" customHeight="1">
      <c r="A34" s="25"/>
      <c r="B34" s="32" t="s">
        <v>81</v>
      </c>
      <c r="C34" s="33">
        <v>1.0</v>
      </c>
      <c r="D34" s="48" t="s">
        <v>112</v>
      </c>
      <c r="E34" s="23">
        <v>10.0</v>
      </c>
      <c r="F34" s="23" t="s">
        <v>24</v>
      </c>
      <c r="G34" s="23" t="s">
        <v>24</v>
      </c>
      <c r="H34" s="23" t="s">
        <v>24</v>
      </c>
      <c r="I34" s="23">
        <v>10.0</v>
      </c>
      <c r="J34" s="23" t="s">
        <v>24</v>
      </c>
      <c r="K34" s="23" t="s">
        <v>24</v>
      </c>
      <c r="L34" s="23" t="s">
        <v>24</v>
      </c>
      <c r="M34" s="23" t="s">
        <v>24</v>
      </c>
      <c r="N34" s="23" t="s">
        <v>24</v>
      </c>
      <c r="O34" s="23" t="s">
        <v>24</v>
      </c>
      <c r="P34" s="23" t="s">
        <v>24</v>
      </c>
    </row>
    <row r="35" ht="15.75" customHeight="1">
      <c r="A35" s="25"/>
      <c r="B35" s="26"/>
      <c r="C35" s="27">
        <v>2.0</v>
      </c>
      <c r="D35" s="51" t="s">
        <v>113</v>
      </c>
      <c r="E35" s="29">
        <v>10.0</v>
      </c>
      <c r="F35" s="29" t="s">
        <v>24</v>
      </c>
      <c r="G35" s="29" t="s">
        <v>24</v>
      </c>
      <c r="H35" s="29" t="s">
        <v>24</v>
      </c>
      <c r="I35" s="29">
        <v>20.0</v>
      </c>
      <c r="J35" s="29" t="s">
        <v>24</v>
      </c>
      <c r="K35" s="29" t="s">
        <v>24</v>
      </c>
      <c r="L35" s="29" t="s">
        <v>24</v>
      </c>
      <c r="M35" s="29" t="s">
        <v>24</v>
      </c>
      <c r="N35" s="29" t="s">
        <v>24</v>
      </c>
      <c r="O35" s="29" t="s">
        <v>24</v>
      </c>
      <c r="P35" s="29" t="s">
        <v>24</v>
      </c>
    </row>
    <row r="36" ht="14.25" customHeight="1">
      <c r="A36" s="25"/>
      <c r="B36" s="31"/>
      <c r="C36" s="27">
        <v>3.0</v>
      </c>
      <c r="D36" s="83" t="s">
        <v>114</v>
      </c>
      <c r="E36" s="29">
        <v>10.0</v>
      </c>
      <c r="F36" s="29" t="s">
        <v>24</v>
      </c>
      <c r="G36" s="29" t="s">
        <v>24</v>
      </c>
      <c r="H36" s="29" t="s">
        <v>24</v>
      </c>
      <c r="I36" s="29">
        <v>20.0</v>
      </c>
      <c r="J36" s="29" t="s">
        <v>24</v>
      </c>
      <c r="K36" s="29" t="s">
        <v>24</v>
      </c>
      <c r="L36" s="29" t="s">
        <v>24</v>
      </c>
      <c r="M36" s="29" t="s">
        <v>24</v>
      </c>
      <c r="N36" s="29" t="s">
        <v>24</v>
      </c>
      <c r="O36" s="29" t="s">
        <v>24</v>
      </c>
      <c r="P36" s="29" t="s">
        <v>24</v>
      </c>
    </row>
    <row r="37" ht="15.75" customHeight="1">
      <c r="A37" s="25"/>
      <c r="B37" s="32" t="s">
        <v>93</v>
      </c>
      <c r="C37" s="33">
        <v>1.0</v>
      </c>
      <c r="D37" s="48" t="s">
        <v>112</v>
      </c>
      <c r="E37" s="41">
        <v>24000.0</v>
      </c>
      <c r="F37" s="23" t="s">
        <v>24</v>
      </c>
      <c r="G37" s="23" t="s">
        <v>24</v>
      </c>
      <c r="H37" s="23" t="s">
        <v>24</v>
      </c>
      <c r="I37" s="41">
        <v>9400.0</v>
      </c>
      <c r="J37" s="23" t="s">
        <v>24</v>
      </c>
      <c r="K37" s="23" t="s">
        <v>24</v>
      </c>
      <c r="L37" s="23" t="s">
        <v>24</v>
      </c>
      <c r="M37" s="23" t="s">
        <v>24</v>
      </c>
      <c r="N37" s="23" t="s">
        <v>24</v>
      </c>
      <c r="O37" s="23" t="s">
        <v>24</v>
      </c>
      <c r="P37" s="23" t="s">
        <v>24</v>
      </c>
    </row>
    <row r="38" ht="15.75" customHeight="1">
      <c r="A38" s="25"/>
      <c r="B38" s="26"/>
      <c r="C38" s="27">
        <v>2.0</v>
      </c>
      <c r="D38" s="51" t="s">
        <v>113</v>
      </c>
      <c r="E38" s="42">
        <v>24000.0</v>
      </c>
      <c r="F38" s="29" t="s">
        <v>24</v>
      </c>
      <c r="G38" s="29" t="s">
        <v>24</v>
      </c>
      <c r="H38" s="29" t="s">
        <v>24</v>
      </c>
      <c r="I38" s="42">
        <v>35000.0</v>
      </c>
      <c r="J38" s="29" t="s">
        <v>24</v>
      </c>
      <c r="K38" s="29" t="s">
        <v>24</v>
      </c>
      <c r="L38" s="29" t="s">
        <v>24</v>
      </c>
      <c r="M38" s="29" t="s">
        <v>24</v>
      </c>
      <c r="N38" s="29" t="s">
        <v>24</v>
      </c>
      <c r="O38" s="29" t="s">
        <v>24</v>
      </c>
      <c r="P38" s="29" t="s">
        <v>24</v>
      </c>
    </row>
    <row r="39" ht="15.75" customHeight="1">
      <c r="A39" s="25"/>
      <c r="B39" s="31"/>
      <c r="C39" s="27">
        <v>3.0</v>
      </c>
      <c r="D39" s="83" t="s">
        <v>114</v>
      </c>
      <c r="E39" s="42">
        <v>92000.0</v>
      </c>
      <c r="F39" s="29" t="s">
        <v>24</v>
      </c>
      <c r="G39" s="29" t="s">
        <v>24</v>
      </c>
      <c r="H39" s="29" t="s">
        <v>24</v>
      </c>
      <c r="I39" s="42">
        <v>22000.0</v>
      </c>
      <c r="J39" s="29" t="s">
        <v>24</v>
      </c>
      <c r="K39" s="29" t="s">
        <v>24</v>
      </c>
      <c r="L39" s="29" t="s">
        <v>24</v>
      </c>
      <c r="M39" s="29" t="s">
        <v>24</v>
      </c>
      <c r="N39" s="29" t="s">
        <v>24</v>
      </c>
      <c r="O39" s="29" t="s">
        <v>24</v>
      </c>
      <c r="P39" s="29" t="s">
        <v>24</v>
      </c>
    </row>
    <row r="40" ht="15.75" customHeight="1">
      <c r="A40" s="25"/>
      <c r="B40" s="32" t="s">
        <v>82</v>
      </c>
      <c r="C40" s="33">
        <v>1.0</v>
      </c>
      <c r="D40" s="48" t="s">
        <v>112</v>
      </c>
      <c r="E40" s="23">
        <v>11.0</v>
      </c>
      <c r="F40" s="23" t="s">
        <v>24</v>
      </c>
      <c r="G40" s="23" t="s">
        <v>24</v>
      </c>
      <c r="H40" s="23" t="s">
        <v>24</v>
      </c>
      <c r="I40" s="41">
        <v>12.0</v>
      </c>
      <c r="J40" s="23" t="s">
        <v>24</v>
      </c>
      <c r="K40" s="23" t="s">
        <v>24</v>
      </c>
      <c r="L40" s="23" t="s">
        <v>24</v>
      </c>
      <c r="M40" s="23" t="s">
        <v>24</v>
      </c>
      <c r="N40" s="23" t="s">
        <v>24</v>
      </c>
      <c r="O40" s="23" t="s">
        <v>24</v>
      </c>
      <c r="P40" s="23" t="s">
        <v>24</v>
      </c>
    </row>
    <row r="41" ht="15.75" customHeight="1">
      <c r="A41" s="25"/>
      <c r="B41" s="26"/>
      <c r="C41" s="27">
        <v>2.0</v>
      </c>
      <c r="D41" s="51" t="s">
        <v>113</v>
      </c>
      <c r="E41" s="29">
        <v>1078.0</v>
      </c>
      <c r="F41" s="29" t="s">
        <v>24</v>
      </c>
      <c r="G41" s="29" t="s">
        <v>24</v>
      </c>
      <c r="H41" s="29" t="s">
        <v>24</v>
      </c>
      <c r="I41" s="42">
        <v>7371.0</v>
      </c>
      <c r="J41" s="29" t="s">
        <v>24</v>
      </c>
      <c r="K41" s="29" t="s">
        <v>24</v>
      </c>
      <c r="L41" s="29" t="s">
        <v>24</v>
      </c>
      <c r="M41" s="29" t="s">
        <v>24</v>
      </c>
      <c r="N41" s="29" t="s">
        <v>24</v>
      </c>
      <c r="O41" s="29" t="s">
        <v>24</v>
      </c>
      <c r="P41" s="29" t="s">
        <v>24</v>
      </c>
    </row>
    <row r="42" ht="15.75" customHeight="1">
      <c r="A42" s="25"/>
      <c r="B42" s="31"/>
      <c r="C42" s="27">
        <v>3.0</v>
      </c>
      <c r="D42" s="83" t="s">
        <v>114</v>
      </c>
      <c r="E42" s="29">
        <v>4468.0</v>
      </c>
      <c r="F42" s="29" t="s">
        <v>24</v>
      </c>
      <c r="G42" s="29" t="s">
        <v>24</v>
      </c>
      <c r="H42" s="29" t="s">
        <v>24</v>
      </c>
      <c r="I42" s="42">
        <v>13375.0</v>
      </c>
      <c r="J42" s="29" t="s">
        <v>24</v>
      </c>
      <c r="K42" s="29" t="s">
        <v>24</v>
      </c>
      <c r="L42" s="29" t="s">
        <v>24</v>
      </c>
      <c r="M42" s="29" t="s">
        <v>24</v>
      </c>
      <c r="N42" s="29" t="s">
        <v>24</v>
      </c>
      <c r="O42" s="29" t="s">
        <v>24</v>
      </c>
      <c r="P42" s="29" t="s">
        <v>24</v>
      </c>
    </row>
    <row r="43" ht="15.75" customHeight="1"/>
    <row r="44" ht="15.75" customHeight="1">
      <c r="A44" s="62" t="s">
        <v>52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P1"/>
    <mergeCell ref="A2:P2"/>
    <mergeCell ref="A3:P3"/>
    <mergeCell ref="A5:P5"/>
    <mergeCell ref="A6:P6"/>
    <mergeCell ref="B7:B9"/>
    <mergeCell ref="B10:B12"/>
    <mergeCell ref="B37:B39"/>
    <mergeCell ref="B40:B42"/>
    <mergeCell ref="B13:B15"/>
    <mergeCell ref="B16:B18"/>
    <mergeCell ref="B19:B21"/>
    <mergeCell ref="B22:B24"/>
    <mergeCell ref="B25:B27"/>
    <mergeCell ref="B31:B33"/>
    <mergeCell ref="B34:B36"/>
  </mergeCells>
  <printOptions horizontalCentered="1" verticalCentered="1"/>
  <pageMargins bottom="0.0" footer="0.0" header="0.0" left="0.0" right="0.0" top="0.0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4.71"/>
    <col customWidth="1" min="3" max="3" width="8.43"/>
    <col customWidth="1" min="4" max="4" width="31.43"/>
    <col customWidth="1" min="5" max="5" width="8.29"/>
    <col customWidth="1" min="6" max="6" width="9.43"/>
    <col customWidth="1" min="7" max="7" width="11.57"/>
    <col customWidth="1" min="8" max="8" width="5.71"/>
    <col customWidth="1" min="9" max="9" width="11.57"/>
    <col customWidth="1" min="10" max="10" width="5.57"/>
    <col customWidth="1" min="11" max="11" width="4.86"/>
    <col customWidth="1" min="12" max="12" width="11.57"/>
    <col customWidth="1" min="13" max="13" width="11.14"/>
    <col customWidth="1" min="14" max="14" width="9.86"/>
    <col customWidth="1" min="15" max="15" width="10.86"/>
    <col customWidth="1" min="16" max="16" width="10.71"/>
    <col customWidth="1" min="17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>
      <c r="A4" s="10" t="s">
        <v>3</v>
      </c>
      <c r="B4" s="11" t="s">
        <v>4</v>
      </c>
      <c r="C4" s="11" t="s">
        <v>5</v>
      </c>
      <c r="D4" s="11" t="s">
        <v>6</v>
      </c>
      <c r="E4" s="12" t="s">
        <v>7</v>
      </c>
      <c r="F4" s="12" t="s">
        <v>8</v>
      </c>
      <c r="G4" s="11" t="s">
        <v>9</v>
      </c>
      <c r="H4" s="11" t="s">
        <v>10</v>
      </c>
      <c r="I4" s="11" t="s">
        <v>11</v>
      </c>
      <c r="J4" s="11" t="s">
        <v>12</v>
      </c>
      <c r="K4" s="12" t="s">
        <v>13</v>
      </c>
      <c r="L4" s="12" t="s">
        <v>14</v>
      </c>
      <c r="M4" s="11" t="s">
        <v>15</v>
      </c>
      <c r="N4" s="11" t="s">
        <v>16</v>
      </c>
      <c r="O4" s="11" t="s">
        <v>17</v>
      </c>
      <c r="P4" s="11" t="s">
        <v>18</v>
      </c>
    </row>
    <row r="5">
      <c r="A5" s="13" t="s">
        <v>121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5"/>
    </row>
    <row r="6">
      <c r="A6" s="16" t="s">
        <v>54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8"/>
    </row>
    <row r="7">
      <c r="A7" s="19" t="s">
        <v>21</v>
      </c>
      <c r="B7" s="20" t="s">
        <v>22</v>
      </c>
      <c r="C7" s="21">
        <v>1.0</v>
      </c>
      <c r="D7" s="87" t="s">
        <v>122</v>
      </c>
      <c r="E7" s="23" t="s">
        <v>24</v>
      </c>
      <c r="F7" s="23" t="s">
        <v>24</v>
      </c>
      <c r="G7" s="23">
        <v>1.08</v>
      </c>
      <c r="H7" s="23" t="s">
        <v>24</v>
      </c>
      <c r="I7" s="23">
        <v>1.26</v>
      </c>
      <c r="J7" s="23" t="s">
        <v>24</v>
      </c>
      <c r="K7" s="23" t="s">
        <v>24</v>
      </c>
      <c r="L7" s="23">
        <v>1.24</v>
      </c>
      <c r="M7" s="23" t="s">
        <v>24</v>
      </c>
      <c r="N7" s="23">
        <v>0.17</v>
      </c>
      <c r="O7" s="23" t="s">
        <v>24</v>
      </c>
      <c r="P7" s="23" t="s">
        <v>24</v>
      </c>
    </row>
    <row r="8">
      <c r="A8" s="25"/>
      <c r="B8" s="26"/>
      <c r="C8" s="27">
        <v>2.0</v>
      </c>
      <c r="D8" s="88" t="s">
        <v>123</v>
      </c>
      <c r="E8" s="29" t="s">
        <v>24</v>
      </c>
      <c r="F8" s="29" t="s">
        <v>24</v>
      </c>
      <c r="G8" s="29">
        <v>1.11</v>
      </c>
      <c r="H8" s="29" t="s">
        <v>24</v>
      </c>
      <c r="I8" s="29">
        <v>1.68</v>
      </c>
      <c r="J8" s="29" t="s">
        <v>24</v>
      </c>
      <c r="K8" s="29" t="s">
        <v>24</v>
      </c>
      <c r="L8" s="29">
        <v>1.19</v>
      </c>
      <c r="M8" s="29" t="s">
        <v>24</v>
      </c>
      <c r="N8" s="29">
        <v>0.84</v>
      </c>
      <c r="O8" s="29" t="s">
        <v>24</v>
      </c>
      <c r="P8" s="29" t="s">
        <v>24</v>
      </c>
    </row>
    <row r="9">
      <c r="A9" s="25"/>
      <c r="B9" s="31"/>
      <c r="C9" s="27">
        <v>3.0</v>
      </c>
      <c r="D9" s="88" t="s">
        <v>124</v>
      </c>
      <c r="E9" s="29" t="s">
        <v>24</v>
      </c>
      <c r="F9" s="29" t="s">
        <v>24</v>
      </c>
      <c r="G9" s="29">
        <v>1.85</v>
      </c>
      <c r="H9" s="29" t="s">
        <v>24</v>
      </c>
      <c r="I9" s="29">
        <v>2.96</v>
      </c>
      <c r="J9" s="29" t="s">
        <v>24</v>
      </c>
      <c r="K9" s="29" t="s">
        <v>24</v>
      </c>
      <c r="L9" s="29">
        <v>1.02</v>
      </c>
      <c r="M9" s="29" t="s">
        <v>24</v>
      </c>
      <c r="N9" s="29">
        <v>1.17</v>
      </c>
      <c r="O9" s="29" t="s">
        <v>24</v>
      </c>
      <c r="P9" s="29" t="s">
        <v>24</v>
      </c>
    </row>
    <row r="10">
      <c r="A10" s="25"/>
      <c r="B10" s="32" t="s">
        <v>29</v>
      </c>
      <c r="C10" s="33">
        <v>1.0</v>
      </c>
      <c r="D10" s="87" t="s">
        <v>122</v>
      </c>
      <c r="E10" s="23" t="s">
        <v>24</v>
      </c>
      <c r="F10" s="23" t="s">
        <v>24</v>
      </c>
      <c r="G10" s="23">
        <v>14.0</v>
      </c>
      <c r="H10" s="23" t="s">
        <v>24</v>
      </c>
      <c r="I10" s="23">
        <v>33.0</v>
      </c>
      <c r="J10" s="23" t="s">
        <v>24</v>
      </c>
      <c r="K10" s="23" t="s">
        <v>24</v>
      </c>
      <c r="L10" s="23">
        <v>17.0</v>
      </c>
      <c r="M10" s="23" t="s">
        <v>24</v>
      </c>
      <c r="N10" s="23">
        <v>3.0</v>
      </c>
      <c r="O10" s="23" t="s">
        <v>24</v>
      </c>
      <c r="P10" s="23" t="s">
        <v>24</v>
      </c>
    </row>
    <row r="11">
      <c r="A11" s="25"/>
      <c r="B11" s="26"/>
      <c r="C11" s="27">
        <v>2.0</v>
      </c>
      <c r="D11" s="88" t="s">
        <v>123</v>
      </c>
      <c r="E11" s="29" t="s">
        <v>24</v>
      </c>
      <c r="F11" s="29" t="s">
        <v>24</v>
      </c>
      <c r="G11" s="29">
        <v>12.0</v>
      </c>
      <c r="H11" s="29" t="s">
        <v>24</v>
      </c>
      <c r="I11" s="29">
        <v>11.0</v>
      </c>
      <c r="J11" s="29" t="s">
        <v>24</v>
      </c>
      <c r="K11" s="29" t="s">
        <v>24</v>
      </c>
      <c r="L11" s="29">
        <v>14.0</v>
      </c>
      <c r="M11" s="29" t="s">
        <v>24</v>
      </c>
      <c r="N11" s="29">
        <v>13.0</v>
      </c>
      <c r="O11" s="29" t="s">
        <v>24</v>
      </c>
      <c r="P11" s="29" t="s">
        <v>24</v>
      </c>
    </row>
    <row r="12">
      <c r="A12" s="25"/>
      <c r="B12" s="31"/>
      <c r="C12" s="27">
        <v>3.0</v>
      </c>
      <c r="D12" s="88" t="s">
        <v>124</v>
      </c>
      <c r="E12" s="29" t="s">
        <v>24</v>
      </c>
      <c r="F12" s="29" t="s">
        <v>24</v>
      </c>
      <c r="G12" s="29">
        <v>15.0</v>
      </c>
      <c r="H12" s="29" t="s">
        <v>24</v>
      </c>
      <c r="I12" s="29">
        <v>32.0</v>
      </c>
      <c r="J12" s="29" t="s">
        <v>24</v>
      </c>
      <c r="K12" s="29" t="s">
        <v>24</v>
      </c>
      <c r="L12" s="29">
        <v>11.0</v>
      </c>
      <c r="M12" s="29" t="s">
        <v>24</v>
      </c>
      <c r="N12" s="29">
        <v>9.0</v>
      </c>
      <c r="O12" s="29" t="s">
        <v>24</v>
      </c>
      <c r="P12" s="29" t="s">
        <v>24</v>
      </c>
    </row>
    <row r="13">
      <c r="A13" s="25"/>
      <c r="B13" s="32" t="s">
        <v>30</v>
      </c>
      <c r="C13" s="33">
        <v>1.0</v>
      </c>
      <c r="D13" s="87" t="s">
        <v>122</v>
      </c>
      <c r="E13" s="23" t="s">
        <v>24</v>
      </c>
      <c r="F13" s="23" t="s">
        <v>24</v>
      </c>
      <c r="G13" s="23">
        <v>11.0</v>
      </c>
      <c r="H13" s="23" t="s">
        <v>24</v>
      </c>
      <c r="I13" s="23">
        <v>34.0</v>
      </c>
      <c r="J13" s="23" t="s">
        <v>24</v>
      </c>
      <c r="K13" s="23" t="s">
        <v>24</v>
      </c>
      <c r="L13" s="23">
        <v>25.0</v>
      </c>
      <c r="M13" s="23" t="s">
        <v>24</v>
      </c>
      <c r="N13" s="23">
        <v>20.0</v>
      </c>
      <c r="O13" s="23" t="s">
        <v>24</v>
      </c>
      <c r="P13" s="23" t="s">
        <v>24</v>
      </c>
    </row>
    <row r="14">
      <c r="A14" s="25"/>
      <c r="B14" s="26"/>
      <c r="C14" s="27">
        <v>2.0</v>
      </c>
      <c r="D14" s="88" t="s">
        <v>123</v>
      </c>
      <c r="E14" s="29" t="s">
        <v>24</v>
      </c>
      <c r="F14" s="29" t="s">
        <v>24</v>
      </c>
      <c r="G14" s="29">
        <v>12.0</v>
      </c>
      <c r="H14" s="29" t="s">
        <v>24</v>
      </c>
      <c r="I14" s="29">
        <v>16.0</v>
      </c>
      <c r="J14" s="29" t="s">
        <v>24</v>
      </c>
      <c r="K14" s="29" t="s">
        <v>24</v>
      </c>
      <c r="L14" s="29">
        <v>28.0</v>
      </c>
      <c r="M14" s="29" t="s">
        <v>24</v>
      </c>
      <c r="N14" s="29">
        <v>24.0</v>
      </c>
      <c r="O14" s="29" t="s">
        <v>24</v>
      </c>
      <c r="P14" s="29" t="s">
        <v>24</v>
      </c>
    </row>
    <row r="15">
      <c r="A15" s="25"/>
      <c r="B15" s="31"/>
      <c r="C15" s="27">
        <v>3.0</v>
      </c>
      <c r="D15" s="88" t="s">
        <v>124</v>
      </c>
      <c r="E15" s="29" t="s">
        <v>24</v>
      </c>
      <c r="F15" s="29" t="s">
        <v>24</v>
      </c>
      <c r="G15" s="29">
        <v>15.0</v>
      </c>
      <c r="H15" s="29" t="s">
        <v>24</v>
      </c>
      <c r="I15" s="29">
        <v>29.0</v>
      </c>
      <c r="J15" s="29" t="s">
        <v>24</v>
      </c>
      <c r="K15" s="29" t="s">
        <v>24</v>
      </c>
      <c r="L15" s="29">
        <v>30.0</v>
      </c>
      <c r="M15" s="29" t="s">
        <v>24</v>
      </c>
      <c r="N15" s="29">
        <v>21.0</v>
      </c>
      <c r="O15" s="29" t="s">
        <v>24</v>
      </c>
      <c r="P15" s="29" t="s">
        <v>24</v>
      </c>
    </row>
    <row r="16">
      <c r="A16" s="25"/>
      <c r="B16" s="32" t="s">
        <v>31</v>
      </c>
      <c r="C16" s="33">
        <v>1.0</v>
      </c>
      <c r="D16" s="87" t="s">
        <v>122</v>
      </c>
      <c r="E16" s="23" t="s">
        <v>24</v>
      </c>
      <c r="F16" s="23" t="s">
        <v>24</v>
      </c>
      <c r="G16" s="23">
        <v>6.9</v>
      </c>
      <c r="H16" s="23" t="s">
        <v>24</v>
      </c>
      <c r="I16" s="23">
        <v>7.39</v>
      </c>
      <c r="J16" s="23" t="s">
        <v>24</v>
      </c>
      <c r="K16" s="23" t="s">
        <v>24</v>
      </c>
      <c r="L16" s="23">
        <v>7.59</v>
      </c>
      <c r="M16" s="23" t="s">
        <v>24</v>
      </c>
      <c r="N16" s="23">
        <v>7.27</v>
      </c>
      <c r="O16" s="23" t="s">
        <v>24</v>
      </c>
      <c r="P16" s="23" t="s">
        <v>24</v>
      </c>
    </row>
    <row r="17">
      <c r="A17" s="25"/>
      <c r="B17" s="26"/>
      <c r="C17" s="27">
        <v>2.0</v>
      </c>
      <c r="D17" s="88" t="s">
        <v>123</v>
      </c>
      <c r="E17" s="29" t="s">
        <v>24</v>
      </c>
      <c r="F17" s="29" t="s">
        <v>24</v>
      </c>
      <c r="G17" s="84">
        <v>7.19</v>
      </c>
      <c r="H17" s="29" t="s">
        <v>24</v>
      </c>
      <c r="I17" s="84">
        <v>7.11</v>
      </c>
      <c r="J17" s="29" t="s">
        <v>24</v>
      </c>
      <c r="K17" s="29" t="s">
        <v>24</v>
      </c>
      <c r="L17" s="84">
        <v>7.25</v>
      </c>
      <c r="M17" s="29" t="s">
        <v>24</v>
      </c>
      <c r="N17" s="84">
        <v>7.64</v>
      </c>
      <c r="O17" s="29" t="s">
        <v>24</v>
      </c>
      <c r="P17" s="29" t="s">
        <v>24</v>
      </c>
    </row>
    <row r="18">
      <c r="A18" s="25"/>
      <c r="B18" s="31"/>
      <c r="C18" s="27">
        <v>3.0</v>
      </c>
      <c r="D18" s="88" t="s">
        <v>124</v>
      </c>
      <c r="E18" s="29" t="s">
        <v>24</v>
      </c>
      <c r="F18" s="29" t="s">
        <v>24</v>
      </c>
      <c r="G18" s="29">
        <v>7.32</v>
      </c>
      <c r="H18" s="29" t="s">
        <v>24</v>
      </c>
      <c r="I18" s="29">
        <v>7.21</v>
      </c>
      <c r="J18" s="29" t="s">
        <v>24</v>
      </c>
      <c r="K18" s="29" t="s">
        <v>24</v>
      </c>
      <c r="L18" s="29">
        <v>6.88</v>
      </c>
      <c r="M18" s="29" t="s">
        <v>24</v>
      </c>
      <c r="N18" s="29">
        <v>7.68</v>
      </c>
      <c r="O18" s="29" t="s">
        <v>24</v>
      </c>
      <c r="P18" s="29" t="s">
        <v>24</v>
      </c>
    </row>
    <row r="19">
      <c r="A19" s="25"/>
      <c r="B19" s="32" t="s">
        <v>76</v>
      </c>
      <c r="C19" s="33">
        <v>1.0</v>
      </c>
      <c r="D19" s="87" t="s">
        <v>122</v>
      </c>
      <c r="E19" s="23" t="s">
        <v>24</v>
      </c>
      <c r="F19" s="23" t="s">
        <v>24</v>
      </c>
      <c r="G19" s="41">
        <v>920000.0</v>
      </c>
      <c r="H19" s="23" t="s">
        <v>24</v>
      </c>
      <c r="I19" s="41">
        <v>2400000.0</v>
      </c>
      <c r="J19" s="23" t="s">
        <v>24</v>
      </c>
      <c r="K19" s="23" t="s">
        <v>24</v>
      </c>
      <c r="L19" s="41">
        <v>1100000.0</v>
      </c>
      <c r="M19" s="23" t="s">
        <v>24</v>
      </c>
      <c r="N19" s="41">
        <v>350000.0</v>
      </c>
      <c r="O19" s="23" t="s">
        <v>24</v>
      </c>
      <c r="P19" s="23" t="s">
        <v>24</v>
      </c>
    </row>
    <row r="20">
      <c r="A20" s="25"/>
      <c r="B20" s="26"/>
      <c r="C20" s="27">
        <v>2.0</v>
      </c>
      <c r="D20" s="88" t="s">
        <v>123</v>
      </c>
      <c r="E20" s="29" t="s">
        <v>24</v>
      </c>
      <c r="F20" s="29" t="s">
        <v>24</v>
      </c>
      <c r="G20" s="42">
        <v>240000.0</v>
      </c>
      <c r="H20" s="29" t="s">
        <v>24</v>
      </c>
      <c r="I20" s="42">
        <v>540000.0</v>
      </c>
      <c r="J20" s="29" t="s">
        <v>24</v>
      </c>
      <c r="K20" s="29" t="s">
        <v>24</v>
      </c>
      <c r="L20" s="42">
        <v>110000.0</v>
      </c>
      <c r="M20" s="29" t="s">
        <v>24</v>
      </c>
      <c r="N20" s="42">
        <v>240000.0</v>
      </c>
      <c r="O20" s="29" t="s">
        <v>24</v>
      </c>
      <c r="P20" s="29" t="s">
        <v>24</v>
      </c>
    </row>
    <row r="21" ht="15.75" customHeight="1">
      <c r="A21" s="25"/>
      <c r="B21" s="31"/>
      <c r="C21" s="27">
        <v>3.0</v>
      </c>
      <c r="D21" s="88" t="s">
        <v>124</v>
      </c>
      <c r="E21" s="29" t="s">
        <v>24</v>
      </c>
      <c r="F21" s="29" t="s">
        <v>24</v>
      </c>
      <c r="G21" s="42">
        <v>1600000.0</v>
      </c>
      <c r="H21" s="29" t="s">
        <v>24</v>
      </c>
      <c r="I21" s="42">
        <v>920000.0</v>
      </c>
      <c r="J21" s="29" t="s">
        <v>24</v>
      </c>
      <c r="K21" s="29" t="s">
        <v>24</v>
      </c>
      <c r="L21" s="42">
        <v>240000.0</v>
      </c>
      <c r="M21" s="29" t="s">
        <v>24</v>
      </c>
      <c r="N21" s="42">
        <v>110000.0</v>
      </c>
      <c r="O21" s="29" t="s">
        <v>24</v>
      </c>
      <c r="P21" s="29" t="s">
        <v>24</v>
      </c>
    </row>
    <row r="22" ht="15.75" customHeight="1">
      <c r="A22" s="25"/>
      <c r="B22" s="32" t="s">
        <v>125</v>
      </c>
      <c r="C22" s="33">
        <v>1.0</v>
      </c>
      <c r="D22" s="87" t="s">
        <v>122</v>
      </c>
      <c r="E22" s="23" t="s">
        <v>24</v>
      </c>
      <c r="F22" s="23" t="s">
        <v>24</v>
      </c>
      <c r="G22" s="45">
        <v>0.754</v>
      </c>
      <c r="H22" s="23" t="s">
        <v>24</v>
      </c>
      <c r="I22" s="45">
        <v>1.086</v>
      </c>
      <c r="J22" s="23" t="s">
        <v>24</v>
      </c>
      <c r="K22" s="23" t="s">
        <v>24</v>
      </c>
      <c r="L22" s="45">
        <v>0.657</v>
      </c>
      <c r="M22" s="23" t="s">
        <v>24</v>
      </c>
      <c r="N22" s="45">
        <v>0.862</v>
      </c>
      <c r="O22" s="23" t="s">
        <v>24</v>
      </c>
      <c r="P22" s="23" t="s">
        <v>24</v>
      </c>
    </row>
    <row r="23" ht="15.75" customHeight="1">
      <c r="A23" s="25"/>
      <c r="B23" s="26"/>
      <c r="C23" s="27">
        <v>2.0</v>
      </c>
      <c r="D23" s="88" t="s">
        <v>123</v>
      </c>
      <c r="E23" s="29" t="s">
        <v>24</v>
      </c>
      <c r="F23" s="29" t="s">
        <v>24</v>
      </c>
      <c r="G23" s="84">
        <v>0.343</v>
      </c>
      <c r="H23" s="29" t="s">
        <v>24</v>
      </c>
      <c r="I23" s="84">
        <v>1.317</v>
      </c>
      <c r="J23" s="29" t="s">
        <v>24</v>
      </c>
      <c r="K23" s="29" t="s">
        <v>24</v>
      </c>
      <c r="L23" s="84">
        <v>0.45</v>
      </c>
      <c r="M23" s="29" t="s">
        <v>24</v>
      </c>
      <c r="N23" s="84">
        <v>0.85</v>
      </c>
      <c r="O23" s="29" t="s">
        <v>24</v>
      </c>
      <c r="P23" s="29" t="s">
        <v>24</v>
      </c>
    </row>
    <row r="24" ht="15.75" customHeight="1">
      <c r="A24" s="25"/>
      <c r="B24" s="31"/>
      <c r="C24" s="27">
        <v>3.0</v>
      </c>
      <c r="D24" s="88" t="s">
        <v>124</v>
      </c>
      <c r="E24" s="29" t="s">
        <v>24</v>
      </c>
      <c r="F24" s="29" t="s">
        <v>24</v>
      </c>
      <c r="G24" s="29">
        <v>1.541</v>
      </c>
      <c r="H24" s="29" t="s">
        <v>24</v>
      </c>
      <c r="I24" s="29">
        <v>1.311</v>
      </c>
      <c r="J24" s="29" t="s">
        <v>24</v>
      </c>
      <c r="K24" s="29" t="s">
        <v>24</v>
      </c>
      <c r="L24" s="29">
        <v>0.224</v>
      </c>
      <c r="M24" s="29" t="s">
        <v>24</v>
      </c>
      <c r="N24" s="29">
        <v>0.887</v>
      </c>
      <c r="O24" s="29" t="s">
        <v>24</v>
      </c>
      <c r="P24" s="29" t="s">
        <v>24</v>
      </c>
    </row>
    <row r="25" ht="15.75" customHeight="1">
      <c r="A25" s="25"/>
      <c r="B25" s="32" t="s">
        <v>126</v>
      </c>
      <c r="C25" s="33">
        <v>1.0</v>
      </c>
      <c r="D25" s="87" t="s">
        <v>122</v>
      </c>
      <c r="E25" s="23" t="s">
        <v>24</v>
      </c>
      <c r="F25" s="23" t="s">
        <v>24</v>
      </c>
      <c r="G25" s="23">
        <v>0.589</v>
      </c>
      <c r="H25" s="23" t="s">
        <v>24</v>
      </c>
      <c r="I25" s="23">
        <v>0.626</v>
      </c>
      <c r="J25" s="23" t="s">
        <v>24</v>
      </c>
      <c r="K25" s="23" t="s">
        <v>24</v>
      </c>
      <c r="L25" s="23">
        <v>0.226</v>
      </c>
      <c r="M25" s="23" t="s">
        <v>24</v>
      </c>
      <c r="N25" s="23">
        <v>0.098</v>
      </c>
      <c r="O25" s="23" t="s">
        <v>24</v>
      </c>
      <c r="P25" s="23" t="s">
        <v>24</v>
      </c>
    </row>
    <row r="26" ht="15.75" customHeight="1">
      <c r="A26" s="25"/>
      <c r="B26" s="26"/>
      <c r="C26" s="27">
        <v>2.0</v>
      </c>
      <c r="D26" s="88" t="s">
        <v>123</v>
      </c>
      <c r="E26" s="29" t="s">
        <v>24</v>
      </c>
      <c r="F26" s="29" t="s">
        <v>24</v>
      </c>
      <c r="G26" s="84">
        <v>0.553</v>
      </c>
      <c r="H26" s="29" t="s">
        <v>24</v>
      </c>
      <c r="I26" s="84">
        <v>0.652</v>
      </c>
      <c r="J26" s="29" t="s">
        <v>24</v>
      </c>
      <c r="K26" s="29" t="s">
        <v>24</v>
      </c>
      <c r="L26" s="84">
        <v>0.223</v>
      </c>
      <c r="M26" s="29" t="s">
        <v>24</v>
      </c>
      <c r="N26" s="84">
        <v>0.122</v>
      </c>
      <c r="O26" s="29" t="s">
        <v>24</v>
      </c>
      <c r="P26" s="29" t="s">
        <v>24</v>
      </c>
    </row>
    <row r="27" ht="15.75" customHeight="1">
      <c r="A27" s="25"/>
      <c r="B27" s="31"/>
      <c r="C27" s="27">
        <v>3.0</v>
      </c>
      <c r="D27" s="88" t="s">
        <v>124</v>
      </c>
      <c r="E27" s="29" t="s">
        <v>24</v>
      </c>
      <c r="F27" s="29" t="s">
        <v>24</v>
      </c>
      <c r="G27" s="29">
        <v>0.318</v>
      </c>
      <c r="H27" s="29" t="s">
        <v>24</v>
      </c>
      <c r="I27" s="29">
        <v>0.341</v>
      </c>
      <c r="J27" s="29" t="s">
        <v>24</v>
      </c>
      <c r="K27" s="29" t="s">
        <v>24</v>
      </c>
      <c r="L27" s="29">
        <v>0.109</v>
      </c>
      <c r="M27" s="29" t="s">
        <v>24</v>
      </c>
      <c r="N27" s="29">
        <v>0.069</v>
      </c>
      <c r="O27" s="29" t="s">
        <v>24</v>
      </c>
      <c r="P27" s="29" t="s">
        <v>24</v>
      </c>
    </row>
    <row r="28" ht="15.75" customHeight="1">
      <c r="A28" s="25"/>
      <c r="B28" s="32" t="s">
        <v>127</v>
      </c>
      <c r="C28" s="33">
        <v>1.0</v>
      </c>
      <c r="D28" s="87" t="s">
        <v>122</v>
      </c>
      <c r="E28" s="23" t="s">
        <v>24</v>
      </c>
      <c r="F28" s="23" t="s">
        <v>24</v>
      </c>
      <c r="G28" s="23">
        <v>0.151</v>
      </c>
      <c r="H28" s="23" t="s">
        <v>24</v>
      </c>
      <c r="I28" s="23">
        <v>0.249</v>
      </c>
      <c r="J28" s="23" t="s">
        <v>24</v>
      </c>
      <c r="K28" s="23" t="s">
        <v>24</v>
      </c>
      <c r="L28" s="23">
        <v>0.334</v>
      </c>
      <c r="M28" s="23" t="s">
        <v>24</v>
      </c>
      <c r="N28" s="23">
        <v>0.209</v>
      </c>
      <c r="O28" s="23" t="s">
        <v>24</v>
      </c>
      <c r="P28" s="23" t="s">
        <v>24</v>
      </c>
    </row>
    <row r="29" ht="15.75" customHeight="1">
      <c r="A29" s="25"/>
      <c r="B29" s="26"/>
      <c r="C29" s="27">
        <v>2.0</v>
      </c>
      <c r="D29" s="88" t="s">
        <v>123</v>
      </c>
      <c r="E29" s="29" t="s">
        <v>24</v>
      </c>
      <c r="F29" s="29" t="s">
        <v>24</v>
      </c>
      <c r="G29" s="84">
        <v>0.155</v>
      </c>
      <c r="H29" s="29" t="s">
        <v>24</v>
      </c>
      <c r="I29" s="84">
        <v>0.359</v>
      </c>
      <c r="J29" s="29" t="s">
        <v>24</v>
      </c>
      <c r="K29" s="29" t="s">
        <v>24</v>
      </c>
      <c r="L29" s="84">
        <v>0.304</v>
      </c>
      <c r="M29" s="29" t="s">
        <v>24</v>
      </c>
      <c r="N29" s="84">
        <v>0.196</v>
      </c>
      <c r="O29" s="29" t="s">
        <v>24</v>
      </c>
      <c r="P29" s="29" t="s">
        <v>24</v>
      </c>
    </row>
    <row r="30" ht="15.75" customHeight="1">
      <c r="A30" s="25"/>
      <c r="B30" s="31"/>
      <c r="C30" s="27">
        <v>3.0</v>
      </c>
      <c r="D30" s="88" t="s">
        <v>124</v>
      </c>
      <c r="E30" s="29" t="s">
        <v>24</v>
      </c>
      <c r="F30" s="29" t="s">
        <v>24</v>
      </c>
      <c r="G30" s="29">
        <v>0.373</v>
      </c>
      <c r="H30" s="29" t="s">
        <v>24</v>
      </c>
      <c r="I30" s="29">
        <v>0.628</v>
      </c>
      <c r="J30" s="29" t="s">
        <v>24</v>
      </c>
      <c r="K30" s="29" t="s">
        <v>24</v>
      </c>
      <c r="L30" s="29">
        <v>0.35</v>
      </c>
      <c r="M30" s="29" t="s">
        <v>24</v>
      </c>
      <c r="N30" s="29">
        <v>0.206</v>
      </c>
      <c r="O30" s="29" t="s">
        <v>24</v>
      </c>
      <c r="P30" s="29" t="s">
        <v>24</v>
      </c>
    </row>
    <row r="31" ht="15.75" customHeight="1">
      <c r="A31" s="62" t="s">
        <v>110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13:B15"/>
    <mergeCell ref="B16:B18"/>
    <mergeCell ref="B19:B21"/>
    <mergeCell ref="B22:B24"/>
    <mergeCell ref="B25:B27"/>
    <mergeCell ref="B28:B30"/>
    <mergeCell ref="A1:P1"/>
    <mergeCell ref="A2:P2"/>
    <mergeCell ref="A3:P3"/>
    <mergeCell ref="A5:P5"/>
    <mergeCell ref="A6:P6"/>
    <mergeCell ref="B7:B9"/>
    <mergeCell ref="B10:B12"/>
  </mergeCells>
  <printOptions horizontalCentered="1" verticalCentered="1"/>
  <pageMargins bottom="0.0" footer="0.0" header="0.0" left="0.0" right="0.0" top="0.0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1.29"/>
    <col customWidth="1" min="5" max="9" width="8.71"/>
    <col customWidth="1" min="10" max="10" width="12.86"/>
    <col customWidth="1" min="11" max="12" width="8.71"/>
    <col customWidth="1" min="13" max="13" width="12.86"/>
    <col customWidth="1" min="14" max="15" width="8.71"/>
    <col customWidth="1" min="16" max="16" width="12.86"/>
    <col customWidth="1" min="17" max="26" width="8.71"/>
  </cols>
  <sheetData>
    <row r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>
      <c r="A3" s="7">
        <v>2017.0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>
      <c r="A4" s="89" t="s">
        <v>3</v>
      </c>
      <c r="B4" s="11" t="s">
        <v>4</v>
      </c>
      <c r="C4" s="11" t="s">
        <v>5</v>
      </c>
      <c r="D4" s="11" t="s">
        <v>6</v>
      </c>
      <c r="E4" s="11" t="s">
        <v>7</v>
      </c>
      <c r="F4" s="11" t="s">
        <v>8</v>
      </c>
      <c r="G4" s="11" t="s">
        <v>9</v>
      </c>
      <c r="H4" s="11" t="s">
        <v>10</v>
      </c>
      <c r="I4" s="11" t="s">
        <v>11</v>
      </c>
      <c r="J4" s="11" t="s">
        <v>12</v>
      </c>
      <c r="K4" s="11" t="s">
        <v>13</v>
      </c>
      <c r="L4" s="11" t="s">
        <v>14</v>
      </c>
      <c r="M4" s="11" t="s">
        <v>15</v>
      </c>
      <c r="N4" s="11" t="s">
        <v>16</v>
      </c>
      <c r="O4" s="11" t="s">
        <v>17</v>
      </c>
      <c r="P4" s="11" t="s">
        <v>18</v>
      </c>
    </row>
    <row r="5">
      <c r="A5" s="13" t="s">
        <v>128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>
      <c r="A6" s="16" t="s">
        <v>54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7">
      <c r="A7" s="90" t="s">
        <v>21</v>
      </c>
      <c r="B7" s="32" t="s">
        <v>22</v>
      </c>
      <c r="C7" s="33">
        <v>1.0</v>
      </c>
      <c r="D7" s="91" t="s">
        <v>129</v>
      </c>
      <c r="E7" s="92" t="s">
        <v>24</v>
      </c>
      <c r="F7" s="92" t="s">
        <v>24</v>
      </c>
      <c r="G7" s="92" t="s">
        <v>24</v>
      </c>
      <c r="H7" s="92" t="s">
        <v>24</v>
      </c>
      <c r="I7" s="92" t="s">
        <v>24</v>
      </c>
      <c r="J7" s="23">
        <v>3.75</v>
      </c>
      <c r="K7" s="92" t="s">
        <v>24</v>
      </c>
      <c r="L7" s="92" t="s">
        <v>24</v>
      </c>
      <c r="M7" s="23">
        <v>3.78</v>
      </c>
      <c r="N7" s="92" t="s">
        <v>24</v>
      </c>
      <c r="O7" s="92" t="s">
        <v>24</v>
      </c>
      <c r="P7" s="24">
        <v>6.6</v>
      </c>
    </row>
    <row r="8">
      <c r="A8" s="25"/>
      <c r="B8" s="26"/>
      <c r="C8" s="27">
        <v>2.0</v>
      </c>
      <c r="D8" s="91" t="s">
        <v>130</v>
      </c>
      <c r="E8" s="93" t="s">
        <v>24</v>
      </c>
      <c r="F8" s="93" t="s">
        <v>24</v>
      </c>
      <c r="G8" s="93" t="s">
        <v>24</v>
      </c>
      <c r="H8" s="93" t="s">
        <v>24</v>
      </c>
      <c r="I8" s="93" t="s">
        <v>24</v>
      </c>
      <c r="J8" s="30">
        <v>3.6</v>
      </c>
      <c r="K8" s="93" t="s">
        <v>24</v>
      </c>
      <c r="L8" s="93" t="s">
        <v>24</v>
      </c>
      <c r="M8" s="29">
        <v>3.63</v>
      </c>
      <c r="N8" s="93" t="s">
        <v>24</v>
      </c>
      <c r="O8" s="93" t="s">
        <v>24</v>
      </c>
      <c r="P8" s="30">
        <v>6.63</v>
      </c>
    </row>
    <row r="9">
      <c r="A9" s="25"/>
      <c r="B9" s="31"/>
      <c r="C9" s="27">
        <v>3.0</v>
      </c>
      <c r="D9" s="91" t="s">
        <v>131</v>
      </c>
      <c r="E9" s="93" t="s">
        <v>24</v>
      </c>
      <c r="F9" s="93" t="s">
        <v>24</v>
      </c>
      <c r="G9" s="93" t="s">
        <v>24</v>
      </c>
      <c r="H9" s="93" t="s">
        <v>24</v>
      </c>
      <c r="I9" s="93" t="s">
        <v>24</v>
      </c>
      <c r="J9" s="29">
        <v>3.65</v>
      </c>
      <c r="K9" s="93" t="s">
        <v>24</v>
      </c>
      <c r="L9" s="93" t="s">
        <v>24</v>
      </c>
      <c r="M9" s="29">
        <v>3.67</v>
      </c>
      <c r="N9" s="93" t="s">
        <v>24</v>
      </c>
      <c r="O9" s="93" t="s">
        <v>24</v>
      </c>
      <c r="P9" s="30">
        <v>6.58</v>
      </c>
    </row>
    <row r="10">
      <c r="A10" s="25"/>
      <c r="B10" s="32" t="s">
        <v>29</v>
      </c>
      <c r="C10" s="33">
        <v>1.0</v>
      </c>
      <c r="D10" s="91" t="s">
        <v>129</v>
      </c>
      <c r="E10" s="92" t="s">
        <v>24</v>
      </c>
      <c r="F10" s="92" t="s">
        <v>24</v>
      </c>
      <c r="G10" s="92" t="s">
        <v>24</v>
      </c>
      <c r="H10" s="92" t="s">
        <v>24</v>
      </c>
      <c r="I10" s="92" t="s">
        <v>24</v>
      </c>
      <c r="J10" s="24">
        <v>17.0</v>
      </c>
      <c r="K10" s="92" t="s">
        <v>24</v>
      </c>
      <c r="L10" s="92" t="s">
        <v>24</v>
      </c>
      <c r="M10" s="94">
        <v>4.0</v>
      </c>
      <c r="N10" s="92" t="s">
        <v>24</v>
      </c>
      <c r="O10" s="92" t="s">
        <v>24</v>
      </c>
      <c r="P10" s="23">
        <v>14.0</v>
      </c>
    </row>
    <row r="11">
      <c r="A11" s="25"/>
      <c r="B11" s="26"/>
      <c r="C11" s="27">
        <v>2.0</v>
      </c>
      <c r="D11" s="91" t="s">
        <v>130</v>
      </c>
      <c r="E11" s="93" t="s">
        <v>24</v>
      </c>
      <c r="F11" s="93" t="s">
        <v>24</v>
      </c>
      <c r="G11" s="93" t="s">
        <v>24</v>
      </c>
      <c r="H11" s="93" t="s">
        <v>24</v>
      </c>
      <c r="I11" s="93" t="s">
        <v>24</v>
      </c>
      <c r="J11" s="30">
        <v>8.0</v>
      </c>
      <c r="K11" s="93" t="s">
        <v>24</v>
      </c>
      <c r="L11" s="93" t="s">
        <v>24</v>
      </c>
      <c r="M11" s="95">
        <v>9.0</v>
      </c>
      <c r="N11" s="93" t="s">
        <v>24</v>
      </c>
      <c r="O11" s="93" t="s">
        <v>24</v>
      </c>
      <c r="P11" s="29">
        <v>8.0</v>
      </c>
    </row>
    <row r="12">
      <c r="A12" s="25"/>
      <c r="B12" s="31"/>
      <c r="C12" s="27">
        <v>3.0</v>
      </c>
      <c r="D12" s="91" t="s">
        <v>131</v>
      </c>
      <c r="E12" s="93" t="s">
        <v>24</v>
      </c>
      <c r="F12" s="93" t="s">
        <v>24</v>
      </c>
      <c r="G12" s="93" t="s">
        <v>24</v>
      </c>
      <c r="H12" s="93" t="s">
        <v>24</v>
      </c>
      <c r="I12" s="93" t="s">
        <v>24</v>
      </c>
      <c r="J12" s="30">
        <v>6.0</v>
      </c>
      <c r="K12" s="93" t="s">
        <v>24</v>
      </c>
      <c r="L12" s="93" t="s">
        <v>24</v>
      </c>
      <c r="M12" s="95">
        <v>15.0</v>
      </c>
      <c r="N12" s="93" t="s">
        <v>24</v>
      </c>
      <c r="O12" s="93" t="s">
        <v>24</v>
      </c>
      <c r="P12" s="29">
        <v>9.0</v>
      </c>
    </row>
    <row r="13">
      <c r="A13" s="25"/>
      <c r="B13" s="32" t="s">
        <v>30</v>
      </c>
      <c r="C13" s="33">
        <v>1.0</v>
      </c>
      <c r="D13" s="91" t="s">
        <v>129</v>
      </c>
      <c r="E13" s="92" t="s">
        <v>24</v>
      </c>
      <c r="F13" s="92" t="s">
        <v>24</v>
      </c>
      <c r="G13" s="92" t="s">
        <v>24</v>
      </c>
      <c r="H13" s="92" t="s">
        <v>24</v>
      </c>
      <c r="I13" s="92" t="s">
        <v>24</v>
      </c>
      <c r="J13" s="96">
        <v>55.0</v>
      </c>
      <c r="K13" s="92" t="s">
        <v>24</v>
      </c>
      <c r="L13" s="92" t="s">
        <v>24</v>
      </c>
      <c r="M13" s="23">
        <v>38.0</v>
      </c>
      <c r="N13" s="92" t="s">
        <v>24</v>
      </c>
      <c r="O13" s="92" t="s">
        <v>24</v>
      </c>
      <c r="P13" s="23">
        <v>7.0</v>
      </c>
    </row>
    <row r="14">
      <c r="A14" s="25"/>
      <c r="B14" s="26"/>
      <c r="C14" s="27">
        <v>2.0</v>
      </c>
      <c r="D14" s="91" t="s">
        <v>130</v>
      </c>
      <c r="E14" s="93" t="s">
        <v>24</v>
      </c>
      <c r="F14" s="93" t="s">
        <v>24</v>
      </c>
      <c r="G14" s="93" t="s">
        <v>24</v>
      </c>
      <c r="H14" s="93" t="s">
        <v>24</v>
      </c>
      <c r="I14" s="93" t="s">
        <v>24</v>
      </c>
      <c r="J14" s="25">
        <v>29.0</v>
      </c>
      <c r="K14" s="93" t="s">
        <v>24</v>
      </c>
      <c r="L14" s="93" t="s">
        <v>24</v>
      </c>
      <c r="M14" s="29">
        <v>43.0</v>
      </c>
      <c r="N14" s="93" t="s">
        <v>24</v>
      </c>
      <c r="O14" s="93" t="s">
        <v>24</v>
      </c>
      <c r="P14" s="29">
        <v>8.0</v>
      </c>
    </row>
    <row r="15">
      <c r="A15" s="25"/>
      <c r="B15" s="31"/>
      <c r="C15" s="27">
        <v>3.0</v>
      </c>
      <c r="D15" s="91" t="s">
        <v>131</v>
      </c>
      <c r="E15" s="93" t="s">
        <v>24</v>
      </c>
      <c r="F15" s="93" t="s">
        <v>24</v>
      </c>
      <c r="G15" s="93" t="s">
        <v>24</v>
      </c>
      <c r="H15" s="93" t="s">
        <v>24</v>
      </c>
      <c r="I15" s="93" t="s">
        <v>24</v>
      </c>
      <c r="J15" s="25">
        <v>23.0</v>
      </c>
      <c r="K15" s="93" t="s">
        <v>24</v>
      </c>
      <c r="L15" s="93" t="s">
        <v>24</v>
      </c>
      <c r="M15" s="29">
        <v>80.0</v>
      </c>
      <c r="N15" s="93" t="s">
        <v>24</v>
      </c>
      <c r="O15" s="93" t="s">
        <v>24</v>
      </c>
      <c r="P15" s="29">
        <v>10.0</v>
      </c>
    </row>
    <row r="16">
      <c r="A16" s="25"/>
      <c r="B16" s="32" t="s">
        <v>31</v>
      </c>
      <c r="C16" s="33">
        <v>1.0</v>
      </c>
      <c r="D16" s="91" t="s">
        <v>129</v>
      </c>
      <c r="E16" s="92" t="s">
        <v>24</v>
      </c>
      <c r="F16" s="92" t="s">
        <v>24</v>
      </c>
      <c r="G16" s="92" t="s">
        <v>24</v>
      </c>
      <c r="H16" s="92" t="s">
        <v>24</v>
      </c>
      <c r="I16" s="92" t="s">
        <v>24</v>
      </c>
      <c r="J16" s="23">
        <v>7.43</v>
      </c>
      <c r="K16" s="92" t="s">
        <v>24</v>
      </c>
      <c r="L16" s="92" t="s">
        <v>24</v>
      </c>
      <c r="M16" s="24">
        <v>6.8</v>
      </c>
      <c r="N16" s="92" t="s">
        <v>24</v>
      </c>
      <c r="O16" s="92" t="s">
        <v>24</v>
      </c>
      <c r="P16" s="23">
        <v>7.19</v>
      </c>
    </row>
    <row r="17">
      <c r="A17" s="25"/>
      <c r="B17" s="26"/>
      <c r="C17" s="27">
        <v>2.0</v>
      </c>
      <c r="D17" s="91" t="s">
        <v>130</v>
      </c>
      <c r="E17" s="93" t="s">
        <v>24</v>
      </c>
      <c r="F17" s="93" t="s">
        <v>24</v>
      </c>
      <c r="G17" s="93" t="s">
        <v>24</v>
      </c>
      <c r="H17" s="93" t="s">
        <v>24</v>
      </c>
      <c r="I17" s="93" t="s">
        <v>24</v>
      </c>
      <c r="J17" s="84">
        <v>7.67</v>
      </c>
      <c r="K17" s="93" t="s">
        <v>24</v>
      </c>
      <c r="L17" s="93" t="s">
        <v>24</v>
      </c>
      <c r="M17" s="84">
        <v>6.99</v>
      </c>
      <c r="N17" s="93" t="s">
        <v>24</v>
      </c>
      <c r="O17" s="93" t="s">
        <v>24</v>
      </c>
      <c r="P17" s="29">
        <v>7.45</v>
      </c>
    </row>
    <row r="18">
      <c r="A18" s="25"/>
      <c r="B18" s="31"/>
      <c r="C18" s="27">
        <v>3.0</v>
      </c>
      <c r="D18" s="91" t="s">
        <v>131</v>
      </c>
      <c r="E18" s="93" t="s">
        <v>24</v>
      </c>
      <c r="F18" s="93" t="s">
        <v>24</v>
      </c>
      <c r="G18" s="93" t="s">
        <v>24</v>
      </c>
      <c r="H18" s="93" t="s">
        <v>24</v>
      </c>
      <c r="I18" s="93" t="s">
        <v>24</v>
      </c>
      <c r="J18" s="30">
        <v>7.7</v>
      </c>
      <c r="K18" s="93" t="s">
        <v>24</v>
      </c>
      <c r="L18" s="93" t="s">
        <v>24</v>
      </c>
      <c r="M18" s="29">
        <v>7.03</v>
      </c>
      <c r="N18" s="93" t="s">
        <v>24</v>
      </c>
      <c r="O18" s="93" t="s">
        <v>24</v>
      </c>
      <c r="P18" s="29">
        <v>7.33</v>
      </c>
    </row>
    <row r="19">
      <c r="A19" s="25"/>
      <c r="B19" s="32" t="s">
        <v>132</v>
      </c>
      <c r="C19" s="33">
        <v>1.0</v>
      </c>
      <c r="D19" s="91" t="s">
        <v>129</v>
      </c>
      <c r="E19" s="92" t="s">
        <v>24</v>
      </c>
      <c r="F19" s="92" t="s">
        <v>24</v>
      </c>
      <c r="G19" s="92" t="s">
        <v>24</v>
      </c>
      <c r="H19" s="92" t="s">
        <v>24</v>
      </c>
      <c r="I19" s="92" t="s">
        <v>24</v>
      </c>
      <c r="J19" s="24">
        <v>33.4</v>
      </c>
      <c r="K19" s="92" t="s">
        <v>24</v>
      </c>
      <c r="L19" s="92" t="s">
        <v>24</v>
      </c>
      <c r="M19" s="23">
        <v>30.05</v>
      </c>
      <c r="N19" s="92" t="s">
        <v>24</v>
      </c>
      <c r="O19" s="92" t="s">
        <v>24</v>
      </c>
      <c r="P19" s="24">
        <v>29.1</v>
      </c>
    </row>
    <row r="20">
      <c r="A20" s="25"/>
      <c r="B20" s="26"/>
      <c r="C20" s="27">
        <v>2.0</v>
      </c>
      <c r="D20" s="91" t="s">
        <v>130</v>
      </c>
      <c r="E20" s="93" t="s">
        <v>24</v>
      </c>
      <c r="F20" s="93" t="s">
        <v>24</v>
      </c>
      <c r="G20" s="93" t="s">
        <v>24</v>
      </c>
      <c r="H20" s="93" t="s">
        <v>24</v>
      </c>
      <c r="I20" s="93" t="s">
        <v>24</v>
      </c>
      <c r="J20" s="97">
        <v>33.8</v>
      </c>
      <c r="K20" s="93" t="s">
        <v>24</v>
      </c>
      <c r="L20" s="93" t="s">
        <v>24</v>
      </c>
      <c r="M20" s="97">
        <v>29.8</v>
      </c>
      <c r="N20" s="93" t="s">
        <v>24</v>
      </c>
      <c r="O20" s="93" t="s">
        <v>24</v>
      </c>
      <c r="P20" s="97">
        <v>29.5</v>
      </c>
    </row>
    <row r="21" ht="15.75" customHeight="1">
      <c r="A21" s="25"/>
      <c r="B21" s="31"/>
      <c r="C21" s="27">
        <v>3.0</v>
      </c>
      <c r="D21" s="91" t="s">
        <v>131</v>
      </c>
      <c r="E21" s="93" t="s">
        <v>24</v>
      </c>
      <c r="F21" s="93" t="s">
        <v>24</v>
      </c>
      <c r="G21" s="93" t="s">
        <v>24</v>
      </c>
      <c r="H21" s="93" t="s">
        <v>24</v>
      </c>
      <c r="I21" s="93" t="s">
        <v>24</v>
      </c>
      <c r="J21" s="30">
        <v>34.0</v>
      </c>
      <c r="K21" s="93" t="s">
        <v>24</v>
      </c>
      <c r="L21" s="93" t="s">
        <v>24</v>
      </c>
      <c r="M21" s="30">
        <v>30.4</v>
      </c>
      <c r="N21" s="93" t="s">
        <v>24</v>
      </c>
      <c r="O21" s="93" t="s">
        <v>24</v>
      </c>
      <c r="P21" s="30">
        <v>30.0</v>
      </c>
    </row>
    <row r="22" ht="15.75" customHeight="1">
      <c r="A22" s="25"/>
      <c r="B22" s="32" t="s">
        <v>33</v>
      </c>
      <c r="C22" s="33">
        <v>1.0</v>
      </c>
      <c r="D22" s="91" t="s">
        <v>129</v>
      </c>
      <c r="E22" s="92" t="s">
        <v>24</v>
      </c>
      <c r="F22" s="92" t="s">
        <v>24</v>
      </c>
      <c r="G22" s="92" t="s">
        <v>24</v>
      </c>
      <c r="H22" s="92" t="s">
        <v>24</v>
      </c>
      <c r="I22" s="92" t="s">
        <v>24</v>
      </c>
      <c r="J22" s="23">
        <v>30.0</v>
      </c>
      <c r="K22" s="92" t="s">
        <v>24</v>
      </c>
      <c r="L22" s="92" t="s">
        <v>24</v>
      </c>
      <c r="M22" s="23">
        <v>15.0</v>
      </c>
      <c r="N22" s="92" t="s">
        <v>24</v>
      </c>
      <c r="O22" s="92" t="s">
        <v>24</v>
      </c>
      <c r="P22" s="23">
        <v>5.0</v>
      </c>
    </row>
    <row r="23" ht="15.75" customHeight="1">
      <c r="A23" s="25"/>
      <c r="B23" s="26"/>
      <c r="C23" s="27">
        <v>2.0</v>
      </c>
      <c r="D23" s="91" t="s">
        <v>130</v>
      </c>
      <c r="E23" s="93" t="s">
        <v>24</v>
      </c>
      <c r="F23" s="93" t="s">
        <v>24</v>
      </c>
      <c r="G23" s="93" t="s">
        <v>24</v>
      </c>
      <c r="H23" s="93" t="s">
        <v>24</v>
      </c>
      <c r="I23" s="93" t="s">
        <v>24</v>
      </c>
      <c r="J23" s="29">
        <v>15.0</v>
      </c>
      <c r="K23" s="93" t="s">
        <v>24</v>
      </c>
      <c r="L23" s="93" t="s">
        <v>24</v>
      </c>
      <c r="M23" s="29">
        <v>10.0</v>
      </c>
      <c r="N23" s="93" t="s">
        <v>24</v>
      </c>
      <c r="O23" s="93" t="s">
        <v>24</v>
      </c>
      <c r="P23" s="29">
        <v>5.0</v>
      </c>
    </row>
    <row r="24" ht="15.75" customHeight="1">
      <c r="A24" s="25"/>
      <c r="B24" s="31"/>
      <c r="C24" s="27">
        <v>3.0</v>
      </c>
      <c r="D24" s="91" t="s">
        <v>131</v>
      </c>
      <c r="E24" s="93" t="s">
        <v>24</v>
      </c>
      <c r="F24" s="93" t="s">
        <v>24</v>
      </c>
      <c r="G24" s="93" t="s">
        <v>24</v>
      </c>
      <c r="H24" s="93" t="s">
        <v>24</v>
      </c>
      <c r="I24" s="93" t="s">
        <v>24</v>
      </c>
      <c r="J24" s="29">
        <v>20.0</v>
      </c>
      <c r="K24" s="93" t="s">
        <v>24</v>
      </c>
      <c r="L24" s="93" t="s">
        <v>24</v>
      </c>
      <c r="M24" s="29">
        <v>10.0</v>
      </c>
      <c r="N24" s="93" t="s">
        <v>24</v>
      </c>
      <c r="O24" s="93" t="s">
        <v>24</v>
      </c>
      <c r="P24" s="29">
        <v>5.0</v>
      </c>
    </row>
    <row r="25" ht="15.75" customHeight="1">
      <c r="A25" s="25"/>
      <c r="B25" s="32" t="s">
        <v>34</v>
      </c>
      <c r="C25" s="33">
        <v>1.0</v>
      </c>
      <c r="D25" s="91" t="s">
        <v>129</v>
      </c>
      <c r="E25" s="92" t="s">
        <v>24</v>
      </c>
      <c r="F25" s="92" t="s">
        <v>24</v>
      </c>
      <c r="G25" s="92" t="s">
        <v>24</v>
      </c>
      <c r="H25" s="92" t="s">
        <v>24</v>
      </c>
      <c r="I25" s="92" t="s">
        <v>24</v>
      </c>
      <c r="J25" s="41">
        <v>92000.0</v>
      </c>
      <c r="K25" s="98" t="s">
        <v>24</v>
      </c>
      <c r="L25" s="98" t="s">
        <v>24</v>
      </c>
      <c r="M25" s="41">
        <v>54000.0</v>
      </c>
      <c r="N25" s="98" t="s">
        <v>24</v>
      </c>
      <c r="O25" s="98" t="s">
        <v>24</v>
      </c>
      <c r="P25" s="41">
        <v>54000.0</v>
      </c>
    </row>
    <row r="26" ht="15.75" customHeight="1">
      <c r="A26" s="25"/>
      <c r="B26" s="26"/>
      <c r="C26" s="27">
        <v>2.0</v>
      </c>
      <c r="D26" s="91" t="s">
        <v>130</v>
      </c>
      <c r="E26" s="93" t="s">
        <v>24</v>
      </c>
      <c r="F26" s="93" t="s">
        <v>24</v>
      </c>
      <c r="G26" s="93" t="s">
        <v>24</v>
      </c>
      <c r="H26" s="93" t="s">
        <v>24</v>
      </c>
      <c r="I26" s="93" t="s">
        <v>24</v>
      </c>
      <c r="J26" s="42">
        <v>7900.0</v>
      </c>
      <c r="K26" s="99" t="s">
        <v>24</v>
      </c>
      <c r="L26" s="99" t="s">
        <v>24</v>
      </c>
      <c r="M26" s="42">
        <v>13000.0</v>
      </c>
      <c r="N26" s="99" t="s">
        <v>24</v>
      </c>
      <c r="O26" s="99" t="s">
        <v>24</v>
      </c>
      <c r="P26" s="42">
        <v>35000.0</v>
      </c>
    </row>
    <row r="27" ht="15.75" customHeight="1">
      <c r="A27" s="25"/>
      <c r="B27" s="31"/>
      <c r="C27" s="27">
        <v>3.0</v>
      </c>
      <c r="D27" s="91" t="s">
        <v>131</v>
      </c>
      <c r="E27" s="93" t="s">
        <v>24</v>
      </c>
      <c r="F27" s="93" t="s">
        <v>24</v>
      </c>
      <c r="G27" s="93" t="s">
        <v>24</v>
      </c>
      <c r="H27" s="93" t="s">
        <v>24</v>
      </c>
      <c r="I27" s="93" t="s">
        <v>24</v>
      </c>
      <c r="J27" s="42">
        <v>7000.0</v>
      </c>
      <c r="K27" s="99" t="s">
        <v>24</v>
      </c>
      <c r="L27" s="99" t="s">
        <v>24</v>
      </c>
      <c r="M27" s="42">
        <v>46000.0</v>
      </c>
      <c r="N27" s="99" t="s">
        <v>24</v>
      </c>
      <c r="O27" s="99" t="s">
        <v>24</v>
      </c>
      <c r="P27" s="42">
        <v>92000.0</v>
      </c>
    </row>
    <row r="28" ht="15.75" customHeight="1">
      <c r="A28" s="25"/>
      <c r="B28" s="32" t="s">
        <v>133</v>
      </c>
      <c r="C28" s="33">
        <v>1.0</v>
      </c>
      <c r="D28" s="91" t="s">
        <v>129</v>
      </c>
      <c r="E28" s="92" t="s">
        <v>24</v>
      </c>
      <c r="F28" s="92" t="s">
        <v>24</v>
      </c>
      <c r="G28" s="92" t="s">
        <v>24</v>
      </c>
      <c r="H28" s="92" t="s">
        <v>24</v>
      </c>
      <c r="I28" s="92" t="s">
        <v>24</v>
      </c>
      <c r="J28" s="23">
        <v>1.101</v>
      </c>
      <c r="K28" s="92" t="s">
        <v>24</v>
      </c>
      <c r="L28" s="92" t="s">
        <v>24</v>
      </c>
      <c r="M28" s="100">
        <v>0.196</v>
      </c>
      <c r="N28" s="92" t="s">
        <v>24</v>
      </c>
      <c r="O28" s="92" t="s">
        <v>24</v>
      </c>
      <c r="P28" s="23" t="s">
        <v>38</v>
      </c>
    </row>
    <row r="29" ht="15.75" customHeight="1">
      <c r="A29" s="25"/>
      <c r="B29" s="26"/>
      <c r="C29" s="27">
        <v>2.0</v>
      </c>
      <c r="D29" s="91" t="s">
        <v>130</v>
      </c>
      <c r="E29" s="93" t="s">
        <v>24</v>
      </c>
      <c r="F29" s="93" t="s">
        <v>24</v>
      </c>
      <c r="G29" s="93" t="s">
        <v>24</v>
      </c>
      <c r="H29" s="93" t="s">
        <v>24</v>
      </c>
      <c r="I29" s="93" t="s">
        <v>24</v>
      </c>
      <c r="J29" s="84">
        <v>1.009</v>
      </c>
      <c r="K29" s="93" t="s">
        <v>24</v>
      </c>
      <c r="L29" s="93" t="s">
        <v>24</v>
      </c>
      <c r="M29" s="101">
        <v>0.104</v>
      </c>
      <c r="N29" s="93" t="s">
        <v>24</v>
      </c>
      <c r="O29" s="93" t="s">
        <v>24</v>
      </c>
      <c r="P29" s="29" t="s">
        <v>38</v>
      </c>
    </row>
    <row r="30" ht="15.75" customHeight="1">
      <c r="A30" s="25"/>
      <c r="B30" s="31"/>
      <c r="C30" s="27">
        <v>3.0</v>
      </c>
      <c r="D30" s="91" t="s">
        <v>131</v>
      </c>
      <c r="E30" s="93" t="s">
        <v>24</v>
      </c>
      <c r="F30" s="93" t="s">
        <v>24</v>
      </c>
      <c r="G30" s="93" t="s">
        <v>24</v>
      </c>
      <c r="H30" s="93" t="s">
        <v>24</v>
      </c>
      <c r="I30" s="93" t="s">
        <v>24</v>
      </c>
      <c r="J30" s="29">
        <v>1.068</v>
      </c>
      <c r="K30" s="93" t="s">
        <v>24</v>
      </c>
      <c r="L30" s="93" t="s">
        <v>24</v>
      </c>
      <c r="M30" s="102">
        <v>0.251</v>
      </c>
      <c r="N30" s="93" t="s">
        <v>24</v>
      </c>
      <c r="O30" s="93" t="s">
        <v>24</v>
      </c>
      <c r="P30" s="29" t="s">
        <v>38</v>
      </c>
    </row>
    <row r="31" ht="15.75" customHeight="1">
      <c r="A31" s="25"/>
      <c r="B31" s="32" t="s">
        <v>134</v>
      </c>
      <c r="C31" s="33">
        <v>1.0</v>
      </c>
      <c r="D31" s="91" t="s">
        <v>129</v>
      </c>
      <c r="E31" s="92" t="s">
        <v>24</v>
      </c>
      <c r="F31" s="92" t="s">
        <v>24</v>
      </c>
      <c r="G31" s="92" t="s">
        <v>24</v>
      </c>
      <c r="H31" s="92" t="s">
        <v>24</v>
      </c>
      <c r="I31" s="92" t="s">
        <v>24</v>
      </c>
      <c r="J31" s="100">
        <v>0.133</v>
      </c>
      <c r="K31" s="92" t="s">
        <v>24</v>
      </c>
      <c r="L31" s="92" t="s">
        <v>24</v>
      </c>
      <c r="M31" s="100">
        <v>0.315</v>
      </c>
      <c r="N31" s="92" t="s">
        <v>24</v>
      </c>
      <c r="O31" s="92" t="s">
        <v>24</v>
      </c>
      <c r="P31" s="100">
        <v>0.095</v>
      </c>
    </row>
    <row r="32" ht="15.75" customHeight="1">
      <c r="A32" s="25"/>
      <c r="B32" s="26"/>
      <c r="C32" s="27">
        <v>2.0</v>
      </c>
      <c r="D32" s="91" t="s">
        <v>130</v>
      </c>
      <c r="E32" s="93" t="s">
        <v>24</v>
      </c>
      <c r="F32" s="93" t="s">
        <v>24</v>
      </c>
      <c r="G32" s="93" t="s">
        <v>24</v>
      </c>
      <c r="H32" s="93" t="s">
        <v>24</v>
      </c>
      <c r="I32" s="93" t="s">
        <v>24</v>
      </c>
      <c r="J32" s="101">
        <v>0.954</v>
      </c>
      <c r="K32" s="93" t="s">
        <v>24</v>
      </c>
      <c r="L32" s="93" t="s">
        <v>24</v>
      </c>
      <c r="M32" s="101">
        <v>0.415</v>
      </c>
      <c r="N32" s="93" t="s">
        <v>24</v>
      </c>
      <c r="O32" s="93" t="s">
        <v>24</v>
      </c>
      <c r="P32" s="102">
        <v>0.076</v>
      </c>
    </row>
    <row r="33" ht="15.75" customHeight="1">
      <c r="A33" s="25"/>
      <c r="B33" s="31"/>
      <c r="C33" s="27">
        <v>3.0</v>
      </c>
      <c r="D33" s="91" t="s">
        <v>131</v>
      </c>
      <c r="E33" s="93" t="s">
        <v>24</v>
      </c>
      <c r="F33" s="93" t="s">
        <v>24</v>
      </c>
      <c r="G33" s="93" t="s">
        <v>24</v>
      </c>
      <c r="H33" s="93" t="s">
        <v>24</v>
      </c>
      <c r="I33" s="93" t="s">
        <v>24</v>
      </c>
      <c r="J33" s="102">
        <v>0.917</v>
      </c>
      <c r="K33" s="93" t="s">
        <v>24</v>
      </c>
      <c r="L33" s="93" t="s">
        <v>24</v>
      </c>
      <c r="M33" s="102">
        <v>0.251</v>
      </c>
      <c r="N33" s="93" t="s">
        <v>24</v>
      </c>
      <c r="O33" s="93" t="s">
        <v>24</v>
      </c>
      <c r="P33" s="102">
        <v>0.075</v>
      </c>
    </row>
    <row r="34" ht="15.75" customHeight="1">
      <c r="A34" s="25"/>
      <c r="B34" s="32" t="s">
        <v>40</v>
      </c>
      <c r="C34" s="33">
        <v>1.0</v>
      </c>
      <c r="D34" s="91" t="s">
        <v>129</v>
      </c>
      <c r="E34" s="92" t="s">
        <v>24</v>
      </c>
      <c r="F34" s="92" t="s">
        <v>24</v>
      </c>
      <c r="G34" s="92" t="s">
        <v>24</v>
      </c>
      <c r="H34" s="92" t="s">
        <v>24</v>
      </c>
      <c r="I34" s="92" t="s">
        <v>24</v>
      </c>
      <c r="J34" s="23">
        <v>6.0</v>
      </c>
      <c r="K34" s="92" t="s">
        <v>24</v>
      </c>
      <c r="L34" s="92" t="s">
        <v>24</v>
      </c>
      <c r="M34" s="23">
        <v>18.0</v>
      </c>
      <c r="N34" s="92" t="s">
        <v>24</v>
      </c>
      <c r="O34" s="92" t="s">
        <v>24</v>
      </c>
      <c r="P34" s="23">
        <v>6.0</v>
      </c>
    </row>
    <row r="35" ht="15.75" customHeight="1">
      <c r="A35" s="25"/>
      <c r="B35" s="26"/>
      <c r="C35" s="27">
        <v>2.0</v>
      </c>
      <c r="D35" s="91" t="s">
        <v>130</v>
      </c>
      <c r="E35" s="93" t="s">
        <v>24</v>
      </c>
      <c r="F35" s="93" t="s">
        <v>24</v>
      </c>
      <c r="G35" s="93" t="s">
        <v>24</v>
      </c>
      <c r="H35" s="93" t="s">
        <v>24</v>
      </c>
      <c r="I35" s="93" t="s">
        <v>24</v>
      </c>
      <c r="J35" s="29">
        <v>6.0</v>
      </c>
      <c r="K35" s="93" t="s">
        <v>24</v>
      </c>
      <c r="L35" s="93" t="s">
        <v>24</v>
      </c>
      <c r="M35" s="29">
        <v>8.0</v>
      </c>
      <c r="N35" s="93" t="s">
        <v>24</v>
      </c>
      <c r="O35" s="93" t="s">
        <v>24</v>
      </c>
      <c r="P35" s="29">
        <v>7.0</v>
      </c>
    </row>
    <row r="36" ht="15.75" customHeight="1">
      <c r="A36" s="25"/>
      <c r="B36" s="31"/>
      <c r="C36" s="27">
        <v>3.0</v>
      </c>
      <c r="D36" s="91" t="s">
        <v>131</v>
      </c>
      <c r="E36" s="93" t="s">
        <v>24</v>
      </c>
      <c r="F36" s="93" t="s">
        <v>24</v>
      </c>
      <c r="G36" s="93" t="s">
        <v>24</v>
      </c>
      <c r="H36" s="93" t="s">
        <v>24</v>
      </c>
      <c r="I36" s="93" t="s">
        <v>24</v>
      </c>
      <c r="J36" s="29">
        <v>5.0</v>
      </c>
      <c r="K36" s="93" t="s">
        <v>24</v>
      </c>
      <c r="L36" s="93" t="s">
        <v>24</v>
      </c>
      <c r="M36" s="29">
        <v>6.0</v>
      </c>
      <c r="N36" s="93" t="s">
        <v>24</v>
      </c>
      <c r="O36" s="93" t="s">
        <v>24</v>
      </c>
      <c r="P36" s="29">
        <v>7.0</v>
      </c>
    </row>
    <row r="37" ht="15.75" customHeight="1"/>
    <row r="38" ht="15.75" customHeight="1">
      <c r="A38" s="62" t="s">
        <v>110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3:B15"/>
    <mergeCell ref="B16:B18"/>
    <mergeCell ref="B19:B21"/>
    <mergeCell ref="B22:B24"/>
    <mergeCell ref="B25:B27"/>
    <mergeCell ref="B28:B30"/>
    <mergeCell ref="B31:B33"/>
    <mergeCell ref="B34:B36"/>
    <mergeCell ref="A1:P1"/>
    <mergeCell ref="A2:P2"/>
    <mergeCell ref="A3:P3"/>
    <mergeCell ref="A5:P5"/>
    <mergeCell ref="A6:P6"/>
    <mergeCell ref="B7:B9"/>
    <mergeCell ref="B10:B1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5.0"/>
    <col customWidth="1" min="5" max="9" width="8.71"/>
    <col customWidth="1" min="10" max="10" width="11.57"/>
    <col customWidth="1" min="11" max="12" width="8.71"/>
    <col customWidth="1" min="13" max="13" width="11.57"/>
    <col customWidth="1" min="14" max="15" width="8.71"/>
    <col customWidth="1" min="16" max="16" width="10.43"/>
    <col customWidth="1" min="17" max="26" width="8.71"/>
  </cols>
  <sheetData>
    <row r="1" ht="15.0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5.0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ht="15.0" customHeight="1">
      <c r="A3" s="7">
        <v>2017.0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ht="15.0" customHeight="1">
      <c r="A4" s="89" t="s">
        <v>3</v>
      </c>
      <c r="B4" s="11" t="s">
        <v>4</v>
      </c>
      <c r="C4" s="11" t="s">
        <v>5</v>
      </c>
      <c r="D4" s="11" t="s">
        <v>6</v>
      </c>
      <c r="E4" s="11" t="s">
        <v>7</v>
      </c>
      <c r="F4" s="11" t="s">
        <v>8</v>
      </c>
      <c r="G4" s="11" t="s">
        <v>9</v>
      </c>
      <c r="H4" s="11" t="s">
        <v>10</v>
      </c>
      <c r="I4" s="11" t="s">
        <v>11</v>
      </c>
      <c r="J4" s="11" t="s">
        <v>12</v>
      </c>
      <c r="K4" s="11" t="s">
        <v>13</v>
      </c>
      <c r="L4" s="11" t="s">
        <v>14</v>
      </c>
      <c r="M4" s="11" t="s">
        <v>15</v>
      </c>
      <c r="N4" s="11" t="s">
        <v>16</v>
      </c>
      <c r="O4" s="11" t="s">
        <v>17</v>
      </c>
      <c r="P4" s="11" t="s">
        <v>18</v>
      </c>
    </row>
    <row r="5" ht="15.0" customHeight="1">
      <c r="A5" s="13" t="s">
        <v>135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ht="15.0" customHeight="1">
      <c r="A6" s="16" t="s">
        <v>54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7" ht="15.0" customHeight="1">
      <c r="A7" s="90" t="s">
        <v>21</v>
      </c>
      <c r="B7" s="32" t="s">
        <v>22</v>
      </c>
      <c r="C7" s="33">
        <v>1.0</v>
      </c>
      <c r="D7" s="87" t="s">
        <v>136</v>
      </c>
      <c r="E7" s="92" t="s">
        <v>24</v>
      </c>
      <c r="F7" s="92" t="s">
        <v>24</v>
      </c>
      <c r="G7" s="92" t="s">
        <v>24</v>
      </c>
      <c r="H7" s="92" t="s">
        <v>24</v>
      </c>
      <c r="I7" s="92" t="s">
        <v>24</v>
      </c>
      <c r="J7" s="23">
        <v>4.38</v>
      </c>
      <c r="K7" s="92" t="s">
        <v>24</v>
      </c>
      <c r="L7" s="92" t="s">
        <v>24</v>
      </c>
      <c r="M7" s="23">
        <v>7.08</v>
      </c>
      <c r="N7" s="92" t="s">
        <v>24</v>
      </c>
      <c r="O7" s="92" t="s">
        <v>24</v>
      </c>
      <c r="P7" s="24">
        <v>7.01</v>
      </c>
    </row>
    <row r="8" ht="15.0" customHeight="1">
      <c r="A8" s="25"/>
      <c r="B8" s="26"/>
      <c r="C8" s="27">
        <v>2.0</v>
      </c>
      <c r="D8" s="103" t="s">
        <v>137</v>
      </c>
      <c r="E8" s="93" t="s">
        <v>24</v>
      </c>
      <c r="F8" s="93" t="s">
        <v>24</v>
      </c>
      <c r="G8" s="93" t="s">
        <v>24</v>
      </c>
      <c r="H8" s="93" t="s">
        <v>24</v>
      </c>
      <c r="I8" s="93" t="s">
        <v>24</v>
      </c>
      <c r="J8" s="29">
        <v>5.85</v>
      </c>
      <c r="K8" s="93" t="s">
        <v>24</v>
      </c>
      <c r="L8" s="93" t="s">
        <v>24</v>
      </c>
      <c r="M8" s="30">
        <v>7.1</v>
      </c>
      <c r="N8" s="93" t="s">
        <v>24</v>
      </c>
      <c r="O8" s="93" t="s">
        <v>24</v>
      </c>
      <c r="P8" s="30">
        <v>7.1</v>
      </c>
    </row>
    <row r="9" ht="15.0" customHeight="1">
      <c r="A9" s="25"/>
      <c r="B9" s="31"/>
      <c r="C9" s="27">
        <v>3.0</v>
      </c>
      <c r="D9" s="103" t="s">
        <v>136</v>
      </c>
      <c r="E9" s="93" t="s">
        <v>24</v>
      </c>
      <c r="F9" s="93" t="s">
        <v>24</v>
      </c>
      <c r="G9" s="93" t="s">
        <v>24</v>
      </c>
      <c r="H9" s="93" t="s">
        <v>24</v>
      </c>
      <c r="I9" s="93" t="s">
        <v>24</v>
      </c>
      <c r="J9" s="29">
        <v>5.61</v>
      </c>
      <c r="K9" s="93" t="s">
        <v>24</v>
      </c>
      <c r="L9" s="93" t="s">
        <v>24</v>
      </c>
      <c r="M9" s="29">
        <v>7.21</v>
      </c>
      <c r="N9" s="93" t="s">
        <v>24</v>
      </c>
      <c r="O9" s="93" t="s">
        <v>24</v>
      </c>
      <c r="P9" s="30">
        <v>6.84</v>
      </c>
    </row>
    <row r="10" ht="15.0" customHeight="1">
      <c r="A10" s="25"/>
      <c r="B10" s="32" t="s">
        <v>29</v>
      </c>
      <c r="C10" s="33">
        <v>1.0</v>
      </c>
      <c r="D10" s="87" t="s">
        <v>136</v>
      </c>
      <c r="E10" s="92" t="s">
        <v>24</v>
      </c>
      <c r="F10" s="92" t="s">
        <v>24</v>
      </c>
      <c r="G10" s="92" t="s">
        <v>24</v>
      </c>
      <c r="H10" s="92" t="s">
        <v>24</v>
      </c>
      <c r="I10" s="92" t="s">
        <v>24</v>
      </c>
      <c r="J10" s="23">
        <v>2.0</v>
      </c>
      <c r="K10" s="92" t="s">
        <v>24</v>
      </c>
      <c r="L10" s="92" t="s">
        <v>24</v>
      </c>
      <c r="M10" s="23">
        <v>7.0</v>
      </c>
      <c r="N10" s="92" t="s">
        <v>24</v>
      </c>
      <c r="O10" s="92" t="s">
        <v>24</v>
      </c>
      <c r="P10" s="23">
        <v>5.0</v>
      </c>
    </row>
    <row r="11" ht="15.0" customHeight="1">
      <c r="A11" s="25"/>
      <c r="B11" s="26"/>
      <c r="C11" s="27">
        <v>2.0</v>
      </c>
      <c r="D11" s="103" t="s">
        <v>137</v>
      </c>
      <c r="E11" s="93" t="s">
        <v>24</v>
      </c>
      <c r="F11" s="93" t="s">
        <v>24</v>
      </c>
      <c r="G11" s="93" t="s">
        <v>24</v>
      </c>
      <c r="H11" s="93" t="s">
        <v>24</v>
      </c>
      <c r="I11" s="93" t="s">
        <v>24</v>
      </c>
      <c r="J11" s="29">
        <v>6.0</v>
      </c>
      <c r="K11" s="93" t="s">
        <v>24</v>
      </c>
      <c r="L11" s="93" t="s">
        <v>24</v>
      </c>
      <c r="M11" s="29" t="s">
        <v>138</v>
      </c>
      <c r="N11" s="93" t="s">
        <v>24</v>
      </c>
      <c r="O11" s="93" t="s">
        <v>24</v>
      </c>
      <c r="P11" s="29">
        <v>3.0</v>
      </c>
    </row>
    <row r="12" ht="15.0" customHeight="1">
      <c r="A12" s="25"/>
      <c r="B12" s="31"/>
      <c r="C12" s="27">
        <v>3.0</v>
      </c>
      <c r="D12" s="103" t="s">
        <v>136</v>
      </c>
      <c r="E12" s="93" t="s">
        <v>24</v>
      </c>
      <c r="F12" s="93" t="s">
        <v>24</v>
      </c>
      <c r="G12" s="93" t="s">
        <v>24</v>
      </c>
      <c r="H12" s="93" t="s">
        <v>24</v>
      </c>
      <c r="I12" s="93" t="s">
        <v>24</v>
      </c>
      <c r="J12" s="29">
        <v>2.0</v>
      </c>
      <c r="K12" s="93" t="s">
        <v>24</v>
      </c>
      <c r="L12" s="93" t="s">
        <v>24</v>
      </c>
      <c r="M12" s="29">
        <v>2.0</v>
      </c>
      <c r="N12" s="93" t="s">
        <v>24</v>
      </c>
      <c r="O12" s="93" t="s">
        <v>24</v>
      </c>
      <c r="P12" s="29">
        <v>7.0</v>
      </c>
    </row>
    <row r="13" ht="15.0" customHeight="1">
      <c r="A13" s="25"/>
      <c r="B13" s="32" t="s">
        <v>30</v>
      </c>
      <c r="C13" s="33">
        <v>1.0</v>
      </c>
      <c r="D13" s="87" t="s">
        <v>136</v>
      </c>
      <c r="E13" s="92" t="s">
        <v>24</v>
      </c>
      <c r="F13" s="92" t="s">
        <v>24</v>
      </c>
      <c r="G13" s="92" t="s">
        <v>24</v>
      </c>
      <c r="H13" s="92" t="s">
        <v>24</v>
      </c>
      <c r="I13" s="92" t="s">
        <v>24</v>
      </c>
      <c r="J13" s="23">
        <v>24.0</v>
      </c>
      <c r="K13" s="92" t="s">
        <v>24</v>
      </c>
      <c r="L13" s="92" t="s">
        <v>24</v>
      </c>
      <c r="M13" s="23">
        <v>10.0</v>
      </c>
      <c r="N13" s="92" t="s">
        <v>24</v>
      </c>
      <c r="O13" s="92" t="s">
        <v>24</v>
      </c>
      <c r="P13" s="23">
        <v>5.0</v>
      </c>
    </row>
    <row r="14" ht="15.0" customHeight="1">
      <c r="A14" s="25"/>
      <c r="B14" s="26"/>
      <c r="C14" s="27">
        <v>2.0</v>
      </c>
      <c r="D14" s="103" t="s">
        <v>137</v>
      </c>
      <c r="E14" s="93" t="s">
        <v>24</v>
      </c>
      <c r="F14" s="93" t="s">
        <v>24</v>
      </c>
      <c r="G14" s="93" t="s">
        <v>24</v>
      </c>
      <c r="H14" s="93" t="s">
        <v>24</v>
      </c>
      <c r="I14" s="93" t="s">
        <v>24</v>
      </c>
      <c r="J14" s="29">
        <v>5.0</v>
      </c>
      <c r="K14" s="93" t="s">
        <v>24</v>
      </c>
      <c r="L14" s="93" t="s">
        <v>24</v>
      </c>
      <c r="M14" s="84">
        <v>15.0</v>
      </c>
      <c r="N14" s="93" t="s">
        <v>24</v>
      </c>
      <c r="O14" s="93" t="s">
        <v>24</v>
      </c>
      <c r="P14" s="29">
        <v>5.0</v>
      </c>
    </row>
    <row r="15" ht="15.0" customHeight="1">
      <c r="A15" s="25"/>
      <c r="B15" s="31"/>
      <c r="C15" s="27">
        <v>3.0</v>
      </c>
      <c r="D15" s="103" t="s">
        <v>136</v>
      </c>
      <c r="E15" s="93" t="s">
        <v>24</v>
      </c>
      <c r="F15" s="93" t="s">
        <v>24</v>
      </c>
      <c r="G15" s="93" t="s">
        <v>24</v>
      </c>
      <c r="H15" s="93" t="s">
        <v>24</v>
      </c>
      <c r="I15" s="93" t="s">
        <v>24</v>
      </c>
      <c r="J15" s="29">
        <v>4.0</v>
      </c>
      <c r="K15" s="93" t="s">
        <v>24</v>
      </c>
      <c r="L15" s="93" t="s">
        <v>24</v>
      </c>
      <c r="M15" s="29">
        <v>15.0</v>
      </c>
      <c r="N15" s="93" t="s">
        <v>24</v>
      </c>
      <c r="O15" s="93" t="s">
        <v>24</v>
      </c>
      <c r="P15" s="29">
        <v>6.0</v>
      </c>
    </row>
    <row r="16" ht="15.0" customHeight="1">
      <c r="A16" s="25"/>
      <c r="B16" s="32" t="s">
        <v>31</v>
      </c>
      <c r="C16" s="33">
        <v>1.0</v>
      </c>
      <c r="D16" s="87" t="s">
        <v>136</v>
      </c>
      <c r="E16" s="92" t="s">
        <v>24</v>
      </c>
      <c r="F16" s="92" t="s">
        <v>24</v>
      </c>
      <c r="G16" s="92" t="s">
        <v>24</v>
      </c>
      <c r="H16" s="92" t="s">
        <v>24</v>
      </c>
      <c r="I16" s="92" t="s">
        <v>24</v>
      </c>
      <c r="J16" s="23">
        <v>8.01</v>
      </c>
      <c r="K16" s="92" t="s">
        <v>24</v>
      </c>
      <c r="L16" s="92" t="s">
        <v>24</v>
      </c>
      <c r="M16" s="23">
        <v>7.49</v>
      </c>
      <c r="N16" s="92" t="s">
        <v>24</v>
      </c>
      <c r="O16" s="92" t="s">
        <v>24</v>
      </c>
      <c r="P16" s="24">
        <v>6.9</v>
      </c>
    </row>
    <row r="17" ht="15.0" customHeight="1">
      <c r="A17" s="25"/>
      <c r="B17" s="26"/>
      <c r="C17" s="27">
        <v>2.0</v>
      </c>
      <c r="D17" s="103" t="s">
        <v>137</v>
      </c>
      <c r="E17" s="93" t="s">
        <v>24</v>
      </c>
      <c r="F17" s="93" t="s">
        <v>24</v>
      </c>
      <c r="G17" s="93" t="s">
        <v>24</v>
      </c>
      <c r="H17" s="93" t="s">
        <v>24</v>
      </c>
      <c r="I17" s="93" t="s">
        <v>24</v>
      </c>
      <c r="J17" s="84">
        <v>7.75</v>
      </c>
      <c r="K17" s="93" t="s">
        <v>24</v>
      </c>
      <c r="L17" s="93" t="s">
        <v>24</v>
      </c>
      <c r="M17" s="84">
        <v>7.47</v>
      </c>
      <c r="N17" s="93" t="s">
        <v>24</v>
      </c>
      <c r="O17" s="93" t="s">
        <v>24</v>
      </c>
      <c r="P17" s="84">
        <v>6.85</v>
      </c>
    </row>
    <row r="18" ht="15.0" customHeight="1">
      <c r="A18" s="25"/>
      <c r="B18" s="31"/>
      <c r="C18" s="27">
        <v>3.0</v>
      </c>
      <c r="D18" s="103" t="s">
        <v>136</v>
      </c>
      <c r="E18" s="93" t="s">
        <v>24</v>
      </c>
      <c r="F18" s="93" t="s">
        <v>24</v>
      </c>
      <c r="G18" s="93" t="s">
        <v>24</v>
      </c>
      <c r="H18" s="93" t="s">
        <v>24</v>
      </c>
      <c r="I18" s="93" t="s">
        <v>24</v>
      </c>
      <c r="J18" s="29">
        <v>7.04</v>
      </c>
      <c r="K18" s="93" t="s">
        <v>24</v>
      </c>
      <c r="L18" s="93" t="s">
        <v>24</v>
      </c>
      <c r="M18" s="29">
        <v>7.44</v>
      </c>
      <c r="N18" s="93" t="s">
        <v>24</v>
      </c>
      <c r="O18" s="93" t="s">
        <v>24</v>
      </c>
      <c r="P18" s="29">
        <v>7.05</v>
      </c>
    </row>
    <row r="19" ht="15.0" customHeight="1">
      <c r="A19" s="25"/>
      <c r="B19" s="32" t="s">
        <v>139</v>
      </c>
      <c r="C19" s="33">
        <v>1.0</v>
      </c>
      <c r="D19" s="87" t="s">
        <v>136</v>
      </c>
      <c r="E19" s="92" t="s">
        <v>24</v>
      </c>
      <c r="F19" s="92" t="s">
        <v>24</v>
      </c>
      <c r="G19" s="92" t="s">
        <v>24</v>
      </c>
      <c r="H19" s="92" t="s">
        <v>24</v>
      </c>
      <c r="I19" s="92" t="s">
        <v>24</v>
      </c>
      <c r="J19" s="24">
        <v>28.9</v>
      </c>
      <c r="K19" s="92" t="s">
        <v>24</v>
      </c>
      <c r="L19" s="92" t="s">
        <v>24</v>
      </c>
      <c r="M19" s="23">
        <v>27.53</v>
      </c>
      <c r="N19" s="92" t="s">
        <v>24</v>
      </c>
      <c r="O19" s="92" t="s">
        <v>24</v>
      </c>
      <c r="P19" s="24">
        <v>27.8</v>
      </c>
    </row>
    <row r="20" ht="15.0" customHeight="1">
      <c r="A20" s="25"/>
      <c r="B20" s="26"/>
      <c r="C20" s="27">
        <v>2.0</v>
      </c>
      <c r="D20" s="103" t="s">
        <v>137</v>
      </c>
      <c r="E20" s="93" t="s">
        <v>24</v>
      </c>
      <c r="F20" s="93" t="s">
        <v>24</v>
      </c>
      <c r="G20" s="93" t="s">
        <v>24</v>
      </c>
      <c r="H20" s="93" t="s">
        <v>24</v>
      </c>
      <c r="I20" s="93" t="s">
        <v>24</v>
      </c>
      <c r="J20" s="30">
        <v>29.3</v>
      </c>
      <c r="K20" s="93" t="s">
        <v>24</v>
      </c>
      <c r="L20" s="93" t="s">
        <v>24</v>
      </c>
      <c r="M20" s="97">
        <v>27.6</v>
      </c>
      <c r="N20" s="93" t="s">
        <v>24</v>
      </c>
      <c r="O20" s="93" t="s">
        <v>24</v>
      </c>
      <c r="P20" s="97">
        <v>28.0</v>
      </c>
    </row>
    <row r="21" ht="15.0" customHeight="1">
      <c r="A21" s="25"/>
      <c r="B21" s="31"/>
      <c r="C21" s="27">
        <v>3.0</v>
      </c>
      <c r="D21" s="103" t="s">
        <v>136</v>
      </c>
      <c r="E21" s="93" t="s">
        <v>24</v>
      </c>
      <c r="F21" s="93" t="s">
        <v>24</v>
      </c>
      <c r="G21" s="93" t="s">
        <v>24</v>
      </c>
      <c r="H21" s="93" t="s">
        <v>24</v>
      </c>
      <c r="I21" s="93" t="s">
        <v>24</v>
      </c>
      <c r="J21" s="30">
        <v>28.6</v>
      </c>
      <c r="K21" s="93" t="s">
        <v>24</v>
      </c>
      <c r="L21" s="93" t="s">
        <v>24</v>
      </c>
      <c r="M21" s="29">
        <v>27.55</v>
      </c>
      <c r="N21" s="93" t="s">
        <v>24</v>
      </c>
      <c r="O21" s="93" t="s">
        <v>24</v>
      </c>
      <c r="P21" s="30">
        <v>29.0</v>
      </c>
    </row>
    <row r="22" ht="15.0" customHeight="1">
      <c r="A22" s="25"/>
      <c r="B22" s="32" t="s">
        <v>33</v>
      </c>
      <c r="C22" s="33">
        <v>1.0</v>
      </c>
      <c r="D22" s="87" t="s">
        <v>136</v>
      </c>
      <c r="E22" s="92" t="s">
        <v>24</v>
      </c>
      <c r="F22" s="92" t="s">
        <v>24</v>
      </c>
      <c r="G22" s="92" t="s">
        <v>24</v>
      </c>
      <c r="H22" s="92" t="s">
        <v>24</v>
      </c>
      <c r="I22" s="92" t="s">
        <v>24</v>
      </c>
      <c r="J22" s="23">
        <v>3.0</v>
      </c>
      <c r="K22" s="92" t="s">
        <v>24</v>
      </c>
      <c r="L22" s="92" t="s">
        <v>24</v>
      </c>
      <c r="M22" s="23">
        <v>16.0</v>
      </c>
      <c r="N22" s="92" t="s">
        <v>24</v>
      </c>
      <c r="O22" s="92" t="s">
        <v>24</v>
      </c>
      <c r="P22" s="23">
        <v>5.0</v>
      </c>
    </row>
    <row r="23" ht="15.0" customHeight="1">
      <c r="A23" s="25"/>
      <c r="B23" s="26"/>
      <c r="C23" s="27">
        <v>2.0</v>
      </c>
      <c r="D23" s="103" t="s">
        <v>137</v>
      </c>
      <c r="E23" s="93" t="s">
        <v>24</v>
      </c>
      <c r="F23" s="93" t="s">
        <v>24</v>
      </c>
      <c r="G23" s="93" t="s">
        <v>24</v>
      </c>
      <c r="H23" s="93" t="s">
        <v>24</v>
      </c>
      <c r="I23" s="93" t="s">
        <v>24</v>
      </c>
      <c r="J23" s="29">
        <v>3.0</v>
      </c>
      <c r="K23" s="93" t="s">
        <v>24</v>
      </c>
      <c r="L23" s="93" t="s">
        <v>24</v>
      </c>
      <c r="M23" s="29">
        <v>22.0</v>
      </c>
      <c r="N23" s="93" t="s">
        <v>24</v>
      </c>
      <c r="O23" s="93" t="s">
        <v>24</v>
      </c>
      <c r="P23" s="29">
        <v>5.0</v>
      </c>
    </row>
    <row r="24" ht="15.0" customHeight="1">
      <c r="A24" s="25"/>
      <c r="B24" s="31"/>
      <c r="C24" s="27">
        <v>3.0</v>
      </c>
      <c r="D24" s="103" t="s">
        <v>136</v>
      </c>
      <c r="E24" s="93" t="s">
        <v>24</v>
      </c>
      <c r="F24" s="93" t="s">
        <v>24</v>
      </c>
      <c r="G24" s="93" t="s">
        <v>24</v>
      </c>
      <c r="H24" s="93" t="s">
        <v>24</v>
      </c>
      <c r="I24" s="93" t="s">
        <v>24</v>
      </c>
      <c r="J24" s="29">
        <v>3.0</v>
      </c>
      <c r="K24" s="93" t="s">
        <v>24</v>
      </c>
      <c r="L24" s="93" t="s">
        <v>24</v>
      </c>
      <c r="M24" s="29">
        <v>21.0</v>
      </c>
      <c r="N24" s="93" t="s">
        <v>24</v>
      </c>
      <c r="O24" s="93" t="s">
        <v>24</v>
      </c>
      <c r="P24" s="29">
        <v>5.0</v>
      </c>
    </row>
    <row r="25" ht="15.0" customHeight="1">
      <c r="A25" s="25"/>
      <c r="B25" s="32" t="s">
        <v>34</v>
      </c>
      <c r="C25" s="33">
        <v>1.0</v>
      </c>
      <c r="D25" s="87" t="s">
        <v>136</v>
      </c>
      <c r="E25" s="92" t="s">
        <v>24</v>
      </c>
      <c r="F25" s="92" t="s">
        <v>24</v>
      </c>
      <c r="G25" s="92" t="s">
        <v>24</v>
      </c>
      <c r="H25" s="92" t="s">
        <v>24</v>
      </c>
      <c r="I25" s="92" t="s">
        <v>24</v>
      </c>
      <c r="J25" s="41">
        <v>11000.0</v>
      </c>
      <c r="K25" s="92" t="s">
        <v>24</v>
      </c>
      <c r="L25" s="92" t="s">
        <v>24</v>
      </c>
      <c r="M25" s="41">
        <v>24000.0</v>
      </c>
      <c r="N25" s="92" t="s">
        <v>24</v>
      </c>
      <c r="O25" s="92" t="s">
        <v>24</v>
      </c>
      <c r="P25" s="41">
        <v>2400.0</v>
      </c>
    </row>
    <row r="26" ht="15.0" customHeight="1">
      <c r="A26" s="25"/>
      <c r="B26" s="26"/>
      <c r="C26" s="27">
        <v>2.0</v>
      </c>
      <c r="D26" s="103" t="s">
        <v>137</v>
      </c>
      <c r="E26" s="93" t="s">
        <v>24</v>
      </c>
      <c r="F26" s="93" t="s">
        <v>24</v>
      </c>
      <c r="G26" s="93" t="s">
        <v>24</v>
      </c>
      <c r="H26" s="93" t="s">
        <v>24</v>
      </c>
      <c r="I26" s="93" t="s">
        <v>24</v>
      </c>
      <c r="J26" s="42">
        <v>17000.0</v>
      </c>
      <c r="K26" s="93" t="s">
        <v>24</v>
      </c>
      <c r="L26" s="93" t="s">
        <v>24</v>
      </c>
      <c r="M26" s="42">
        <v>13000.0</v>
      </c>
      <c r="N26" s="93" t="s">
        <v>24</v>
      </c>
      <c r="O26" s="93" t="s">
        <v>24</v>
      </c>
      <c r="P26" s="42">
        <v>2400.0</v>
      </c>
    </row>
    <row r="27" ht="15.0" customHeight="1">
      <c r="A27" s="25"/>
      <c r="B27" s="31"/>
      <c r="C27" s="27">
        <v>3.0</v>
      </c>
      <c r="D27" s="103" t="s">
        <v>136</v>
      </c>
      <c r="E27" s="93" t="s">
        <v>24</v>
      </c>
      <c r="F27" s="93" t="s">
        <v>24</v>
      </c>
      <c r="G27" s="93" t="s">
        <v>24</v>
      </c>
      <c r="H27" s="93" t="s">
        <v>24</v>
      </c>
      <c r="I27" s="93" t="s">
        <v>24</v>
      </c>
      <c r="J27" s="42">
        <v>4900.0</v>
      </c>
      <c r="K27" s="93" t="s">
        <v>24</v>
      </c>
      <c r="L27" s="93" t="s">
        <v>24</v>
      </c>
      <c r="M27" s="42">
        <v>3300.0</v>
      </c>
      <c r="N27" s="93" t="s">
        <v>24</v>
      </c>
      <c r="O27" s="93" t="s">
        <v>24</v>
      </c>
      <c r="P27" s="42">
        <v>2400.0</v>
      </c>
    </row>
    <row r="28" ht="15.0" customHeight="1">
      <c r="A28" s="25"/>
      <c r="B28" s="32" t="s">
        <v>140</v>
      </c>
      <c r="C28" s="33">
        <v>1.0</v>
      </c>
      <c r="D28" s="87" t="s">
        <v>136</v>
      </c>
      <c r="E28" s="92" t="s">
        <v>24</v>
      </c>
      <c r="F28" s="92" t="s">
        <v>24</v>
      </c>
      <c r="G28" s="92" t="s">
        <v>24</v>
      </c>
      <c r="H28" s="92" t="s">
        <v>24</v>
      </c>
      <c r="I28" s="92" t="s">
        <v>24</v>
      </c>
      <c r="J28" s="23" t="s">
        <v>38</v>
      </c>
      <c r="K28" s="92" t="s">
        <v>24</v>
      </c>
      <c r="L28" s="92" t="s">
        <v>24</v>
      </c>
      <c r="M28" s="23" t="s">
        <v>141</v>
      </c>
      <c r="N28" s="92" t="s">
        <v>24</v>
      </c>
      <c r="O28" s="92" t="s">
        <v>24</v>
      </c>
      <c r="P28" s="23">
        <v>0.052</v>
      </c>
    </row>
    <row r="29" ht="15.0" customHeight="1">
      <c r="A29" s="25"/>
      <c r="B29" s="26"/>
      <c r="C29" s="27">
        <v>2.0</v>
      </c>
      <c r="D29" s="103" t="s">
        <v>137</v>
      </c>
      <c r="E29" s="93" t="s">
        <v>24</v>
      </c>
      <c r="F29" s="93" t="s">
        <v>24</v>
      </c>
      <c r="G29" s="93" t="s">
        <v>24</v>
      </c>
      <c r="H29" s="93" t="s">
        <v>24</v>
      </c>
      <c r="I29" s="93" t="s">
        <v>24</v>
      </c>
      <c r="J29" s="29">
        <v>0.085</v>
      </c>
      <c r="K29" s="93" t="s">
        <v>24</v>
      </c>
      <c r="L29" s="93" t="s">
        <v>24</v>
      </c>
      <c r="M29" s="84">
        <v>0.093</v>
      </c>
      <c r="N29" s="93" t="s">
        <v>24</v>
      </c>
      <c r="O29" s="93" t="s">
        <v>24</v>
      </c>
      <c r="P29" s="84">
        <v>0.119</v>
      </c>
    </row>
    <row r="30" ht="15.0" customHeight="1">
      <c r="A30" s="25"/>
      <c r="B30" s="31"/>
      <c r="C30" s="27">
        <v>3.0</v>
      </c>
      <c r="D30" s="103" t="s">
        <v>136</v>
      </c>
      <c r="E30" s="93" t="s">
        <v>24</v>
      </c>
      <c r="F30" s="93" t="s">
        <v>24</v>
      </c>
      <c r="G30" s="93" t="s">
        <v>24</v>
      </c>
      <c r="H30" s="93" t="s">
        <v>24</v>
      </c>
      <c r="I30" s="93" t="s">
        <v>24</v>
      </c>
      <c r="J30" s="29" t="s">
        <v>38</v>
      </c>
      <c r="K30" s="93" t="s">
        <v>24</v>
      </c>
      <c r="L30" s="93" t="s">
        <v>24</v>
      </c>
      <c r="M30" s="46">
        <v>0.31</v>
      </c>
      <c r="N30" s="93" t="s">
        <v>24</v>
      </c>
      <c r="O30" s="93" t="s">
        <v>24</v>
      </c>
      <c r="P30" s="29">
        <v>0.153</v>
      </c>
    </row>
    <row r="31" ht="15.0" customHeight="1">
      <c r="A31" s="25"/>
      <c r="B31" s="32" t="s">
        <v>142</v>
      </c>
      <c r="C31" s="33">
        <v>1.0</v>
      </c>
      <c r="D31" s="87" t="s">
        <v>136</v>
      </c>
      <c r="E31" s="92" t="s">
        <v>24</v>
      </c>
      <c r="F31" s="92" t="s">
        <v>24</v>
      </c>
      <c r="G31" s="92" t="s">
        <v>24</v>
      </c>
      <c r="H31" s="92" t="s">
        <v>24</v>
      </c>
      <c r="I31" s="92" t="s">
        <v>24</v>
      </c>
      <c r="J31" s="100" t="s">
        <v>143</v>
      </c>
      <c r="K31" s="92" t="s">
        <v>24</v>
      </c>
      <c r="L31" s="92" t="s">
        <v>24</v>
      </c>
      <c r="M31" s="100" t="s">
        <v>143</v>
      </c>
      <c r="N31" s="92" t="s">
        <v>24</v>
      </c>
      <c r="O31" s="92" t="s">
        <v>24</v>
      </c>
      <c r="P31" s="100" t="s">
        <v>143</v>
      </c>
    </row>
    <row r="32" ht="15.0" customHeight="1">
      <c r="A32" s="25"/>
      <c r="B32" s="26"/>
      <c r="C32" s="27">
        <v>2.0</v>
      </c>
      <c r="D32" s="103" t="s">
        <v>137</v>
      </c>
      <c r="E32" s="93" t="s">
        <v>24</v>
      </c>
      <c r="F32" s="93" t="s">
        <v>24</v>
      </c>
      <c r="G32" s="93" t="s">
        <v>24</v>
      </c>
      <c r="H32" s="93" t="s">
        <v>24</v>
      </c>
      <c r="I32" s="93" t="s">
        <v>24</v>
      </c>
      <c r="J32" s="102" t="s">
        <v>143</v>
      </c>
      <c r="K32" s="93" t="s">
        <v>24</v>
      </c>
      <c r="L32" s="93" t="s">
        <v>24</v>
      </c>
      <c r="M32" s="102" t="s">
        <v>143</v>
      </c>
      <c r="N32" s="93" t="s">
        <v>24</v>
      </c>
      <c r="O32" s="93" t="s">
        <v>24</v>
      </c>
      <c r="P32" s="102" t="s">
        <v>143</v>
      </c>
    </row>
    <row r="33" ht="15.0" customHeight="1">
      <c r="A33" s="25"/>
      <c r="B33" s="31"/>
      <c r="C33" s="27">
        <v>3.0</v>
      </c>
      <c r="D33" s="103" t="s">
        <v>136</v>
      </c>
      <c r="E33" s="93" t="s">
        <v>24</v>
      </c>
      <c r="F33" s="93" t="s">
        <v>24</v>
      </c>
      <c r="G33" s="93" t="s">
        <v>24</v>
      </c>
      <c r="H33" s="93" t="s">
        <v>24</v>
      </c>
      <c r="I33" s="93" t="s">
        <v>24</v>
      </c>
      <c r="J33" s="102" t="s">
        <v>143</v>
      </c>
      <c r="K33" s="93" t="s">
        <v>24</v>
      </c>
      <c r="L33" s="93" t="s">
        <v>24</v>
      </c>
      <c r="M33" s="102" t="s">
        <v>143</v>
      </c>
      <c r="N33" s="93" t="s">
        <v>24</v>
      </c>
      <c r="O33" s="93" t="s">
        <v>24</v>
      </c>
      <c r="P33" s="102" t="s">
        <v>143</v>
      </c>
    </row>
    <row r="34" ht="15.0" customHeight="1">
      <c r="A34" s="25"/>
      <c r="B34" s="32" t="s">
        <v>40</v>
      </c>
      <c r="C34" s="33">
        <v>1.0</v>
      </c>
      <c r="D34" s="87" t="s">
        <v>136</v>
      </c>
      <c r="E34" s="92" t="s">
        <v>24</v>
      </c>
      <c r="F34" s="92" t="s">
        <v>24</v>
      </c>
      <c r="G34" s="92" t="s">
        <v>24</v>
      </c>
      <c r="H34" s="92" t="s">
        <v>24</v>
      </c>
      <c r="I34" s="92" t="s">
        <v>24</v>
      </c>
      <c r="J34" s="96">
        <v>5.0</v>
      </c>
      <c r="K34" s="92" t="s">
        <v>24</v>
      </c>
      <c r="L34" s="92" t="s">
        <v>24</v>
      </c>
      <c r="M34" s="35">
        <v>4.0</v>
      </c>
      <c r="N34" s="92" t="s">
        <v>24</v>
      </c>
      <c r="O34" s="92" t="s">
        <v>24</v>
      </c>
      <c r="P34" s="23">
        <v>13.0</v>
      </c>
    </row>
    <row r="35" ht="15.0" customHeight="1">
      <c r="A35" s="25"/>
      <c r="B35" s="26"/>
      <c r="C35" s="27">
        <v>2.0</v>
      </c>
      <c r="D35" s="103" t="s">
        <v>137</v>
      </c>
      <c r="E35" s="93" t="s">
        <v>24</v>
      </c>
      <c r="F35" s="93" t="s">
        <v>24</v>
      </c>
      <c r="G35" s="93" t="s">
        <v>24</v>
      </c>
      <c r="H35" s="93" t="s">
        <v>24</v>
      </c>
      <c r="I35" s="93" t="s">
        <v>24</v>
      </c>
      <c r="J35" s="25">
        <v>3.0</v>
      </c>
      <c r="K35" s="93" t="s">
        <v>24</v>
      </c>
      <c r="L35" s="93" t="s">
        <v>24</v>
      </c>
      <c r="M35" s="69">
        <v>4.0</v>
      </c>
      <c r="N35" s="93" t="s">
        <v>24</v>
      </c>
      <c r="O35" s="93" t="s">
        <v>24</v>
      </c>
      <c r="P35" s="29">
        <v>22.0</v>
      </c>
    </row>
    <row r="36" ht="15.0" customHeight="1">
      <c r="A36" s="25"/>
      <c r="B36" s="31"/>
      <c r="C36" s="27">
        <v>3.0</v>
      </c>
      <c r="D36" s="103" t="s">
        <v>136</v>
      </c>
      <c r="E36" s="93" t="s">
        <v>24</v>
      </c>
      <c r="F36" s="93" t="s">
        <v>24</v>
      </c>
      <c r="G36" s="93" t="s">
        <v>24</v>
      </c>
      <c r="H36" s="93" t="s">
        <v>24</v>
      </c>
      <c r="I36" s="93" t="s">
        <v>24</v>
      </c>
      <c r="J36" s="25">
        <v>6.0</v>
      </c>
      <c r="K36" s="93" t="s">
        <v>24</v>
      </c>
      <c r="L36" s="93" t="s">
        <v>24</v>
      </c>
      <c r="M36" s="69">
        <v>4.0</v>
      </c>
      <c r="N36" s="93" t="s">
        <v>24</v>
      </c>
      <c r="O36" s="93" t="s">
        <v>24</v>
      </c>
      <c r="P36" s="29">
        <v>3.0</v>
      </c>
    </row>
    <row r="37" ht="15.75" customHeight="1"/>
    <row r="38" ht="15.75" customHeight="1">
      <c r="C38" s="62" t="s">
        <v>110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3:B15"/>
    <mergeCell ref="B16:B18"/>
    <mergeCell ref="B19:B21"/>
    <mergeCell ref="B22:B24"/>
    <mergeCell ref="B25:B27"/>
    <mergeCell ref="B28:B30"/>
    <mergeCell ref="B31:B33"/>
    <mergeCell ref="B34:B36"/>
    <mergeCell ref="A1:P1"/>
    <mergeCell ref="A2:P2"/>
    <mergeCell ref="A3:P3"/>
    <mergeCell ref="A5:P5"/>
    <mergeCell ref="A6:P6"/>
    <mergeCell ref="B7:B9"/>
    <mergeCell ref="B10:B1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5.29"/>
    <col customWidth="1" min="5" max="9" width="8.71"/>
    <col customWidth="1" min="10" max="10" width="12.43"/>
    <col customWidth="1" min="11" max="12" width="8.71"/>
    <col customWidth="1" min="13" max="13" width="12.43"/>
    <col customWidth="1" min="14" max="15" width="8.71"/>
    <col customWidth="1" min="16" max="16" width="12.43"/>
    <col customWidth="1" min="17" max="26" width="8.71"/>
  </cols>
  <sheetData>
    <row r="1" ht="15.0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5.0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ht="15.0" customHeight="1">
      <c r="A3" s="7">
        <v>2017.0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ht="15.0" customHeight="1">
      <c r="A4" s="89" t="s">
        <v>3</v>
      </c>
      <c r="B4" s="11" t="s">
        <v>4</v>
      </c>
      <c r="C4" s="11" t="s">
        <v>5</v>
      </c>
      <c r="D4" s="11" t="s">
        <v>6</v>
      </c>
      <c r="E4" s="11" t="s">
        <v>7</v>
      </c>
      <c r="F4" s="11" t="s">
        <v>8</v>
      </c>
      <c r="G4" s="11" t="s">
        <v>9</v>
      </c>
      <c r="H4" s="11" t="s">
        <v>10</v>
      </c>
      <c r="I4" s="11" t="s">
        <v>11</v>
      </c>
      <c r="J4" s="11" t="s">
        <v>12</v>
      </c>
      <c r="K4" s="11" t="s">
        <v>13</v>
      </c>
      <c r="L4" s="11" t="s">
        <v>14</v>
      </c>
      <c r="M4" s="11" t="s">
        <v>15</v>
      </c>
      <c r="N4" s="11" t="s">
        <v>16</v>
      </c>
      <c r="O4" s="11" t="s">
        <v>17</v>
      </c>
      <c r="P4" s="11" t="s">
        <v>18</v>
      </c>
    </row>
    <row r="5" ht="15.0" customHeight="1">
      <c r="A5" s="13" t="s">
        <v>144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ht="15.0" customHeight="1">
      <c r="A6" s="16" t="s">
        <v>54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7" ht="15.0" customHeight="1">
      <c r="A7" s="90" t="s">
        <v>21</v>
      </c>
      <c r="B7" s="32" t="s">
        <v>22</v>
      </c>
      <c r="C7" s="33">
        <v>1.0</v>
      </c>
      <c r="D7" s="87" t="s">
        <v>145</v>
      </c>
      <c r="E7" s="92" t="s">
        <v>24</v>
      </c>
      <c r="F7" s="92" t="s">
        <v>24</v>
      </c>
      <c r="G7" s="92" t="s">
        <v>24</v>
      </c>
      <c r="H7" s="92" t="s">
        <v>24</v>
      </c>
      <c r="I7" s="92" t="s">
        <v>24</v>
      </c>
      <c r="J7" s="24">
        <v>6.4</v>
      </c>
      <c r="K7" s="92" t="s">
        <v>24</v>
      </c>
      <c r="L7" s="92" t="s">
        <v>24</v>
      </c>
      <c r="M7" s="23">
        <v>7.27</v>
      </c>
      <c r="N7" s="92" t="s">
        <v>24</v>
      </c>
      <c r="O7" s="92" t="s">
        <v>24</v>
      </c>
      <c r="P7" s="24">
        <v>6.7</v>
      </c>
    </row>
    <row r="8" ht="15.0" customHeight="1">
      <c r="A8" s="25"/>
      <c r="B8" s="26"/>
      <c r="C8" s="27">
        <v>2.0</v>
      </c>
      <c r="D8" s="103" t="s">
        <v>146</v>
      </c>
      <c r="E8" s="93" t="s">
        <v>24</v>
      </c>
      <c r="F8" s="93" t="s">
        <v>24</v>
      </c>
      <c r="G8" s="93" t="s">
        <v>24</v>
      </c>
      <c r="H8" s="93" t="s">
        <v>24</v>
      </c>
      <c r="I8" s="93" t="s">
        <v>24</v>
      </c>
      <c r="J8" s="30">
        <v>7.1</v>
      </c>
      <c r="K8" s="93" t="s">
        <v>24</v>
      </c>
      <c r="L8" s="93" t="s">
        <v>24</v>
      </c>
      <c r="M8" s="29">
        <v>7.24</v>
      </c>
      <c r="N8" s="93" t="s">
        <v>24</v>
      </c>
      <c r="O8" s="93" t="s">
        <v>24</v>
      </c>
      <c r="P8" s="30">
        <v>6.55</v>
      </c>
    </row>
    <row r="9" ht="15.0" customHeight="1">
      <c r="A9" s="25"/>
      <c r="B9" s="31"/>
      <c r="C9" s="27">
        <v>3.0</v>
      </c>
      <c r="D9" s="103" t="s">
        <v>147</v>
      </c>
      <c r="E9" s="93" t="s">
        <v>24</v>
      </c>
      <c r="F9" s="93" t="s">
        <v>24</v>
      </c>
      <c r="G9" s="93" t="s">
        <v>24</v>
      </c>
      <c r="H9" s="93" t="s">
        <v>24</v>
      </c>
      <c r="I9" s="93" t="s">
        <v>24</v>
      </c>
      <c r="J9" s="29">
        <v>6.65</v>
      </c>
      <c r="K9" s="93" t="s">
        <v>24</v>
      </c>
      <c r="L9" s="93" t="s">
        <v>24</v>
      </c>
      <c r="M9" s="29">
        <v>7.01</v>
      </c>
      <c r="N9" s="93" t="s">
        <v>24</v>
      </c>
      <c r="O9" s="93" t="s">
        <v>24</v>
      </c>
      <c r="P9" s="30">
        <v>6.43</v>
      </c>
    </row>
    <row r="10" ht="15.0" customHeight="1">
      <c r="A10" s="25"/>
      <c r="B10" s="32" t="s">
        <v>29</v>
      </c>
      <c r="C10" s="33">
        <v>1.0</v>
      </c>
      <c r="D10" s="87" t="s">
        <v>145</v>
      </c>
      <c r="E10" s="92" t="s">
        <v>24</v>
      </c>
      <c r="F10" s="92" t="s">
        <v>24</v>
      </c>
      <c r="G10" s="92" t="s">
        <v>24</v>
      </c>
      <c r="H10" s="92" t="s">
        <v>24</v>
      </c>
      <c r="I10" s="92" t="s">
        <v>24</v>
      </c>
      <c r="J10" s="23">
        <v>4.0</v>
      </c>
      <c r="K10" s="92" t="s">
        <v>24</v>
      </c>
      <c r="L10" s="92" t="s">
        <v>24</v>
      </c>
      <c r="M10" s="23">
        <v>2.0</v>
      </c>
      <c r="N10" s="92" t="s">
        <v>24</v>
      </c>
      <c r="O10" s="92" t="s">
        <v>24</v>
      </c>
      <c r="P10" s="35">
        <v>7.0</v>
      </c>
    </row>
    <row r="11" ht="15.0" customHeight="1">
      <c r="A11" s="25"/>
      <c r="B11" s="26"/>
      <c r="C11" s="27">
        <v>2.0</v>
      </c>
      <c r="D11" s="103" t="s">
        <v>146</v>
      </c>
      <c r="E11" s="93" t="s">
        <v>24</v>
      </c>
      <c r="F11" s="93" t="s">
        <v>24</v>
      </c>
      <c r="G11" s="93" t="s">
        <v>24</v>
      </c>
      <c r="H11" s="93" t="s">
        <v>24</v>
      </c>
      <c r="I11" s="93" t="s">
        <v>24</v>
      </c>
      <c r="J11" s="29">
        <v>4.0</v>
      </c>
      <c r="K11" s="93" t="s">
        <v>24</v>
      </c>
      <c r="L11" s="93" t="s">
        <v>24</v>
      </c>
      <c r="M11" s="29">
        <v>11.0</v>
      </c>
      <c r="N11" s="93" t="s">
        <v>24</v>
      </c>
      <c r="O11" s="93" t="s">
        <v>24</v>
      </c>
      <c r="P11" s="69">
        <v>4.0</v>
      </c>
      <c r="R11" s="104"/>
    </row>
    <row r="12" ht="15.0" customHeight="1">
      <c r="A12" s="25"/>
      <c r="B12" s="31"/>
      <c r="C12" s="27">
        <v>3.0</v>
      </c>
      <c r="D12" s="103" t="s">
        <v>147</v>
      </c>
      <c r="E12" s="93" t="s">
        <v>24</v>
      </c>
      <c r="F12" s="93" t="s">
        <v>24</v>
      </c>
      <c r="G12" s="93" t="s">
        <v>24</v>
      </c>
      <c r="H12" s="93" t="s">
        <v>24</v>
      </c>
      <c r="I12" s="93" t="s">
        <v>24</v>
      </c>
      <c r="J12" s="29">
        <v>3.0</v>
      </c>
      <c r="K12" s="93" t="s">
        <v>24</v>
      </c>
      <c r="L12" s="93" t="s">
        <v>24</v>
      </c>
      <c r="M12" s="29">
        <v>2.0</v>
      </c>
      <c r="N12" s="93" t="s">
        <v>24</v>
      </c>
      <c r="O12" s="93" t="s">
        <v>24</v>
      </c>
      <c r="P12" s="69">
        <v>4.0</v>
      </c>
    </row>
    <row r="13" ht="15.0" customHeight="1">
      <c r="A13" s="25"/>
      <c r="B13" s="32" t="s">
        <v>30</v>
      </c>
      <c r="C13" s="33">
        <v>1.0</v>
      </c>
      <c r="D13" s="87" t="s">
        <v>145</v>
      </c>
      <c r="E13" s="92" t="s">
        <v>24</v>
      </c>
      <c r="F13" s="92" t="s">
        <v>24</v>
      </c>
      <c r="G13" s="92" t="s">
        <v>24</v>
      </c>
      <c r="H13" s="92" t="s">
        <v>24</v>
      </c>
      <c r="I13" s="92" t="s">
        <v>24</v>
      </c>
      <c r="J13" s="23">
        <v>65.0</v>
      </c>
      <c r="K13" s="92" t="s">
        <v>24</v>
      </c>
      <c r="L13" s="92" t="s">
        <v>24</v>
      </c>
      <c r="M13" s="23">
        <v>26.0</v>
      </c>
      <c r="N13" s="92" t="s">
        <v>24</v>
      </c>
      <c r="O13" s="92" t="s">
        <v>24</v>
      </c>
      <c r="P13" s="23">
        <v>33.0</v>
      </c>
    </row>
    <row r="14" ht="15.0" customHeight="1">
      <c r="A14" s="25"/>
      <c r="B14" s="26"/>
      <c r="C14" s="27">
        <v>2.0</v>
      </c>
      <c r="D14" s="103" t="s">
        <v>146</v>
      </c>
      <c r="E14" s="93" t="s">
        <v>24</v>
      </c>
      <c r="F14" s="93" t="s">
        <v>24</v>
      </c>
      <c r="G14" s="93" t="s">
        <v>24</v>
      </c>
      <c r="H14" s="93" t="s">
        <v>24</v>
      </c>
      <c r="I14" s="93" t="s">
        <v>24</v>
      </c>
      <c r="J14" s="29">
        <v>26.0</v>
      </c>
      <c r="K14" s="93" t="s">
        <v>24</v>
      </c>
      <c r="L14" s="93" t="s">
        <v>24</v>
      </c>
      <c r="M14" s="29">
        <v>12.0</v>
      </c>
      <c r="N14" s="93" t="s">
        <v>24</v>
      </c>
      <c r="O14" s="93" t="s">
        <v>24</v>
      </c>
      <c r="P14" s="29">
        <v>35.0</v>
      </c>
    </row>
    <row r="15" ht="15.0" customHeight="1">
      <c r="A15" s="25"/>
      <c r="B15" s="31"/>
      <c r="C15" s="27">
        <v>3.0</v>
      </c>
      <c r="D15" s="103" t="s">
        <v>147</v>
      </c>
      <c r="E15" s="93" t="s">
        <v>24</v>
      </c>
      <c r="F15" s="93" t="s">
        <v>24</v>
      </c>
      <c r="G15" s="93" t="s">
        <v>24</v>
      </c>
      <c r="H15" s="93" t="s">
        <v>24</v>
      </c>
      <c r="I15" s="93" t="s">
        <v>24</v>
      </c>
      <c r="J15" s="29">
        <v>29.0</v>
      </c>
      <c r="K15" s="93" t="s">
        <v>24</v>
      </c>
      <c r="L15" s="93" t="s">
        <v>24</v>
      </c>
      <c r="M15" s="29">
        <v>22.0</v>
      </c>
      <c r="N15" s="93" t="s">
        <v>24</v>
      </c>
      <c r="O15" s="93" t="s">
        <v>24</v>
      </c>
      <c r="P15" s="29">
        <v>26.0</v>
      </c>
    </row>
    <row r="16" ht="15.0" customHeight="1">
      <c r="A16" s="25"/>
      <c r="B16" s="32" t="s">
        <v>31</v>
      </c>
      <c r="C16" s="33">
        <v>1.0</v>
      </c>
      <c r="D16" s="87" t="s">
        <v>145</v>
      </c>
      <c r="E16" s="92" t="s">
        <v>24</v>
      </c>
      <c r="F16" s="92" t="s">
        <v>24</v>
      </c>
      <c r="G16" s="92" t="s">
        <v>24</v>
      </c>
      <c r="H16" s="92" t="s">
        <v>24</v>
      </c>
      <c r="I16" s="92" t="s">
        <v>24</v>
      </c>
      <c r="J16" s="23">
        <v>7.98</v>
      </c>
      <c r="K16" s="92" t="s">
        <v>24</v>
      </c>
      <c r="L16" s="92" t="s">
        <v>24</v>
      </c>
      <c r="M16" s="23">
        <v>7.36</v>
      </c>
      <c r="N16" s="92" t="s">
        <v>24</v>
      </c>
      <c r="O16" s="92" t="s">
        <v>24</v>
      </c>
      <c r="P16" s="23">
        <v>8.06</v>
      </c>
    </row>
    <row r="17" ht="15.0" customHeight="1">
      <c r="A17" s="25"/>
      <c r="B17" s="26"/>
      <c r="C17" s="27">
        <v>2.0</v>
      </c>
      <c r="D17" s="103" t="s">
        <v>146</v>
      </c>
      <c r="E17" s="93" t="s">
        <v>24</v>
      </c>
      <c r="F17" s="93" t="s">
        <v>24</v>
      </c>
      <c r="G17" s="93" t="s">
        <v>24</v>
      </c>
      <c r="H17" s="93" t="s">
        <v>24</v>
      </c>
      <c r="I17" s="93" t="s">
        <v>24</v>
      </c>
      <c r="J17" s="84">
        <v>8.03</v>
      </c>
      <c r="K17" s="93" t="s">
        <v>24</v>
      </c>
      <c r="L17" s="93" t="s">
        <v>24</v>
      </c>
      <c r="M17" s="84">
        <v>7.28</v>
      </c>
      <c r="N17" s="93" t="s">
        <v>24</v>
      </c>
      <c r="O17" s="93" t="s">
        <v>24</v>
      </c>
      <c r="P17" s="84">
        <v>8.13</v>
      </c>
    </row>
    <row r="18" ht="15.0" customHeight="1">
      <c r="A18" s="25"/>
      <c r="B18" s="31"/>
      <c r="C18" s="27">
        <v>3.0</v>
      </c>
      <c r="D18" s="103" t="s">
        <v>147</v>
      </c>
      <c r="E18" s="93" t="s">
        <v>24</v>
      </c>
      <c r="F18" s="93" t="s">
        <v>24</v>
      </c>
      <c r="G18" s="93" t="s">
        <v>24</v>
      </c>
      <c r="H18" s="93" t="s">
        <v>24</v>
      </c>
      <c r="I18" s="93" t="s">
        <v>24</v>
      </c>
      <c r="J18" s="29">
        <v>7.71</v>
      </c>
      <c r="K18" s="93" t="s">
        <v>24</v>
      </c>
      <c r="L18" s="93" t="s">
        <v>24</v>
      </c>
      <c r="M18" s="29">
        <v>7.27</v>
      </c>
      <c r="N18" s="93" t="s">
        <v>24</v>
      </c>
      <c r="O18" s="93" t="s">
        <v>24</v>
      </c>
      <c r="P18" s="29">
        <v>8.19</v>
      </c>
    </row>
    <row r="19" ht="15.0" customHeight="1">
      <c r="A19" s="25"/>
      <c r="B19" s="32" t="s">
        <v>148</v>
      </c>
      <c r="C19" s="33">
        <v>1.0</v>
      </c>
      <c r="D19" s="87" t="s">
        <v>145</v>
      </c>
      <c r="E19" s="92" t="s">
        <v>24</v>
      </c>
      <c r="F19" s="92" t="s">
        <v>24</v>
      </c>
      <c r="G19" s="92" t="s">
        <v>24</v>
      </c>
      <c r="H19" s="92" t="s">
        <v>24</v>
      </c>
      <c r="I19" s="92" t="s">
        <v>24</v>
      </c>
      <c r="J19" s="24">
        <v>29.8</v>
      </c>
      <c r="K19" s="92" t="s">
        <v>24</v>
      </c>
      <c r="L19" s="92" t="s">
        <v>24</v>
      </c>
      <c r="M19" s="24">
        <v>28.7</v>
      </c>
      <c r="N19" s="92" t="s">
        <v>24</v>
      </c>
      <c r="O19" s="92" t="s">
        <v>24</v>
      </c>
      <c r="P19" s="24">
        <v>29.6</v>
      </c>
    </row>
    <row r="20" ht="15.0" customHeight="1">
      <c r="A20" s="25"/>
      <c r="B20" s="26"/>
      <c r="C20" s="27">
        <v>2.0</v>
      </c>
      <c r="D20" s="103" t="s">
        <v>146</v>
      </c>
      <c r="E20" s="93" t="s">
        <v>24</v>
      </c>
      <c r="F20" s="93" t="s">
        <v>24</v>
      </c>
      <c r="G20" s="93" t="s">
        <v>24</v>
      </c>
      <c r="H20" s="93" t="s">
        <v>24</v>
      </c>
      <c r="I20" s="93" t="s">
        <v>24</v>
      </c>
      <c r="J20" s="97">
        <v>31.8</v>
      </c>
      <c r="K20" s="93" t="s">
        <v>24</v>
      </c>
      <c r="L20" s="93" t="s">
        <v>24</v>
      </c>
      <c r="M20" s="97">
        <v>28.75</v>
      </c>
      <c r="N20" s="93" t="s">
        <v>24</v>
      </c>
      <c r="O20" s="93" t="s">
        <v>24</v>
      </c>
      <c r="P20" s="97">
        <v>29.7</v>
      </c>
    </row>
    <row r="21" ht="15.0" customHeight="1">
      <c r="A21" s="25"/>
      <c r="B21" s="31"/>
      <c r="C21" s="27">
        <v>3.0</v>
      </c>
      <c r="D21" s="103" t="s">
        <v>147</v>
      </c>
      <c r="E21" s="93" t="s">
        <v>24</v>
      </c>
      <c r="F21" s="93" t="s">
        <v>24</v>
      </c>
      <c r="G21" s="93" t="s">
        <v>24</v>
      </c>
      <c r="H21" s="93" t="s">
        <v>24</v>
      </c>
      <c r="I21" s="93" t="s">
        <v>24</v>
      </c>
      <c r="J21" s="29">
        <v>31.25</v>
      </c>
      <c r="K21" s="93" t="s">
        <v>24</v>
      </c>
      <c r="L21" s="93" t="s">
        <v>24</v>
      </c>
      <c r="M21" s="30">
        <v>28.7</v>
      </c>
      <c r="N21" s="93" t="s">
        <v>24</v>
      </c>
      <c r="O21" s="93" t="s">
        <v>24</v>
      </c>
      <c r="P21" s="30">
        <v>29.8</v>
      </c>
    </row>
    <row r="22" ht="15.0" customHeight="1">
      <c r="A22" s="25"/>
      <c r="B22" s="32" t="s">
        <v>33</v>
      </c>
      <c r="C22" s="33">
        <v>1.0</v>
      </c>
      <c r="D22" s="87" t="s">
        <v>145</v>
      </c>
      <c r="E22" s="92" t="s">
        <v>24</v>
      </c>
      <c r="F22" s="92" t="s">
        <v>24</v>
      </c>
      <c r="G22" s="92" t="s">
        <v>24</v>
      </c>
      <c r="H22" s="92" t="s">
        <v>24</v>
      </c>
      <c r="I22" s="92" t="s">
        <v>24</v>
      </c>
      <c r="J22" s="23">
        <v>30.0</v>
      </c>
      <c r="K22" s="92" t="s">
        <v>24</v>
      </c>
      <c r="L22" s="92" t="s">
        <v>24</v>
      </c>
      <c r="M22" s="23">
        <v>20.0</v>
      </c>
      <c r="N22" s="92" t="s">
        <v>24</v>
      </c>
      <c r="O22" s="92" t="s">
        <v>24</v>
      </c>
      <c r="P22" s="23">
        <v>5.0</v>
      </c>
    </row>
    <row r="23" ht="15.0" customHeight="1">
      <c r="A23" s="25"/>
      <c r="B23" s="26"/>
      <c r="C23" s="27">
        <v>2.0</v>
      </c>
      <c r="D23" s="103" t="s">
        <v>146</v>
      </c>
      <c r="E23" s="93" t="s">
        <v>24</v>
      </c>
      <c r="F23" s="93" t="s">
        <v>24</v>
      </c>
      <c r="G23" s="93" t="s">
        <v>24</v>
      </c>
      <c r="H23" s="93" t="s">
        <v>24</v>
      </c>
      <c r="I23" s="93" t="s">
        <v>24</v>
      </c>
      <c r="J23" s="29">
        <v>30.0</v>
      </c>
      <c r="K23" s="93" t="s">
        <v>24</v>
      </c>
      <c r="L23" s="93" t="s">
        <v>24</v>
      </c>
      <c r="M23" s="84">
        <v>20.0</v>
      </c>
      <c r="N23" s="93" t="s">
        <v>24</v>
      </c>
      <c r="O23" s="93" t="s">
        <v>24</v>
      </c>
      <c r="P23" s="84">
        <v>5.0</v>
      </c>
    </row>
    <row r="24" ht="15.0" customHeight="1">
      <c r="A24" s="25"/>
      <c r="B24" s="31"/>
      <c r="C24" s="27">
        <v>3.0</v>
      </c>
      <c r="D24" s="103" t="s">
        <v>147</v>
      </c>
      <c r="E24" s="93" t="s">
        <v>24</v>
      </c>
      <c r="F24" s="93" t="s">
        <v>24</v>
      </c>
      <c r="G24" s="93" t="s">
        <v>24</v>
      </c>
      <c r="H24" s="93" t="s">
        <v>24</v>
      </c>
      <c r="I24" s="93" t="s">
        <v>24</v>
      </c>
      <c r="J24" s="29">
        <v>30.0</v>
      </c>
      <c r="K24" s="93" t="s">
        <v>24</v>
      </c>
      <c r="L24" s="93" t="s">
        <v>24</v>
      </c>
      <c r="M24" s="29">
        <v>20.0</v>
      </c>
      <c r="N24" s="93" t="s">
        <v>24</v>
      </c>
      <c r="O24" s="93" t="s">
        <v>24</v>
      </c>
      <c r="P24" s="29">
        <v>5.0</v>
      </c>
    </row>
    <row r="25" ht="15.0" customHeight="1">
      <c r="A25" s="25"/>
      <c r="B25" s="32" t="s">
        <v>34</v>
      </c>
      <c r="C25" s="33">
        <v>1.0</v>
      </c>
      <c r="D25" s="87" t="s">
        <v>145</v>
      </c>
      <c r="E25" s="92" t="s">
        <v>24</v>
      </c>
      <c r="F25" s="92" t="s">
        <v>24</v>
      </c>
      <c r="G25" s="92" t="s">
        <v>24</v>
      </c>
      <c r="H25" s="92" t="s">
        <v>24</v>
      </c>
      <c r="I25" s="92" t="s">
        <v>24</v>
      </c>
      <c r="J25" s="41">
        <v>92000.0</v>
      </c>
      <c r="K25" s="98" t="s">
        <v>24</v>
      </c>
      <c r="L25" s="98" t="s">
        <v>24</v>
      </c>
      <c r="M25" s="41">
        <v>22000.0</v>
      </c>
      <c r="N25" s="98" t="s">
        <v>24</v>
      </c>
      <c r="O25" s="98" t="s">
        <v>24</v>
      </c>
      <c r="P25" s="41">
        <v>24000.0</v>
      </c>
    </row>
    <row r="26" ht="15.0" customHeight="1">
      <c r="A26" s="25"/>
      <c r="B26" s="26"/>
      <c r="C26" s="27">
        <v>2.0</v>
      </c>
      <c r="D26" s="103" t="s">
        <v>146</v>
      </c>
      <c r="E26" s="93" t="s">
        <v>24</v>
      </c>
      <c r="F26" s="93" t="s">
        <v>24</v>
      </c>
      <c r="G26" s="93" t="s">
        <v>24</v>
      </c>
      <c r="H26" s="93" t="s">
        <v>24</v>
      </c>
      <c r="I26" s="93" t="s">
        <v>24</v>
      </c>
      <c r="J26" s="42">
        <v>9200.0</v>
      </c>
      <c r="K26" s="99" t="s">
        <v>24</v>
      </c>
      <c r="L26" s="99" t="s">
        <v>24</v>
      </c>
      <c r="M26" s="42">
        <v>35000.0</v>
      </c>
      <c r="N26" s="99" t="s">
        <v>24</v>
      </c>
      <c r="O26" s="99" t="s">
        <v>24</v>
      </c>
      <c r="P26" s="42">
        <v>13000.0</v>
      </c>
    </row>
    <row r="27" ht="15.0" customHeight="1">
      <c r="A27" s="25"/>
      <c r="B27" s="31"/>
      <c r="C27" s="27">
        <v>3.0</v>
      </c>
      <c r="D27" s="103" t="s">
        <v>147</v>
      </c>
      <c r="E27" s="93" t="s">
        <v>24</v>
      </c>
      <c r="F27" s="93" t="s">
        <v>24</v>
      </c>
      <c r="G27" s="93" t="s">
        <v>24</v>
      </c>
      <c r="H27" s="93" t="s">
        <v>24</v>
      </c>
      <c r="I27" s="93" t="s">
        <v>24</v>
      </c>
      <c r="J27" s="42">
        <v>7900.0</v>
      </c>
      <c r="K27" s="99" t="s">
        <v>24</v>
      </c>
      <c r="L27" s="99" t="s">
        <v>24</v>
      </c>
      <c r="M27" s="42">
        <v>13000.0</v>
      </c>
      <c r="N27" s="99" t="s">
        <v>24</v>
      </c>
      <c r="O27" s="99" t="s">
        <v>24</v>
      </c>
      <c r="P27" s="42">
        <v>24000.0</v>
      </c>
    </row>
    <row r="28" ht="15.0" customHeight="1">
      <c r="A28" s="25"/>
      <c r="B28" s="32" t="s">
        <v>149</v>
      </c>
      <c r="C28" s="33">
        <v>1.0</v>
      </c>
      <c r="D28" s="87" t="s">
        <v>145</v>
      </c>
      <c r="E28" s="92" t="s">
        <v>24</v>
      </c>
      <c r="F28" s="92" t="s">
        <v>24</v>
      </c>
      <c r="G28" s="92" t="s">
        <v>24</v>
      </c>
      <c r="H28" s="92" t="s">
        <v>24</v>
      </c>
      <c r="I28" s="92" t="s">
        <v>24</v>
      </c>
      <c r="J28" s="23">
        <v>0.315</v>
      </c>
      <c r="K28" s="92" t="s">
        <v>24</v>
      </c>
      <c r="L28" s="92" t="s">
        <v>24</v>
      </c>
      <c r="M28" s="23">
        <v>0.572</v>
      </c>
      <c r="N28" s="92" t="s">
        <v>24</v>
      </c>
      <c r="O28" s="92" t="s">
        <v>24</v>
      </c>
      <c r="P28" s="105" t="s">
        <v>38</v>
      </c>
    </row>
    <row r="29" ht="15.0" customHeight="1">
      <c r="A29" s="25"/>
      <c r="B29" s="26"/>
      <c r="C29" s="27">
        <v>2.0</v>
      </c>
      <c r="D29" s="103" t="s">
        <v>146</v>
      </c>
      <c r="E29" s="93" t="s">
        <v>24</v>
      </c>
      <c r="F29" s="93" t="s">
        <v>24</v>
      </c>
      <c r="G29" s="93" t="s">
        <v>24</v>
      </c>
      <c r="H29" s="93" t="s">
        <v>24</v>
      </c>
      <c r="I29" s="93" t="s">
        <v>24</v>
      </c>
      <c r="J29" s="84">
        <v>0.61</v>
      </c>
      <c r="K29" s="93" t="s">
        <v>24</v>
      </c>
      <c r="L29" s="93" t="s">
        <v>24</v>
      </c>
      <c r="M29" s="84" t="s">
        <v>38</v>
      </c>
      <c r="N29" s="93" t="s">
        <v>24</v>
      </c>
      <c r="O29" s="93" t="s">
        <v>24</v>
      </c>
      <c r="P29" s="84">
        <v>0.227</v>
      </c>
    </row>
    <row r="30" ht="15.0" customHeight="1">
      <c r="A30" s="25"/>
      <c r="B30" s="31"/>
      <c r="C30" s="27">
        <v>3.0</v>
      </c>
      <c r="D30" s="103" t="s">
        <v>147</v>
      </c>
      <c r="E30" s="93" t="s">
        <v>24</v>
      </c>
      <c r="F30" s="93" t="s">
        <v>24</v>
      </c>
      <c r="G30" s="93" t="s">
        <v>24</v>
      </c>
      <c r="H30" s="93" t="s">
        <v>24</v>
      </c>
      <c r="I30" s="93" t="s">
        <v>24</v>
      </c>
      <c r="J30" s="29">
        <v>0.493</v>
      </c>
      <c r="K30" s="93" t="s">
        <v>24</v>
      </c>
      <c r="L30" s="93" t="s">
        <v>24</v>
      </c>
      <c r="M30" s="84" t="s">
        <v>38</v>
      </c>
      <c r="N30" s="93" t="s">
        <v>24</v>
      </c>
      <c r="O30" s="93" t="s">
        <v>24</v>
      </c>
      <c r="P30" s="29">
        <v>0.149</v>
      </c>
    </row>
    <row r="31" ht="15.0" customHeight="1">
      <c r="A31" s="25"/>
      <c r="B31" s="32" t="s">
        <v>150</v>
      </c>
      <c r="C31" s="33">
        <v>1.0</v>
      </c>
      <c r="D31" s="87" t="s">
        <v>145</v>
      </c>
      <c r="E31" s="92" t="s">
        <v>24</v>
      </c>
      <c r="F31" s="92" t="s">
        <v>24</v>
      </c>
      <c r="G31" s="92" t="s">
        <v>24</v>
      </c>
      <c r="H31" s="92" t="s">
        <v>24</v>
      </c>
      <c r="I31" s="92" t="s">
        <v>24</v>
      </c>
      <c r="J31" s="100" t="s">
        <v>120</v>
      </c>
      <c r="K31" s="92" t="s">
        <v>24</v>
      </c>
      <c r="L31" s="92" t="s">
        <v>24</v>
      </c>
      <c r="M31" s="100">
        <v>0.074</v>
      </c>
      <c r="N31" s="92" t="s">
        <v>24</v>
      </c>
      <c r="O31" s="92" t="s">
        <v>24</v>
      </c>
      <c r="P31" s="100">
        <v>0.099</v>
      </c>
    </row>
    <row r="32" ht="15.0" customHeight="1">
      <c r="A32" s="25"/>
      <c r="B32" s="26"/>
      <c r="C32" s="27">
        <v>2.0</v>
      </c>
      <c r="D32" s="103" t="s">
        <v>146</v>
      </c>
      <c r="E32" s="93" t="s">
        <v>24</v>
      </c>
      <c r="F32" s="93" t="s">
        <v>24</v>
      </c>
      <c r="G32" s="93" t="s">
        <v>24</v>
      </c>
      <c r="H32" s="93" t="s">
        <v>24</v>
      </c>
      <c r="I32" s="93" t="s">
        <v>24</v>
      </c>
      <c r="J32" s="101">
        <v>0.044</v>
      </c>
      <c r="K32" s="93" t="s">
        <v>24</v>
      </c>
      <c r="L32" s="93" t="s">
        <v>24</v>
      </c>
      <c r="M32" s="102">
        <v>0.072</v>
      </c>
      <c r="N32" s="93" t="s">
        <v>24</v>
      </c>
      <c r="O32" s="93" t="s">
        <v>24</v>
      </c>
      <c r="P32" s="101">
        <v>0.073</v>
      </c>
    </row>
    <row r="33" ht="15.0" customHeight="1">
      <c r="A33" s="25"/>
      <c r="B33" s="31"/>
      <c r="C33" s="27">
        <v>3.0</v>
      </c>
      <c r="D33" s="103" t="s">
        <v>147</v>
      </c>
      <c r="E33" s="93" t="s">
        <v>24</v>
      </c>
      <c r="F33" s="93" t="s">
        <v>24</v>
      </c>
      <c r="G33" s="93" t="s">
        <v>24</v>
      </c>
      <c r="H33" s="93" t="s">
        <v>24</v>
      </c>
      <c r="I33" s="93" t="s">
        <v>24</v>
      </c>
      <c r="J33" s="102">
        <v>0.084</v>
      </c>
      <c r="K33" s="93" t="s">
        <v>24</v>
      </c>
      <c r="L33" s="93" t="s">
        <v>24</v>
      </c>
      <c r="M33" s="106">
        <v>0.07</v>
      </c>
      <c r="N33" s="93" t="s">
        <v>24</v>
      </c>
      <c r="O33" s="93" t="s">
        <v>24</v>
      </c>
      <c r="P33" s="102">
        <v>0.053</v>
      </c>
    </row>
    <row r="34" ht="15.0" customHeight="1">
      <c r="A34" s="25"/>
      <c r="B34" s="32" t="s">
        <v>40</v>
      </c>
      <c r="C34" s="33">
        <v>1.0</v>
      </c>
      <c r="D34" s="87" t="s">
        <v>145</v>
      </c>
      <c r="E34" s="92" t="s">
        <v>24</v>
      </c>
      <c r="F34" s="92" t="s">
        <v>24</v>
      </c>
      <c r="G34" s="92" t="s">
        <v>24</v>
      </c>
      <c r="H34" s="92" t="s">
        <v>24</v>
      </c>
      <c r="I34" s="92" t="s">
        <v>24</v>
      </c>
      <c r="J34" s="96">
        <v>3.0</v>
      </c>
      <c r="K34" s="92" t="s">
        <v>24</v>
      </c>
      <c r="L34" s="92" t="s">
        <v>24</v>
      </c>
      <c r="M34" s="36">
        <v>4.0</v>
      </c>
      <c r="N34" s="92" t="s">
        <v>24</v>
      </c>
      <c r="O34" s="92" t="s">
        <v>24</v>
      </c>
      <c r="P34" s="23">
        <v>7.0</v>
      </c>
    </row>
    <row r="35" ht="15.0" customHeight="1">
      <c r="A35" s="25"/>
      <c r="B35" s="26"/>
      <c r="C35" s="27">
        <v>2.0</v>
      </c>
      <c r="D35" s="103" t="s">
        <v>146</v>
      </c>
      <c r="E35" s="93" t="s">
        <v>24</v>
      </c>
      <c r="F35" s="93" t="s">
        <v>24</v>
      </c>
      <c r="G35" s="93" t="s">
        <v>24</v>
      </c>
      <c r="H35" s="93" t="s">
        <v>24</v>
      </c>
      <c r="I35" s="93" t="s">
        <v>24</v>
      </c>
      <c r="J35" s="25">
        <v>2.0</v>
      </c>
      <c r="K35" s="93" t="s">
        <v>24</v>
      </c>
      <c r="L35" s="93" t="s">
        <v>24</v>
      </c>
      <c r="M35" s="107">
        <v>4.0</v>
      </c>
      <c r="N35" s="93" t="s">
        <v>24</v>
      </c>
      <c r="O35" s="93" t="s">
        <v>24</v>
      </c>
      <c r="P35" s="29">
        <v>7.0</v>
      </c>
    </row>
    <row r="36" ht="15.0" customHeight="1">
      <c r="A36" s="25"/>
      <c r="B36" s="31"/>
      <c r="C36" s="27">
        <v>3.0</v>
      </c>
      <c r="D36" s="103" t="s">
        <v>147</v>
      </c>
      <c r="E36" s="93" t="s">
        <v>24</v>
      </c>
      <c r="F36" s="93" t="s">
        <v>24</v>
      </c>
      <c r="G36" s="93" t="s">
        <v>24</v>
      </c>
      <c r="H36" s="93" t="s">
        <v>24</v>
      </c>
      <c r="I36" s="93" t="s">
        <v>24</v>
      </c>
      <c r="J36" s="25">
        <v>5.0</v>
      </c>
      <c r="K36" s="93" t="s">
        <v>24</v>
      </c>
      <c r="L36" s="93" t="s">
        <v>24</v>
      </c>
      <c r="M36" s="38">
        <v>4.0</v>
      </c>
      <c r="N36" s="93" t="s">
        <v>24</v>
      </c>
      <c r="O36" s="93" t="s">
        <v>24</v>
      </c>
      <c r="P36" s="29">
        <v>6.0</v>
      </c>
    </row>
    <row r="37" ht="15.75" customHeight="1"/>
    <row r="38" ht="15.75" customHeight="1">
      <c r="B38" s="62" t="s">
        <v>151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3:B15"/>
    <mergeCell ref="B16:B18"/>
    <mergeCell ref="B19:B21"/>
    <mergeCell ref="B22:B24"/>
    <mergeCell ref="B25:B27"/>
    <mergeCell ref="B28:B30"/>
    <mergeCell ref="B31:B33"/>
    <mergeCell ref="B34:B36"/>
    <mergeCell ref="A1:P1"/>
    <mergeCell ref="A2:P2"/>
    <mergeCell ref="A3:P3"/>
    <mergeCell ref="A5:P5"/>
    <mergeCell ref="A6:P6"/>
    <mergeCell ref="B7:B9"/>
    <mergeCell ref="B10:B12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5.29"/>
    <col customWidth="1" min="5" max="6" width="8.71"/>
    <col customWidth="1" min="7" max="7" width="10.43"/>
    <col customWidth="1" min="8" max="9" width="8.71"/>
    <col customWidth="1" min="10" max="10" width="12.71"/>
    <col customWidth="1" min="11" max="12" width="8.71"/>
    <col customWidth="1" min="13" max="13" width="12.71"/>
    <col customWidth="1" min="14" max="15" width="8.71"/>
    <col customWidth="1" min="16" max="16" width="12.71"/>
    <col customWidth="1" min="17" max="26" width="8.71"/>
  </cols>
  <sheetData>
    <row r="1" ht="15.0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5.0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ht="15.0" customHeight="1">
      <c r="A3" s="7">
        <v>2017.0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ht="15.0" customHeight="1">
      <c r="A4" s="89" t="s">
        <v>3</v>
      </c>
      <c r="B4" s="11" t="s">
        <v>4</v>
      </c>
      <c r="C4" s="11" t="s">
        <v>5</v>
      </c>
      <c r="D4" s="11" t="s">
        <v>6</v>
      </c>
      <c r="E4" s="11" t="s">
        <v>7</v>
      </c>
      <c r="F4" s="11" t="s">
        <v>8</v>
      </c>
      <c r="G4" s="11" t="s">
        <v>9</v>
      </c>
      <c r="H4" s="11" t="s">
        <v>10</v>
      </c>
      <c r="I4" s="11" t="s">
        <v>11</v>
      </c>
      <c r="J4" s="11" t="s">
        <v>12</v>
      </c>
      <c r="K4" s="11" t="s">
        <v>13</v>
      </c>
      <c r="L4" s="11" t="s">
        <v>14</v>
      </c>
      <c r="M4" s="11" t="s">
        <v>15</v>
      </c>
      <c r="N4" s="11" t="s">
        <v>16</v>
      </c>
      <c r="O4" s="11" t="s">
        <v>17</v>
      </c>
      <c r="P4" s="11" t="s">
        <v>18</v>
      </c>
    </row>
    <row r="5" ht="15.0" customHeight="1">
      <c r="A5" s="13" t="s">
        <v>152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ht="15.0" customHeight="1">
      <c r="A6" s="16" t="s">
        <v>54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7" ht="15.0" customHeight="1">
      <c r="A7" s="90" t="s">
        <v>21</v>
      </c>
      <c r="B7" s="32" t="s">
        <v>22</v>
      </c>
      <c r="C7" s="33">
        <v>1.0</v>
      </c>
      <c r="D7" s="108" t="s">
        <v>153</v>
      </c>
      <c r="E7" s="92" t="s">
        <v>24</v>
      </c>
      <c r="F7" s="92" t="s">
        <v>24</v>
      </c>
      <c r="G7" s="23">
        <v>4.52</v>
      </c>
      <c r="H7" s="92" t="s">
        <v>24</v>
      </c>
      <c r="I7" s="92" t="s">
        <v>24</v>
      </c>
      <c r="J7" s="23">
        <v>4.15</v>
      </c>
      <c r="K7" s="92" t="s">
        <v>24</v>
      </c>
      <c r="L7" s="92" t="s">
        <v>24</v>
      </c>
      <c r="M7" s="24">
        <v>6.85</v>
      </c>
      <c r="N7" s="92" t="s">
        <v>24</v>
      </c>
      <c r="O7" s="92" t="s">
        <v>24</v>
      </c>
      <c r="P7" s="24">
        <v>6.85</v>
      </c>
    </row>
    <row r="8" ht="15.0" customHeight="1">
      <c r="A8" s="25"/>
      <c r="B8" s="26"/>
      <c r="C8" s="27">
        <v>2.0</v>
      </c>
      <c r="D8" s="72" t="s">
        <v>154</v>
      </c>
      <c r="E8" s="93" t="s">
        <v>24</v>
      </c>
      <c r="F8" s="93" t="s">
        <v>24</v>
      </c>
      <c r="G8" s="29">
        <v>4.66</v>
      </c>
      <c r="H8" s="93" t="s">
        <v>24</v>
      </c>
      <c r="I8" s="93" t="s">
        <v>24</v>
      </c>
      <c r="J8" s="30">
        <v>5.16</v>
      </c>
      <c r="K8" s="93" t="s">
        <v>24</v>
      </c>
      <c r="L8" s="93" t="s">
        <v>24</v>
      </c>
      <c r="M8" s="30">
        <v>6.79</v>
      </c>
      <c r="N8" s="93" t="s">
        <v>24</v>
      </c>
      <c r="O8" s="93" t="s">
        <v>24</v>
      </c>
      <c r="P8" s="30">
        <v>6.79</v>
      </c>
    </row>
    <row r="9" ht="15.0" customHeight="1">
      <c r="A9" s="25"/>
      <c r="B9" s="31"/>
      <c r="C9" s="27">
        <v>3.0</v>
      </c>
      <c r="D9" s="109" t="s">
        <v>155</v>
      </c>
      <c r="E9" s="93" t="s">
        <v>24</v>
      </c>
      <c r="F9" s="93" t="s">
        <v>24</v>
      </c>
      <c r="G9" s="29">
        <v>4.26</v>
      </c>
      <c r="H9" s="93" t="s">
        <v>24</v>
      </c>
      <c r="I9" s="93" t="s">
        <v>24</v>
      </c>
      <c r="J9" s="30">
        <v>4.45</v>
      </c>
      <c r="K9" s="93" t="s">
        <v>24</v>
      </c>
      <c r="L9" s="93" t="s">
        <v>24</v>
      </c>
      <c r="M9" s="30">
        <v>6.25</v>
      </c>
      <c r="N9" s="93" t="s">
        <v>24</v>
      </c>
      <c r="O9" s="93" t="s">
        <v>24</v>
      </c>
      <c r="P9" s="30">
        <v>6.25</v>
      </c>
    </row>
    <row r="10" ht="15.0" customHeight="1">
      <c r="A10" s="25"/>
      <c r="B10" s="32" t="s">
        <v>29</v>
      </c>
      <c r="C10" s="33">
        <v>1.0</v>
      </c>
      <c r="D10" s="108" t="s">
        <v>153</v>
      </c>
      <c r="E10" s="92" t="s">
        <v>24</v>
      </c>
      <c r="F10" s="92" t="s">
        <v>24</v>
      </c>
      <c r="G10" s="35">
        <v>3.0</v>
      </c>
      <c r="H10" s="92" t="s">
        <v>24</v>
      </c>
      <c r="I10" s="92" t="s">
        <v>24</v>
      </c>
      <c r="J10" s="23">
        <v>4.0</v>
      </c>
      <c r="K10" s="92" t="s">
        <v>24</v>
      </c>
      <c r="L10" s="92" t="s">
        <v>24</v>
      </c>
      <c r="M10" s="35">
        <v>8.0</v>
      </c>
      <c r="N10" s="92" t="s">
        <v>24</v>
      </c>
      <c r="O10" s="92" t="s">
        <v>24</v>
      </c>
      <c r="P10" s="35">
        <v>11.0</v>
      </c>
    </row>
    <row r="11" ht="15.0" customHeight="1">
      <c r="A11" s="25"/>
      <c r="B11" s="26"/>
      <c r="C11" s="27">
        <v>2.0</v>
      </c>
      <c r="D11" s="72" t="s">
        <v>154</v>
      </c>
      <c r="E11" s="93" t="s">
        <v>24</v>
      </c>
      <c r="F11" s="93" t="s">
        <v>24</v>
      </c>
      <c r="G11" s="69">
        <v>4.0</v>
      </c>
      <c r="H11" s="93" t="s">
        <v>24</v>
      </c>
      <c r="I11" s="93" t="s">
        <v>24</v>
      </c>
      <c r="J11" s="29">
        <v>4.0</v>
      </c>
      <c r="K11" s="93" t="s">
        <v>24</v>
      </c>
      <c r="L11" s="93" t="s">
        <v>24</v>
      </c>
      <c r="M11" s="69">
        <v>3.0</v>
      </c>
      <c r="N11" s="93" t="s">
        <v>24</v>
      </c>
      <c r="O11" s="93" t="s">
        <v>24</v>
      </c>
      <c r="P11" s="69">
        <v>5.0</v>
      </c>
      <c r="R11" s="104"/>
    </row>
    <row r="12" ht="15.0" customHeight="1">
      <c r="A12" s="25"/>
      <c r="B12" s="31"/>
      <c r="C12" s="27">
        <v>3.0</v>
      </c>
      <c r="D12" s="109" t="s">
        <v>155</v>
      </c>
      <c r="E12" s="93" t="s">
        <v>24</v>
      </c>
      <c r="F12" s="93" t="s">
        <v>24</v>
      </c>
      <c r="G12" s="69">
        <v>2.0</v>
      </c>
      <c r="H12" s="93" t="s">
        <v>24</v>
      </c>
      <c r="I12" s="93" t="s">
        <v>24</v>
      </c>
      <c r="J12" s="29">
        <v>3.0</v>
      </c>
      <c r="K12" s="93" t="s">
        <v>24</v>
      </c>
      <c r="L12" s="93" t="s">
        <v>24</v>
      </c>
      <c r="M12" s="69">
        <v>2.0</v>
      </c>
      <c r="N12" s="93" t="s">
        <v>24</v>
      </c>
      <c r="O12" s="93" t="s">
        <v>24</v>
      </c>
      <c r="P12" s="69">
        <v>4.0</v>
      </c>
    </row>
    <row r="13" ht="15.0" customHeight="1">
      <c r="A13" s="25"/>
      <c r="B13" s="32" t="s">
        <v>30</v>
      </c>
      <c r="C13" s="33">
        <v>1.0</v>
      </c>
      <c r="D13" s="108" t="s">
        <v>153</v>
      </c>
      <c r="E13" s="92" t="s">
        <v>24</v>
      </c>
      <c r="F13" s="92" t="s">
        <v>24</v>
      </c>
      <c r="G13" s="23">
        <v>13.0</v>
      </c>
      <c r="H13" s="92" t="s">
        <v>24</v>
      </c>
      <c r="I13" s="92" t="s">
        <v>24</v>
      </c>
      <c r="J13" s="23">
        <v>66.0</v>
      </c>
      <c r="K13" s="92" t="s">
        <v>24</v>
      </c>
      <c r="L13" s="92" t="s">
        <v>24</v>
      </c>
      <c r="M13" s="23">
        <v>42.0</v>
      </c>
      <c r="N13" s="92" t="s">
        <v>24</v>
      </c>
      <c r="O13" s="92" t="s">
        <v>24</v>
      </c>
      <c r="P13" s="36">
        <v>119.0</v>
      </c>
    </row>
    <row r="14" ht="15.0" customHeight="1">
      <c r="A14" s="25"/>
      <c r="B14" s="26"/>
      <c r="C14" s="27">
        <v>2.0</v>
      </c>
      <c r="D14" s="72" t="s">
        <v>154</v>
      </c>
      <c r="E14" s="93" t="s">
        <v>24</v>
      </c>
      <c r="F14" s="93" t="s">
        <v>24</v>
      </c>
      <c r="G14" s="29">
        <v>56.0</v>
      </c>
      <c r="H14" s="93" t="s">
        <v>24</v>
      </c>
      <c r="I14" s="93" t="s">
        <v>24</v>
      </c>
      <c r="J14" s="29">
        <v>66.0</v>
      </c>
      <c r="K14" s="93" t="s">
        <v>24</v>
      </c>
      <c r="L14" s="93" t="s">
        <v>24</v>
      </c>
      <c r="M14" s="29">
        <v>29.0</v>
      </c>
      <c r="N14" s="93" t="s">
        <v>24</v>
      </c>
      <c r="O14" s="93" t="s">
        <v>24</v>
      </c>
      <c r="P14" s="38">
        <v>107.0</v>
      </c>
    </row>
    <row r="15" ht="15.0" customHeight="1">
      <c r="A15" s="25"/>
      <c r="B15" s="31"/>
      <c r="C15" s="27">
        <v>3.0</v>
      </c>
      <c r="D15" s="109" t="s">
        <v>155</v>
      </c>
      <c r="E15" s="93" t="s">
        <v>24</v>
      </c>
      <c r="F15" s="93" t="s">
        <v>24</v>
      </c>
      <c r="G15" s="29">
        <v>49.0</v>
      </c>
      <c r="H15" s="93" t="s">
        <v>24</v>
      </c>
      <c r="I15" s="93" t="s">
        <v>24</v>
      </c>
      <c r="J15" s="29">
        <v>71.0</v>
      </c>
      <c r="K15" s="93" t="s">
        <v>24</v>
      </c>
      <c r="L15" s="93" t="s">
        <v>24</v>
      </c>
      <c r="M15" s="29">
        <v>27.0</v>
      </c>
      <c r="N15" s="93" t="s">
        <v>24</v>
      </c>
      <c r="O15" s="93" t="s">
        <v>24</v>
      </c>
      <c r="P15" s="38">
        <v>122.0</v>
      </c>
    </row>
    <row r="16" ht="15.0" customHeight="1">
      <c r="A16" s="25"/>
      <c r="B16" s="32" t="s">
        <v>31</v>
      </c>
      <c r="C16" s="33">
        <v>1.0</v>
      </c>
      <c r="D16" s="108" t="s">
        <v>153</v>
      </c>
      <c r="E16" s="92" t="s">
        <v>24</v>
      </c>
      <c r="F16" s="92" t="s">
        <v>24</v>
      </c>
      <c r="G16" s="23">
        <v>7.98</v>
      </c>
      <c r="H16" s="92" t="s">
        <v>24</v>
      </c>
      <c r="I16" s="92" t="s">
        <v>24</v>
      </c>
      <c r="J16" s="23">
        <v>7.46</v>
      </c>
      <c r="K16" s="92" t="s">
        <v>24</v>
      </c>
      <c r="L16" s="92" t="s">
        <v>24</v>
      </c>
      <c r="M16" s="23">
        <v>7.34</v>
      </c>
      <c r="N16" s="92" t="s">
        <v>24</v>
      </c>
      <c r="O16" s="92" t="s">
        <v>24</v>
      </c>
      <c r="P16" s="23">
        <v>6.81</v>
      </c>
    </row>
    <row r="17" ht="15.0" customHeight="1">
      <c r="A17" s="25"/>
      <c r="B17" s="26"/>
      <c r="C17" s="27">
        <v>2.0</v>
      </c>
      <c r="D17" s="72" t="s">
        <v>154</v>
      </c>
      <c r="E17" s="93" t="s">
        <v>24</v>
      </c>
      <c r="F17" s="93" t="s">
        <v>24</v>
      </c>
      <c r="G17" s="29">
        <v>7.82</v>
      </c>
      <c r="H17" s="93" t="s">
        <v>24</v>
      </c>
      <c r="I17" s="93" t="s">
        <v>24</v>
      </c>
      <c r="J17" s="29">
        <v>7.52</v>
      </c>
      <c r="K17" s="93" t="s">
        <v>24</v>
      </c>
      <c r="L17" s="93" t="s">
        <v>24</v>
      </c>
      <c r="M17" s="29">
        <v>7.47</v>
      </c>
      <c r="N17" s="93" t="s">
        <v>24</v>
      </c>
      <c r="O17" s="93" t="s">
        <v>24</v>
      </c>
      <c r="P17" s="29">
        <v>6.92</v>
      </c>
    </row>
    <row r="18" ht="15.0" customHeight="1">
      <c r="A18" s="25"/>
      <c r="B18" s="31"/>
      <c r="C18" s="27">
        <v>3.0</v>
      </c>
      <c r="D18" s="109" t="s">
        <v>155</v>
      </c>
      <c r="E18" s="93" t="s">
        <v>24</v>
      </c>
      <c r="F18" s="93" t="s">
        <v>24</v>
      </c>
      <c r="G18" s="29">
        <v>7.88</v>
      </c>
      <c r="H18" s="93" t="s">
        <v>24</v>
      </c>
      <c r="I18" s="93" t="s">
        <v>24</v>
      </c>
      <c r="J18" s="29">
        <v>7.58</v>
      </c>
      <c r="K18" s="93" t="s">
        <v>24</v>
      </c>
      <c r="L18" s="93" t="s">
        <v>24</v>
      </c>
      <c r="M18" s="30">
        <v>7.2</v>
      </c>
      <c r="N18" s="93" t="s">
        <v>24</v>
      </c>
      <c r="O18" s="93" t="s">
        <v>24</v>
      </c>
      <c r="P18" s="29">
        <v>6.52</v>
      </c>
    </row>
    <row r="19" ht="15.0" customHeight="1">
      <c r="A19" s="25"/>
      <c r="B19" s="32" t="s">
        <v>156</v>
      </c>
      <c r="C19" s="33">
        <v>1.0</v>
      </c>
      <c r="D19" s="108" t="s">
        <v>153</v>
      </c>
      <c r="E19" s="92" t="s">
        <v>24</v>
      </c>
      <c r="F19" s="92" t="s">
        <v>24</v>
      </c>
      <c r="G19" s="24">
        <v>29.4</v>
      </c>
      <c r="H19" s="92" t="s">
        <v>24</v>
      </c>
      <c r="I19" s="92" t="s">
        <v>24</v>
      </c>
      <c r="J19" s="24">
        <v>31.3</v>
      </c>
      <c r="K19" s="92" t="s">
        <v>24</v>
      </c>
      <c r="L19" s="92" t="s">
        <v>24</v>
      </c>
      <c r="M19" s="24">
        <v>30.1</v>
      </c>
      <c r="N19" s="92" t="s">
        <v>24</v>
      </c>
      <c r="O19" s="92" t="s">
        <v>24</v>
      </c>
      <c r="P19" s="24">
        <v>28.5</v>
      </c>
    </row>
    <row r="20" ht="15.0" customHeight="1">
      <c r="A20" s="25"/>
      <c r="B20" s="26"/>
      <c r="C20" s="27">
        <v>2.0</v>
      </c>
      <c r="D20" s="72" t="s">
        <v>154</v>
      </c>
      <c r="E20" s="93" t="s">
        <v>24</v>
      </c>
      <c r="F20" s="93" t="s">
        <v>24</v>
      </c>
      <c r="G20" s="30">
        <v>28.8</v>
      </c>
      <c r="H20" s="93" t="s">
        <v>24</v>
      </c>
      <c r="I20" s="93" t="s">
        <v>24</v>
      </c>
      <c r="J20" s="30">
        <v>33.3</v>
      </c>
      <c r="K20" s="93" t="s">
        <v>24</v>
      </c>
      <c r="L20" s="93" t="s">
        <v>24</v>
      </c>
      <c r="M20" s="30">
        <v>30.2</v>
      </c>
      <c r="N20" s="93" t="s">
        <v>24</v>
      </c>
      <c r="O20" s="93" t="s">
        <v>24</v>
      </c>
      <c r="P20" s="30">
        <v>28.45</v>
      </c>
    </row>
    <row r="21" ht="15.0" customHeight="1">
      <c r="A21" s="25"/>
      <c r="B21" s="31"/>
      <c r="C21" s="27">
        <v>3.0</v>
      </c>
      <c r="D21" s="109" t="s">
        <v>155</v>
      </c>
      <c r="E21" s="93" t="s">
        <v>24</v>
      </c>
      <c r="F21" s="93" t="s">
        <v>24</v>
      </c>
      <c r="G21" s="30">
        <v>29.8</v>
      </c>
      <c r="H21" s="93" t="s">
        <v>24</v>
      </c>
      <c r="I21" s="93" t="s">
        <v>24</v>
      </c>
      <c r="J21" s="30">
        <v>33.5</v>
      </c>
      <c r="K21" s="93" t="s">
        <v>24</v>
      </c>
      <c r="L21" s="93" t="s">
        <v>24</v>
      </c>
      <c r="M21" s="30">
        <v>29.9</v>
      </c>
      <c r="N21" s="93" t="s">
        <v>24</v>
      </c>
      <c r="O21" s="93" t="s">
        <v>24</v>
      </c>
      <c r="P21" s="30">
        <v>28.8</v>
      </c>
    </row>
    <row r="22" ht="15.0" customHeight="1">
      <c r="A22" s="25"/>
      <c r="B22" s="32" t="s">
        <v>33</v>
      </c>
      <c r="C22" s="33">
        <v>1.0</v>
      </c>
      <c r="D22" s="108" t="s">
        <v>153</v>
      </c>
      <c r="E22" s="92" t="s">
        <v>24</v>
      </c>
      <c r="F22" s="92" t="s">
        <v>24</v>
      </c>
      <c r="G22" s="23">
        <v>30.0</v>
      </c>
      <c r="H22" s="92" t="s">
        <v>24</v>
      </c>
      <c r="I22" s="92" t="s">
        <v>24</v>
      </c>
      <c r="J22" s="23">
        <v>15.0</v>
      </c>
      <c r="K22" s="92" t="s">
        <v>24</v>
      </c>
      <c r="L22" s="92" t="s">
        <v>24</v>
      </c>
      <c r="M22" s="23">
        <v>30.0</v>
      </c>
      <c r="N22" s="92" t="s">
        <v>24</v>
      </c>
      <c r="O22" s="92" t="s">
        <v>24</v>
      </c>
      <c r="P22" s="23">
        <v>30.0</v>
      </c>
    </row>
    <row r="23" ht="15.0" customHeight="1">
      <c r="A23" s="25"/>
      <c r="B23" s="26"/>
      <c r="C23" s="27">
        <v>2.0</v>
      </c>
      <c r="D23" s="72" t="s">
        <v>154</v>
      </c>
      <c r="E23" s="93" t="s">
        <v>24</v>
      </c>
      <c r="F23" s="93" t="s">
        <v>24</v>
      </c>
      <c r="G23" s="29">
        <v>20.0</v>
      </c>
      <c r="H23" s="93" t="s">
        <v>24</v>
      </c>
      <c r="I23" s="93" t="s">
        <v>24</v>
      </c>
      <c r="J23" s="29">
        <v>20.0</v>
      </c>
      <c r="K23" s="93" t="s">
        <v>24</v>
      </c>
      <c r="L23" s="93" t="s">
        <v>24</v>
      </c>
      <c r="M23" s="29">
        <v>30.0</v>
      </c>
      <c r="N23" s="93" t="s">
        <v>24</v>
      </c>
      <c r="O23" s="93" t="s">
        <v>24</v>
      </c>
      <c r="P23" s="29">
        <v>30.0</v>
      </c>
    </row>
    <row r="24" ht="15.0" customHeight="1">
      <c r="A24" s="25"/>
      <c r="B24" s="31"/>
      <c r="C24" s="27">
        <v>3.0</v>
      </c>
      <c r="D24" s="109" t="s">
        <v>155</v>
      </c>
      <c r="E24" s="93" t="s">
        <v>24</v>
      </c>
      <c r="F24" s="93" t="s">
        <v>24</v>
      </c>
      <c r="G24" s="29">
        <v>10.0</v>
      </c>
      <c r="H24" s="93" t="s">
        <v>24</v>
      </c>
      <c r="I24" s="93" t="s">
        <v>24</v>
      </c>
      <c r="J24" s="29">
        <v>25.0</v>
      </c>
      <c r="K24" s="93" t="s">
        <v>24</v>
      </c>
      <c r="L24" s="93" t="s">
        <v>24</v>
      </c>
      <c r="M24" s="29">
        <v>20.0</v>
      </c>
      <c r="N24" s="93" t="s">
        <v>24</v>
      </c>
      <c r="O24" s="93" t="s">
        <v>24</v>
      </c>
      <c r="P24" s="29">
        <v>30.0</v>
      </c>
    </row>
    <row r="25" ht="15.0" customHeight="1">
      <c r="A25" s="25"/>
      <c r="B25" s="32" t="s">
        <v>34</v>
      </c>
      <c r="C25" s="33">
        <v>1.0</v>
      </c>
      <c r="D25" s="108" t="s">
        <v>153</v>
      </c>
      <c r="E25" s="92" t="s">
        <v>24</v>
      </c>
      <c r="F25" s="92" t="s">
        <v>24</v>
      </c>
      <c r="G25" s="41">
        <v>350.0</v>
      </c>
      <c r="H25" s="98" t="s">
        <v>24</v>
      </c>
      <c r="I25" s="98" t="s">
        <v>24</v>
      </c>
      <c r="J25" s="41">
        <v>5400.0</v>
      </c>
      <c r="K25" s="98" t="s">
        <v>24</v>
      </c>
      <c r="L25" s="98" t="s">
        <v>24</v>
      </c>
      <c r="M25" s="41">
        <v>92000.0</v>
      </c>
      <c r="N25" s="98" t="s">
        <v>24</v>
      </c>
      <c r="O25" s="98" t="s">
        <v>24</v>
      </c>
      <c r="P25" s="41">
        <v>35000.0</v>
      </c>
      <c r="Q25" s="74">
        <f>geomean(G25,J25,M25,P25)</f>
        <v>8832.414031</v>
      </c>
      <c r="R25" s="74">
        <f>GEOMEAN(Q25,Q26,Q27)</f>
        <v>34482.65361</v>
      </c>
    </row>
    <row r="26" ht="15.0" customHeight="1">
      <c r="A26" s="25"/>
      <c r="B26" s="26"/>
      <c r="C26" s="27">
        <v>2.0</v>
      </c>
      <c r="D26" s="72" t="s">
        <v>154</v>
      </c>
      <c r="E26" s="93" t="s">
        <v>24</v>
      </c>
      <c r="F26" s="93" t="s">
        <v>24</v>
      </c>
      <c r="G26" s="42">
        <v>2800.0</v>
      </c>
      <c r="H26" s="99" t="s">
        <v>24</v>
      </c>
      <c r="I26" s="99" t="s">
        <v>24</v>
      </c>
      <c r="J26" s="42">
        <v>54000.0</v>
      </c>
      <c r="K26" s="99" t="s">
        <v>24</v>
      </c>
      <c r="L26" s="99" t="s">
        <v>24</v>
      </c>
      <c r="M26" s="42">
        <v>46000.0</v>
      </c>
      <c r="N26" s="99" t="s">
        <v>24</v>
      </c>
      <c r="O26" s="99" t="s">
        <v>24</v>
      </c>
      <c r="P26" s="42">
        <v>350000.0</v>
      </c>
      <c r="Q26" s="74">
        <f t="shared" ref="Q26:Q27" si="1">GEOMEAN(G26,J26,M26,P26)</f>
        <v>39499.75636</v>
      </c>
    </row>
    <row r="27" ht="15.0" customHeight="1">
      <c r="A27" s="25"/>
      <c r="B27" s="31"/>
      <c r="C27" s="27">
        <v>3.0</v>
      </c>
      <c r="D27" s="109" t="s">
        <v>155</v>
      </c>
      <c r="E27" s="93" t="s">
        <v>24</v>
      </c>
      <c r="F27" s="93" t="s">
        <v>24</v>
      </c>
      <c r="G27" s="42">
        <v>9200.0</v>
      </c>
      <c r="H27" s="99" t="s">
        <v>24</v>
      </c>
      <c r="I27" s="99" t="s">
        <v>24</v>
      </c>
      <c r="J27" s="42">
        <v>160000.0</v>
      </c>
      <c r="K27" s="99" t="s">
        <v>24</v>
      </c>
      <c r="L27" s="99" t="s">
        <v>24</v>
      </c>
      <c r="M27" s="42">
        <v>540000.0</v>
      </c>
      <c r="N27" s="99" t="s">
        <v>24</v>
      </c>
      <c r="O27" s="99" t="s">
        <v>24</v>
      </c>
      <c r="P27" s="42">
        <v>240000.0</v>
      </c>
      <c r="Q27" s="74">
        <f t="shared" si="1"/>
        <v>117524.4434</v>
      </c>
    </row>
    <row r="28" ht="15.0" customHeight="1">
      <c r="A28" s="25"/>
      <c r="B28" s="32" t="s">
        <v>157</v>
      </c>
      <c r="C28" s="33">
        <v>1.0</v>
      </c>
      <c r="D28" s="108" t="s">
        <v>153</v>
      </c>
      <c r="E28" s="92" t="s">
        <v>24</v>
      </c>
      <c r="F28" s="92" t="s">
        <v>24</v>
      </c>
      <c r="G28" s="23">
        <v>0.056</v>
      </c>
      <c r="H28" s="92" t="s">
        <v>24</v>
      </c>
      <c r="I28" s="92" t="s">
        <v>24</v>
      </c>
      <c r="J28" s="45">
        <v>1.394</v>
      </c>
      <c r="K28" s="92" t="s">
        <v>24</v>
      </c>
      <c r="L28" s="92" t="s">
        <v>24</v>
      </c>
      <c r="M28" s="23">
        <v>0.735</v>
      </c>
      <c r="N28" s="92" t="s">
        <v>24</v>
      </c>
      <c r="O28" s="92" t="s">
        <v>24</v>
      </c>
      <c r="P28" s="23">
        <v>0.106</v>
      </c>
    </row>
    <row r="29" ht="15.0" customHeight="1">
      <c r="A29" s="25"/>
      <c r="B29" s="26"/>
      <c r="C29" s="27">
        <v>2.0</v>
      </c>
      <c r="D29" s="72" t="s">
        <v>154</v>
      </c>
      <c r="E29" s="93" t="s">
        <v>24</v>
      </c>
      <c r="F29" s="93" t="s">
        <v>24</v>
      </c>
      <c r="G29" s="29">
        <v>0.252</v>
      </c>
      <c r="H29" s="93" t="s">
        <v>24</v>
      </c>
      <c r="I29" s="93" t="s">
        <v>24</v>
      </c>
      <c r="J29" s="29">
        <v>1.467</v>
      </c>
      <c r="K29" s="93" t="s">
        <v>24</v>
      </c>
      <c r="L29" s="93" t="s">
        <v>24</v>
      </c>
      <c r="M29" s="29">
        <v>0.527</v>
      </c>
      <c r="N29" s="93" t="s">
        <v>24</v>
      </c>
      <c r="O29" s="93" t="s">
        <v>24</v>
      </c>
      <c r="P29" s="29">
        <v>0.097</v>
      </c>
    </row>
    <row r="30" ht="15.0" customHeight="1">
      <c r="A30" s="25"/>
      <c r="B30" s="31"/>
      <c r="C30" s="27">
        <v>3.0</v>
      </c>
      <c r="D30" s="109" t="s">
        <v>155</v>
      </c>
      <c r="E30" s="93" t="s">
        <v>24</v>
      </c>
      <c r="F30" s="93" t="s">
        <v>24</v>
      </c>
      <c r="G30" s="29">
        <v>0.134</v>
      </c>
      <c r="H30" s="93" t="s">
        <v>24</v>
      </c>
      <c r="I30" s="93" t="s">
        <v>24</v>
      </c>
      <c r="J30" s="29">
        <v>1.516</v>
      </c>
      <c r="K30" s="93" t="s">
        <v>24</v>
      </c>
      <c r="L30" s="93" t="s">
        <v>24</v>
      </c>
      <c r="M30" s="29">
        <v>0.197</v>
      </c>
      <c r="N30" s="93" t="s">
        <v>24</v>
      </c>
      <c r="O30" s="93" t="s">
        <v>24</v>
      </c>
      <c r="P30" s="29">
        <v>0.091</v>
      </c>
    </row>
    <row r="31" ht="15.0" customHeight="1">
      <c r="A31" s="25"/>
      <c r="B31" s="32" t="s">
        <v>158</v>
      </c>
      <c r="C31" s="33">
        <v>1.0</v>
      </c>
      <c r="D31" s="108" t="s">
        <v>153</v>
      </c>
      <c r="E31" s="92" t="s">
        <v>24</v>
      </c>
      <c r="F31" s="92" t="s">
        <v>24</v>
      </c>
      <c r="G31" s="23" t="s">
        <v>120</v>
      </c>
      <c r="H31" s="92" t="s">
        <v>24</v>
      </c>
      <c r="I31" s="92" t="s">
        <v>24</v>
      </c>
      <c r="J31" s="23">
        <v>0.119</v>
      </c>
      <c r="K31" s="92" t="s">
        <v>24</v>
      </c>
      <c r="L31" s="92" t="s">
        <v>24</v>
      </c>
      <c r="M31" s="23">
        <v>0.211</v>
      </c>
      <c r="N31" s="92" t="s">
        <v>24</v>
      </c>
      <c r="O31" s="92" t="s">
        <v>24</v>
      </c>
      <c r="P31" s="23">
        <v>0.307</v>
      </c>
    </row>
    <row r="32" ht="15.0" customHeight="1">
      <c r="A32" s="25"/>
      <c r="B32" s="26"/>
      <c r="C32" s="27">
        <v>2.0</v>
      </c>
      <c r="D32" s="72" t="s">
        <v>154</v>
      </c>
      <c r="E32" s="93" t="s">
        <v>24</v>
      </c>
      <c r="F32" s="93" t="s">
        <v>24</v>
      </c>
      <c r="G32" s="29">
        <v>0.212</v>
      </c>
      <c r="H32" s="93" t="s">
        <v>24</v>
      </c>
      <c r="I32" s="93" t="s">
        <v>24</v>
      </c>
      <c r="J32" s="29">
        <v>0.167</v>
      </c>
      <c r="K32" s="93" t="s">
        <v>24</v>
      </c>
      <c r="L32" s="93" t="s">
        <v>24</v>
      </c>
      <c r="M32" s="46">
        <v>0.16</v>
      </c>
      <c r="N32" s="93" t="s">
        <v>24</v>
      </c>
      <c r="O32" s="93" t="s">
        <v>24</v>
      </c>
      <c r="P32" s="29">
        <v>0.382</v>
      </c>
    </row>
    <row r="33" ht="15.0" customHeight="1">
      <c r="A33" s="25"/>
      <c r="B33" s="31"/>
      <c r="C33" s="27">
        <v>3.0</v>
      </c>
      <c r="D33" s="109" t="s">
        <v>155</v>
      </c>
      <c r="E33" s="93" t="s">
        <v>24</v>
      </c>
      <c r="F33" s="93" t="s">
        <v>24</v>
      </c>
      <c r="G33" s="46">
        <v>0.23</v>
      </c>
      <c r="H33" s="93" t="s">
        <v>24</v>
      </c>
      <c r="I33" s="93" t="s">
        <v>24</v>
      </c>
      <c r="J33" s="29">
        <v>0.165</v>
      </c>
      <c r="K33" s="93" t="s">
        <v>24</v>
      </c>
      <c r="L33" s="93" t="s">
        <v>24</v>
      </c>
      <c r="M33" s="29">
        <v>0.236</v>
      </c>
      <c r="N33" s="93" t="s">
        <v>24</v>
      </c>
      <c r="O33" s="93" t="s">
        <v>24</v>
      </c>
      <c r="P33" s="29">
        <v>0.411</v>
      </c>
    </row>
    <row r="34" ht="15.0" customHeight="1">
      <c r="A34" s="25"/>
      <c r="B34" s="32" t="s">
        <v>40</v>
      </c>
      <c r="C34" s="33">
        <v>1.0</v>
      </c>
      <c r="D34" s="108" t="s">
        <v>153</v>
      </c>
      <c r="E34" s="92" t="s">
        <v>24</v>
      </c>
      <c r="F34" s="92" t="s">
        <v>24</v>
      </c>
      <c r="G34" s="23">
        <v>7.0</v>
      </c>
      <c r="H34" s="92" t="s">
        <v>24</v>
      </c>
      <c r="I34" s="92" t="s">
        <v>24</v>
      </c>
      <c r="J34" s="23">
        <v>18.0</v>
      </c>
      <c r="K34" s="92" t="s">
        <v>24</v>
      </c>
      <c r="L34" s="92" t="s">
        <v>24</v>
      </c>
      <c r="M34" s="110">
        <v>7.0</v>
      </c>
      <c r="N34" s="92" t="s">
        <v>24</v>
      </c>
      <c r="O34" s="92" t="s">
        <v>24</v>
      </c>
      <c r="P34" s="96">
        <v>55.0</v>
      </c>
    </row>
    <row r="35" ht="15.0" customHeight="1">
      <c r="A35" s="25"/>
      <c r="B35" s="26"/>
      <c r="C35" s="27">
        <v>2.0</v>
      </c>
      <c r="D35" s="72" t="s">
        <v>154</v>
      </c>
      <c r="E35" s="93" t="s">
        <v>24</v>
      </c>
      <c r="F35" s="93" t="s">
        <v>24</v>
      </c>
      <c r="G35" s="29">
        <v>5.0</v>
      </c>
      <c r="H35" s="93" t="s">
        <v>24</v>
      </c>
      <c r="I35" s="93" t="s">
        <v>24</v>
      </c>
      <c r="J35" s="29">
        <v>32.0</v>
      </c>
      <c r="K35" s="93" t="s">
        <v>24</v>
      </c>
      <c r="L35" s="93" t="s">
        <v>24</v>
      </c>
      <c r="M35" s="111">
        <v>8.0</v>
      </c>
      <c r="N35" s="93" t="s">
        <v>24</v>
      </c>
      <c r="O35" s="93" t="s">
        <v>24</v>
      </c>
      <c r="P35" s="25">
        <v>20.0</v>
      </c>
    </row>
    <row r="36" ht="15.0" customHeight="1">
      <c r="A36" s="25"/>
      <c r="B36" s="31"/>
      <c r="C36" s="27">
        <v>3.0</v>
      </c>
      <c r="D36" s="109" t="s">
        <v>155</v>
      </c>
      <c r="E36" s="93" t="s">
        <v>24</v>
      </c>
      <c r="F36" s="93" t="s">
        <v>24</v>
      </c>
      <c r="G36" s="29">
        <v>6.0</v>
      </c>
      <c r="H36" s="93" t="s">
        <v>24</v>
      </c>
      <c r="I36" s="93" t="s">
        <v>24</v>
      </c>
      <c r="J36" s="29">
        <v>5.0</v>
      </c>
      <c r="K36" s="93" t="s">
        <v>24</v>
      </c>
      <c r="L36" s="93" t="s">
        <v>24</v>
      </c>
      <c r="M36" s="111">
        <v>8.0</v>
      </c>
      <c r="N36" s="93" t="s">
        <v>24</v>
      </c>
      <c r="O36" s="93" t="s">
        <v>24</v>
      </c>
      <c r="P36" s="25">
        <v>7.0</v>
      </c>
    </row>
    <row r="37" ht="15.75" customHeight="1"/>
    <row r="38" ht="15.75" customHeight="1">
      <c r="B38" s="62" t="s">
        <v>151</v>
      </c>
    </row>
    <row r="39" ht="15.75" customHeight="1">
      <c r="O39" s="74">
        <f>average(P25:P27)</f>
        <v>208333.3333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3:B15"/>
    <mergeCell ref="B16:B18"/>
    <mergeCell ref="B19:B21"/>
    <mergeCell ref="B22:B24"/>
    <mergeCell ref="B25:B27"/>
    <mergeCell ref="B28:B30"/>
    <mergeCell ref="B31:B33"/>
    <mergeCell ref="B34:B36"/>
    <mergeCell ref="A1:P1"/>
    <mergeCell ref="A2:P2"/>
    <mergeCell ref="A3:P3"/>
    <mergeCell ref="A5:P5"/>
    <mergeCell ref="A6:P6"/>
    <mergeCell ref="B7:B9"/>
    <mergeCell ref="B10:B12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29"/>
    <col customWidth="1" min="3" max="3" width="8.71"/>
    <col customWidth="1" min="4" max="4" width="17.57"/>
    <col customWidth="1" min="5" max="5" width="8.71"/>
    <col customWidth="1" min="6" max="6" width="14.0"/>
    <col customWidth="1" min="7" max="8" width="8.71"/>
    <col customWidth="1" min="9" max="9" width="12.86"/>
    <col customWidth="1" min="10" max="12" width="8.71"/>
    <col customWidth="1" min="13" max="13" width="12.86"/>
    <col customWidth="1" min="14" max="15" width="8.71"/>
    <col customWidth="1" min="16" max="16" width="11.57"/>
    <col customWidth="1" min="17" max="26" width="8.71"/>
  </cols>
  <sheetData>
    <row r="1" ht="15.0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5.0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ht="15.0" customHeight="1">
      <c r="A3" s="7">
        <v>2017.0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ht="15.0" customHeight="1">
      <c r="A4" s="89" t="s">
        <v>3</v>
      </c>
      <c r="B4" s="11" t="s">
        <v>4</v>
      </c>
      <c r="C4" s="11" t="s">
        <v>5</v>
      </c>
      <c r="D4" s="11" t="s">
        <v>6</v>
      </c>
      <c r="E4" s="11" t="s">
        <v>7</v>
      </c>
      <c r="F4" s="11" t="s">
        <v>8</v>
      </c>
      <c r="G4" s="11" t="s">
        <v>9</v>
      </c>
      <c r="H4" s="11" t="s">
        <v>10</v>
      </c>
      <c r="I4" s="11" t="s">
        <v>11</v>
      </c>
      <c r="J4" s="11" t="s">
        <v>12</v>
      </c>
      <c r="K4" s="11" t="s">
        <v>13</v>
      </c>
      <c r="L4" s="11" t="s">
        <v>14</v>
      </c>
      <c r="M4" s="11" t="s">
        <v>15</v>
      </c>
      <c r="N4" s="11" t="s">
        <v>16</v>
      </c>
      <c r="O4" s="11" t="s">
        <v>17</v>
      </c>
      <c r="P4" s="11" t="s">
        <v>18</v>
      </c>
    </row>
    <row r="5" ht="15.0" customHeight="1">
      <c r="A5" s="13" t="s">
        <v>159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ht="15.0" customHeight="1">
      <c r="A6" s="16" t="s">
        <v>54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7" ht="15.0" customHeight="1">
      <c r="A7" s="112" t="s">
        <v>21</v>
      </c>
      <c r="B7" s="32" t="s">
        <v>22</v>
      </c>
      <c r="C7" s="33">
        <v>1.0</v>
      </c>
      <c r="D7" s="113" t="s">
        <v>160</v>
      </c>
      <c r="E7" s="92" t="s">
        <v>24</v>
      </c>
      <c r="F7" s="49">
        <v>6.37</v>
      </c>
      <c r="G7" s="92" t="s">
        <v>24</v>
      </c>
      <c r="H7" s="92" t="s">
        <v>24</v>
      </c>
      <c r="I7" s="49">
        <v>4.46</v>
      </c>
      <c r="J7" s="92" t="s">
        <v>24</v>
      </c>
      <c r="K7" s="92" t="s">
        <v>24</v>
      </c>
      <c r="L7" s="92" t="s">
        <v>24</v>
      </c>
      <c r="M7" s="49">
        <v>6.29</v>
      </c>
      <c r="N7" s="92" t="s">
        <v>24</v>
      </c>
      <c r="O7" s="92" t="s">
        <v>24</v>
      </c>
      <c r="P7" s="49">
        <v>6.29</v>
      </c>
    </row>
    <row r="8" ht="15.0" customHeight="1">
      <c r="A8" s="114"/>
      <c r="B8" s="26"/>
      <c r="C8" s="27">
        <v>2.0</v>
      </c>
      <c r="D8" s="115" t="s">
        <v>161</v>
      </c>
      <c r="E8" s="93" t="s">
        <v>24</v>
      </c>
      <c r="F8" s="53">
        <v>6.73</v>
      </c>
      <c r="G8" s="93" t="s">
        <v>24</v>
      </c>
      <c r="H8" s="93" t="s">
        <v>24</v>
      </c>
      <c r="I8" s="54">
        <v>6.72</v>
      </c>
      <c r="J8" s="93" t="s">
        <v>24</v>
      </c>
      <c r="K8" s="93" t="s">
        <v>24</v>
      </c>
      <c r="L8" s="93" t="s">
        <v>24</v>
      </c>
      <c r="M8" s="53">
        <v>5.25</v>
      </c>
      <c r="N8" s="93" t="s">
        <v>24</v>
      </c>
      <c r="O8" s="93" t="s">
        <v>24</v>
      </c>
      <c r="P8" s="53">
        <v>5.25</v>
      </c>
    </row>
    <row r="9" ht="15.0" customHeight="1">
      <c r="A9" s="114"/>
      <c r="B9" s="31"/>
      <c r="C9" s="27">
        <v>3.0</v>
      </c>
      <c r="D9" s="115" t="s">
        <v>162</v>
      </c>
      <c r="E9" s="93" t="s">
        <v>24</v>
      </c>
      <c r="F9" s="53">
        <v>6.38</v>
      </c>
      <c r="G9" s="93" t="s">
        <v>24</v>
      </c>
      <c r="H9" s="93" t="s">
        <v>24</v>
      </c>
      <c r="I9" s="54">
        <v>5.4</v>
      </c>
      <c r="J9" s="93" t="s">
        <v>24</v>
      </c>
      <c r="K9" s="93" t="s">
        <v>24</v>
      </c>
      <c r="L9" s="93" t="s">
        <v>24</v>
      </c>
      <c r="M9" s="54">
        <v>5.6</v>
      </c>
      <c r="N9" s="93" t="s">
        <v>24</v>
      </c>
      <c r="O9" s="93" t="s">
        <v>24</v>
      </c>
      <c r="P9" s="54">
        <v>5.6</v>
      </c>
    </row>
    <row r="10" ht="15.0" customHeight="1">
      <c r="A10" s="114"/>
      <c r="B10" s="32" t="s">
        <v>29</v>
      </c>
      <c r="C10" s="33">
        <v>1.0</v>
      </c>
      <c r="D10" s="113" t="s">
        <v>160</v>
      </c>
      <c r="E10" s="92" t="s">
        <v>24</v>
      </c>
      <c r="F10" s="49">
        <v>6.0</v>
      </c>
      <c r="G10" s="92" t="s">
        <v>24</v>
      </c>
      <c r="H10" s="92" t="s">
        <v>24</v>
      </c>
      <c r="I10" s="49">
        <v>79.0</v>
      </c>
      <c r="J10" s="92" t="s">
        <v>24</v>
      </c>
      <c r="K10" s="92" t="s">
        <v>24</v>
      </c>
      <c r="L10" s="92" t="s">
        <v>24</v>
      </c>
      <c r="M10" s="49">
        <v>5.0</v>
      </c>
      <c r="N10" s="92" t="s">
        <v>24</v>
      </c>
      <c r="O10" s="92" t="s">
        <v>24</v>
      </c>
      <c r="P10" s="49">
        <v>24.0</v>
      </c>
    </row>
    <row r="11" ht="15.0" customHeight="1">
      <c r="A11" s="114"/>
      <c r="B11" s="26"/>
      <c r="C11" s="27">
        <v>2.0</v>
      </c>
      <c r="D11" s="115" t="s">
        <v>161</v>
      </c>
      <c r="E11" s="93" t="s">
        <v>24</v>
      </c>
      <c r="F11" s="53">
        <v>5.0</v>
      </c>
      <c r="G11" s="93" t="s">
        <v>24</v>
      </c>
      <c r="H11" s="93" t="s">
        <v>24</v>
      </c>
      <c r="I11" s="53">
        <v>13.0</v>
      </c>
      <c r="J11" s="93" t="s">
        <v>24</v>
      </c>
      <c r="K11" s="93" t="s">
        <v>24</v>
      </c>
      <c r="L11" s="93" t="s">
        <v>24</v>
      </c>
      <c r="M11" s="53">
        <v>5.0</v>
      </c>
      <c r="N11" s="93" t="s">
        <v>24</v>
      </c>
      <c r="O11" s="93" t="s">
        <v>24</v>
      </c>
      <c r="P11" s="53">
        <v>3.0</v>
      </c>
    </row>
    <row r="12" ht="15.0" customHeight="1">
      <c r="A12" s="114"/>
      <c r="B12" s="31"/>
      <c r="C12" s="27">
        <v>3.0</v>
      </c>
      <c r="D12" s="115" t="s">
        <v>162</v>
      </c>
      <c r="E12" s="93" t="s">
        <v>24</v>
      </c>
      <c r="F12" s="53">
        <v>4.0</v>
      </c>
      <c r="G12" s="93" t="s">
        <v>24</v>
      </c>
      <c r="H12" s="93" t="s">
        <v>24</v>
      </c>
      <c r="I12" s="53">
        <v>23.0</v>
      </c>
      <c r="J12" s="93" t="s">
        <v>24</v>
      </c>
      <c r="K12" s="93" t="s">
        <v>24</v>
      </c>
      <c r="L12" s="93" t="s">
        <v>24</v>
      </c>
      <c r="M12" s="53">
        <v>11.0</v>
      </c>
      <c r="N12" s="93" t="s">
        <v>24</v>
      </c>
      <c r="O12" s="93" t="s">
        <v>24</v>
      </c>
      <c r="P12" s="53">
        <v>5.0</v>
      </c>
    </row>
    <row r="13" ht="15.0" customHeight="1">
      <c r="A13" s="114"/>
      <c r="B13" s="32" t="s">
        <v>30</v>
      </c>
      <c r="C13" s="33">
        <v>1.0</v>
      </c>
      <c r="D13" s="113" t="s">
        <v>160</v>
      </c>
      <c r="E13" s="92" t="s">
        <v>24</v>
      </c>
      <c r="F13" s="49">
        <v>73.0</v>
      </c>
      <c r="G13" s="92" t="s">
        <v>24</v>
      </c>
      <c r="H13" s="92" t="s">
        <v>24</v>
      </c>
      <c r="I13" s="49">
        <v>43.0</v>
      </c>
      <c r="J13" s="92" t="s">
        <v>24</v>
      </c>
      <c r="K13" s="92" t="s">
        <v>24</v>
      </c>
      <c r="L13" s="92" t="s">
        <v>24</v>
      </c>
      <c r="M13" s="49">
        <v>32.0</v>
      </c>
      <c r="N13" s="92" t="s">
        <v>24</v>
      </c>
      <c r="O13" s="92" t="s">
        <v>24</v>
      </c>
      <c r="P13" s="49">
        <v>11.0</v>
      </c>
    </row>
    <row r="14" ht="15.0" customHeight="1">
      <c r="A14" s="114"/>
      <c r="B14" s="26"/>
      <c r="C14" s="27">
        <v>2.0</v>
      </c>
      <c r="D14" s="115" t="s">
        <v>161</v>
      </c>
      <c r="E14" s="93" t="s">
        <v>24</v>
      </c>
      <c r="F14" s="53">
        <v>126.0</v>
      </c>
      <c r="G14" s="93" t="s">
        <v>24</v>
      </c>
      <c r="H14" s="93" t="s">
        <v>24</v>
      </c>
      <c r="I14" s="53">
        <v>34.0</v>
      </c>
      <c r="J14" s="93" t="s">
        <v>24</v>
      </c>
      <c r="K14" s="93" t="s">
        <v>24</v>
      </c>
      <c r="L14" s="93" t="s">
        <v>24</v>
      </c>
      <c r="M14" s="53">
        <v>24.0</v>
      </c>
      <c r="N14" s="93" t="s">
        <v>24</v>
      </c>
      <c r="O14" s="93" t="s">
        <v>24</v>
      </c>
      <c r="P14" s="53">
        <v>29.0</v>
      </c>
    </row>
    <row r="15" ht="15.0" customHeight="1">
      <c r="A15" s="114"/>
      <c r="B15" s="31"/>
      <c r="C15" s="27">
        <v>3.0</v>
      </c>
      <c r="D15" s="115" t="s">
        <v>162</v>
      </c>
      <c r="E15" s="93" t="s">
        <v>24</v>
      </c>
      <c r="F15" s="53">
        <v>151.0</v>
      </c>
      <c r="G15" s="93" t="s">
        <v>24</v>
      </c>
      <c r="H15" s="93" t="s">
        <v>24</v>
      </c>
      <c r="I15" s="53">
        <v>163.0</v>
      </c>
      <c r="J15" s="93" t="s">
        <v>24</v>
      </c>
      <c r="K15" s="93" t="s">
        <v>24</v>
      </c>
      <c r="L15" s="93" t="s">
        <v>24</v>
      </c>
      <c r="M15" s="53">
        <v>32.0</v>
      </c>
      <c r="N15" s="93" t="s">
        <v>24</v>
      </c>
      <c r="O15" s="93" t="s">
        <v>24</v>
      </c>
      <c r="P15" s="53">
        <v>37.0</v>
      </c>
    </row>
    <row r="16" ht="15.0" customHeight="1">
      <c r="A16" s="114"/>
      <c r="B16" s="32" t="s">
        <v>31</v>
      </c>
      <c r="C16" s="33">
        <v>1.0</v>
      </c>
      <c r="D16" s="113" t="s">
        <v>160</v>
      </c>
      <c r="E16" s="92" t="s">
        <v>24</v>
      </c>
      <c r="F16" s="49">
        <v>7.28</v>
      </c>
      <c r="G16" s="92" t="s">
        <v>24</v>
      </c>
      <c r="H16" s="92" t="s">
        <v>24</v>
      </c>
      <c r="I16" s="49">
        <v>7.71</v>
      </c>
      <c r="J16" s="92" t="s">
        <v>24</v>
      </c>
      <c r="K16" s="92" t="s">
        <v>24</v>
      </c>
      <c r="L16" s="92" t="s">
        <v>24</v>
      </c>
      <c r="M16" s="49">
        <v>6.95</v>
      </c>
      <c r="N16" s="92" t="s">
        <v>24</v>
      </c>
      <c r="O16" s="92" t="s">
        <v>24</v>
      </c>
      <c r="P16" s="49">
        <v>7.32</v>
      </c>
    </row>
    <row r="17" ht="15.0" customHeight="1">
      <c r="A17" s="114"/>
      <c r="B17" s="26"/>
      <c r="C17" s="27">
        <v>2.0</v>
      </c>
      <c r="D17" s="115" t="s">
        <v>161</v>
      </c>
      <c r="E17" s="93" t="s">
        <v>24</v>
      </c>
      <c r="F17" s="53">
        <v>7.94</v>
      </c>
      <c r="G17" s="93" t="s">
        <v>24</v>
      </c>
      <c r="H17" s="93" t="s">
        <v>24</v>
      </c>
      <c r="I17" s="53">
        <v>7.86</v>
      </c>
      <c r="J17" s="93" t="s">
        <v>24</v>
      </c>
      <c r="K17" s="93" t="s">
        <v>24</v>
      </c>
      <c r="L17" s="93" t="s">
        <v>24</v>
      </c>
      <c r="M17" s="54">
        <v>29.8</v>
      </c>
      <c r="N17" s="93" t="s">
        <v>24</v>
      </c>
      <c r="O17" s="93" t="s">
        <v>24</v>
      </c>
      <c r="P17" s="53">
        <v>7.63</v>
      </c>
    </row>
    <row r="18" ht="15.0" customHeight="1">
      <c r="A18" s="114"/>
      <c r="B18" s="31"/>
      <c r="C18" s="27">
        <v>3.0</v>
      </c>
      <c r="D18" s="115" t="s">
        <v>162</v>
      </c>
      <c r="E18" s="93" t="s">
        <v>24</v>
      </c>
      <c r="F18" s="53">
        <v>7.91</v>
      </c>
      <c r="G18" s="93" t="s">
        <v>24</v>
      </c>
      <c r="H18" s="93" t="s">
        <v>24</v>
      </c>
      <c r="I18" s="53">
        <v>7.52</v>
      </c>
      <c r="J18" s="93" t="s">
        <v>24</v>
      </c>
      <c r="K18" s="93" t="s">
        <v>24</v>
      </c>
      <c r="L18" s="93" t="s">
        <v>24</v>
      </c>
      <c r="M18" s="54">
        <v>30.6</v>
      </c>
      <c r="N18" s="93" t="s">
        <v>24</v>
      </c>
      <c r="O18" s="93" t="s">
        <v>24</v>
      </c>
      <c r="P18" s="53">
        <v>7.55</v>
      </c>
    </row>
    <row r="19" ht="15.0" customHeight="1">
      <c r="A19" s="114"/>
      <c r="B19" s="32" t="s">
        <v>163</v>
      </c>
      <c r="C19" s="33">
        <v>1.0</v>
      </c>
      <c r="D19" s="113" t="s">
        <v>160</v>
      </c>
      <c r="E19" s="92" t="s">
        <v>24</v>
      </c>
      <c r="F19" s="50">
        <v>28.2</v>
      </c>
      <c r="G19" s="92" t="s">
        <v>24</v>
      </c>
      <c r="H19" s="92" t="s">
        <v>24</v>
      </c>
      <c r="I19" s="50">
        <v>31.3</v>
      </c>
      <c r="J19" s="92" t="s">
        <v>24</v>
      </c>
      <c r="K19" s="92" t="s">
        <v>24</v>
      </c>
      <c r="L19" s="92" t="s">
        <v>24</v>
      </c>
      <c r="M19" s="50">
        <v>28.7</v>
      </c>
      <c r="N19" s="92" t="s">
        <v>24</v>
      </c>
      <c r="O19" s="92" t="s">
        <v>24</v>
      </c>
      <c r="P19" s="50">
        <v>28.7</v>
      </c>
    </row>
    <row r="20" ht="15.0" customHeight="1">
      <c r="A20" s="114"/>
      <c r="B20" s="26"/>
      <c r="C20" s="27">
        <v>2.0</v>
      </c>
      <c r="D20" s="115" t="s">
        <v>161</v>
      </c>
      <c r="E20" s="93" t="s">
        <v>24</v>
      </c>
      <c r="F20" s="54">
        <v>29.75</v>
      </c>
      <c r="G20" s="93" t="s">
        <v>24</v>
      </c>
      <c r="H20" s="93" t="s">
        <v>24</v>
      </c>
      <c r="I20" s="54">
        <v>34.0</v>
      </c>
      <c r="J20" s="93" t="s">
        <v>24</v>
      </c>
      <c r="K20" s="93" t="s">
        <v>24</v>
      </c>
      <c r="L20" s="93" t="s">
        <v>24</v>
      </c>
      <c r="M20" s="54">
        <v>29.8</v>
      </c>
      <c r="N20" s="93" t="s">
        <v>24</v>
      </c>
      <c r="O20" s="93" t="s">
        <v>24</v>
      </c>
      <c r="P20" s="54">
        <v>29.8</v>
      </c>
    </row>
    <row r="21" ht="15.0" customHeight="1">
      <c r="A21" s="114"/>
      <c r="B21" s="31"/>
      <c r="C21" s="27">
        <v>3.0</v>
      </c>
      <c r="D21" s="115" t="s">
        <v>162</v>
      </c>
      <c r="E21" s="93" t="s">
        <v>24</v>
      </c>
      <c r="F21" s="54">
        <v>29.4</v>
      </c>
      <c r="G21" s="93" t="s">
        <v>24</v>
      </c>
      <c r="H21" s="93" t="s">
        <v>24</v>
      </c>
      <c r="I21" s="54">
        <v>32.6</v>
      </c>
      <c r="J21" s="93" t="s">
        <v>24</v>
      </c>
      <c r="K21" s="93" t="s">
        <v>24</v>
      </c>
      <c r="L21" s="93" t="s">
        <v>24</v>
      </c>
      <c r="M21" s="54">
        <v>30.6</v>
      </c>
      <c r="N21" s="93" t="s">
        <v>24</v>
      </c>
      <c r="O21" s="93" t="s">
        <v>24</v>
      </c>
      <c r="P21" s="54">
        <v>30.6</v>
      </c>
    </row>
    <row r="22" ht="15.0" customHeight="1">
      <c r="A22" s="114"/>
      <c r="B22" s="32" t="s">
        <v>33</v>
      </c>
      <c r="C22" s="33">
        <v>1.0</v>
      </c>
      <c r="D22" s="113" t="s">
        <v>160</v>
      </c>
      <c r="E22" s="92" t="s">
        <v>24</v>
      </c>
      <c r="F22" s="49">
        <v>30.0</v>
      </c>
      <c r="G22" s="92" t="s">
        <v>24</v>
      </c>
      <c r="H22" s="92" t="s">
        <v>24</v>
      </c>
      <c r="I22" s="49">
        <v>25.0</v>
      </c>
      <c r="J22" s="92" t="s">
        <v>24</v>
      </c>
      <c r="K22" s="92" t="s">
        <v>24</v>
      </c>
      <c r="L22" s="92" t="s">
        <v>24</v>
      </c>
      <c r="M22" s="49">
        <v>20.0</v>
      </c>
      <c r="N22" s="92" t="s">
        <v>24</v>
      </c>
      <c r="O22" s="92" t="s">
        <v>24</v>
      </c>
      <c r="P22" s="49">
        <v>20.0</v>
      </c>
    </row>
    <row r="23" ht="15.0" customHeight="1">
      <c r="A23" s="114"/>
      <c r="B23" s="26"/>
      <c r="C23" s="27">
        <v>2.0</v>
      </c>
      <c r="D23" s="115" t="s">
        <v>161</v>
      </c>
      <c r="E23" s="93" t="s">
        <v>24</v>
      </c>
      <c r="F23" s="53">
        <v>25.0</v>
      </c>
      <c r="G23" s="93" t="s">
        <v>24</v>
      </c>
      <c r="H23" s="93" t="s">
        <v>24</v>
      </c>
      <c r="I23" s="53">
        <v>30.0</v>
      </c>
      <c r="J23" s="93" t="s">
        <v>24</v>
      </c>
      <c r="K23" s="93" t="s">
        <v>24</v>
      </c>
      <c r="L23" s="93" t="s">
        <v>24</v>
      </c>
      <c r="M23" s="53">
        <v>20.0</v>
      </c>
      <c r="N23" s="93" t="s">
        <v>24</v>
      </c>
      <c r="O23" s="93" t="s">
        <v>24</v>
      </c>
      <c r="P23" s="53">
        <v>30.0</v>
      </c>
    </row>
    <row r="24" ht="15.0" customHeight="1">
      <c r="A24" s="114"/>
      <c r="B24" s="31"/>
      <c r="C24" s="27">
        <v>3.0</v>
      </c>
      <c r="D24" s="115" t="s">
        <v>162</v>
      </c>
      <c r="E24" s="93" t="s">
        <v>24</v>
      </c>
      <c r="F24" s="53">
        <v>15.0</v>
      </c>
      <c r="G24" s="93" t="s">
        <v>24</v>
      </c>
      <c r="H24" s="93" t="s">
        <v>24</v>
      </c>
      <c r="I24" s="53">
        <v>50.0</v>
      </c>
      <c r="J24" s="93" t="s">
        <v>24</v>
      </c>
      <c r="K24" s="93" t="s">
        <v>24</v>
      </c>
      <c r="L24" s="93" t="s">
        <v>24</v>
      </c>
      <c r="M24" s="53">
        <v>20.0</v>
      </c>
      <c r="N24" s="93" t="s">
        <v>24</v>
      </c>
      <c r="O24" s="93" t="s">
        <v>24</v>
      </c>
      <c r="P24" s="53">
        <v>30.0</v>
      </c>
    </row>
    <row r="25" ht="15.0" customHeight="1">
      <c r="A25" s="114"/>
      <c r="B25" s="32" t="s">
        <v>34</v>
      </c>
      <c r="C25" s="33">
        <v>1.0</v>
      </c>
      <c r="D25" s="113" t="s">
        <v>160</v>
      </c>
      <c r="E25" s="98" t="s">
        <v>24</v>
      </c>
      <c r="F25" s="56">
        <v>46000.0</v>
      </c>
      <c r="G25" s="98" t="s">
        <v>24</v>
      </c>
      <c r="H25" s="98" t="s">
        <v>24</v>
      </c>
      <c r="I25" s="56">
        <v>54000.0</v>
      </c>
      <c r="J25" s="98" t="s">
        <v>24</v>
      </c>
      <c r="K25" s="98" t="s">
        <v>24</v>
      </c>
      <c r="L25" s="98" t="s">
        <v>24</v>
      </c>
      <c r="M25" s="56">
        <v>22000.0</v>
      </c>
      <c r="N25" s="98" t="s">
        <v>24</v>
      </c>
      <c r="O25" s="98" t="s">
        <v>24</v>
      </c>
      <c r="P25" s="56">
        <v>2400.0</v>
      </c>
    </row>
    <row r="26" ht="15.0" customHeight="1">
      <c r="A26" s="114"/>
      <c r="B26" s="26"/>
      <c r="C26" s="27">
        <v>2.0</v>
      </c>
      <c r="D26" s="115" t="s">
        <v>161</v>
      </c>
      <c r="E26" s="99" t="s">
        <v>24</v>
      </c>
      <c r="F26" s="57">
        <v>350000.0</v>
      </c>
      <c r="G26" s="99" t="s">
        <v>24</v>
      </c>
      <c r="H26" s="99" t="s">
        <v>24</v>
      </c>
      <c r="I26" s="57">
        <v>1100.0</v>
      </c>
      <c r="J26" s="99" t="s">
        <v>24</v>
      </c>
      <c r="K26" s="99" t="s">
        <v>24</v>
      </c>
      <c r="L26" s="99" t="s">
        <v>24</v>
      </c>
      <c r="M26" s="57">
        <v>9200.0</v>
      </c>
      <c r="N26" s="99" t="s">
        <v>24</v>
      </c>
      <c r="O26" s="99" t="s">
        <v>24</v>
      </c>
      <c r="P26" s="57">
        <v>790.0</v>
      </c>
    </row>
    <row r="27" ht="15.0" customHeight="1">
      <c r="A27" s="114"/>
      <c r="B27" s="31"/>
      <c r="C27" s="27">
        <v>3.0</v>
      </c>
      <c r="D27" s="115" t="s">
        <v>162</v>
      </c>
      <c r="E27" s="99" t="s">
        <v>24</v>
      </c>
      <c r="F27" s="57">
        <v>35000.0</v>
      </c>
      <c r="G27" s="99" t="s">
        <v>24</v>
      </c>
      <c r="H27" s="99" t="s">
        <v>24</v>
      </c>
      <c r="I27" s="57">
        <v>17000.0</v>
      </c>
      <c r="J27" s="99" t="s">
        <v>24</v>
      </c>
      <c r="K27" s="99" t="s">
        <v>24</v>
      </c>
      <c r="L27" s="99" t="s">
        <v>24</v>
      </c>
      <c r="M27" s="57">
        <v>1400.0</v>
      </c>
      <c r="N27" s="99" t="s">
        <v>24</v>
      </c>
      <c r="O27" s="99" t="s">
        <v>24</v>
      </c>
      <c r="P27" s="57">
        <v>220.0</v>
      </c>
    </row>
    <row r="28" ht="15.0" customHeight="1">
      <c r="A28" s="114"/>
      <c r="B28" s="32" t="s">
        <v>164</v>
      </c>
      <c r="C28" s="33">
        <v>1.0</v>
      </c>
      <c r="D28" s="113" t="s">
        <v>160</v>
      </c>
      <c r="E28" s="92" t="s">
        <v>24</v>
      </c>
      <c r="F28" s="49">
        <v>0.703</v>
      </c>
      <c r="G28" s="92" t="s">
        <v>24</v>
      </c>
      <c r="H28" s="92" t="s">
        <v>24</v>
      </c>
      <c r="I28" s="59">
        <v>0.84</v>
      </c>
      <c r="J28" s="92" t="s">
        <v>24</v>
      </c>
      <c r="K28" s="92" t="s">
        <v>24</v>
      </c>
      <c r="L28" s="92" t="s">
        <v>24</v>
      </c>
      <c r="M28" s="49">
        <v>1.12</v>
      </c>
      <c r="N28" s="92" t="s">
        <v>24</v>
      </c>
      <c r="O28" s="92" t="s">
        <v>24</v>
      </c>
      <c r="P28" s="49" t="s">
        <v>38</v>
      </c>
    </row>
    <row r="29" ht="15.0" customHeight="1">
      <c r="A29" s="114"/>
      <c r="B29" s="26"/>
      <c r="C29" s="27">
        <v>2.0</v>
      </c>
      <c r="D29" s="115" t="s">
        <v>161</v>
      </c>
      <c r="E29" s="93" t="s">
        <v>24</v>
      </c>
      <c r="F29" s="53">
        <v>0.816</v>
      </c>
      <c r="G29" s="93" t="s">
        <v>24</v>
      </c>
      <c r="H29" s="93" t="s">
        <v>24</v>
      </c>
      <c r="I29" s="53">
        <v>1.766</v>
      </c>
      <c r="J29" s="93" t="s">
        <v>24</v>
      </c>
      <c r="K29" s="93" t="s">
        <v>24</v>
      </c>
      <c r="L29" s="93" t="s">
        <v>24</v>
      </c>
      <c r="M29" s="53">
        <v>0.249</v>
      </c>
      <c r="N29" s="93" t="s">
        <v>24</v>
      </c>
      <c r="O29" s="93" t="s">
        <v>24</v>
      </c>
      <c r="P29" s="53" t="s">
        <v>38</v>
      </c>
    </row>
    <row r="30" ht="15.0" customHeight="1">
      <c r="A30" s="114"/>
      <c r="B30" s="31"/>
      <c r="C30" s="27">
        <v>3.0</v>
      </c>
      <c r="D30" s="115" t="s">
        <v>162</v>
      </c>
      <c r="E30" s="93" t="s">
        <v>24</v>
      </c>
      <c r="F30" s="53">
        <v>0.751</v>
      </c>
      <c r="G30" s="93" t="s">
        <v>24</v>
      </c>
      <c r="H30" s="93" t="s">
        <v>24</v>
      </c>
      <c r="I30" s="53">
        <v>1.314</v>
      </c>
      <c r="J30" s="93" t="s">
        <v>24</v>
      </c>
      <c r="K30" s="93" t="s">
        <v>24</v>
      </c>
      <c r="L30" s="93" t="s">
        <v>24</v>
      </c>
      <c r="M30" s="53">
        <v>0.534</v>
      </c>
      <c r="N30" s="93" t="s">
        <v>24</v>
      </c>
      <c r="O30" s="93" t="s">
        <v>24</v>
      </c>
      <c r="P30" s="53">
        <v>0.077</v>
      </c>
    </row>
    <row r="31" ht="15.0" customHeight="1">
      <c r="A31" s="114"/>
      <c r="B31" s="32" t="s">
        <v>165</v>
      </c>
      <c r="C31" s="33">
        <v>1.0</v>
      </c>
      <c r="D31" s="113" t="s">
        <v>160</v>
      </c>
      <c r="E31" s="92" t="s">
        <v>24</v>
      </c>
      <c r="F31" s="49">
        <v>0.179</v>
      </c>
      <c r="G31" s="92" t="s">
        <v>24</v>
      </c>
      <c r="H31" s="92" t="s">
        <v>24</v>
      </c>
      <c r="I31" s="49">
        <v>0.185</v>
      </c>
      <c r="J31" s="92" t="s">
        <v>24</v>
      </c>
      <c r="K31" s="92" t="s">
        <v>24</v>
      </c>
      <c r="L31" s="92" t="s">
        <v>24</v>
      </c>
      <c r="M31" s="49">
        <v>0.699</v>
      </c>
      <c r="N31" s="92" t="s">
        <v>24</v>
      </c>
      <c r="O31" s="92" t="s">
        <v>24</v>
      </c>
      <c r="P31" s="49">
        <v>0.248</v>
      </c>
    </row>
    <row r="32" ht="15.0" customHeight="1">
      <c r="A32" s="114"/>
      <c r="B32" s="26"/>
      <c r="C32" s="27">
        <v>2.0</v>
      </c>
      <c r="D32" s="115" t="s">
        <v>161</v>
      </c>
      <c r="E32" s="93" t="s">
        <v>24</v>
      </c>
      <c r="F32" s="53">
        <v>0.199</v>
      </c>
      <c r="G32" s="93" t="s">
        <v>24</v>
      </c>
      <c r="H32" s="93" t="s">
        <v>24</v>
      </c>
      <c r="I32" s="53">
        <v>0.349</v>
      </c>
      <c r="J32" s="93" t="s">
        <v>24</v>
      </c>
      <c r="K32" s="93" t="s">
        <v>24</v>
      </c>
      <c r="L32" s="93" t="s">
        <v>24</v>
      </c>
      <c r="M32" s="53">
        <v>0.249</v>
      </c>
      <c r="N32" s="93" t="s">
        <v>24</v>
      </c>
      <c r="O32" s="93" t="s">
        <v>24</v>
      </c>
      <c r="P32" s="53">
        <v>0.365</v>
      </c>
    </row>
    <row r="33" ht="15.0" customHeight="1">
      <c r="A33" s="114"/>
      <c r="B33" s="31"/>
      <c r="C33" s="27">
        <v>3.0</v>
      </c>
      <c r="D33" s="115" t="s">
        <v>162</v>
      </c>
      <c r="E33" s="93" t="s">
        <v>24</v>
      </c>
      <c r="F33" s="53">
        <v>0.177</v>
      </c>
      <c r="G33" s="93" t="s">
        <v>24</v>
      </c>
      <c r="H33" s="93" t="s">
        <v>24</v>
      </c>
      <c r="I33" s="53">
        <v>0.561</v>
      </c>
      <c r="J33" s="93" t="s">
        <v>24</v>
      </c>
      <c r="K33" s="93" t="s">
        <v>24</v>
      </c>
      <c r="L33" s="93" t="s">
        <v>24</v>
      </c>
      <c r="M33" s="53">
        <v>0.534</v>
      </c>
      <c r="N33" s="93" t="s">
        <v>24</v>
      </c>
      <c r="O33" s="93" t="s">
        <v>24</v>
      </c>
      <c r="P33" s="53">
        <v>0.407</v>
      </c>
    </row>
    <row r="34" ht="15.0" customHeight="1">
      <c r="A34" s="114"/>
      <c r="B34" s="32" t="s">
        <v>40</v>
      </c>
      <c r="C34" s="33">
        <v>1.0</v>
      </c>
      <c r="D34" s="113" t="s">
        <v>160</v>
      </c>
      <c r="E34" s="92" t="s">
        <v>24</v>
      </c>
      <c r="F34" s="49">
        <v>11.0</v>
      </c>
      <c r="G34" s="92" t="s">
        <v>24</v>
      </c>
      <c r="H34" s="92" t="s">
        <v>24</v>
      </c>
      <c r="I34" s="49">
        <v>15.0</v>
      </c>
      <c r="J34" s="92" t="s">
        <v>24</v>
      </c>
      <c r="K34" s="92" t="s">
        <v>24</v>
      </c>
      <c r="L34" s="92" t="s">
        <v>24</v>
      </c>
      <c r="M34" s="49">
        <v>11.0</v>
      </c>
      <c r="N34" s="92" t="s">
        <v>24</v>
      </c>
      <c r="O34" s="92" t="s">
        <v>24</v>
      </c>
      <c r="P34" s="49">
        <v>36.0</v>
      </c>
    </row>
    <row r="35" ht="15.0" customHeight="1">
      <c r="A35" s="114"/>
      <c r="B35" s="26"/>
      <c r="C35" s="27">
        <v>2.0</v>
      </c>
      <c r="D35" s="115" t="s">
        <v>161</v>
      </c>
      <c r="E35" s="93" t="s">
        <v>24</v>
      </c>
      <c r="F35" s="53">
        <v>10.0</v>
      </c>
      <c r="G35" s="93" t="s">
        <v>24</v>
      </c>
      <c r="H35" s="93" t="s">
        <v>24</v>
      </c>
      <c r="I35" s="53">
        <v>15.0</v>
      </c>
      <c r="J35" s="93" t="s">
        <v>24</v>
      </c>
      <c r="K35" s="93" t="s">
        <v>24</v>
      </c>
      <c r="L35" s="93" t="s">
        <v>24</v>
      </c>
      <c r="M35" s="53">
        <v>11.0</v>
      </c>
      <c r="N35" s="93" t="s">
        <v>24</v>
      </c>
      <c r="O35" s="93" t="s">
        <v>24</v>
      </c>
      <c r="P35" s="53">
        <v>27.0</v>
      </c>
    </row>
    <row r="36" ht="15.0" customHeight="1">
      <c r="A36" s="114"/>
      <c r="B36" s="31"/>
      <c r="C36" s="27">
        <v>3.0</v>
      </c>
      <c r="D36" s="115" t="s">
        <v>162</v>
      </c>
      <c r="E36" s="93" t="s">
        <v>24</v>
      </c>
      <c r="F36" s="53">
        <v>9.0</v>
      </c>
      <c r="G36" s="93" t="s">
        <v>24</v>
      </c>
      <c r="H36" s="93" t="s">
        <v>24</v>
      </c>
      <c r="I36" s="53">
        <v>16.0</v>
      </c>
      <c r="J36" s="93" t="s">
        <v>24</v>
      </c>
      <c r="K36" s="93" t="s">
        <v>24</v>
      </c>
      <c r="L36" s="93" t="s">
        <v>24</v>
      </c>
      <c r="M36" s="53">
        <v>11.0</v>
      </c>
      <c r="N36" s="93" t="s">
        <v>24</v>
      </c>
      <c r="O36" s="93" t="s">
        <v>24</v>
      </c>
      <c r="P36" s="53">
        <v>10.0</v>
      </c>
    </row>
    <row r="37" ht="15.75" customHeight="1"/>
    <row r="38" ht="15.75" customHeight="1">
      <c r="A38" s="62" t="s">
        <v>110</v>
      </c>
    </row>
    <row r="39" ht="15.75" customHeight="1"/>
    <row r="40" ht="15.75" customHeight="1">
      <c r="B40" s="62" t="s">
        <v>166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>
      <c r="O48" s="62">
        <v>5.0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3:B15"/>
    <mergeCell ref="B16:B18"/>
    <mergeCell ref="B19:B21"/>
    <mergeCell ref="B22:B24"/>
    <mergeCell ref="B25:B27"/>
    <mergeCell ref="B28:B30"/>
    <mergeCell ref="B31:B33"/>
    <mergeCell ref="B34:B36"/>
    <mergeCell ref="A1:P1"/>
    <mergeCell ref="A2:P2"/>
    <mergeCell ref="A3:P3"/>
    <mergeCell ref="A5:P5"/>
    <mergeCell ref="A6:P6"/>
    <mergeCell ref="B7:B9"/>
    <mergeCell ref="B10:B12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29"/>
    <col customWidth="1" min="3" max="3" width="8.71"/>
    <col customWidth="1" min="4" max="4" width="17.57"/>
    <col customWidth="1" min="5" max="5" width="8.71"/>
    <col customWidth="1" min="6" max="6" width="14.0"/>
    <col customWidth="1" min="7" max="8" width="8.71"/>
    <col customWidth="1" min="9" max="9" width="12.86"/>
    <col customWidth="1" min="10" max="11" width="8.71"/>
    <col customWidth="1" min="12" max="12" width="13.43"/>
    <col customWidth="1" min="13" max="13" width="12.86"/>
    <col customWidth="1" min="14" max="14" width="8.71"/>
    <col customWidth="1" min="15" max="15" width="13.43"/>
    <col customWidth="1" min="16" max="16" width="11.57"/>
    <col customWidth="1" min="17" max="26" width="8.71"/>
  </cols>
  <sheetData>
    <row r="1" ht="15.0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5.0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ht="15.0" customHeight="1">
      <c r="A3" s="7">
        <v>2017.0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ht="15.0" customHeight="1">
      <c r="A4" s="89" t="s">
        <v>3</v>
      </c>
      <c r="B4" s="11" t="s">
        <v>4</v>
      </c>
      <c r="C4" s="11" t="s">
        <v>5</v>
      </c>
      <c r="D4" s="11" t="s">
        <v>6</v>
      </c>
      <c r="E4" s="11" t="s">
        <v>7</v>
      </c>
      <c r="F4" s="11" t="s">
        <v>8</v>
      </c>
      <c r="G4" s="11" t="s">
        <v>9</v>
      </c>
      <c r="H4" s="11" t="s">
        <v>10</v>
      </c>
      <c r="I4" s="11" t="s">
        <v>11</v>
      </c>
      <c r="J4" s="11" t="s">
        <v>12</v>
      </c>
      <c r="K4" s="11" t="s">
        <v>13</v>
      </c>
      <c r="L4" s="11" t="s">
        <v>14</v>
      </c>
      <c r="M4" s="11" t="s">
        <v>15</v>
      </c>
      <c r="N4" s="11" t="s">
        <v>16</v>
      </c>
      <c r="O4" s="11" t="s">
        <v>17</v>
      </c>
      <c r="P4" s="11" t="s">
        <v>18</v>
      </c>
    </row>
    <row r="5" ht="15.0" customHeight="1">
      <c r="A5" s="13" t="s">
        <v>167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ht="15.0" customHeight="1">
      <c r="A6" s="16" t="s">
        <v>54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7" ht="15.0" customHeight="1">
      <c r="A7" s="112" t="s">
        <v>21</v>
      </c>
      <c r="B7" s="32" t="s">
        <v>22</v>
      </c>
      <c r="C7" s="33">
        <v>1.0</v>
      </c>
      <c r="D7" s="87" t="s">
        <v>168</v>
      </c>
      <c r="E7" s="92" t="s">
        <v>24</v>
      </c>
      <c r="F7" s="92" t="s">
        <v>24</v>
      </c>
      <c r="G7" s="92" t="s">
        <v>24</v>
      </c>
      <c r="H7" s="92" t="s">
        <v>24</v>
      </c>
      <c r="I7" s="92" t="s">
        <v>24</v>
      </c>
      <c r="J7" s="92" t="s">
        <v>24</v>
      </c>
      <c r="K7" s="92" t="s">
        <v>24</v>
      </c>
      <c r="L7" s="49">
        <v>5.2</v>
      </c>
      <c r="M7" s="92" t="s">
        <v>24</v>
      </c>
      <c r="N7" s="92" t="s">
        <v>24</v>
      </c>
      <c r="O7" s="50">
        <v>5.82</v>
      </c>
      <c r="P7" s="92" t="s">
        <v>24</v>
      </c>
    </row>
    <row r="8" ht="15.0" customHeight="1">
      <c r="A8" s="114"/>
      <c r="B8" s="26"/>
      <c r="C8" s="27">
        <v>2.0</v>
      </c>
      <c r="D8" s="103" t="s">
        <v>169</v>
      </c>
      <c r="E8" s="93" t="s">
        <v>24</v>
      </c>
      <c r="F8" s="93" t="s">
        <v>24</v>
      </c>
      <c r="G8" s="93" t="s">
        <v>24</v>
      </c>
      <c r="H8" s="93" t="s">
        <v>24</v>
      </c>
      <c r="I8" s="93" t="s">
        <v>24</v>
      </c>
      <c r="J8" s="93" t="s">
        <v>24</v>
      </c>
      <c r="K8" s="93" t="s">
        <v>24</v>
      </c>
      <c r="L8" s="53">
        <v>5.11</v>
      </c>
      <c r="M8" s="93" t="s">
        <v>24</v>
      </c>
      <c r="N8" s="93" t="s">
        <v>24</v>
      </c>
      <c r="O8" s="64">
        <v>4.92</v>
      </c>
      <c r="P8" s="93" t="s">
        <v>24</v>
      </c>
    </row>
    <row r="9" ht="15.0" customHeight="1">
      <c r="A9" s="114"/>
      <c r="B9" s="31"/>
      <c r="C9" s="27">
        <v>3.0</v>
      </c>
      <c r="D9" s="103" t="s">
        <v>170</v>
      </c>
      <c r="E9" s="93" t="s">
        <v>24</v>
      </c>
      <c r="F9" s="93" t="s">
        <v>24</v>
      </c>
      <c r="G9" s="93" t="s">
        <v>24</v>
      </c>
      <c r="H9" s="93" t="s">
        <v>24</v>
      </c>
      <c r="I9" s="93" t="s">
        <v>24</v>
      </c>
      <c r="J9" s="93" t="s">
        <v>24</v>
      </c>
      <c r="K9" s="93" t="s">
        <v>24</v>
      </c>
      <c r="L9" s="53">
        <v>5.34</v>
      </c>
      <c r="M9" s="93" t="s">
        <v>24</v>
      </c>
      <c r="N9" s="93" t="s">
        <v>24</v>
      </c>
      <c r="O9" s="54">
        <v>3.9</v>
      </c>
      <c r="P9" s="93" t="s">
        <v>24</v>
      </c>
    </row>
    <row r="10" ht="15.0" customHeight="1">
      <c r="A10" s="114"/>
      <c r="B10" s="32" t="s">
        <v>29</v>
      </c>
      <c r="C10" s="33">
        <v>1.0</v>
      </c>
      <c r="D10" s="87" t="s">
        <v>168</v>
      </c>
      <c r="E10" s="92" t="s">
        <v>24</v>
      </c>
      <c r="F10" s="92" t="s">
        <v>24</v>
      </c>
      <c r="G10" s="92" t="s">
        <v>24</v>
      </c>
      <c r="H10" s="92" t="s">
        <v>24</v>
      </c>
      <c r="I10" s="92" t="s">
        <v>24</v>
      </c>
      <c r="J10" s="92" t="s">
        <v>24</v>
      </c>
      <c r="K10" s="92" t="s">
        <v>24</v>
      </c>
      <c r="L10" s="49">
        <v>3.0</v>
      </c>
      <c r="M10" s="92" t="s">
        <v>24</v>
      </c>
      <c r="N10" s="92" t="s">
        <v>24</v>
      </c>
      <c r="O10" s="49">
        <v>5.0</v>
      </c>
      <c r="P10" s="92" t="s">
        <v>24</v>
      </c>
    </row>
    <row r="11" ht="15.0" customHeight="1">
      <c r="A11" s="114"/>
      <c r="B11" s="26"/>
      <c r="C11" s="27">
        <v>2.0</v>
      </c>
      <c r="D11" s="103" t="s">
        <v>169</v>
      </c>
      <c r="E11" s="93" t="s">
        <v>24</v>
      </c>
      <c r="F11" s="93" t="s">
        <v>24</v>
      </c>
      <c r="G11" s="93" t="s">
        <v>24</v>
      </c>
      <c r="H11" s="93" t="s">
        <v>24</v>
      </c>
      <c r="I11" s="93" t="s">
        <v>24</v>
      </c>
      <c r="J11" s="93" t="s">
        <v>24</v>
      </c>
      <c r="K11" s="93" t="s">
        <v>24</v>
      </c>
      <c r="L11" s="53">
        <v>8.0</v>
      </c>
      <c r="M11" s="93" t="s">
        <v>24</v>
      </c>
      <c r="N11" s="93" t="s">
        <v>24</v>
      </c>
      <c r="O11" s="53">
        <v>11.0</v>
      </c>
      <c r="P11" s="93" t="s">
        <v>24</v>
      </c>
    </row>
    <row r="12" ht="15.0" customHeight="1">
      <c r="A12" s="114"/>
      <c r="B12" s="31"/>
      <c r="C12" s="27">
        <v>3.0</v>
      </c>
      <c r="D12" s="103" t="s">
        <v>170</v>
      </c>
      <c r="E12" s="93" t="s">
        <v>24</v>
      </c>
      <c r="F12" s="93" t="s">
        <v>24</v>
      </c>
      <c r="G12" s="93" t="s">
        <v>24</v>
      </c>
      <c r="H12" s="93" t="s">
        <v>24</v>
      </c>
      <c r="I12" s="93" t="s">
        <v>24</v>
      </c>
      <c r="J12" s="93" t="s">
        <v>24</v>
      </c>
      <c r="K12" s="93" t="s">
        <v>24</v>
      </c>
      <c r="L12" s="53">
        <v>8.0</v>
      </c>
      <c r="M12" s="93" t="s">
        <v>24</v>
      </c>
      <c r="N12" s="93" t="s">
        <v>24</v>
      </c>
      <c r="O12" s="53">
        <v>13.0</v>
      </c>
      <c r="P12" s="93" t="s">
        <v>24</v>
      </c>
    </row>
    <row r="13" ht="15.0" customHeight="1">
      <c r="A13" s="114"/>
      <c r="B13" s="32" t="s">
        <v>30</v>
      </c>
      <c r="C13" s="33">
        <v>1.0</v>
      </c>
      <c r="D13" s="87" t="s">
        <v>168</v>
      </c>
      <c r="E13" s="92" t="s">
        <v>24</v>
      </c>
      <c r="F13" s="92" t="s">
        <v>24</v>
      </c>
      <c r="G13" s="92" t="s">
        <v>24</v>
      </c>
      <c r="H13" s="92" t="s">
        <v>24</v>
      </c>
      <c r="I13" s="92" t="s">
        <v>24</v>
      </c>
      <c r="J13" s="92" t="s">
        <v>24</v>
      </c>
      <c r="K13" s="92" t="s">
        <v>24</v>
      </c>
      <c r="L13" s="49">
        <v>4.0</v>
      </c>
      <c r="M13" s="92" t="s">
        <v>24</v>
      </c>
      <c r="N13" s="92" t="s">
        <v>24</v>
      </c>
      <c r="O13" s="49">
        <v>60.0</v>
      </c>
      <c r="P13" s="92" t="s">
        <v>24</v>
      </c>
    </row>
    <row r="14" ht="15.0" customHeight="1">
      <c r="A14" s="114"/>
      <c r="B14" s="26"/>
      <c r="C14" s="27">
        <v>2.0</v>
      </c>
      <c r="D14" s="103" t="s">
        <v>169</v>
      </c>
      <c r="E14" s="93" t="s">
        <v>24</v>
      </c>
      <c r="F14" s="93" t="s">
        <v>24</v>
      </c>
      <c r="G14" s="93" t="s">
        <v>24</v>
      </c>
      <c r="H14" s="93" t="s">
        <v>24</v>
      </c>
      <c r="I14" s="93" t="s">
        <v>24</v>
      </c>
      <c r="J14" s="93" t="s">
        <v>24</v>
      </c>
      <c r="K14" s="93" t="s">
        <v>24</v>
      </c>
      <c r="L14" s="53">
        <v>128.0</v>
      </c>
      <c r="M14" s="93" t="s">
        <v>24</v>
      </c>
      <c r="N14" s="93" t="s">
        <v>24</v>
      </c>
      <c r="O14" s="53">
        <v>32.0</v>
      </c>
      <c r="P14" s="93" t="s">
        <v>24</v>
      </c>
    </row>
    <row r="15" ht="15.0" customHeight="1">
      <c r="A15" s="114"/>
      <c r="B15" s="31"/>
      <c r="C15" s="27">
        <v>3.0</v>
      </c>
      <c r="D15" s="103" t="s">
        <v>170</v>
      </c>
      <c r="E15" s="93" t="s">
        <v>24</v>
      </c>
      <c r="F15" s="93" t="s">
        <v>24</v>
      </c>
      <c r="G15" s="93" t="s">
        <v>24</v>
      </c>
      <c r="H15" s="93" t="s">
        <v>24</v>
      </c>
      <c r="I15" s="93" t="s">
        <v>24</v>
      </c>
      <c r="J15" s="93" t="s">
        <v>24</v>
      </c>
      <c r="K15" s="93" t="s">
        <v>24</v>
      </c>
      <c r="L15" s="53">
        <v>37.0</v>
      </c>
      <c r="M15" s="93" t="s">
        <v>24</v>
      </c>
      <c r="N15" s="93" t="s">
        <v>24</v>
      </c>
      <c r="O15" s="53">
        <v>15.0</v>
      </c>
      <c r="P15" s="93" t="s">
        <v>24</v>
      </c>
    </row>
    <row r="16" ht="15.0" customHeight="1">
      <c r="A16" s="114"/>
      <c r="B16" s="32" t="s">
        <v>31</v>
      </c>
      <c r="C16" s="33">
        <v>1.0</v>
      </c>
      <c r="D16" s="87" t="s">
        <v>168</v>
      </c>
      <c r="E16" s="92" t="s">
        <v>24</v>
      </c>
      <c r="F16" s="92" t="s">
        <v>24</v>
      </c>
      <c r="G16" s="92" t="s">
        <v>24</v>
      </c>
      <c r="H16" s="92" t="s">
        <v>24</v>
      </c>
      <c r="I16" s="92" t="s">
        <v>24</v>
      </c>
      <c r="J16" s="92" t="s">
        <v>24</v>
      </c>
      <c r="K16" s="92" t="s">
        <v>24</v>
      </c>
      <c r="L16" s="49">
        <v>6.89</v>
      </c>
      <c r="M16" s="92" t="s">
        <v>24</v>
      </c>
      <c r="N16" s="92" t="s">
        <v>24</v>
      </c>
      <c r="O16" s="50">
        <v>6.9</v>
      </c>
      <c r="P16" s="92" t="s">
        <v>24</v>
      </c>
    </row>
    <row r="17" ht="15.0" customHeight="1">
      <c r="A17" s="114"/>
      <c r="B17" s="26"/>
      <c r="C17" s="27">
        <v>2.0</v>
      </c>
      <c r="D17" s="103" t="s">
        <v>169</v>
      </c>
      <c r="E17" s="93" t="s">
        <v>24</v>
      </c>
      <c r="F17" s="93" t="s">
        <v>24</v>
      </c>
      <c r="G17" s="93" t="s">
        <v>24</v>
      </c>
      <c r="H17" s="93" t="s">
        <v>24</v>
      </c>
      <c r="I17" s="93" t="s">
        <v>24</v>
      </c>
      <c r="J17" s="93" t="s">
        <v>24</v>
      </c>
      <c r="K17" s="93" t="s">
        <v>24</v>
      </c>
      <c r="L17" s="65">
        <v>7.32</v>
      </c>
      <c r="M17" s="93" t="s">
        <v>24</v>
      </c>
      <c r="N17" s="93" t="s">
        <v>24</v>
      </c>
      <c r="O17" s="64">
        <v>7.53</v>
      </c>
      <c r="P17" s="93" t="s">
        <v>24</v>
      </c>
    </row>
    <row r="18" ht="15.0" customHeight="1">
      <c r="A18" s="114"/>
      <c r="B18" s="31"/>
      <c r="C18" s="27">
        <v>3.0</v>
      </c>
      <c r="D18" s="103" t="s">
        <v>170</v>
      </c>
      <c r="E18" s="93" t="s">
        <v>24</v>
      </c>
      <c r="F18" s="93" t="s">
        <v>24</v>
      </c>
      <c r="G18" s="93" t="s">
        <v>24</v>
      </c>
      <c r="H18" s="93" t="s">
        <v>24</v>
      </c>
      <c r="I18" s="93" t="s">
        <v>24</v>
      </c>
      <c r="J18" s="93" t="s">
        <v>24</v>
      </c>
      <c r="K18" s="93" t="s">
        <v>24</v>
      </c>
      <c r="L18" s="53">
        <v>7.26</v>
      </c>
      <c r="M18" s="93" t="s">
        <v>24</v>
      </c>
      <c r="N18" s="93" t="s">
        <v>24</v>
      </c>
      <c r="O18" s="54">
        <v>7.59</v>
      </c>
      <c r="P18" s="93" t="s">
        <v>24</v>
      </c>
    </row>
    <row r="19" ht="15.0" customHeight="1">
      <c r="A19" s="114"/>
      <c r="B19" s="32" t="s">
        <v>171</v>
      </c>
      <c r="C19" s="33">
        <v>1.0</v>
      </c>
      <c r="D19" s="87" t="s">
        <v>168</v>
      </c>
      <c r="E19" s="92" t="s">
        <v>24</v>
      </c>
      <c r="F19" s="92" t="s">
        <v>24</v>
      </c>
      <c r="G19" s="92" t="s">
        <v>24</v>
      </c>
      <c r="H19" s="92" t="s">
        <v>24</v>
      </c>
      <c r="I19" s="92" t="s">
        <v>24</v>
      </c>
      <c r="J19" s="92" t="s">
        <v>24</v>
      </c>
      <c r="K19" s="92" t="s">
        <v>24</v>
      </c>
      <c r="L19" s="49">
        <v>28.1</v>
      </c>
      <c r="M19" s="92" t="s">
        <v>24</v>
      </c>
      <c r="N19" s="92" t="s">
        <v>24</v>
      </c>
      <c r="O19" s="49">
        <v>27.7</v>
      </c>
      <c r="P19" s="92" t="s">
        <v>24</v>
      </c>
    </row>
    <row r="20" ht="15.0" customHeight="1">
      <c r="A20" s="114"/>
      <c r="B20" s="26"/>
      <c r="C20" s="27">
        <v>2.0</v>
      </c>
      <c r="D20" s="103" t="s">
        <v>169</v>
      </c>
      <c r="E20" s="93" t="s">
        <v>24</v>
      </c>
      <c r="F20" s="93" t="s">
        <v>24</v>
      </c>
      <c r="G20" s="93" t="s">
        <v>24</v>
      </c>
      <c r="H20" s="93" t="s">
        <v>24</v>
      </c>
      <c r="I20" s="93" t="s">
        <v>24</v>
      </c>
      <c r="J20" s="93" t="s">
        <v>24</v>
      </c>
      <c r="K20" s="93" t="s">
        <v>24</v>
      </c>
      <c r="L20" s="65">
        <v>29.5</v>
      </c>
      <c r="M20" s="93" t="s">
        <v>24</v>
      </c>
      <c r="N20" s="93" t="s">
        <v>24</v>
      </c>
      <c r="O20" s="65">
        <v>30.9</v>
      </c>
      <c r="P20" s="93" t="s">
        <v>24</v>
      </c>
    </row>
    <row r="21" ht="15.0" customHeight="1">
      <c r="A21" s="114"/>
      <c r="B21" s="31"/>
      <c r="C21" s="27">
        <v>3.0</v>
      </c>
      <c r="D21" s="103" t="s">
        <v>170</v>
      </c>
      <c r="E21" s="93" t="s">
        <v>24</v>
      </c>
      <c r="F21" s="93" t="s">
        <v>24</v>
      </c>
      <c r="G21" s="93" t="s">
        <v>24</v>
      </c>
      <c r="H21" s="93" t="s">
        <v>24</v>
      </c>
      <c r="I21" s="93" t="s">
        <v>24</v>
      </c>
      <c r="J21" s="93" t="s">
        <v>24</v>
      </c>
      <c r="K21" s="93" t="s">
        <v>24</v>
      </c>
      <c r="L21" s="53">
        <v>28.93</v>
      </c>
      <c r="M21" s="93" t="s">
        <v>24</v>
      </c>
      <c r="N21" s="93" t="s">
        <v>24</v>
      </c>
      <c r="O21" s="53">
        <v>30.6</v>
      </c>
      <c r="P21" s="93" t="s">
        <v>24</v>
      </c>
    </row>
    <row r="22" ht="15.0" customHeight="1">
      <c r="A22" s="114"/>
      <c r="B22" s="32" t="s">
        <v>33</v>
      </c>
      <c r="C22" s="33">
        <v>1.0</v>
      </c>
      <c r="D22" s="87" t="s">
        <v>168</v>
      </c>
      <c r="E22" s="92" t="s">
        <v>24</v>
      </c>
      <c r="F22" s="92" t="s">
        <v>24</v>
      </c>
      <c r="G22" s="92" t="s">
        <v>24</v>
      </c>
      <c r="H22" s="92" t="s">
        <v>24</v>
      </c>
      <c r="I22" s="92" t="s">
        <v>24</v>
      </c>
      <c r="J22" s="92" t="s">
        <v>24</v>
      </c>
      <c r="K22" s="92" t="s">
        <v>24</v>
      </c>
      <c r="L22" s="49">
        <v>40.0</v>
      </c>
      <c r="M22" s="92" t="s">
        <v>24</v>
      </c>
      <c r="N22" s="92" t="s">
        <v>24</v>
      </c>
      <c r="O22" s="49">
        <v>50.0</v>
      </c>
      <c r="P22" s="92" t="s">
        <v>24</v>
      </c>
    </row>
    <row r="23" ht="15.0" customHeight="1">
      <c r="A23" s="114"/>
      <c r="B23" s="26"/>
      <c r="C23" s="27">
        <v>2.0</v>
      </c>
      <c r="D23" s="103" t="s">
        <v>169</v>
      </c>
      <c r="E23" s="93" t="s">
        <v>24</v>
      </c>
      <c r="F23" s="93" t="s">
        <v>24</v>
      </c>
      <c r="G23" s="93" t="s">
        <v>24</v>
      </c>
      <c r="H23" s="93" t="s">
        <v>24</v>
      </c>
      <c r="I23" s="93" t="s">
        <v>24</v>
      </c>
      <c r="J23" s="93" t="s">
        <v>24</v>
      </c>
      <c r="K23" s="93" t="s">
        <v>24</v>
      </c>
      <c r="L23" s="53">
        <v>40.0</v>
      </c>
      <c r="M23" s="93" t="s">
        <v>24</v>
      </c>
      <c r="N23" s="93" t="s">
        <v>24</v>
      </c>
      <c r="O23" s="53">
        <v>30.0</v>
      </c>
      <c r="P23" s="93" t="s">
        <v>24</v>
      </c>
    </row>
    <row r="24" ht="15.0" customHeight="1">
      <c r="A24" s="114"/>
      <c r="B24" s="31"/>
      <c r="C24" s="27">
        <v>3.0</v>
      </c>
      <c r="D24" s="103" t="s">
        <v>170</v>
      </c>
      <c r="E24" s="93" t="s">
        <v>24</v>
      </c>
      <c r="F24" s="93" t="s">
        <v>24</v>
      </c>
      <c r="G24" s="93" t="s">
        <v>24</v>
      </c>
      <c r="H24" s="93" t="s">
        <v>24</v>
      </c>
      <c r="I24" s="93" t="s">
        <v>24</v>
      </c>
      <c r="J24" s="93" t="s">
        <v>24</v>
      </c>
      <c r="K24" s="93" t="s">
        <v>24</v>
      </c>
      <c r="L24" s="53">
        <v>50.0</v>
      </c>
      <c r="M24" s="93" t="s">
        <v>24</v>
      </c>
      <c r="N24" s="93" t="s">
        <v>24</v>
      </c>
      <c r="O24" s="53">
        <v>50.0</v>
      </c>
      <c r="P24" s="93" t="s">
        <v>24</v>
      </c>
    </row>
    <row r="25" ht="15.0" customHeight="1">
      <c r="A25" s="114"/>
      <c r="B25" s="32" t="s">
        <v>34</v>
      </c>
      <c r="C25" s="33">
        <v>1.0</v>
      </c>
      <c r="D25" s="87" t="s">
        <v>168</v>
      </c>
      <c r="E25" s="98" t="s">
        <v>24</v>
      </c>
      <c r="F25" s="98" t="s">
        <v>24</v>
      </c>
      <c r="G25" s="98" t="s">
        <v>24</v>
      </c>
      <c r="H25" s="98" t="s">
        <v>24</v>
      </c>
      <c r="I25" s="98" t="s">
        <v>24</v>
      </c>
      <c r="J25" s="98" t="s">
        <v>24</v>
      </c>
      <c r="K25" s="98" t="s">
        <v>24</v>
      </c>
      <c r="L25" s="56">
        <v>460.0</v>
      </c>
      <c r="M25" s="98" t="s">
        <v>24</v>
      </c>
      <c r="N25" s="98" t="s">
        <v>24</v>
      </c>
      <c r="O25" s="56">
        <v>16000.0</v>
      </c>
      <c r="P25" s="98" t="s">
        <v>24</v>
      </c>
    </row>
    <row r="26" ht="15.0" customHeight="1">
      <c r="A26" s="114"/>
      <c r="B26" s="26"/>
      <c r="C26" s="27">
        <v>2.0</v>
      </c>
      <c r="D26" s="103" t="s">
        <v>169</v>
      </c>
      <c r="E26" s="99" t="s">
        <v>24</v>
      </c>
      <c r="F26" s="99" t="s">
        <v>24</v>
      </c>
      <c r="G26" s="99" t="s">
        <v>24</v>
      </c>
      <c r="H26" s="99" t="s">
        <v>24</v>
      </c>
      <c r="I26" s="99" t="s">
        <v>24</v>
      </c>
      <c r="J26" s="99" t="s">
        <v>24</v>
      </c>
      <c r="K26" s="99" t="s">
        <v>24</v>
      </c>
      <c r="L26" s="57">
        <v>17000.0</v>
      </c>
      <c r="M26" s="99" t="s">
        <v>24</v>
      </c>
      <c r="N26" s="99" t="s">
        <v>24</v>
      </c>
      <c r="O26" s="57">
        <v>9200.0</v>
      </c>
      <c r="P26" s="99" t="s">
        <v>24</v>
      </c>
    </row>
    <row r="27" ht="15.0" customHeight="1">
      <c r="A27" s="114"/>
      <c r="B27" s="31"/>
      <c r="C27" s="27">
        <v>3.0</v>
      </c>
      <c r="D27" s="87" t="s">
        <v>170</v>
      </c>
      <c r="E27" s="99" t="s">
        <v>24</v>
      </c>
      <c r="F27" s="99" t="s">
        <v>24</v>
      </c>
      <c r="G27" s="99" t="s">
        <v>24</v>
      </c>
      <c r="H27" s="99" t="s">
        <v>24</v>
      </c>
      <c r="I27" s="99" t="s">
        <v>24</v>
      </c>
      <c r="J27" s="99" t="s">
        <v>24</v>
      </c>
      <c r="K27" s="99" t="s">
        <v>24</v>
      </c>
      <c r="L27" s="57">
        <v>49000.0</v>
      </c>
      <c r="M27" s="99" t="s">
        <v>24</v>
      </c>
      <c r="N27" s="99" t="s">
        <v>24</v>
      </c>
      <c r="O27" s="57">
        <v>92000.0</v>
      </c>
      <c r="P27" s="99" t="s">
        <v>24</v>
      </c>
    </row>
    <row r="28" ht="15.0" customHeight="1">
      <c r="A28" s="114"/>
      <c r="B28" s="32" t="s">
        <v>172</v>
      </c>
      <c r="C28" s="33">
        <v>1.0</v>
      </c>
      <c r="D28" s="87" t="s">
        <v>168</v>
      </c>
      <c r="E28" s="92" t="s">
        <v>24</v>
      </c>
      <c r="F28" s="92" t="s">
        <v>24</v>
      </c>
      <c r="G28" s="92" t="s">
        <v>24</v>
      </c>
      <c r="H28" s="92" t="s">
        <v>24</v>
      </c>
      <c r="I28" s="92" t="s">
        <v>24</v>
      </c>
      <c r="J28" s="92" t="s">
        <v>24</v>
      </c>
      <c r="K28" s="92" t="s">
        <v>24</v>
      </c>
      <c r="L28" s="92">
        <v>0.748</v>
      </c>
      <c r="M28" s="92" t="s">
        <v>24</v>
      </c>
      <c r="N28" s="92" t="s">
        <v>24</v>
      </c>
      <c r="O28" s="59">
        <v>0.33</v>
      </c>
      <c r="P28" s="92" t="s">
        <v>24</v>
      </c>
    </row>
    <row r="29" ht="15.0" customHeight="1">
      <c r="A29" s="114"/>
      <c r="B29" s="26"/>
      <c r="C29" s="27">
        <v>2.0</v>
      </c>
      <c r="D29" s="103" t="s">
        <v>169</v>
      </c>
      <c r="E29" s="93" t="s">
        <v>24</v>
      </c>
      <c r="F29" s="93" t="s">
        <v>24</v>
      </c>
      <c r="G29" s="93" t="s">
        <v>24</v>
      </c>
      <c r="H29" s="93" t="s">
        <v>24</v>
      </c>
      <c r="I29" s="93" t="s">
        <v>24</v>
      </c>
      <c r="J29" s="93" t="s">
        <v>24</v>
      </c>
      <c r="K29" s="93" t="s">
        <v>24</v>
      </c>
      <c r="L29" s="93">
        <v>2.79</v>
      </c>
      <c r="M29" s="93" t="s">
        <v>24</v>
      </c>
      <c r="N29" s="93" t="s">
        <v>24</v>
      </c>
      <c r="O29" s="65">
        <v>0.388</v>
      </c>
      <c r="P29" s="93" t="s">
        <v>24</v>
      </c>
    </row>
    <row r="30" ht="15.0" customHeight="1">
      <c r="A30" s="114"/>
      <c r="B30" s="31"/>
      <c r="C30" s="27">
        <v>3.0</v>
      </c>
      <c r="D30" s="103" t="s">
        <v>170</v>
      </c>
      <c r="E30" s="93" t="s">
        <v>24</v>
      </c>
      <c r="F30" s="93" t="s">
        <v>24</v>
      </c>
      <c r="G30" s="93" t="s">
        <v>24</v>
      </c>
      <c r="H30" s="93" t="s">
        <v>24</v>
      </c>
      <c r="I30" s="93" t="s">
        <v>24</v>
      </c>
      <c r="J30" s="93" t="s">
        <v>24</v>
      </c>
      <c r="K30" s="93" t="s">
        <v>24</v>
      </c>
      <c r="L30" s="93">
        <v>4.118</v>
      </c>
      <c r="M30" s="93" t="s">
        <v>24</v>
      </c>
      <c r="N30" s="93" t="s">
        <v>24</v>
      </c>
      <c r="O30" s="53">
        <v>1.095</v>
      </c>
      <c r="P30" s="93" t="s">
        <v>24</v>
      </c>
    </row>
    <row r="31" ht="15.0" customHeight="1">
      <c r="A31" s="114"/>
      <c r="B31" s="32" t="s">
        <v>173</v>
      </c>
      <c r="C31" s="33">
        <v>1.0</v>
      </c>
      <c r="D31" s="87" t="s">
        <v>168</v>
      </c>
      <c r="E31" s="92" t="s">
        <v>24</v>
      </c>
      <c r="F31" s="92" t="s">
        <v>24</v>
      </c>
      <c r="G31" s="92" t="s">
        <v>24</v>
      </c>
      <c r="H31" s="92" t="s">
        <v>24</v>
      </c>
      <c r="I31" s="92" t="s">
        <v>24</v>
      </c>
      <c r="J31" s="92" t="s">
        <v>24</v>
      </c>
      <c r="K31" s="92" t="s">
        <v>24</v>
      </c>
      <c r="L31" s="116">
        <v>0.213</v>
      </c>
      <c r="M31" s="92" t="s">
        <v>24</v>
      </c>
      <c r="N31" s="92" t="s">
        <v>24</v>
      </c>
      <c r="O31" s="116">
        <v>0.305</v>
      </c>
      <c r="P31" s="92" t="s">
        <v>24</v>
      </c>
    </row>
    <row r="32" ht="15.0" customHeight="1">
      <c r="A32" s="114"/>
      <c r="B32" s="26"/>
      <c r="C32" s="27">
        <v>2.0</v>
      </c>
      <c r="D32" s="103" t="s">
        <v>169</v>
      </c>
      <c r="E32" s="93" t="s">
        <v>24</v>
      </c>
      <c r="F32" s="93" t="s">
        <v>24</v>
      </c>
      <c r="G32" s="93" t="s">
        <v>24</v>
      </c>
      <c r="H32" s="93" t="s">
        <v>24</v>
      </c>
      <c r="I32" s="93" t="s">
        <v>24</v>
      </c>
      <c r="J32" s="93" t="s">
        <v>24</v>
      </c>
      <c r="K32" s="93" t="s">
        <v>24</v>
      </c>
      <c r="L32" s="117">
        <v>0.829</v>
      </c>
      <c r="M32" s="93" t="s">
        <v>24</v>
      </c>
      <c r="N32" s="93" t="s">
        <v>24</v>
      </c>
      <c r="O32" s="117">
        <v>0.757</v>
      </c>
      <c r="P32" s="93" t="s">
        <v>24</v>
      </c>
    </row>
    <row r="33" ht="15.0" customHeight="1">
      <c r="A33" s="114"/>
      <c r="B33" s="31"/>
      <c r="C33" s="27">
        <v>3.0</v>
      </c>
      <c r="D33" s="103" t="s">
        <v>170</v>
      </c>
      <c r="E33" s="93" t="s">
        <v>24</v>
      </c>
      <c r="F33" s="93" t="s">
        <v>24</v>
      </c>
      <c r="G33" s="93" t="s">
        <v>24</v>
      </c>
      <c r="H33" s="93" t="s">
        <v>24</v>
      </c>
      <c r="I33" s="93" t="s">
        <v>24</v>
      </c>
      <c r="J33" s="93" t="s">
        <v>24</v>
      </c>
      <c r="K33" s="93" t="s">
        <v>24</v>
      </c>
      <c r="L33" s="118">
        <v>0.701</v>
      </c>
      <c r="M33" s="93" t="s">
        <v>24</v>
      </c>
      <c r="N33" s="93" t="s">
        <v>24</v>
      </c>
      <c r="O33" s="118">
        <v>0.559</v>
      </c>
      <c r="P33" s="93" t="s">
        <v>24</v>
      </c>
    </row>
    <row r="34" ht="15.0" customHeight="1">
      <c r="A34" s="114"/>
      <c r="B34" s="32" t="s">
        <v>40</v>
      </c>
      <c r="C34" s="33">
        <v>1.0</v>
      </c>
      <c r="D34" s="87" t="s">
        <v>168</v>
      </c>
      <c r="E34" s="92" t="s">
        <v>24</v>
      </c>
      <c r="F34" s="92" t="s">
        <v>24</v>
      </c>
      <c r="G34" s="92" t="s">
        <v>24</v>
      </c>
      <c r="H34" s="92" t="s">
        <v>24</v>
      </c>
      <c r="I34" s="92" t="s">
        <v>24</v>
      </c>
      <c r="J34" s="92" t="s">
        <v>24</v>
      </c>
      <c r="K34" s="92" t="s">
        <v>24</v>
      </c>
      <c r="L34" s="61">
        <v>7.0</v>
      </c>
      <c r="M34" s="92" t="s">
        <v>24</v>
      </c>
      <c r="N34" s="92" t="s">
        <v>24</v>
      </c>
      <c r="O34" s="49">
        <v>10.0</v>
      </c>
      <c r="P34" s="92" t="s">
        <v>24</v>
      </c>
    </row>
    <row r="35" ht="15.0" customHeight="1">
      <c r="A35" s="114"/>
      <c r="B35" s="26"/>
      <c r="C35" s="27">
        <v>2.0</v>
      </c>
      <c r="D35" s="103" t="s">
        <v>169</v>
      </c>
      <c r="E35" s="93" t="s">
        <v>24</v>
      </c>
      <c r="F35" s="93" t="s">
        <v>24</v>
      </c>
      <c r="G35" s="93" t="s">
        <v>24</v>
      </c>
      <c r="H35" s="93" t="s">
        <v>24</v>
      </c>
      <c r="I35" s="93" t="s">
        <v>24</v>
      </c>
      <c r="J35" s="93" t="s">
        <v>24</v>
      </c>
      <c r="K35" s="93" t="s">
        <v>24</v>
      </c>
      <c r="L35" s="65">
        <v>42.0</v>
      </c>
      <c r="M35" s="93" t="s">
        <v>24</v>
      </c>
      <c r="N35" s="93" t="s">
        <v>24</v>
      </c>
      <c r="O35" s="53">
        <v>78.0</v>
      </c>
      <c r="P35" s="93" t="s">
        <v>24</v>
      </c>
    </row>
    <row r="36" ht="15.0" customHeight="1">
      <c r="A36" s="114"/>
      <c r="B36" s="31"/>
      <c r="C36" s="27">
        <v>3.0</v>
      </c>
      <c r="D36" s="103" t="s">
        <v>170</v>
      </c>
      <c r="E36" s="93" t="s">
        <v>24</v>
      </c>
      <c r="F36" s="93" t="s">
        <v>24</v>
      </c>
      <c r="G36" s="93" t="s">
        <v>24</v>
      </c>
      <c r="H36" s="93" t="s">
        <v>24</v>
      </c>
      <c r="I36" s="93" t="s">
        <v>24</v>
      </c>
      <c r="J36" s="93" t="s">
        <v>24</v>
      </c>
      <c r="K36" s="93" t="s">
        <v>24</v>
      </c>
      <c r="L36" s="65">
        <v>15.0</v>
      </c>
      <c r="M36" s="93" t="s">
        <v>24</v>
      </c>
      <c r="N36" s="93" t="s">
        <v>24</v>
      </c>
      <c r="O36" s="53">
        <v>28.0</v>
      </c>
      <c r="P36" s="93" t="s">
        <v>24</v>
      </c>
    </row>
    <row r="37" ht="15.75" customHeight="1"/>
    <row r="38" ht="15.75" customHeight="1">
      <c r="A38" s="62" t="s">
        <v>110</v>
      </c>
      <c r="D38" s="119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3:B15"/>
    <mergeCell ref="B16:B18"/>
    <mergeCell ref="B19:B21"/>
    <mergeCell ref="B22:B24"/>
    <mergeCell ref="B25:B27"/>
    <mergeCell ref="B28:B30"/>
    <mergeCell ref="B31:B33"/>
    <mergeCell ref="B34:B36"/>
    <mergeCell ref="A1:P1"/>
    <mergeCell ref="A2:P2"/>
    <mergeCell ref="A3:P3"/>
    <mergeCell ref="A5:P5"/>
    <mergeCell ref="A6:P6"/>
    <mergeCell ref="B7:B9"/>
    <mergeCell ref="B10:B12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29"/>
    <col customWidth="1" min="3" max="3" width="8.71"/>
    <col customWidth="1" min="4" max="4" width="17.57"/>
    <col customWidth="1" min="5" max="5" width="8.71"/>
    <col customWidth="1" min="6" max="6" width="14.0"/>
    <col customWidth="1" min="7" max="8" width="8.71"/>
    <col customWidth="1" min="9" max="9" width="12.86"/>
    <col customWidth="1" min="10" max="11" width="8.71"/>
    <col customWidth="1" min="12" max="12" width="13.43"/>
    <col customWidth="1" min="13" max="13" width="12.86"/>
    <col customWidth="1" min="14" max="14" width="8.71"/>
    <col customWidth="1" min="15" max="15" width="13.43"/>
    <col customWidth="1" min="16" max="16" width="11.57"/>
    <col customWidth="1" min="17" max="26" width="8.71"/>
  </cols>
  <sheetData>
    <row r="1" ht="15.0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5.0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ht="15.0" customHeight="1">
      <c r="A3" s="7">
        <v>2017.0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ht="15.0" customHeight="1">
      <c r="A4" s="89" t="s">
        <v>3</v>
      </c>
      <c r="B4" s="11" t="s">
        <v>4</v>
      </c>
      <c r="C4" s="11" t="s">
        <v>5</v>
      </c>
      <c r="D4" s="11" t="s">
        <v>6</v>
      </c>
      <c r="E4" s="11" t="s">
        <v>7</v>
      </c>
      <c r="F4" s="11" t="s">
        <v>8</v>
      </c>
      <c r="G4" s="11" t="s">
        <v>9</v>
      </c>
      <c r="H4" s="11" t="s">
        <v>10</v>
      </c>
      <c r="I4" s="11" t="s">
        <v>11</v>
      </c>
      <c r="J4" s="11" t="s">
        <v>12</v>
      </c>
      <c r="K4" s="11" t="s">
        <v>13</v>
      </c>
      <c r="L4" s="11" t="s">
        <v>14</v>
      </c>
      <c r="M4" s="11" t="s">
        <v>15</v>
      </c>
      <c r="N4" s="11" t="s">
        <v>16</v>
      </c>
      <c r="O4" s="11" t="s">
        <v>17</v>
      </c>
      <c r="P4" s="11" t="s">
        <v>18</v>
      </c>
    </row>
    <row r="5" ht="15.0" customHeight="1">
      <c r="A5" s="13" t="s">
        <v>174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ht="15.0" customHeight="1">
      <c r="A6" s="16" t="s">
        <v>54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7" ht="15.0" customHeight="1">
      <c r="A7" s="112" t="s">
        <v>21</v>
      </c>
      <c r="B7" s="32" t="s">
        <v>22</v>
      </c>
      <c r="C7" s="33">
        <v>1.0</v>
      </c>
      <c r="D7" s="87" t="s">
        <v>175</v>
      </c>
      <c r="E7" s="92" t="s">
        <v>24</v>
      </c>
      <c r="F7" s="92" t="s">
        <v>24</v>
      </c>
      <c r="G7" s="92" t="s">
        <v>24</v>
      </c>
      <c r="H7" s="92" t="s">
        <v>24</v>
      </c>
      <c r="I7" s="92" t="s">
        <v>24</v>
      </c>
      <c r="J7" s="92" t="s">
        <v>24</v>
      </c>
      <c r="K7" s="92" t="s">
        <v>24</v>
      </c>
      <c r="L7" s="23">
        <v>6.5</v>
      </c>
      <c r="M7" s="92" t="s">
        <v>24</v>
      </c>
      <c r="N7" s="92" t="s">
        <v>24</v>
      </c>
      <c r="O7" s="24">
        <v>6.5</v>
      </c>
      <c r="P7" s="92" t="s">
        <v>24</v>
      </c>
    </row>
    <row r="8" ht="15.0" customHeight="1">
      <c r="A8" s="114"/>
      <c r="B8" s="26"/>
      <c r="C8" s="27">
        <v>2.0</v>
      </c>
      <c r="D8" s="103" t="s">
        <v>176</v>
      </c>
      <c r="E8" s="93" t="s">
        <v>24</v>
      </c>
      <c r="F8" s="93" t="s">
        <v>24</v>
      </c>
      <c r="G8" s="93" t="s">
        <v>24</v>
      </c>
      <c r="H8" s="93" t="s">
        <v>24</v>
      </c>
      <c r="I8" s="93" t="s">
        <v>24</v>
      </c>
      <c r="J8" s="93" t="s">
        <v>24</v>
      </c>
      <c r="K8" s="93" t="s">
        <v>24</v>
      </c>
      <c r="L8" s="29">
        <v>6.49</v>
      </c>
      <c r="M8" s="93" t="s">
        <v>24</v>
      </c>
      <c r="N8" s="93" t="s">
        <v>24</v>
      </c>
      <c r="O8" s="29">
        <v>6.68</v>
      </c>
      <c r="P8" s="93" t="s">
        <v>24</v>
      </c>
    </row>
    <row r="9" ht="15.0" customHeight="1">
      <c r="A9" s="114"/>
      <c r="B9" s="31"/>
      <c r="C9" s="27">
        <v>3.0</v>
      </c>
      <c r="D9" s="103" t="s">
        <v>177</v>
      </c>
      <c r="E9" s="93" t="s">
        <v>24</v>
      </c>
      <c r="F9" s="93" t="s">
        <v>24</v>
      </c>
      <c r="G9" s="93" t="s">
        <v>24</v>
      </c>
      <c r="H9" s="93" t="s">
        <v>24</v>
      </c>
      <c r="I9" s="93" t="s">
        <v>24</v>
      </c>
      <c r="J9" s="93" t="s">
        <v>24</v>
      </c>
      <c r="K9" s="93" t="s">
        <v>24</v>
      </c>
      <c r="L9" s="29">
        <v>6.36</v>
      </c>
      <c r="M9" s="93" t="s">
        <v>24</v>
      </c>
      <c r="N9" s="93" t="s">
        <v>24</v>
      </c>
      <c r="O9" s="29">
        <v>6.75</v>
      </c>
      <c r="P9" s="93" t="s">
        <v>24</v>
      </c>
    </row>
    <row r="10" ht="15.0" customHeight="1">
      <c r="A10" s="114"/>
      <c r="B10" s="32" t="s">
        <v>29</v>
      </c>
      <c r="C10" s="33">
        <v>1.0</v>
      </c>
      <c r="D10" s="87" t="s">
        <v>175</v>
      </c>
      <c r="E10" s="92" t="s">
        <v>24</v>
      </c>
      <c r="F10" s="92" t="s">
        <v>24</v>
      </c>
      <c r="G10" s="92" t="s">
        <v>24</v>
      </c>
      <c r="H10" s="92" t="s">
        <v>24</v>
      </c>
      <c r="I10" s="92" t="s">
        <v>24</v>
      </c>
      <c r="J10" s="92" t="s">
        <v>24</v>
      </c>
      <c r="K10" s="92" t="s">
        <v>24</v>
      </c>
      <c r="L10" s="23">
        <v>8.0</v>
      </c>
      <c r="M10" s="92" t="s">
        <v>24</v>
      </c>
      <c r="N10" s="92" t="s">
        <v>24</v>
      </c>
      <c r="O10" s="23">
        <v>3.0</v>
      </c>
      <c r="P10" s="92" t="s">
        <v>24</v>
      </c>
    </row>
    <row r="11" ht="15.0" customHeight="1">
      <c r="A11" s="114"/>
      <c r="B11" s="26"/>
      <c r="C11" s="27">
        <v>2.0</v>
      </c>
      <c r="D11" s="103" t="s">
        <v>176</v>
      </c>
      <c r="E11" s="93" t="s">
        <v>24</v>
      </c>
      <c r="F11" s="93" t="s">
        <v>24</v>
      </c>
      <c r="G11" s="93" t="s">
        <v>24</v>
      </c>
      <c r="H11" s="93" t="s">
        <v>24</v>
      </c>
      <c r="I11" s="93" t="s">
        <v>24</v>
      </c>
      <c r="J11" s="93" t="s">
        <v>24</v>
      </c>
      <c r="K11" s="93" t="s">
        <v>24</v>
      </c>
      <c r="L11" s="29">
        <v>3.0</v>
      </c>
      <c r="M11" s="93" t="s">
        <v>24</v>
      </c>
      <c r="N11" s="93" t="s">
        <v>24</v>
      </c>
      <c r="O11" s="29">
        <v>2.0</v>
      </c>
      <c r="P11" s="93" t="s">
        <v>24</v>
      </c>
    </row>
    <row r="12" ht="15.0" customHeight="1">
      <c r="A12" s="114"/>
      <c r="B12" s="31"/>
      <c r="C12" s="27">
        <v>3.0</v>
      </c>
      <c r="D12" s="103" t="s">
        <v>177</v>
      </c>
      <c r="E12" s="93" t="s">
        <v>24</v>
      </c>
      <c r="F12" s="93" t="s">
        <v>24</v>
      </c>
      <c r="G12" s="93" t="s">
        <v>24</v>
      </c>
      <c r="H12" s="93" t="s">
        <v>24</v>
      </c>
      <c r="I12" s="93" t="s">
        <v>24</v>
      </c>
      <c r="J12" s="93" t="s">
        <v>24</v>
      </c>
      <c r="K12" s="93" t="s">
        <v>24</v>
      </c>
      <c r="L12" s="29" t="s">
        <v>115</v>
      </c>
      <c r="M12" s="93" t="s">
        <v>24</v>
      </c>
      <c r="N12" s="93" t="s">
        <v>24</v>
      </c>
      <c r="O12" s="29">
        <v>2.0</v>
      </c>
      <c r="P12" s="93" t="s">
        <v>24</v>
      </c>
    </row>
    <row r="13" ht="15.0" customHeight="1">
      <c r="A13" s="114"/>
      <c r="B13" s="32" t="s">
        <v>30</v>
      </c>
      <c r="C13" s="33">
        <v>1.0</v>
      </c>
      <c r="D13" s="87" t="s">
        <v>175</v>
      </c>
      <c r="E13" s="92" t="s">
        <v>24</v>
      </c>
      <c r="F13" s="92" t="s">
        <v>24</v>
      </c>
      <c r="G13" s="92" t="s">
        <v>24</v>
      </c>
      <c r="H13" s="92" t="s">
        <v>24</v>
      </c>
      <c r="I13" s="92" t="s">
        <v>24</v>
      </c>
      <c r="J13" s="92" t="s">
        <v>24</v>
      </c>
      <c r="K13" s="92" t="s">
        <v>24</v>
      </c>
      <c r="L13" s="36">
        <v>10.0</v>
      </c>
      <c r="M13" s="92" t="s">
        <v>24</v>
      </c>
      <c r="N13" s="92" t="s">
        <v>24</v>
      </c>
      <c r="O13" s="36">
        <v>14.0</v>
      </c>
      <c r="P13" s="92" t="s">
        <v>24</v>
      </c>
    </row>
    <row r="14" ht="15.0" customHeight="1">
      <c r="A14" s="114"/>
      <c r="B14" s="26"/>
      <c r="C14" s="27">
        <v>2.0</v>
      </c>
      <c r="D14" s="103" t="s">
        <v>176</v>
      </c>
      <c r="E14" s="93" t="s">
        <v>24</v>
      </c>
      <c r="F14" s="93" t="s">
        <v>24</v>
      </c>
      <c r="G14" s="93" t="s">
        <v>24</v>
      </c>
      <c r="H14" s="93" t="s">
        <v>24</v>
      </c>
      <c r="I14" s="93" t="s">
        <v>24</v>
      </c>
      <c r="J14" s="93" t="s">
        <v>24</v>
      </c>
      <c r="K14" s="93" t="s">
        <v>24</v>
      </c>
      <c r="L14" s="38">
        <v>13.0</v>
      </c>
      <c r="M14" s="93" t="s">
        <v>24</v>
      </c>
      <c r="N14" s="93" t="s">
        <v>24</v>
      </c>
      <c r="O14" s="38">
        <v>14.0</v>
      </c>
      <c r="P14" s="93" t="s">
        <v>24</v>
      </c>
    </row>
    <row r="15" ht="15.0" customHeight="1">
      <c r="A15" s="114"/>
      <c r="B15" s="31"/>
      <c r="C15" s="27">
        <v>3.0</v>
      </c>
      <c r="D15" s="103" t="s">
        <v>177</v>
      </c>
      <c r="E15" s="93" t="s">
        <v>24</v>
      </c>
      <c r="F15" s="93" t="s">
        <v>24</v>
      </c>
      <c r="G15" s="93" t="s">
        <v>24</v>
      </c>
      <c r="H15" s="93" t="s">
        <v>24</v>
      </c>
      <c r="I15" s="93" t="s">
        <v>24</v>
      </c>
      <c r="J15" s="93" t="s">
        <v>24</v>
      </c>
      <c r="K15" s="93" t="s">
        <v>24</v>
      </c>
      <c r="L15" s="38">
        <v>14.0</v>
      </c>
      <c r="M15" s="93" t="s">
        <v>24</v>
      </c>
      <c r="N15" s="93" t="s">
        <v>24</v>
      </c>
      <c r="O15" s="38">
        <v>19.0</v>
      </c>
      <c r="P15" s="93" t="s">
        <v>24</v>
      </c>
    </row>
    <row r="16" ht="15.0" customHeight="1">
      <c r="A16" s="114"/>
      <c r="B16" s="32" t="s">
        <v>31</v>
      </c>
      <c r="C16" s="33">
        <v>1.0</v>
      </c>
      <c r="D16" s="87" t="s">
        <v>175</v>
      </c>
      <c r="E16" s="92" t="s">
        <v>24</v>
      </c>
      <c r="F16" s="92" t="s">
        <v>24</v>
      </c>
      <c r="G16" s="92" t="s">
        <v>24</v>
      </c>
      <c r="H16" s="92" t="s">
        <v>24</v>
      </c>
      <c r="I16" s="92" t="s">
        <v>24</v>
      </c>
      <c r="J16" s="92" t="s">
        <v>24</v>
      </c>
      <c r="K16" s="92" t="s">
        <v>24</v>
      </c>
      <c r="L16" s="23">
        <v>7.05</v>
      </c>
      <c r="M16" s="92" t="s">
        <v>24</v>
      </c>
      <c r="N16" s="92" t="s">
        <v>24</v>
      </c>
      <c r="O16" s="23">
        <v>7.38</v>
      </c>
      <c r="P16" s="92" t="s">
        <v>24</v>
      </c>
    </row>
    <row r="17" ht="15.0" customHeight="1">
      <c r="A17" s="114"/>
      <c r="B17" s="26"/>
      <c r="C17" s="27">
        <v>2.0</v>
      </c>
      <c r="D17" s="103" t="s">
        <v>176</v>
      </c>
      <c r="E17" s="93" t="s">
        <v>24</v>
      </c>
      <c r="F17" s="93" t="s">
        <v>24</v>
      </c>
      <c r="G17" s="93" t="s">
        <v>24</v>
      </c>
      <c r="H17" s="93" t="s">
        <v>24</v>
      </c>
      <c r="I17" s="93" t="s">
        <v>24</v>
      </c>
      <c r="J17" s="93" t="s">
        <v>24</v>
      </c>
      <c r="K17" s="93" t="s">
        <v>24</v>
      </c>
      <c r="L17" s="84">
        <v>7.23</v>
      </c>
      <c r="M17" s="93" t="s">
        <v>24</v>
      </c>
      <c r="N17" s="93" t="s">
        <v>24</v>
      </c>
      <c r="O17" s="97">
        <v>7.7</v>
      </c>
      <c r="P17" s="93" t="s">
        <v>24</v>
      </c>
    </row>
    <row r="18" ht="15.0" customHeight="1">
      <c r="A18" s="114"/>
      <c r="B18" s="31"/>
      <c r="C18" s="27">
        <v>3.0</v>
      </c>
      <c r="D18" s="103" t="s">
        <v>177</v>
      </c>
      <c r="E18" s="93" t="s">
        <v>24</v>
      </c>
      <c r="F18" s="93" t="s">
        <v>24</v>
      </c>
      <c r="G18" s="93" t="s">
        <v>24</v>
      </c>
      <c r="H18" s="93" t="s">
        <v>24</v>
      </c>
      <c r="I18" s="93" t="s">
        <v>24</v>
      </c>
      <c r="J18" s="93" t="s">
        <v>24</v>
      </c>
      <c r="K18" s="93" t="s">
        <v>24</v>
      </c>
      <c r="L18" s="29">
        <v>7.39</v>
      </c>
      <c r="M18" s="93" t="s">
        <v>24</v>
      </c>
      <c r="N18" s="93" t="s">
        <v>24</v>
      </c>
      <c r="O18" s="29">
        <v>7.94</v>
      </c>
      <c r="P18" s="93" t="s">
        <v>24</v>
      </c>
    </row>
    <row r="19" ht="15.0" customHeight="1">
      <c r="A19" s="114"/>
      <c r="B19" s="32" t="s">
        <v>178</v>
      </c>
      <c r="C19" s="33">
        <v>1.0</v>
      </c>
      <c r="D19" s="87" t="s">
        <v>175</v>
      </c>
      <c r="E19" s="92" t="s">
        <v>24</v>
      </c>
      <c r="F19" s="92" t="s">
        <v>24</v>
      </c>
      <c r="G19" s="92" t="s">
        <v>24</v>
      </c>
      <c r="H19" s="92" t="s">
        <v>24</v>
      </c>
      <c r="I19" s="92" t="s">
        <v>24</v>
      </c>
      <c r="J19" s="92" t="s">
        <v>24</v>
      </c>
      <c r="K19" s="92" t="s">
        <v>24</v>
      </c>
      <c r="L19" s="120">
        <v>30.4</v>
      </c>
      <c r="M19" s="92" t="s">
        <v>24</v>
      </c>
      <c r="N19" s="92" t="s">
        <v>24</v>
      </c>
      <c r="O19" s="120">
        <v>29.3</v>
      </c>
      <c r="P19" s="92" t="s">
        <v>24</v>
      </c>
    </row>
    <row r="20" ht="15.0" customHeight="1">
      <c r="A20" s="114"/>
      <c r="B20" s="26"/>
      <c r="C20" s="27">
        <v>2.0</v>
      </c>
      <c r="D20" s="103" t="s">
        <v>176</v>
      </c>
      <c r="E20" s="93" t="s">
        <v>24</v>
      </c>
      <c r="F20" s="93" t="s">
        <v>24</v>
      </c>
      <c r="G20" s="93" t="s">
        <v>24</v>
      </c>
      <c r="H20" s="93" t="s">
        <v>24</v>
      </c>
      <c r="I20" s="93" t="s">
        <v>24</v>
      </c>
      <c r="J20" s="93" t="s">
        <v>24</v>
      </c>
      <c r="K20" s="93" t="s">
        <v>24</v>
      </c>
      <c r="L20" s="30">
        <v>30.58</v>
      </c>
      <c r="M20" s="93" t="s">
        <v>24</v>
      </c>
      <c r="N20" s="93" t="s">
        <v>24</v>
      </c>
      <c r="O20" s="30">
        <v>29.8</v>
      </c>
      <c r="P20" s="93" t="s">
        <v>24</v>
      </c>
    </row>
    <row r="21" ht="15.0" customHeight="1">
      <c r="A21" s="114"/>
      <c r="B21" s="31"/>
      <c r="C21" s="27">
        <v>3.0</v>
      </c>
      <c r="D21" s="103" t="s">
        <v>177</v>
      </c>
      <c r="E21" s="93" t="s">
        <v>24</v>
      </c>
      <c r="F21" s="93" t="s">
        <v>24</v>
      </c>
      <c r="G21" s="93" t="s">
        <v>24</v>
      </c>
      <c r="H21" s="93" t="s">
        <v>24</v>
      </c>
      <c r="I21" s="93" t="s">
        <v>24</v>
      </c>
      <c r="J21" s="93" t="s">
        <v>24</v>
      </c>
      <c r="K21" s="93" t="s">
        <v>24</v>
      </c>
      <c r="L21" s="30">
        <v>30.5</v>
      </c>
      <c r="M21" s="93" t="s">
        <v>24</v>
      </c>
      <c r="N21" s="93" t="s">
        <v>24</v>
      </c>
      <c r="O21" s="30">
        <v>30.3</v>
      </c>
      <c r="P21" s="93" t="s">
        <v>24</v>
      </c>
    </row>
    <row r="22" ht="15.0" customHeight="1">
      <c r="A22" s="114"/>
      <c r="B22" s="32" t="s">
        <v>33</v>
      </c>
      <c r="C22" s="33">
        <v>1.0</v>
      </c>
      <c r="D22" s="87" t="s">
        <v>175</v>
      </c>
      <c r="E22" s="92" t="s">
        <v>24</v>
      </c>
      <c r="F22" s="92" t="s">
        <v>24</v>
      </c>
      <c r="G22" s="92" t="s">
        <v>24</v>
      </c>
      <c r="H22" s="92" t="s">
        <v>24</v>
      </c>
      <c r="I22" s="92" t="s">
        <v>24</v>
      </c>
      <c r="J22" s="92" t="s">
        <v>24</v>
      </c>
      <c r="K22" s="92" t="s">
        <v>24</v>
      </c>
      <c r="L22" s="23">
        <v>38.0</v>
      </c>
      <c r="M22" s="92" t="s">
        <v>24</v>
      </c>
      <c r="N22" s="92" t="s">
        <v>24</v>
      </c>
      <c r="O22" s="23">
        <v>10.0</v>
      </c>
      <c r="P22" s="92" t="s">
        <v>24</v>
      </c>
    </row>
    <row r="23" ht="15.0" customHeight="1">
      <c r="A23" s="114"/>
      <c r="B23" s="26"/>
      <c r="C23" s="27">
        <v>2.0</v>
      </c>
      <c r="D23" s="103" t="s">
        <v>176</v>
      </c>
      <c r="E23" s="93" t="s">
        <v>24</v>
      </c>
      <c r="F23" s="93" t="s">
        <v>24</v>
      </c>
      <c r="G23" s="93" t="s">
        <v>24</v>
      </c>
      <c r="H23" s="93" t="s">
        <v>24</v>
      </c>
      <c r="I23" s="93" t="s">
        <v>24</v>
      </c>
      <c r="J23" s="93" t="s">
        <v>24</v>
      </c>
      <c r="K23" s="93" t="s">
        <v>24</v>
      </c>
      <c r="L23" s="29">
        <v>41.0</v>
      </c>
      <c r="M23" s="93" t="s">
        <v>24</v>
      </c>
      <c r="N23" s="93" t="s">
        <v>24</v>
      </c>
      <c r="O23" s="29">
        <v>10.0</v>
      </c>
      <c r="P23" s="93" t="s">
        <v>24</v>
      </c>
      <c r="R23" s="70"/>
    </row>
    <row r="24" ht="15.0" customHeight="1">
      <c r="A24" s="114"/>
      <c r="B24" s="31"/>
      <c r="C24" s="27">
        <v>3.0</v>
      </c>
      <c r="D24" s="103" t="s">
        <v>177</v>
      </c>
      <c r="E24" s="93" t="s">
        <v>24</v>
      </c>
      <c r="F24" s="93" t="s">
        <v>24</v>
      </c>
      <c r="G24" s="93" t="s">
        <v>24</v>
      </c>
      <c r="H24" s="93" t="s">
        <v>24</v>
      </c>
      <c r="I24" s="93" t="s">
        <v>24</v>
      </c>
      <c r="J24" s="93" t="s">
        <v>24</v>
      </c>
      <c r="K24" s="93" t="s">
        <v>24</v>
      </c>
      <c r="L24" s="29">
        <v>7.0</v>
      </c>
      <c r="M24" s="93" t="s">
        <v>24</v>
      </c>
      <c r="N24" s="93" t="s">
        <v>24</v>
      </c>
      <c r="O24" s="29">
        <v>10.0</v>
      </c>
      <c r="P24" s="93" t="s">
        <v>24</v>
      </c>
    </row>
    <row r="25" ht="15.0" customHeight="1">
      <c r="A25" s="114"/>
      <c r="B25" s="32" t="s">
        <v>34</v>
      </c>
      <c r="C25" s="33">
        <v>1.0</v>
      </c>
      <c r="D25" s="87" t="s">
        <v>175</v>
      </c>
      <c r="E25" s="98" t="s">
        <v>24</v>
      </c>
      <c r="F25" s="98" t="s">
        <v>24</v>
      </c>
      <c r="G25" s="98" t="s">
        <v>24</v>
      </c>
      <c r="H25" s="98" t="s">
        <v>24</v>
      </c>
      <c r="I25" s="98" t="s">
        <v>24</v>
      </c>
      <c r="J25" s="98" t="s">
        <v>24</v>
      </c>
      <c r="K25" s="98" t="s">
        <v>24</v>
      </c>
      <c r="L25" s="41">
        <v>7900.0</v>
      </c>
      <c r="M25" s="98" t="s">
        <v>24</v>
      </c>
      <c r="N25" s="98" t="s">
        <v>24</v>
      </c>
      <c r="O25" s="41">
        <v>9200.0</v>
      </c>
      <c r="P25" s="98" t="s">
        <v>24</v>
      </c>
    </row>
    <row r="26" ht="15.0" customHeight="1">
      <c r="A26" s="114"/>
      <c r="B26" s="26"/>
      <c r="C26" s="27">
        <v>2.0</v>
      </c>
      <c r="D26" s="103" t="s">
        <v>176</v>
      </c>
      <c r="E26" s="99" t="s">
        <v>24</v>
      </c>
      <c r="F26" s="99" t="s">
        <v>24</v>
      </c>
      <c r="G26" s="99" t="s">
        <v>24</v>
      </c>
      <c r="H26" s="99" t="s">
        <v>24</v>
      </c>
      <c r="I26" s="99" t="s">
        <v>24</v>
      </c>
      <c r="J26" s="99" t="s">
        <v>24</v>
      </c>
      <c r="K26" s="99" t="s">
        <v>24</v>
      </c>
      <c r="L26" s="42">
        <v>13000.0</v>
      </c>
      <c r="M26" s="99" t="s">
        <v>24</v>
      </c>
      <c r="N26" s="99" t="s">
        <v>24</v>
      </c>
      <c r="O26" s="42">
        <v>5400.0</v>
      </c>
      <c r="P26" s="99" t="s">
        <v>24</v>
      </c>
    </row>
    <row r="27" ht="15.0" customHeight="1">
      <c r="A27" s="114"/>
      <c r="B27" s="31"/>
      <c r="C27" s="27">
        <v>3.0</v>
      </c>
      <c r="D27" s="87" t="s">
        <v>177</v>
      </c>
      <c r="E27" s="99" t="s">
        <v>24</v>
      </c>
      <c r="F27" s="99" t="s">
        <v>24</v>
      </c>
      <c r="G27" s="99" t="s">
        <v>24</v>
      </c>
      <c r="H27" s="99" t="s">
        <v>24</v>
      </c>
      <c r="I27" s="99" t="s">
        <v>24</v>
      </c>
      <c r="J27" s="99" t="s">
        <v>24</v>
      </c>
      <c r="K27" s="99" t="s">
        <v>24</v>
      </c>
      <c r="L27" s="42">
        <v>7900.0</v>
      </c>
      <c r="M27" s="99" t="s">
        <v>24</v>
      </c>
      <c r="N27" s="99" t="s">
        <v>24</v>
      </c>
      <c r="O27" s="42">
        <v>16000.0</v>
      </c>
      <c r="P27" s="99" t="s">
        <v>24</v>
      </c>
    </row>
    <row r="28" ht="15.0" customHeight="1">
      <c r="A28" s="114"/>
      <c r="B28" s="32" t="s">
        <v>179</v>
      </c>
      <c r="C28" s="33">
        <v>1.0</v>
      </c>
      <c r="D28" s="87" t="s">
        <v>175</v>
      </c>
      <c r="E28" s="92" t="s">
        <v>24</v>
      </c>
      <c r="F28" s="92" t="s">
        <v>24</v>
      </c>
      <c r="G28" s="92" t="s">
        <v>24</v>
      </c>
      <c r="H28" s="92" t="s">
        <v>24</v>
      </c>
      <c r="I28" s="92" t="s">
        <v>24</v>
      </c>
      <c r="J28" s="92" t="s">
        <v>24</v>
      </c>
      <c r="K28" s="92" t="s">
        <v>24</v>
      </c>
      <c r="L28" s="23" t="s">
        <v>38</v>
      </c>
      <c r="M28" s="92" t="s">
        <v>24</v>
      </c>
      <c r="N28" s="92" t="s">
        <v>24</v>
      </c>
      <c r="O28" s="23">
        <v>0.55</v>
      </c>
      <c r="P28" s="92" t="s">
        <v>24</v>
      </c>
    </row>
    <row r="29" ht="15.0" customHeight="1">
      <c r="A29" s="114"/>
      <c r="B29" s="26"/>
      <c r="C29" s="27">
        <v>2.0</v>
      </c>
      <c r="D29" s="103" t="s">
        <v>176</v>
      </c>
      <c r="E29" s="93" t="s">
        <v>24</v>
      </c>
      <c r="F29" s="93" t="s">
        <v>24</v>
      </c>
      <c r="G29" s="93" t="s">
        <v>24</v>
      </c>
      <c r="H29" s="93" t="s">
        <v>24</v>
      </c>
      <c r="I29" s="93" t="s">
        <v>24</v>
      </c>
      <c r="J29" s="93" t="s">
        <v>24</v>
      </c>
      <c r="K29" s="93" t="s">
        <v>24</v>
      </c>
      <c r="L29" s="84">
        <v>0.067</v>
      </c>
      <c r="M29" s="93" t="s">
        <v>24</v>
      </c>
      <c r="N29" s="93" t="s">
        <v>24</v>
      </c>
      <c r="O29" s="84">
        <v>0.657</v>
      </c>
      <c r="P29" s="93" t="s">
        <v>24</v>
      </c>
    </row>
    <row r="30" ht="15.0" customHeight="1">
      <c r="A30" s="114"/>
      <c r="B30" s="31"/>
      <c r="C30" s="27">
        <v>3.0</v>
      </c>
      <c r="D30" s="103" t="s">
        <v>177</v>
      </c>
      <c r="E30" s="93" t="s">
        <v>24</v>
      </c>
      <c r="F30" s="93" t="s">
        <v>24</v>
      </c>
      <c r="G30" s="93" t="s">
        <v>24</v>
      </c>
      <c r="H30" s="93" t="s">
        <v>24</v>
      </c>
      <c r="I30" s="93" t="s">
        <v>24</v>
      </c>
      <c r="J30" s="93" t="s">
        <v>24</v>
      </c>
      <c r="K30" s="93" t="s">
        <v>24</v>
      </c>
      <c r="L30" s="29" t="s">
        <v>38</v>
      </c>
      <c r="M30" s="93" t="s">
        <v>24</v>
      </c>
      <c r="N30" s="93" t="s">
        <v>24</v>
      </c>
      <c r="O30" s="29">
        <v>0.543</v>
      </c>
      <c r="P30" s="93" t="s">
        <v>24</v>
      </c>
    </row>
    <row r="31" ht="15.0" customHeight="1">
      <c r="A31" s="114"/>
      <c r="B31" s="32" t="s">
        <v>180</v>
      </c>
      <c r="C31" s="33">
        <v>1.0</v>
      </c>
      <c r="D31" s="87" t="s">
        <v>175</v>
      </c>
      <c r="E31" s="92" t="s">
        <v>24</v>
      </c>
      <c r="F31" s="92" t="s">
        <v>24</v>
      </c>
      <c r="G31" s="92" t="s">
        <v>24</v>
      </c>
      <c r="H31" s="92" t="s">
        <v>24</v>
      </c>
      <c r="I31" s="92" t="s">
        <v>24</v>
      </c>
      <c r="J31" s="92" t="s">
        <v>24</v>
      </c>
      <c r="K31" s="92" t="s">
        <v>24</v>
      </c>
      <c r="L31" s="100">
        <v>0.174</v>
      </c>
      <c r="M31" s="92" t="s">
        <v>24</v>
      </c>
      <c r="N31" s="92" t="s">
        <v>24</v>
      </c>
      <c r="O31" s="100">
        <v>0.065</v>
      </c>
      <c r="P31" s="92" t="s">
        <v>24</v>
      </c>
    </row>
    <row r="32" ht="15.0" customHeight="1">
      <c r="A32" s="114"/>
      <c r="B32" s="26"/>
      <c r="C32" s="27">
        <v>2.0</v>
      </c>
      <c r="D32" s="103" t="s">
        <v>176</v>
      </c>
      <c r="E32" s="93" t="s">
        <v>24</v>
      </c>
      <c r="F32" s="93" t="s">
        <v>24</v>
      </c>
      <c r="G32" s="93" t="s">
        <v>24</v>
      </c>
      <c r="H32" s="93" t="s">
        <v>24</v>
      </c>
      <c r="I32" s="93" t="s">
        <v>24</v>
      </c>
      <c r="J32" s="93" t="s">
        <v>24</v>
      </c>
      <c r="K32" s="93" t="s">
        <v>24</v>
      </c>
      <c r="L32" s="101">
        <v>0.201</v>
      </c>
      <c r="M32" s="93" t="s">
        <v>24</v>
      </c>
      <c r="N32" s="93" t="s">
        <v>24</v>
      </c>
      <c r="O32" s="101">
        <v>0.063</v>
      </c>
      <c r="P32" s="93" t="s">
        <v>24</v>
      </c>
    </row>
    <row r="33" ht="15.0" customHeight="1">
      <c r="A33" s="114"/>
      <c r="B33" s="31"/>
      <c r="C33" s="27">
        <v>3.0</v>
      </c>
      <c r="D33" s="103" t="s">
        <v>177</v>
      </c>
      <c r="E33" s="93" t="s">
        <v>24</v>
      </c>
      <c r="F33" s="93" t="s">
        <v>24</v>
      </c>
      <c r="G33" s="93" t="s">
        <v>24</v>
      </c>
      <c r="H33" s="93" t="s">
        <v>24</v>
      </c>
      <c r="I33" s="93" t="s">
        <v>24</v>
      </c>
      <c r="J33" s="93" t="s">
        <v>24</v>
      </c>
      <c r="K33" s="93" t="s">
        <v>24</v>
      </c>
      <c r="L33" s="102">
        <v>0.186</v>
      </c>
      <c r="M33" s="93" t="s">
        <v>24</v>
      </c>
      <c r="N33" s="93" t="s">
        <v>24</v>
      </c>
      <c r="O33" s="102">
        <v>0.079</v>
      </c>
      <c r="P33" s="93" t="s">
        <v>24</v>
      </c>
    </row>
    <row r="34" ht="15.0" customHeight="1">
      <c r="A34" s="114"/>
      <c r="B34" s="32" t="s">
        <v>40</v>
      </c>
      <c r="C34" s="33">
        <v>1.0</v>
      </c>
      <c r="D34" s="87" t="s">
        <v>175</v>
      </c>
      <c r="E34" s="92" t="s">
        <v>24</v>
      </c>
      <c r="F34" s="92" t="s">
        <v>24</v>
      </c>
      <c r="G34" s="92" t="s">
        <v>24</v>
      </c>
      <c r="H34" s="92" t="s">
        <v>24</v>
      </c>
      <c r="I34" s="92" t="s">
        <v>24</v>
      </c>
      <c r="J34" s="92" t="s">
        <v>24</v>
      </c>
      <c r="K34" s="92" t="s">
        <v>24</v>
      </c>
      <c r="L34" s="23">
        <v>12.0</v>
      </c>
      <c r="M34" s="92" t="s">
        <v>24</v>
      </c>
      <c r="N34" s="92" t="s">
        <v>24</v>
      </c>
      <c r="O34" s="121">
        <v>15.0</v>
      </c>
      <c r="P34" s="92" t="s">
        <v>24</v>
      </c>
    </row>
    <row r="35" ht="15.0" customHeight="1">
      <c r="A35" s="114"/>
      <c r="B35" s="26"/>
      <c r="C35" s="27">
        <v>2.0</v>
      </c>
      <c r="D35" s="103" t="s">
        <v>176</v>
      </c>
      <c r="E35" s="93" t="s">
        <v>24</v>
      </c>
      <c r="F35" s="93" t="s">
        <v>24</v>
      </c>
      <c r="G35" s="93" t="s">
        <v>24</v>
      </c>
      <c r="H35" s="93" t="s">
        <v>24</v>
      </c>
      <c r="I35" s="93" t="s">
        <v>24</v>
      </c>
      <c r="J35" s="93" t="s">
        <v>24</v>
      </c>
      <c r="K35" s="93" t="s">
        <v>24</v>
      </c>
      <c r="L35" s="29">
        <v>13.0</v>
      </c>
      <c r="M35" s="93" t="s">
        <v>24</v>
      </c>
      <c r="N35" s="93" t="s">
        <v>24</v>
      </c>
      <c r="O35" s="122">
        <v>16.0</v>
      </c>
      <c r="P35" s="93" t="s">
        <v>24</v>
      </c>
    </row>
    <row r="36" ht="15.0" customHeight="1">
      <c r="A36" s="114"/>
      <c r="B36" s="31"/>
      <c r="C36" s="27">
        <v>3.0</v>
      </c>
      <c r="D36" s="103" t="s">
        <v>177</v>
      </c>
      <c r="E36" s="93" t="s">
        <v>24</v>
      </c>
      <c r="F36" s="93" t="s">
        <v>24</v>
      </c>
      <c r="G36" s="93" t="s">
        <v>24</v>
      </c>
      <c r="H36" s="93" t="s">
        <v>24</v>
      </c>
      <c r="I36" s="93" t="s">
        <v>24</v>
      </c>
      <c r="J36" s="93" t="s">
        <v>24</v>
      </c>
      <c r="K36" s="93" t="s">
        <v>24</v>
      </c>
      <c r="L36" s="29">
        <v>14.0</v>
      </c>
      <c r="M36" s="93" t="s">
        <v>24</v>
      </c>
      <c r="N36" s="93" t="s">
        <v>24</v>
      </c>
      <c r="O36" s="122">
        <v>15.0</v>
      </c>
      <c r="P36" s="93" t="s">
        <v>24</v>
      </c>
    </row>
    <row r="37" ht="15.75" customHeight="1"/>
    <row r="38" ht="15.75" customHeight="1">
      <c r="A38" s="62" t="s">
        <v>110</v>
      </c>
      <c r="D38" s="119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3:B15"/>
    <mergeCell ref="B16:B18"/>
    <mergeCell ref="B19:B21"/>
    <mergeCell ref="B22:B24"/>
    <mergeCell ref="B25:B27"/>
    <mergeCell ref="B28:B30"/>
    <mergeCell ref="B31:B33"/>
    <mergeCell ref="B34:B36"/>
    <mergeCell ref="A1:P1"/>
    <mergeCell ref="A2:P2"/>
    <mergeCell ref="A3:P3"/>
    <mergeCell ref="A5:P5"/>
    <mergeCell ref="A6:P6"/>
    <mergeCell ref="B7:B9"/>
    <mergeCell ref="B10:B1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2022-05-18T07:34:03Z</dcterms:created>
  <dc:creator>WQM Team</dc:creator>
</cp:coreProperties>
</file>