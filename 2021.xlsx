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. MARIA RIVER" sheetId="5" r:id="rId8"/>
    <sheet state="visible" name="PAMPANGA RIVER" sheetId="6" r:id="rId9"/>
    <sheet state="visible" name="GUAGUA RIVER" sheetId="7" r:id="rId10"/>
    <sheet state="visible" name="ANGAT RIVER" sheetId="8" r:id="rId11"/>
    <sheet state="visible" name="ATLAG RIVER" sheetId="9" r:id="rId12"/>
    <sheet state="visible" name="TALISAY RIVER" sheetId="10" r:id="rId13"/>
    <sheet state="visible" name="LUCONG RIVER" sheetId="11" r:id="rId14"/>
    <sheet state="visible" name="LABANGAN RIVER" sheetId="12" r:id="rId15"/>
    <sheet state="visible" name="HAGONOY RIVER" sheetId="13" r:id="rId16"/>
    <sheet state="visible" name="PAMPANGA RIVER (Nueva Ecija)" sheetId="14" r:id="rId17"/>
    <sheet state="visible" name="A-SF-M-S-WQMA" sheetId="15" r:id="rId18"/>
    <sheet state="visible" name="MOUTH OF OBANDO" sheetId="16" r:id="rId19"/>
    <sheet state="visible" name="MOUTH OF PAMPANGA" sheetId="17" r:id="rId20"/>
    <sheet state="visible" name="MOUTH OF TALISAY" sheetId="18" r:id="rId21"/>
    <sheet state="visible" name="COAST OF BULACAN" sheetId="19" r:id="rId22"/>
    <sheet state="visible" name="COAST OF PAMPANGA" sheetId="20" r:id="rId23"/>
    <sheet state="visible" name="COAST OF BATAAN" sheetId="21" r:id="rId24"/>
    <sheet state="visible" name="SWIMMABLE BEACH (MARIVELES)" sheetId="22" r:id="rId25"/>
    <sheet state="visible" name="MARIVELES-LIMAY" sheetId="23" r:id="rId26"/>
    <sheet state="visible" name="MONTEMAR BAGAC" sheetId="24" r:id="rId27"/>
    <sheet state="visible" name="JUNESS (MORONG BAY)" sheetId="25" r:id="rId28"/>
    <sheet state="visible" name="BEACH MONITORING" sheetId="26" r:id="rId29"/>
    <sheet state="visible" name="OFFSHORE SAMPLING" sheetId="27" r:id="rId30"/>
  </sheets>
  <externalReferences>
    <externalReference r:id="rId31"/>
  </externalReferences>
  <definedNames/>
  <calcPr/>
  <extLst>
    <ext uri="GoogleSheetsCustomDataVersion2">
      <go:sheetsCustomData xmlns:go="http://customooxmlschemas.google.com/" r:id="rId32" roundtripDataChecksum="SKooXCbj8qJRWT2s+h3fs/Q6YSIJcetaW6rIfyR0Nqg="/>
    </ext>
  </extLst>
</workbook>
</file>

<file path=xl/sharedStrings.xml><?xml version="1.0" encoding="utf-8"?>
<sst xmlns="http://schemas.openxmlformats.org/spreadsheetml/2006/main" count="5496" uniqueCount="359">
  <si>
    <t>SUMMARY REPORT OF WATER QUALITY MONITORING DATA</t>
  </si>
  <si>
    <t>SUBMITTED BY THE REGIONAL OFFICES</t>
  </si>
  <si>
    <t>CY 2021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</si>
  <si>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</si>
  <si>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</si>
  <si>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</si>
  <si>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</si>
  <si>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</si>
  <si>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</si>
  <si>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</si>
  <si>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</si>
  <si>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</si>
  <si>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</si>
  <si>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</si>
  <si>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</si>
  <si>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</si>
  <si>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</si>
  <si>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</si>
  <si>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</si>
  <si>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</si>
  <si>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</si>
  <si>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</si>
  <si>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CLASS C ( 5 STATIONS )</t>
  </si>
  <si>
    <t>III</t>
  </si>
  <si>
    <t>DO (mg/L)</t>
  </si>
  <si>
    <t>Deca Homes (Mar.-Cal. Boundary Bridge)</t>
  </si>
  <si>
    <t>*</t>
  </si>
  <si>
    <t>Prenza Dam</t>
  </si>
  <si>
    <t>Expressway Bridge</t>
  </si>
  <si>
    <t>Mc Arthur Bridge</t>
  </si>
  <si>
    <t>Ibayo Bridge</t>
  </si>
  <si>
    <t>BOD (mg/L)</t>
  </si>
  <si>
    <t>&lt;2*</t>
  </si>
  <si>
    <t>TSS (mg/L)</t>
  </si>
  <si>
    <t>pH</t>
  </si>
  <si>
    <t>6.5-9.0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</si>
  <si>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</si>
  <si>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25-31</t>
  </si>
  <si>
    <t>Color (TCU)</t>
  </si>
  <si>
    <t>w</t>
  </si>
  <si>
    <t>Fecal Coliform (MPN/100mL)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</si>
  <si>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</si>
  <si>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&lt;0.048</t>
  </si>
  <si>
    <t>&lt;0.227</t>
  </si>
  <si>
    <t>&lt;0.105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</si>
  <si>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</si>
  <si>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</si>
  <si>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* Results to follow</t>
  </si>
  <si>
    <t>MEYCAUAYAN RIVER</t>
  </si>
  <si>
    <t xml:space="preserve">Perez Bridge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</si>
  <si>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</si>
  <si>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</si>
  <si>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</si>
  <si>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 Brgy. Zamora   Meycauayan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</si>
  <si>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</si>
  <si>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2,400,00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</si>
  <si>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</si>
  <si>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</si>
  <si>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results to follow</t>
  </si>
  <si>
    <t>OBANDO RIVER</t>
  </si>
  <si>
    <t>CLASS C ( 3 STATIONS )</t>
  </si>
  <si>
    <t xml:space="preserve">Polo Bridge   Brgy. Polo  Valenzuela City   MM </t>
  </si>
  <si>
    <t xml:space="preserve">Near Municipal Fishport &amp; P.M. </t>
  </si>
  <si>
    <t xml:space="preserve">Tawiran Bridge  Brgy. Tawiran  Obando  Bulacan </t>
  </si>
  <si>
    <t>&lt;2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</si>
  <si>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</si>
  <si>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</si>
  <si>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</si>
  <si>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BOCAUE RIVER</t>
  </si>
  <si>
    <t xml:space="preserve">Expressway Bridge   Brgy. Turo   Bocaue   Bulacan </t>
  </si>
  <si>
    <t>**</t>
  </si>
  <si>
    <t xml:space="preserve">McArthur Bridge  Binang 2nd   Bocaue   Bulacan </t>
  </si>
  <si>
    <t xml:space="preserve">Bridge near public Market   UBVAS   Binang 2nd   Bocaue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</si>
  <si>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</si>
  <si>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</si>
  <si>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</si>
  <si>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no data/sampling conducted</t>
  </si>
  <si>
    <t>**Results to follow</t>
  </si>
  <si>
    <t xml:space="preserve">January </t>
  </si>
  <si>
    <t>STA. MARIA RIVER</t>
  </si>
  <si>
    <t>CLASS C ( 3  STATIONS )</t>
  </si>
  <si>
    <t xml:space="preserve">Catmon Bridge   Brgy. Catmon   Sta. Maria  Bulacan </t>
  </si>
  <si>
    <t xml:space="preserve">Poblacion Bridge   Brgy. Poblacion  Sta. Maria   Bulacan </t>
  </si>
  <si>
    <t xml:space="preserve">Sta. Clara Bridge   Brgy Sta Clara   Sta. Maria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</si>
  <si>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</si>
  <si>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</si>
  <si>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</si>
  <si>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results to follow</t>
  </si>
  <si>
    <t>PAMPANGA RIVER</t>
  </si>
  <si>
    <t xml:space="preserve">Expressway Bridge Brgy. San Pedro, Apalit, Pampanga </t>
  </si>
  <si>
    <t xml:space="preserve">Sulipan Bridge Brgy. Sulipan, Apalit, Pampanga </t>
  </si>
  <si>
    <t xml:space="preserve">Calumpit Bridge Brgy. Gatbuca, Calumpit, Pampanga </t>
  </si>
  <si>
    <t xml:space="preserve">Paulino Residence Sitio Kanukay, San Vicente, Macabebe, Pampanga </t>
  </si>
  <si>
    <t xml:space="preserve">Villa Lourdes Sitio Bitas, Brgy. Batasan, Macabebe,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</si>
  <si>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</si>
  <si>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</si>
  <si>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</si>
  <si>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GUAGUA RIVER</t>
  </si>
  <si>
    <t>San Pablo Bridge  Brgy. San Pablo  Guagua  Pampanga</t>
  </si>
  <si>
    <t xml:space="preserve">San Pedro Foot Bridge  Brgy. San Pedro  Guagua  Pampanga </t>
  </si>
  <si>
    <t xml:space="preserve">Plaza Burgos Bridge Brgy. Sto. Niño  Guagua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</si>
  <si>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</si>
  <si>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</si>
  <si>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</si>
  <si>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ANGAT RIVER</t>
  </si>
  <si>
    <t xml:space="preserve">Baliwag-Bustos Bridge   Bustos  Bulacan </t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</si>
  <si>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</si>
  <si>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</si>
  <si>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</si>
  <si>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</si>
  <si>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</si>
  <si>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**results to follow</t>
  </si>
  <si>
    <t>ATLAG RIVER</t>
  </si>
  <si>
    <t>Bridge near Villa- Santiago Compound</t>
  </si>
  <si>
    <t>Libo Bridge</t>
  </si>
  <si>
    <t>Atlag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</si>
  <si>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</si>
  <si>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</si>
  <si>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</si>
  <si>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</si>
  <si>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</si>
  <si>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</si>
  <si>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</si>
  <si>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</si>
  <si>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Camacho Bridge   Brgy Camacho   Balanga City  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</si>
  <si>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</si>
  <si>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</si>
  <si>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LUCONG RIVER</t>
  </si>
  <si>
    <t>Cut-Cut Bridge</t>
  </si>
  <si>
    <t>***</t>
  </si>
  <si>
    <t>Santiago Bridge</t>
  </si>
  <si>
    <t>Near Green Village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</si>
  <si>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</si>
  <si>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</si>
  <si>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</si>
  <si>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*no data/sampling conducted</t>
  </si>
  <si>
    <t>*** Unable to test for Dissolved Oxygen due to malfunctioning D.O probe</t>
  </si>
  <si>
    <t>LABANGAN RIVER</t>
  </si>
  <si>
    <t>Labangan Bridge</t>
  </si>
  <si>
    <t>Iba Hanging Bridge</t>
  </si>
  <si>
    <t>Iba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</si>
  <si>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</si>
  <si>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</si>
  <si>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</si>
  <si>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CY 2020</t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</si>
  <si>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</si>
  <si>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</si>
  <si>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</si>
  <si>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</si>
  <si>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</si>
  <si>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</si>
  <si>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</si>
  <si>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</si>
  <si>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</si>
  <si>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</si>
  <si>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Results to follow</t>
  </si>
  <si>
    <t>PAMPANGA RIVER (UPSTREAM NUEVA ECIJA)</t>
  </si>
  <si>
    <t>Bongabon River Irrigation System</t>
  </si>
  <si>
    <t>Vergara Bridge</t>
  </si>
  <si>
    <t>Sta. Rosa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</si>
  <si>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</si>
  <si>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</si>
  <si>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</si>
  <si>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A-SF-M-S WQMA</t>
  </si>
  <si>
    <t>CLASS C ( 7 STATIONS 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</si>
  <si>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</si>
  <si>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</si>
  <si>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0.140</t>
  </si>
  <si>
    <t>0.424</t>
  </si>
  <si>
    <t>0.297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</si>
  <si>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</si>
  <si>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49</t>
  </si>
  <si>
    <t>MOUTH OF OBANDO  RIVER</t>
  </si>
  <si>
    <t>CLASS SB ( 3 STATIONS )</t>
  </si>
  <si>
    <t xml:space="preserve">Obando River   Mouth of Obando River  Brgy Salambao   Obando   Bulacan </t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</si>
  <si>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</si>
  <si>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</si>
  <si>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</si>
  <si>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</si>
  <si>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26-30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</si>
  <si>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</si>
  <si>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0.489</t>
  </si>
  <si>
    <t>0.170</t>
  </si>
  <si>
    <t>0.448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</si>
  <si>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</si>
  <si>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0.152</t>
  </si>
  <si>
    <t>0.163</t>
  </si>
  <si>
    <t>0.169</t>
  </si>
  <si>
    <t>* no data/sampling conducted due to personnel having been placed under quarantine</t>
  </si>
  <si>
    <t>MOUTH OF PAMPANGA  RIVER</t>
  </si>
  <si>
    <t xml:space="preserve">Near Armando Aguinaldo F.P.   Brgy. Consuelo  Macabebe   Pampanga 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</si>
  <si>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</si>
  <si>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</si>
  <si>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</si>
  <si>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16,00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</si>
  <si>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</si>
  <si>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</si>
  <si>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*Results to follow</t>
  </si>
  <si>
    <t>** no data due to malfunction in water quality checker</t>
  </si>
  <si>
    <t>MOUTH OF TALISAY  RIVER</t>
  </si>
  <si>
    <t xml:space="preserve">Talisay River </t>
  </si>
  <si>
    <t xml:space="preserve">300 m away from Sta. 1 </t>
  </si>
  <si>
    <t xml:space="preserve">300 m away from Sta. 2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</si>
  <si>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</si>
  <si>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</si>
  <si>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</si>
  <si>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&lt;0.026</t>
  </si>
  <si>
    <t>* Results to Follow</t>
  </si>
  <si>
    <t xml:space="preserve">                
</t>
  </si>
  <si>
    <r>
      <rPr>
        <rFont val="Times New Roman"/>
        <b/>
        <color theme="1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</si>
  <si>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</si>
  <si>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>Mouth of Capiz River</t>
  </si>
  <si>
    <t>Mouth of Sta. Cruz Creek</t>
  </si>
  <si>
    <t>Mouth of Tibuguin Creek</t>
  </si>
  <si>
    <t>Mouth of Pugad Creek</t>
  </si>
  <si>
    <t>Mouth of Dapdap Creek</t>
  </si>
  <si>
    <t>Mouth of San Roque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</si>
  <si>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</si>
  <si>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&lt;1.8</t>
  </si>
  <si>
    <t>NO3-N (mg/L)</t>
  </si>
  <si>
    <t>PO4-P (mg/L)</t>
  </si>
  <si>
    <t>** Unable to conduct sampling due to high waves</t>
  </si>
  <si>
    <t>*** no sampling conducted due to sampling personnel having been placed under quarantine</t>
  </si>
  <si>
    <t xml:space="preserve">COAST OF PAMPANGA </t>
  </si>
  <si>
    <t>Bangkung Malapad</t>
  </si>
  <si>
    <t>0,91</t>
  </si>
  <si>
    <t>Macabebe Point</t>
  </si>
  <si>
    <t>Bancal Pugad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</si>
  <si>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</si>
  <si>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</si>
  <si>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</si>
  <si>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no data due to malfunctioning checker</t>
  </si>
  <si>
    <t xml:space="preserve">COAST OF BATAAN  </t>
  </si>
  <si>
    <t>CLASS SB ( 7 STATIONS )</t>
  </si>
  <si>
    <t>Mouth of Almacen River</t>
  </si>
  <si>
    <t>Mouth of Kaparangan River</t>
  </si>
  <si>
    <t>Mouth of Samal River</t>
  </si>
  <si>
    <t>Mouth of Calaguiman River</t>
  </si>
  <si>
    <t>Mouth of Wawa River</t>
  </si>
  <si>
    <t>Mouth of Alangan River</t>
  </si>
  <si>
    <t>Mouth of Lamao River</t>
  </si>
  <si>
    <t>Mouth of Mouth Wawa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</si>
  <si>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</si>
  <si>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0,455</t>
  </si>
  <si>
    <t>0,056</t>
  </si>
  <si>
    <t xml:space="preserve">                   </t>
  </si>
  <si>
    <t xml:space="preserve">SWIMMABLE BEACH (MARIVELES </t>
  </si>
  <si>
    <t>CLASS SB (3 STATIONS )</t>
  </si>
  <si>
    <t>Sitio Babuyan</t>
  </si>
  <si>
    <t>Sitio Aguawan</t>
  </si>
  <si>
    <t>Villa Carmen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</si>
  <si>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</si>
  <si>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</si>
  <si>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</si>
  <si>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Yatch Club</t>
  </si>
  <si>
    <t>Near Pawikan Hatchery</t>
  </si>
  <si>
    <t>Near Trota Side Residence</t>
  </si>
  <si>
    <t>MARIVELES &amp; LIMAY</t>
  </si>
  <si>
    <t>CLASS SB ( 4 STATIONS )</t>
  </si>
  <si>
    <t xml:space="preserve">Brgy. Wawa   Limay   Bataan </t>
  </si>
  <si>
    <t xml:space="preserve">Villa Leonor   Limay   Bataan </t>
  </si>
  <si>
    <t xml:space="preserve">Villa Carmen   Mariveles   Bataan </t>
  </si>
  <si>
    <t xml:space="preserve">Mattel   Mariveles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</si>
  <si>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</si>
  <si>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</si>
  <si>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</si>
  <si>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Villa Carmen   Marchiveles   Bataan </t>
  </si>
  <si>
    <t xml:space="preserve">Mattel   Marchiveles   Bataan </t>
  </si>
  <si>
    <t>*** no sampling conducted due to on going construction in the station</t>
  </si>
  <si>
    <t>MONTEMAR (BAGAC BAY)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</si>
  <si>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</si>
  <si>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</si>
  <si>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</si>
  <si>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&lt;0.019</t>
  </si>
  <si>
    <t>&lt;0.014</t>
  </si>
  <si>
    <t>JUNESS (MORONG BAY)</t>
  </si>
  <si>
    <t>Near Pavillo Main Area</t>
  </si>
  <si>
    <t>3.75</t>
  </si>
  <si>
    <t>4.05</t>
  </si>
  <si>
    <t>Near Open Hall</t>
  </si>
  <si>
    <t>3.81</t>
  </si>
  <si>
    <t>4.18</t>
  </si>
  <si>
    <t>Near Building Area</t>
  </si>
  <si>
    <t>4.5</t>
  </si>
  <si>
    <t>4.09</t>
  </si>
  <si>
    <t>42</t>
  </si>
  <si>
    <t>26</t>
  </si>
  <si>
    <t>29</t>
  </si>
  <si>
    <t>27</t>
  </si>
  <si>
    <t>25</t>
  </si>
  <si>
    <t>16</t>
  </si>
  <si>
    <t>24</t>
  </si>
  <si>
    <t>7.02</t>
  </si>
  <si>
    <t>7.00</t>
  </si>
  <si>
    <t>7.03</t>
  </si>
  <si>
    <t>7.05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</si>
  <si>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</si>
  <si>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30.40</t>
  </si>
  <si>
    <t>28.90</t>
  </si>
  <si>
    <t>30.20</t>
  </si>
  <si>
    <t>30.00</t>
  </si>
  <si>
    <t>30.30</t>
  </si>
  <si>
    <t>29.80</t>
  </si>
  <si>
    <t>3</t>
  </si>
  <si>
    <t>5</t>
  </si>
  <si>
    <t>3,500</t>
  </si>
  <si>
    <t>540</t>
  </si>
  <si>
    <t>1,500</t>
  </si>
  <si>
    <t>2,800</t>
  </si>
  <si>
    <t>46,000</t>
  </si>
  <si>
    <t>33</t>
  </si>
  <si>
    <t>240</t>
  </si>
  <si>
    <t>23</t>
  </si>
  <si>
    <t>70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</si>
  <si>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</si>
  <si>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0.090</t>
  </si>
  <si>
    <t>0.119</t>
  </si>
  <si>
    <t>0.057</t>
  </si>
  <si>
    <t>&lt;0.0480</t>
  </si>
  <si>
    <t>0.157</t>
  </si>
  <si>
    <t>0.076</t>
  </si>
  <si>
    <t>0.112</t>
  </si>
  <si>
    <t>0.113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</si>
  <si>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</si>
  <si>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0.044</t>
  </si>
  <si>
    <t>0.028</t>
  </si>
  <si>
    <t>0.032</t>
  </si>
  <si>
    <t>0.027</t>
  </si>
  <si>
    <t>0.039</t>
  </si>
  <si>
    <t>** No Data</t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</si>
  <si>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</si>
  <si>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</si>
  <si>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</si>
  <si>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</si>
  <si>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</si>
  <si>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</si>
  <si>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</si>
  <si>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</si>
  <si>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</si>
  <si>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</si>
  <si>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</si>
  <si>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</si>
  <si>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</si>
  <si>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Coordinates</t>
  </si>
  <si>
    <t>1st Quarter</t>
  </si>
  <si>
    <t>2nd Quarter</t>
  </si>
  <si>
    <t>3rd Quarter</t>
  </si>
  <si>
    <t>4th Quarter</t>
  </si>
  <si>
    <t>Average</t>
  </si>
  <si>
    <t>Hong Kong ISQV</t>
  </si>
  <si>
    <t>Latitude, °N</t>
  </si>
  <si>
    <t>Longitude, °E</t>
  </si>
  <si>
    <t>OFFSHORE SEDIMENTS SAMPLING</t>
  </si>
  <si>
    <t>(9 STATIONS )</t>
  </si>
  <si>
    <t>Cadmium
(mg/Kg)</t>
  </si>
  <si>
    <t>Chromium 
(mg/Kg)</t>
  </si>
  <si>
    <t>ND</t>
  </si>
  <si>
    <t>Lead 
(mg/Kg)</t>
  </si>
  <si>
    <t>** (ND) Not Detectable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</si>
</sst>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??_-;_-@"/>
    <numFmt numFmtId="165" formatCode="0.000"/>
    <numFmt numFmtId="166" formatCode="#,##0.000"/>
    <numFmt numFmtId="167" formatCode="#,##0_ ;\-#,##0\ "/>
    <numFmt numFmtId="168" formatCode="0.0"/>
    <numFmt numFmtId="169" formatCode="_-* #,##0.00_-;\-* #,##0.00_-;_-* &quot;-&quot;??_-;_-@"/>
    <numFmt numFmtId="170" formatCode="_-* #,##0.000_-;\-* #,##0.000_-;_-* &quot;-&quot;??_-;_-@"/>
    <numFmt numFmtId="171" formatCode="#,##0.0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Times New Roman"/>
    </font>
    <font>
      <sz val="11.0"/>
      <color rgb="FFFF0000"/>
      <name val="Calibri"/>
    </font>
    <font>
      <sz val="11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1" numFmtId="0" xfId="0" applyBorder="1" applyFill="1" applyFont="1"/>
    <xf borderId="7" fillId="3" fontId="1" numFmtId="0" xfId="0" applyAlignment="1" applyBorder="1" applyFont="1">
      <alignment horizontal="center" vertical="center"/>
    </xf>
    <xf borderId="7" fillId="3" fontId="1" numFmtId="2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left"/>
    </xf>
    <xf borderId="11" fillId="0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vertical="center"/>
    </xf>
    <xf borderId="7" fillId="4" fontId="3" numFmtId="0" xfId="0" applyBorder="1" applyFont="1"/>
    <xf borderId="7" fillId="4" fontId="3" numFmtId="2" xfId="0" applyAlignment="1" applyBorder="1" applyFont="1" applyNumberFormat="1">
      <alignment horizontal="right" shrinkToFit="0" vertical="center" wrapText="1"/>
    </xf>
    <xf borderId="7" fillId="4" fontId="3" numFmtId="2" xfId="0" applyBorder="1" applyFont="1" applyNumberFormat="1"/>
    <xf borderId="7" fillId="0" fontId="3" numFmtId="0" xfId="0" applyAlignment="1" applyBorder="1" applyFont="1">
      <alignment horizontal="center" vertical="center"/>
    </xf>
    <xf borderId="12" fillId="0" fontId="2" numFmtId="0" xfId="0" applyBorder="1" applyFont="1"/>
    <xf borderId="7" fillId="0" fontId="1" numFmtId="0" xfId="0" applyAlignment="1" applyBorder="1" applyFont="1">
      <alignment horizontal="center" vertical="center"/>
    </xf>
    <xf borderId="7" fillId="0" fontId="3" numFmtId="0" xfId="0" applyBorder="1" applyFont="1"/>
    <xf borderId="7" fillId="0" fontId="3" numFmtId="2" xfId="0" applyAlignment="1" applyBorder="1" applyFont="1" applyNumberFormat="1">
      <alignment horizontal="right" shrinkToFit="0" vertical="center" wrapText="1"/>
    </xf>
    <xf borderId="7" fillId="5" fontId="3" numFmtId="2" xfId="0" applyAlignment="1" applyBorder="1" applyFill="1" applyFont="1" applyNumberFormat="1">
      <alignment horizontal="right" shrinkToFit="0" vertical="center" wrapText="1"/>
    </xf>
    <xf borderId="7" fillId="0" fontId="3" numFmtId="2" xfId="0" applyBorder="1" applyFont="1" applyNumberFormat="1"/>
    <xf borderId="13" fillId="0" fontId="2" numFmtId="0" xfId="0" applyBorder="1" applyFont="1"/>
    <xf borderId="7" fillId="4" fontId="3" numFmtId="1" xfId="0" applyAlignment="1" applyBorder="1" applyFont="1" applyNumberFormat="1">
      <alignment horizontal="right" shrinkToFit="0" vertical="center" wrapText="1"/>
    </xf>
    <xf borderId="7" fillId="4" fontId="3" numFmtId="1" xfId="0" applyBorder="1" applyFont="1" applyNumberFormat="1"/>
    <xf borderId="7" fillId="0" fontId="3" numFmtId="1" xfId="0" applyAlignment="1" applyBorder="1" applyFont="1" applyNumberFormat="1">
      <alignment horizontal="right" shrinkToFit="0" vertical="center" wrapText="1"/>
    </xf>
    <xf borderId="7" fillId="0" fontId="3" numFmtId="1" xfId="0" applyBorder="1" applyFont="1" applyNumberFormat="1"/>
    <xf borderId="7" fillId="4" fontId="3" numFmtId="3" xfId="0" applyAlignment="1" applyBorder="1" applyFont="1" applyNumberFormat="1">
      <alignment horizontal="right" shrinkToFit="0" vertical="center" wrapText="1"/>
    </xf>
    <xf borderId="7" fillId="4" fontId="3" numFmtId="164" xfId="0" applyAlignment="1" applyBorder="1" applyFont="1" applyNumberFormat="1">
      <alignment horizontal="right" shrinkToFit="0" vertical="center" wrapText="1"/>
    </xf>
    <xf borderId="7" fillId="0" fontId="3" numFmtId="164" xfId="0" applyAlignment="1" applyBorder="1" applyFont="1" applyNumberFormat="1">
      <alignment horizontal="right" shrinkToFit="0" vertical="center" wrapText="1"/>
    </xf>
    <xf borderId="7" fillId="4" fontId="3" numFmtId="164" xfId="0" applyBorder="1" applyFont="1" applyNumberFormat="1"/>
    <xf borderId="0" fillId="0" fontId="4" numFmtId="164" xfId="0" applyFont="1" applyNumberFormat="1"/>
    <xf borderId="7" fillId="0" fontId="3" numFmtId="3" xfId="0" applyAlignment="1" applyBorder="1" applyFont="1" applyNumberFormat="1">
      <alignment horizontal="right" shrinkToFit="0" vertical="center" wrapText="1"/>
    </xf>
    <xf borderId="7" fillId="0" fontId="3" numFmtId="164" xfId="0" applyBorder="1" applyFont="1" applyNumberFormat="1"/>
    <xf borderId="7" fillId="5" fontId="3" numFmtId="3" xfId="0" applyAlignment="1" applyBorder="1" applyFont="1" applyNumberFormat="1">
      <alignment horizontal="right" shrinkToFit="0" vertical="center" wrapText="1"/>
    </xf>
    <xf borderId="7" fillId="4" fontId="3" numFmtId="165" xfId="0" applyAlignment="1" applyBorder="1" applyFont="1" applyNumberFormat="1">
      <alignment horizontal="right" shrinkToFit="0" vertical="center" wrapText="1"/>
    </xf>
    <xf borderId="7" fillId="4" fontId="3" numFmtId="165" xfId="0" applyBorder="1" applyFont="1" applyNumberFormat="1"/>
    <xf borderId="7" fillId="5" fontId="3" numFmtId="165" xfId="0" applyAlignment="1" applyBorder="1" applyFont="1" applyNumberFormat="1">
      <alignment horizontal="right" shrinkToFit="0" vertical="center" wrapText="1"/>
    </xf>
    <xf borderId="7" fillId="0" fontId="3" numFmtId="165" xfId="0" applyAlignment="1" applyBorder="1" applyFont="1" applyNumberFormat="1">
      <alignment horizontal="right" shrinkToFit="0" vertical="center" wrapText="1"/>
    </xf>
    <xf borderId="7" fillId="0" fontId="3" numFmtId="165" xfId="0" applyBorder="1" applyFont="1" applyNumberFormat="1"/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12" fillId="0" fontId="1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vertical="center"/>
    </xf>
    <xf borderId="7" fillId="4" fontId="3" numFmtId="2" xfId="0" applyAlignment="1" applyBorder="1" applyFont="1" applyNumberFormat="1">
      <alignment horizontal="right" vertical="center"/>
    </xf>
    <xf borderId="7" fillId="4" fontId="3" numFmtId="2" xfId="0" applyAlignment="1" applyBorder="1" applyFont="1" applyNumberFormat="1">
      <alignment horizontal="right"/>
    </xf>
    <xf borderId="7" fillId="4" fontId="3" numFmtId="4" xfId="0" applyAlignment="1" applyBorder="1" applyFont="1" applyNumberFormat="1">
      <alignment horizontal="right" shrinkToFit="0" vertical="center" wrapText="1"/>
    </xf>
    <xf borderId="7" fillId="0" fontId="6" numFmtId="0" xfId="0" applyAlignment="1" applyBorder="1" applyFont="1">
      <alignment vertical="center"/>
    </xf>
    <xf borderId="7" fillId="0" fontId="3" numFmtId="2" xfId="0" applyAlignment="1" applyBorder="1" applyFont="1" applyNumberFormat="1">
      <alignment horizontal="right" vertical="center"/>
    </xf>
    <xf borderId="7" fillId="0" fontId="3" numFmtId="2" xfId="0" applyAlignment="1" applyBorder="1" applyFont="1" applyNumberFormat="1">
      <alignment horizontal="right"/>
    </xf>
    <xf borderId="7" fillId="0" fontId="3" numFmtId="4" xfId="0" applyAlignment="1" applyBorder="1" applyFont="1" applyNumberFormat="1">
      <alignment horizontal="right" shrinkToFit="0" vertical="center" wrapText="1"/>
    </xf>
    <xf borderId="7" fillId="5" fontId="3" numFmtId="2" xfId="0" applyAlignment="1" applyBorder="1" applyFont="1" applyNumberFormat="1">
      <alignment horizontal="right"/>
    </xf>
    <xf borderId="7" fillId="4" fontId="3" numFmtId="0" xfId="0" applyAlignment="1" applyBorder="1" applyFont="1">
      <alignment horizontal="right" vertical="center"/>
    </xf>
    <xf borderId="7" fillId="4" fontId="3" numFmtId="1" xfId="0" applyAlignment="1" applyBorder="1" applyFont="1" applyNumberFormat="1">
      <alignment horizontal="right" vertical="center"/>
    </xf>
    <xf borderId="7" fillId="4" fontId="3" numFmtId="1" xfId="0" applyAlignment="1" applyBorder="1" applyFont="1" applyNumberFormat="1">
      <alignment horizontal="right"/>
    </xf>
    <xf borderId="0" fillId="0" fontId="5" numFmtId="1" xfId="0" applyFont="1" applyNumberFormat="1"/>
    <xf borderId="7" fillId="0" fontId="3" numFmtId="1" xfId="0" applyAlignment="1" applyBorder="1" applyFont="1" applyNumberFormat="1">
      <alignment horizontal="right" vertical="center"/>
    </xf>
    <xf borderId="7" fillId="0" fontId="3" numFmtId="1" xfId="0" applyAlignment="1" applyBorder="1" applyFont="1" applyNumberFormat="1">
      <alignment horizontal="right"/>
    </xf>
    <xf borderId="0" fillId="0" fontId="4" numFmtId="0" xfId="0" applyFont="1"/>
    <xf borderId="7" fillId="4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/>
    </xf>
    <xf borderId="7" fillId="5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 vertical="center"/>
    </xf>
    <xf borderId="7" fillId="4" fontId="3" numFmtId="3" xfId="0" applyAlignment="1" applyBorder="1" applyFont="1" applyNumberFormat="1">
      <alignment horizontal="right" vertical="center"/>
    </xf>
    <xf borderId="7" fillId="4" fontId="3" numFmtId="164" xfId="0" applyAlignment="1" applyBorder="1" applyFont="1" applyNumberFormat="1">
      <alignment horizontal="right" vertical="center"/>
    </xf>
    <xf borderId="7" fillId="4" fontId="3" numFmtId="3" xfId="0" applyAlignment="1" applyBorder="1" applyFont="1" applyNumberFormat="1">
      <alignment horizontal="right"/>
    </xf>
    <xf borderId="7" fillId="0" fontId="3" numFmtId="3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vertical="center"/>
    </xf>
    <xf borderId="7" fillId="0" fontId="3" numFmtId="3" xfId="0" applyAlignment="1" applyBorder="1" applyFont="1" applyNumberFormat="1">
      <alignment horizontal="right"/>
    </xf>
    <xf borderId="7" fillId="5" fontId="3" numFmtId="3" xfId="0" applyAlignment="1" applyBorder="1" applyFont="1" applyNumberFormat="1">
      <alignment horizontal="right" vertical="center"/>
    </xf>
    <xf borderId="7" fillId="5" fontId="3" numFmtId="3" xfId="0" applyAlignment="1" applyBorder="1" applyFont="1" applyNumberFormat="1">
      <alignment horizontal="right"/>
    </xf>
    <xf borderId="7" fillId="4" fontId="3" numFmtId="165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/>
    </xf>
    <xf borderId="7" fillId="4" fontId="3" numFmtId="165" xfId="0" applyAlignment="1" applyBorder="1" applyFont="1" applyNumberFormat="1">
      <alignment horizontal="right"/>
    </xf>
    <xf borderId="7" fillId="5" fontId="3" numFmtId="165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Font="1"/>
    <xf borderId="7" fillId="3" fontId="1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left"/>
    </xf>
    <xf borderId="14" fillId="4" fontId="1" numFmtId="0" xfId="0" applyAlignment="1" applyBorder="1" applyFont="1">
      <alignment horizontal="center" vertical="center"/>
    </xf>
    <xf borderId="14" fillId="4" fontId="6" numFmtId="0" xfId="0" applyAlignment="1" applyBorder="1" applyFont="1">
      <alignment vertical="center"/>
    </xf>
    <xf borderId="14" fillId="4" fontId="3" numFmtId="0" xfId="0" applyAlignment="1" applyBorder="1" applyFont="1">
      <alignment horizontal="right" shrinkToFit="0" vertical="center" wrapText="1"/>
    </xf>
    <xf borderId="14" fillId="4" fontId="3" numFmtId="2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14" fillId="4" fontId="3" numFmtId="1" xfId="0" applyAlignment="1" applyBorder="1" applyFont="1" applyNumberFormat="1">
      <alignment horizontal="right" shrinkToFit="0" vertical="center" wrapText="1"/>
    </xf>
    <xf borderId="14" fillId="4" fontId="3" numFmtId="3" xfId="0" applyAlignment="1" applyBorder="1" applyFont="1" applyNumberFormat="1">
      <alignment horizontal="right" shrinkToFit="0" vertical="center" wrapText="1"/>
    </xf>
    <xf borderId="14" fillId="4" fontId="3" numFmtId="164" xfId="0" applyAlignment="1" applyBorder="1" applyFont="1" applyNumberFormat="1">
      <alignment horizontal="right" shrinkToFit="0" vertical="center" wrapText="1"/>
    </xf>
    <xf borderId="0" fillId="0" fontId="5" numFmtId="164" xfId="0" applyFont="1" applyNumberFormat="1"/>
    <xf borderId="14" fillId="4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Font="1"/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1" numFmtId="0" xfId="0" applyAlignment="1" applyBorder="1" applyFont="1">
      <alignment horizontal="center"/>
    </xf>
    <xf borderId="18" fillId="0" fontId="2" numFmtId="0" xfId="0" applyBorder="1" applyFont="1"/>
    <xf borderId="7" fillId="5" fontId="3" numFmtId="1" xfId="0" applyAlignment="1" applyBorder="1" applyFont="1" applyNumberFormat="1">
      <alignment horizontal="right" shrinkToFit="0" vertical="center" wrapText="1"/>
    </xf>
    <xf borderId="7" fillId="5" fontId="3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Font="1"/>
    <xf borderId="19" fillId="3" fontId="1" numFmtId="0" xfId="0" applyBorder="1" applyFont="1"/>
    <xf borderId="14" fillId="3" fontId="1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7" fillId="4" fontId="6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right" shrinkToFit="0" vertical="center" wrapText="1"/>
    </xf>
    <xf borderId="0" fillId="0" fontId="3" numFmtId="3" xfId="0" applyFont="1" applyNumberFormat="1"/>
    <xf borderId="7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14" fillId="4" fontId="3" numFmtId="3" xfId="0" applyAlignment="1" applyBorder="1" applyFont="1" applyNumberFormat="1">
      <alignment horizontal="right" shrinkToFit="0" wrapText="1"/>
    </xf>
    <xf borderId="14" fillId="4" fontId="3" numFmtId="4" xfId="0" applyAlignment="1" applyBorder="1" applyFont="1" applyNumberFormat="1">
      <alignment horizontal="right" shrinkToFit="0" wrapText="1"/>
    </xf>
    <xf borderId="7" fillId="0" fontId="3" numFmtId="3" xfId="0" applyAlignment="1" applyBorder="1" applyFont="1" applyNumberFormat="1">
      <alignment horizontal="right" shrinkToFit="0" wrapText="1"/>
    </xf>
    <xf borderId="7" fillId="0" fontId="3" numFmtId="4" xfId="0" applyAlignment="1" applyBorder="1" applyFont="1" applyNumberFormat="1">
      <alignment horizontal="right" shrinkToFit="0" wrapText="1"/>
    </xf>
    <xf borderId="14" fillId="4" fontId="3" numFmtId="166" xfId="0" applyAlignment="1" applyBorder="1" applyFont="1" applyNumberFormat="1">
      <alignment horizontal="right" shrinkToFit="0" wrapText="1"/>
    </xf>
    <xf borderId="0" fillId="0" fontId="3" numFmtId="166" xfId="0" applyFont="1" applyNumberFormat="1"/>
    <xf borderId="7" fillId="0" fontId="3" numFmtId="166" xfId="0" applyAlignment="1" applyBorder="1" applyFont="1" applyNumberFormat="1">
      <alignment horizontal="right" shrinkToFit="0" wrapText="1"/>
    </xf>
    <xf borderId="20" fillId="3" fontId="1" numFmtId="0" xfId="0" applyBorder="1" applyFont="1"/>
    <xf borderId="7" fillId="3" fontId="1" numFmtId="0" xfId="0" applyAlignment="1" applyBorder="1" applyFont="1">
      <alignment horizontal="center" shrinkToFit="0" wrapText="1"/>
    </xf>
    <xf borderId="21" fillId="4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3" numFmtId="164" xfId="0" applyFont="1" applyNumberFormat="1"/>
    <xf borderId="7" fillId="4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center"/>
    </xf>
    <xf borderId="7" fillId="4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5" fontId="3" numFmtId="0" xfId="0" applyAlignment="1" applyBorder="1" applyFont="1">
      <alignment horizontal="right" shrinkToFit="0" vertical="center" wrapText="1"/>
    </xf>
    <xf borderId="7" fillId="5" fontId="3" numFmtId="4" xfId="0" applyAlignment="1" applyBorder="1" applyFont="1" applyNumberFormat="1">
      <alignment horizontal="right" shrinkToFit="0" vertical="center" wrapText="1"/>
    </xf>
    <xf borderId="7" fillId="5" fontId="3" numFmtId="1" xfId="0" applyBorder="1" applyFont="1" applyNumberFormat="1"/>
    <xf borderId="7" fillId="4" fontId="3" numFmtId="167" xfId="0" applyBorder="1" applyFont="1" applyNumberFormat="1"/>
    <xf borderId="7" fillId="0" fontId="3" numFmtId="167" xfId="0" applyBorder="1" applyFont="1" applyNumberFormat="1"/>
    <xf borderId="7" fillId="4" fontId="3" numFmtId="166" xfId="0" applyAlignment="1" applyBorder="1" applyFont="1" applyNumberFormat="1">
      <alignment horizontal="right" shrinkToFit="0" vertical="center" wrapText="1"/>
    </xf>
    <xf borderId="7" fillId="5" fontId="3" numFmtId="166" xfId="0" applyAlignment="1" applyBorder="1" applyFont="1" applyNumberFormat="1">
      <alignment horizontal="right" shrinkToFit="0" vertical="center" wrapText="1"/>
    </xf>
    <xf borderId="7" fillId="0" fontId="3" numFmtId="166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7" fillId="4" fontId="3" numFmtId="168" xfId="0" applyAlignment="1" applyBorder="1" applyFont="1" applyNumberFormat="1">
      <alignment horizontal="right" shrinkToFit="0" vertical="center" wrapText="1"/>
    </xf>
    <xf borderId="10" fillId="0" fontId="1" numFmtId="0" xfId="0" applyAlignment="1" applyBorder="1" applyFont="1">
      <alignment horizontal="center" vertical="center"/>
    </xf>
    <xf borderId="7" fillId="0" fontId="3" numFmtId="168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4" fillId="4" fontId="3" numFmtId="0" xfId="0" applyBorder="1" applyFont="1"/>
    <xf borderId="14" fillId="4" fontId="3" numFmtId="168" xfId="0" applyAlignment="1" applyBorder="1" applyFont="1" applyNumberFormat="1">
      <alignment horizontal="right" shrinkToFit="0" vertical="center" wrapText="1"/>
    </xf>
    <xf borderId="0" fillId="0" fontId="4" numFmtId="1" xfId="0" applyFont="1" applyNumberFormat="1"/>
    <xf borderId="0" fillId="0" fontId="5" numFmtId="0" xfId="0" applyAlignment="1" applyFont="1">
      <alignment horizontal="center" shrinkToFit="0" wrapText="1"/>
    </xf>
    <xf borderId="7" fillId="4" fontId="3" numFmtId="164" xfId="0" applyAlignment="1" applyBorder="1" applyFont="1" applyNumberFormat="1">
      <alignment horizontal="right"/>
    </xf>
    <xf borderId="7" fillId="0" fontId="3" numFmtId="164" xfId="0" applyAlignment="1" applyBorder="1" applyFont="1" applyNumberFormat="1">
      <alignment horizontal="right"/>
    </xf>
    <xf borderId="7" fillId="4" fontId="3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shrinkToFit="0" vertical="center" wrapText="1"/>
    </xf>
    <xf borderId="7" fillId="5" fontId="3" numFmtId="0" xfId="0" applyAlignment="1" applyBorder="1" applyFont="1">
      <alignment horizontal="left"/>
    </xf>
    <xf borderId="7" fillId="5" fontId="1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left" shrinkToFit="0" vertical="center" wrapText="1"/>
    </xf>
    <xf borderId="7" fillId="4" fontId="3" numFmtId="168" xfId="0" applyBorder="1" applyFont="1" applyNumberFormat="1"/>
    <xf borderId="7" fillId="5" fontId="3" numFmtId="49" xfId="0" applyAlignment="1" applyBorder="1" applyFont="1" applyNumberFormat="1">
      <alignment horizontal="right" shrinkToFit="0" vertical="center" wrapText="1"/>
    </xf>
    <xf borderId="7" fillId="5" fontId="3" numFmtId="169" xfId="0" applyAlignment="1" applyBorder="1" applyFont="1" applyNumberFormat="1">
      <alignment horizontal="right" shrinkToFit="0" vertical="center" wrapText="1"/>
    </xf>
    <xf borderId="7" fillId="4" fontId="3" numFmtId="167" xfId="0" applyAlignment="1" applyBorder="1" applyFont="1" applyNumberFormat="1">
      <alignment horizontal="right" shrinkToFit="0" vertical="center" wrapText="1"/>
    </xf>
    <xf borderId="7" fillId="5" fontId="3" numFmtId="167" xfId="0" applyAlignment="1" applyBorder="1" applyFont="1" applyNumberFormat="1">
      <alignment horizontal="right" shrinkToFit="0" vertical="center" wrapText="1"/>
    </xf>
    <xf borderId="7" fillId="4" fontId="3" numFmtId="170" xfId="0" applyAlignment="1" applyBorder="1" applyFont="1" applyNumberFormat="1">
      <alignment horizontal="right" shrinkToFit="0" vertical="center" wrapText="1"/>
    </xf>
    <xf borderId="7" fillId="0" fontId="3" numFmtId="170" xfId="0" applyAlignment="1" applyBorder="1" applyFont="1" applyNumberFormat="1">
      <alignment horizontal="right" shrinkToFit="0" vertical="center" wrapText="1"/>
    </xf>
    <xf borderId="7" fillId="5" fontId="3" numFmtId="170" xfId="0" applyAlignment="1" applyBorder="1" applyFont="1" applyNumberFormat="1">
      <alignment horizontal="right" shrinkToFit="0" vertical="center" wrapText="1"/>
    </xf>
    <xf borderId="7" fillId="5" fontId="3" numFmtId="171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/>
    </xf>
    <xf borderId="23" fillId="3" fontId="1" numFmtId="0" xfId="0" applyBorder="1" applyFont="1"/>
    <xf borderId="24" fillId="3" fontId="1" numFmtId="0" xfId="0" applyAlignment="1" applyBorder="1" applyFont="1">
      <alignment horizontal="center" vertical="center"/>
    </xf>
    <xf borderId="25" fillId="4" fontId="6" numFmtId="0" xfId="0" applyAlignment="1" applyBorder="1" applyFont="1">
      <alignment vertical="center"/>
    </xf>
    <xf borderId="14" fillId="4" fontId="3" numFmtId="2" xfId="0" applyBorder="1" applyFont="1" applyNumberFormat="1"/>
    <xf borderId="8" fillId="0" fontId="6" numFmtId="0" xfId="0" applyAlignment="1" applyBorder="1" applyFont="1">
      <alignment vertical="center"/>
    </xf>
    <xf borderId="13" fillId="0" fontId="3" numFmtId="2" xfId="0" applyBorder="1" applyFont="1" applyNumberFormat="1"/>
    <xf borderId="21" fillId="4" fontId="6" numFmtId="0" xfId="0" applyAlignment="1" applyBorder="1" applyFont="1">
      <alignment vertical="center"/>
    </xf>
    <xf borderId="14" fillId="4" fontId="3" numFmtId="1" xfId="0" applyBorder="1" applyFont="1" applyNumberFormat="1"/>
    <xf borderId="13" fillId="0" fontId="3" numFmtId="1" xfId="0" applyBorder="1" applyFont="1" applyNumberFormat="1"/>
    <xf borderId="14" fillId="4" fontId="3" numFmtId="167" xfId="0" applyBorder="1" applyFont="1" applyNumberFormat="1"/>
    <xf borderId="0" fillId="0" fontId="3" numFmtId="167" xfId="0" applyFont="1" applyNumberFormat="1"/>
    <xf borderId="7" fillId="0" fontId="3" numFmtId="167" xfId="0" applyAlignment="1" applyBorder="1" applyFont="1" applyNumberFormat="1">
      <alignment horizontal="right" shrinkToFit="0" vertical="center" wrapText="1"/>
    </xf>
    <xf borderId="13" fillId="0" fontId="3" numFmtId="167" xfId="0" applyBorder="1" applyFont="1" applyNumberFormat="1"/>
    <xf borderId="7" fillId="4" fontId="3" numFmtId="49" xfId="0" applyAlignment="1" applyBorder="1" applyFont="1" applyNumberFormat="1">
      <alignment horizontal="right" shrinkToFit="0" vertical="center" wrapText="1"/>
    </xf>
    <xf borderId="14" fillId="4" fontId="3" numFmtId="165" xfId="0" applyBorder="1" applyFont="1" applyNumberFormat="1"/>
    <xf borderId="7" fillId="0" fontId="3" numFmtId="49" xfId="0" applyAlignment="1" applyBorder="1" applyFont="1" applyNumberFormat="1">
      <alignment horizontal="right" shrinkToFit="0" vertical="center" wrapText="1"/>
    </xf>
    <xf borderId="13" fillId="0" fontId="3" numFmtId="165" xfId="0" applyBorder="1" applyFont="1" applyNumberFormat="1"/>
    <xf borderId="7" fillId="4" fontId="3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24" fillId="3" fontId="1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wrapText="1"/>
    </xf>
    <xf borderId="7" fillId="0" fontId="3" numFmtId="2" xfId="0" applyAlignment="1" applyBorder="1" applyFont="1" applyNumberFormat="1">
      <alignment vertical="center"/>
    </xf>
    <xf borderId="7" fillId="0" fontId="3" numFmtId="0" xfId="0" applyAlignment="1" applyBorder="1" applyFont="1">
      <alignment horizontal="right" shrinkToFit="0" wrapText="1"/>
    </xf>
    <xf borderId="11" fillId="0" fontId="3" numFmtId="0" xfId="0" applyAlignment="1" applyBorder="1" applyFont="1">
      <alignment horizontal="right" shrinkToFit="0" vertical="center" wrapText="1"/>
    </xf>
    <xf borderId="14" fillId="4" fontId="3" numFmtId="164" xfId="0" applyBorder="1" applyFont="1" applyNumberFormat="1"/>
    <xf borderId="13" fillId="0" fontId="3" numFmtId="164" xfId="0" applyBorder="1" applyFont="1" applyNumberFormat="1"/>
    <xf borderId="21" fillId="4" fontId="3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24" fillId="3" fontId="1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4" fontId="3" numFmtId="0" xfId="0" applyAlignment="1" applyBorder="1" applyFont="1">
      <alignment shrinkToFit="0" wrapText="1"/>
    </xf>
    <xf borderId="21" fillId="4" fontId="6" numFmtId="165" xfId="0" applyAlignment="1" applyBorder="1" applyFont="1" applyNumberFormat="1">
      <alignment horizontal="right" shrinkToFit="0" vertical="center" wrapText="1"/>
    </xf>
    <xf borderId="8" fillId="0" fontId="6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wrapText="1"/>
    </xf>
    <xf borderId="13" fillId="0" fontId="3" numFmtId="0" xfId="0" applyAlignment="1" applyBorder="1" applyFont="1">
      <alignment horizontal="right" shrinkToFit="0" vertical="center" wrapText="1"/>
    </xf>
    <xf borderId="13" fillId="0" fontId="3" numFmtId="2" xfId="0" applyAlignment="1" applyBorder="1" applyFont="1" applyNumberFormat="1">
      <alignment horizontal="right" shrinkToFit="0" vertical="center" wrapText="1"/>
    </xf>
    <xf borderId="13" fillId="0" fontId="3" numFmtId="0" xfId="0" applyBorder="1" applyFont="1"/>
    <xf borderId="14" fillId="5" fontId="3" numFmtId="0" xfId="0" applyAlignment="1" applyBorder="1" applyFont="1">
      <alignment horizontal="right" shrinkToFit="0" vertical="center" wrapText="1"/>
    </xf>
    <xf borderId="0" fillId="0" fontId="4" numFmtId="167" xfId="0" applyFont="1" applyNumberFormat="1"/>
    <xf borderId="13" fillId="0" fontId="3" numFmtId="3" xfId="0" applyAlignment="1" applyBorder="1" applyFont="1" applyNumberFormat="1">
      <alignment horizontal="right" shrinkToFit="0" vertical="center" wrapText="1"/>
    </xf>
    <xf borderId="13" fillId="0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wrapText="1"/>
    </xf>
    <xf borderId="13" fillId="0" fontId="3" numFmtId="164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7" fillId="0" fontId="3" numFmtId="3" xfId="0" applyBorder="1" applyFont="1" applyNumberFormat="1"/>
    <xf borderId="16" fillId="0" fontId="1" numFmtId="0" xfId="0" applyAlignment="1" applyBorder="1" applyFont="1">
      <alignment horizontal="center" shrinkToFit="0" vertical="center" wrapText="1"/>
    </xf>
    <xf borderId="26" fillId="5" fontId="1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vertical="center"/>
    </xf>
    <xf borderId="21" fillId="3" fontId="1" numFmtId="0" xfId="0" applyAlignment="1" applyBorder="1" applyFont="1">
      <alignment horizontal="center" vertical="center"/>
    </xf>
    <xf borderId="27" fillId="3" fontId="1" numFmtId="0" xfId="0" applyAlignment="1" applyBorder="1" applyFont="1">
      <alignment horizontal="center"/>
    </xf>
    <xf borderId="14" fillId="4" fontId="3" numFmtId="0" xfId="0" applyAlignment="1" applyBorder="1" applyFont="1">
      <alignment horizontal="left" vertical="center"/>
    </xf>
    <xf borderId="13" fillId="0" fontId="3" numFmtId="168" xfId="0" applyAlignment="1" applyBorder="1" applyFont="1" applyNumberFormat="1">
      <alignment horizontal="right" shrinkToFit="0" vertical="center" wrapText="1"/>
    </xf>
    <xf borderId="7" fillId="4" fontId="3" numFmtId="0" xfId="0" applyAlignment="1" applyBorder="1" applyFont="1">
      <alignment horizontal="left" vertical="center"/>
    </xf>
    <xf borderId="7" fillId="4" fontId="3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4" fillId="4" fontId="6" numFmtId="0" xfId="0" applyAlignment="1" applyBorder="1" applyFont="1">
      <alignment horizontal="left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7" fillId="5" fontId="3" numFmtId="2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center" shrinkToFit="0" vertical="center" wrapText="1"/>
    </xf>
    <xf borderId="13" fillId="0" fontId="3" numFmtId="167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24" fillId="3" fontId="1" numFmtId="0" xfId="0" applyBorder="1" applyFont="1"/>
    <xf borderId="14" fillId="4" fontId="3" numFmtId="0" xfId="0" applyAlignment="1" applyBorder="1" applyFont="1">
      <alignment horizontal="left" shrinkToFit="0" vertical="center" wrapText="1"/>
    </xf>
    <xf borderId="14" fillId="4" fontId="3" numFmtId="49" xfId="0" applyAlignment="1" applyBorder="1" applyFont="1" applyNumberFormat="1">
      <alignment horizontal="right" shrinkToFit="0" vertical="center" wrapText="1"/>
    </xf>
    <xf borderId="14" fillId="5" fontId="3" numFmtId="49" xfId="0" applyAlignment="1" applyBorder="1" applyFont="1" applyNumberFormat="1">
      <alignment horizontal="right" shrinkToFit="0" vertical="center" wrapText="1"/>
    </xf>
    <xf borderId="21" fillId="4" fontId="3" numFmtId="165" xfId="0" applyAlignment="1" applyBorder="1" applyFont="1" applyNumberFormat="1">
      <alignment horizontal="right" shrinkToFit="0" vertical="center" wrapText="1"/>
    </xf>
    <xf borderId="8" fillId="0" fontId="3" numFmtId="165" xfId="0" applyAlignment="1" applyBorder="1" applyFont="1" applyNumberFormat="1">
      <alignment horizontal="right" shrinkToFit="0" vertical="center" wrapText="1"/>
    </xf>
    <xf borderId="14" fillId="4" fontId="6" numFmtId="0" xfId="0" applyAlignment="1" applyBorder="1" applyFont="1">
      <alignment shrinkToFit="0" vertical="center" wrapText="1"/>
    </xf>
    <xf borderId="13" fillId="0" fontId="3" numFmtId="1" xfId="0" applyAlignment="1" applyBorder="1" applyFont="1" applyNumberFormat="1">
      <alignment horizontal="right" shrinkToFit="0" vertical="center" wrapText="1"/>
    </xf>
    <xf borderId="28" fillId="3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anila%20Bay/Desktop/Water%20Reports/REPORTS%20FOR%20RIVERS%20AND%20RIVER%20MOUTHS%202018/WQMS%20and%20Lab%20Reports/WQMS%20Results%20for%20River%20Mouths%20and%20Rivers/Rivers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8.71"/>
    <col customWidth="1" min="4" max="4" width="37.0"/>
    <col customWidth="1" min="5" max="11" width="10.71"/>
    <col customWidth="1" min="12" max="12" width="12.86"/>
    <col customWidth="1" min="13" max="13" width="14.0"/>
    <col customWidth="1" min="14" max="14" width="12.71"/>
    <col customWidth="1" min="15" max="15" width="16.86"/>
    <col customWidth="1" min="16" max="16" width="15.43"/>
    <col customWidth="1" min="17" max="17" width="18.71"/>
    <col customWidth="1" min="18" max="18" width="17.71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" t="s">
        <v>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4" t="s">
        <v>23</v>
      </c>
      <c r="B7" s="15" t="s">
        <v>24</v>
      </c>
      <c r="C7" s="16">
        <v>1.0</v>
      </c>
      <c r="D7" s="17" t="s">
        <v>25</v>
      </c>
      <c r="E7" s="18">
        <v>3.2</v>
      </c>
      <c r="F7" s="18">
        <v>3.58</v>
      </c>
      <c r="G7" s="18">
        <v>2.17</v>
      </c>
      <c r="H7" s="18">
        <v>1.09</v>
      </c>
      <c r="I7" s="18">
        <v>0.95</v>
      </c>
      <c r="J7" s="18">
        <v>2.96</v>
      </c>
      <c r="K7" s="18">
        <v>2.56</v>
      </c>
      <c r="L7" s="18">
        <v>3.94</v>
      </c>
      <c r="M7" s="18">
        <v>2.02</v>
      </c>
      <c r="N7" s="18">
        <v>0.98</v>
      </c>
      <c r="O7" s="18">
        <v>0.2</v>
      </c>
      <c r="P7" s="18" t="s">
        <v>26</v>
      </c>
      <c r="Q7" s="19">
        <f t="shared" ref="Q7:Q36" si="1">AVERAGE(E7,F7,G7,H7,I7,J7,K7,L7,M7,N7,O7,P7)</f>
        <v>2.15</v>
      </c>
      <c r="R7" s="17">
        <v>5.0</v>
      </c>
    </row>
    <row r="8">
      <c r="A8" s="20"/>
      <c r="B8" s="21"/>
      <c r="C8" s="22">
        <v>2.0</v>
      </c>
      <c r="D8" s="23" t="s">
        <v>27</v>
      </c>
      <c r="E8" s="24">
        <v>0.0</v>
      </c>
      <c r="F8" s="24">
        <v>3.21</v>
      </c>
      <c r="G8" s="24">
        <v>1.7</v>
      </c>
      <c r="H8" s="24">
        <v>1.19</v>
      </c>
      <c r="I8" s="24">
        <v>1.5</v>
      </c>
      <c r="J8" s="24">
        <v>2.89</v>
      </c>
      <c r="K8" s="24">
        <v>3.48</v>
      </c>
      <c r="L8" s="25">
        <v>5.31</v>
      </c>
      <c r="M8" s="24">
        <v>1.64</v>
      </c>
      <c r="N8" s="24">
        <v>1.09</v>
      </c>
      <c r="O8" s="24">
        <v>0.47</v>
      </c>
      <c r="P8" s="24" t="s">
        <v>26</v>
      </c>
      <c r="Q8" s="26">
        <f t="shared" si="1"/>
        <v>2.043636364</v>
      </c>
      <c r="R8" s="23">
        <v>5.0</v>
      </c>
    </row>
    <row r="9">
      <c r="A9" s="20"/>
      <c r="B9" s="21"/>
      <c r="C9" s="22">
        <v>3.0</v>
      </c>
      <c r="D9" s="23" t="s">
        <v>28</v>
      </c>
      <c r="E9" s="24">
        <v>0.0</v>
      </c>
      <c r="F9" s="24">
        <v>1.26</v>
      </c>
      <c r="G9" s="24">
        <v>0.41</v>
      </c>
      <c r="H9" s="24">
        <v>1.35</v>
      </c>
      <c r="I9" s="24">
        <v>1.13</v>
      </c>
      <c r="J9" s="24">
        <v>1.34</v>
      </c>
      <c r="K9" s="24">
        <v>3.31</v>
      </c>
      <c r="L9" s="25">
        <v>5.16</v>
      </c>
      <c r="M9" s="24">
        <v>1.78</v>
      </c>
      <c r="N9" s="24">
        <v>1.43</v>
      </c>
      <c r="O9" s="24">
        <v>0.51</v>
      </c>
      <c r="P9" s="24" t="s">
        <v>26</v>
      </c>
      <c r="Q9" s="26">
        <f t="shared" si="1"/>
        <v>1.607272727</v>
      </c>
      <c r="R9" s="23">
        <v>5.0</v>
      </c>
    </row>
    <row r="10">
      <c r="A10" s="20"/>
      <c r="B10" s="21"/>
      <c r="C10" s="22">
        <v>4.0</v>
      </c>
      <c r="D10" s="23" t="s">
        <v>29</v>
      </c>
      <c r="E10" s="24">
        <v>0.0</v>
      </c>
      <c r="F10" s="24">
        <v>1.3</v>
      </c>
      <c r="G10" s="24">
        <v>0.29</v>
      </c>
      <c r="H10" s="24">
        <v>3.58</v>
      </c>
      <c r="I10" s="24">
        <v>0.85</v>
      </c>
      <c r="J10" s="24">
        <v>1.21</v>
      </c>
      <c r="K10" s="24">
        <v>5.21</v>
      </c>
      <c r="L10" s="25">
        <v>4.83</v>
      </c>
      <c r="M10" s="24">
        <v>4.19</v>
      </c>
      <c r="N10" s="24">
        <v>1.4</v>
      </c>
      <c r="O10" s="24">
        <v>3.23</v>
      </c>
      <c r="P10" s="24" t="s">
        <v>26</v>
      </c>
      <c r="Q10" s="26">
        <f t="shared" si="1"/>
        <v>2.371818182</v>
      </c>
      <c r="R10" s="23">
        <v>5.0</v>
      </c>
    </row>
    <row r="11">
      <c r="A11" s="20"/>
      <c r="B11" s="27"/>
      <c r="C11" s="22">
        <v>5.0</v>
      </c>
      <c r="D11" s="23" t="s">
        <v>30</v>
      </c>
      <c r="E11" s="24">
        <v>0.0</v>
      </c>
      <c r="F11" s="24">
        <v>1.23</v>
      </c>
      <c r="G11" s="24">
        <v>0.25</v>
      </c>
      <c r="H11" s="24">
        <v>3.63</v>
      </c>
      <c r="I11" s="24">
        <v>1.25</v>
      </c>
      <c r="J11" s="24">
        <v>1.28</v>
      </c>
      <c r="K11" s="24">
        <v>5.36</v>
      </c>
      <c r="L11" s="25">
        <v>5.16</v>
      </c>
      <c r="M11" s="24">
        <v>4.04</v>
      </c>
      <c r="N11" s="24">
        <v>1.21</v>
      </c>
      <c r="O11" s="24">
        <v>2.91</v>
      </c>
      <c r="P11" s="24" t="s">
        <v>26</v>
      </c>
      <c r="Q11" s="26">
        <f t="shared" si="1"/>
        <v>2.392727273</v>
      </c>
      <c r="R11" s="23">
        <v>5.0</v>
      </c>
    </row>
    <row r="12">
      <c r="A12" s="20"/>
      <c r="B12" s="15" t="s">
        <v>31</v>
      </c>
      <c r="C12" s="16">
        <v>1.0</v>
      </c>
      <c r="D12" s="17" t="s">
        <v>25</v>
      </c>
      <c r="E12" s="28">
        <v>30.0</v>
      </c>
      <c r="F12" s="28">
        <v>23.0</v>
      </c>
      <c r="G12" s="28">
        <v>32.0</v>
      </c>
      <c r="H12" s="28">
        <v>27.0</v>
      </c>
      <c r="I12" s="28">
        <v>92.0</v>
      </c>
      <c r="J12" s="28">
        <v>23.0</v>
      </c>
      <c r="K12" s="28">
        <v>168.0</v>
      </c>
      <c r="L12" s="28" t="s">
        <v>32</v>
      </c>
      <c r="M12" s="28">
        <v>13.0</v>
      </c>
      <c r="N12" s="28">
        <v>22.0</v>
      </c>
      <c r="O12" s="28">
        <v>41.0</v>
      </c>
      <c r="P12" s="28">
        <v>81.0</v>
      </c>
      <c r="Q12" s="29">
        <f t="shared" si="1"/>
        <v>50.18181818</v>
      </c>
      <c r="R12" s="17">
        <v>7.0</v>
      </c>
    </row>
    <row r="13">
      <c r="A13" s="20"/>
      <c r="B13" s="21"/>
      <c r="C13" s="22">
        <v>2.0</v>
      </c>
      <c r="D13" s="23" t="s">
        <v>27</v>
      </c>
      <c r="E13" s="30">
        <v>56.0</v>
      </c>
      <c r="F13" s="30">
        <v>18.0</v>
      </c>
      <c r="G13" s="30">
        <v>32.0</v>
      </c>
      <c r="H13" s="30">
        <v>27.0</v>
      </c>
      <c r="I13" s="30">
        <v>36.0</v>
      </c>
      <c r="J13" s="30">
        <v>28.0</v>
      </c>
      <c r="K13" s="30">
        <v>42.0</v>
      </c>
      <c r="L13" s="30">
        <v>2.0</v>
      </c>
      <c r="M13" s="30">
        <v>6.0</v>
      </c>
      <c r="N13" s="30">
        <v>18.0</v>
      </c>
      <c r="O13" s="30">
        <v>95.0</v>
      </c>
      <c r="P13" s="30">
        <v>67.0</v>
      </c>
      <c r="Q13" s="31">
        <f t="shared" si="1"/>
        <v>35.58333333</v>
      </c>
      <c r="R13" s="23">
        <v>7.0</v>
      </c>
    </row>
    <row r="14">
      <c r="A14" s="20"/>
      <c r="B14" s="21"/>
      <c r="C14" s="22">
        <v>3.0</v>
      </c>
      <c r="D14" s="23" t="s">
        <v>28</v>
      </c>
      <c r="E14" s="30">
        <v>67.0</v>
      </c>
      <c r="F14" s="30">
        <v>22.0</v>
      </c>
      <c r="G14" s="30">
        <v>56.0</v>
      </c>
      <c r="H14" s="30">
        <v>37.0</v>
      </c>
      <c r="I14" s="30">
        <v>104.0</v>
      </c>
      <c r="J14" s="30">
        <v>50.0</v>
      </c>
      <c r="K14" s="30">
        <v>69.0</v>
      </c>
      <c r="L14" s="30">
        <v>12.0</v>
      </c>
      <c r="M14" s="30">
        <v>12.0</v>
      </c>
      <c r="N14" s="30">
        <v>20.0</v>
      </c>
      <c r="O14" s="30">
        <v>77.0</v>
      </c>
      <c r="P14" s="30">
        <v>79.0</v>
      </c>
      <c r="Q14" s="31">
        <f t="shared" si="1"/>
        <v>50.41666667</v>
      </c>
      <c r="R14" s="23">
        <v>7.0</v>
      </c>
    </row>
    <row r="15">
      <c r="A15" s="20"/>
      <c r="B15" s="21"/>
      <c r="C15" s="22">
        <v>4.0</v>
      </c>
      <c r="D15" s="23" t="s">
        <v>29</v>
      </c>
      <c r="E15" s="30">
        <v>42.0</v>
      </c>
      <c r="F15" s="30">
        <v>16.0</v>
      </c>
      <c r="G15" s="30">
        <v>32.0</v>
      </c>
      <c r="H15" s="30">
        <v>25.0</v>
      </c>
      <c r="I15" s="30">
        <v>90.0</v>
      </c>
      <c r="J15" s="30">
        <v>30.0</v>
      </c>
      <c r="K15" s="30">
        <v>21.0</v>
      </c>
      <c r="L15" s="30">
        <v>5.0</v>
      </c>
      <c r="M15" s="30">
        <v>24.0</v>
      </c>
      <c r="N15" s="30">
        <v>24.0</v>
      </c>
      <c r="O15" s="30">
        <v>91.0</v>
      </c>
      <c r="P15" s="30">
        <v>42.0</v>
      </c>
      <c r="Q15" s="31">
        <f t="shared" si="1"/>
        <v>36.83333333</v>
      </c>
      <c r="R15" s="23">
        <v>7.0</v>
      </c>
    </row>
    <row r="16">
      <c r="A16" s="20"/>
      <c r="B16" s="27"/>
      <c r="C16" s="22">
        <v>5.0</v>
      </c>
      <c r="D16" s="23" t="s">
        <v>30</v>
      </c>
      <c r="E16" s="30">
        <v>111.0</v>
      </c>
      <c r="F16" s="30">
        <v>102.0</v>
      </c>
      <c r="G16" s="30">
        <v>32.0</v>
      </c>
      <c r="H16" s="30">
        <v>27.0</v>
      </c>
      <c r="I16" s="30">
        <v>55.0</v>
      </c>
      <c r="J16" s="30">
        <v>19.0</v>
      </c>
      <c r="K16" s="30">
        <v>10.0</v>
      </c>
      <c r="L16" s="30">
        <v>6.0</v>
      </c>
      <c r="M16" s="30">
        <v>10.0</v>
      </c>
      <c r="N16" s="30">
        <v>16.0</v>
      </c>
      <c r="O16" s="30">
        <v>108.0</v>
      </c>
      <c r="P16" s="30">
        <v>40.0</v>
      </c>
      <c r="Q16" s="31">
        <f t="shared" si="1"/>
        <v>44.66666667</v>
      </c>
      <c r="R16" s="23">
        <v>7.0</v>
      </c>
    </row>
    <row r="17">
      <c r="A17" s="20"/>
      <c r="B17" s="15" t="s">
        <v>33</v>
      </c>
      <c r="C17" s="16">
        <v>1.0</v>
      </c>
      <c r="D17" s="17" t="s">
        <v>25</v>
      </c>
      <c r="E17" s="28">
        <v>20.0</v>
      </c>
      <c r="F17" s="28">
        <v>14.0</v>
      </c>
      <c r="G17" s="28">
        <v>30.0</v>
      </c>
      <c r="H17" s="28">
        <v>7.0</v>
      </c>
      <c r="I17" s="28">
        <v>26.0</v>
      </c>
      <c r="J17" s="28">
        <v>54.0</v>
      </c>
      <c r="K17" s="28">
        <v>13.0</v>
      </c>
      <c r="L17" s="28">
        <v>233.0</v>
      </c>
      <c r="M17" s="28">
        <v>17.0</v>
      </c>
      <c r="N17" s="28">
        <v>13.0</v>
      </c>
      <c r="O17" s="28">
        <v>29.0</v>
      </c>
      <c r="P17" s="28">
        <v>22.0</v>
      </c>
      <c r="Q17" s="29">
        <f t="shared" si="1"/>
        <v>39.83333333</v>
      </c>
      <c r="R17" s="17">
        <v>80.0</v>
      </c>
    </row>
    <row r="18">
      <c r="A18" s="20"/>
      <c r="B18" s="21"/>
      <c r="C18" s="22">
        <v>2.0</v>
      </c>
      <c r="D18" s="23" t="s">
        <v>27</v>
      </c>
      <c r="E18" s="30">
        <v>15.0</v>
      </c>
      <c r="F18" s="30">
        <v>11.0</v>
      </c>
      <c r="G18" s="30">
        <v>59.0</v>
      </c>
      <c r="H18" s="30">
        <v>15.0</v>
      </c>
      <c r="I18" s="30">
        <v>24.0</v>
      </c>
      <c r="J18" s="30">
        <v>56.0</v>
      </c>
      <c r="K18" s="30">
        <v>14.0</v>
      </c>
      <c r="L18" s="30">
        <v>214.0</v>
      </c>
      <c r="M18" s="30">
        <v>16.0</v>
      </c>
      <c r="N18" s="30">
        <v>7.0</v>
      </c>
      <c r="O18" s="30">
        <v>17.0</v>
      </c>
      <c r="P18" s="30">
        <v>19.0</v>
      </c>
      <c r="Q18" s="31">
        <f t="shared" si="1"/>
        <v>38.91666667</v>
      </c>
      <c r="R18" s="23">
        <v>80.0</v>
      </c>
    </row>
    <row r="19">
      <c r="A19" s="20"/>
      <c r="B19" s="21"/>
      <c r="C19" s="22">
        <v>3.0</v>
      </c>
      <c r="D19" s="23" t="s">
        <v>28</v>
      </c>
      <c r="E19" s="30">
        <v>19.0</v>
      </c>
      <c r="F19" s="30">
        <v>11.0</v>
      </c>
      <c r="G19" s="30">
        <v>31.0</v>
      </c>
      <c r="H19" s="30">
        <v>18.0</v>
      </c>
      <c r="I19" s="30">
        <v>24.0</v>
      </c>
      <c r="J19" s="30">
        <v>44.0</v>
      </c>
      <c r="K19" s="30">
        <v>16.0</v>
      </c>
      <c r="L19" s="30">
        <v>237.0</v>
      </c>
      <c r="M19" s="30">
        <v>17.0</v>
      </c>
      <c r="N19" s="30">
        <v>6.0</v>
      </c>
      <c r="O19" s="30">
        <v>31.0</v>
      </c>
      <c r="P19" s="30">
        <v>16.0</v>
      </c>
      <c r="Q19" s="31">
        <f t="shared" si="1"/>
        <v>39.16666667</v>
      </c>
      <c r="R19" s="23">
        <v>80.0</v>
      </c>
    </row>
    <row r="20">
      <c r="A20" s="20"/>
      <c r="B20" s="21"/>
      <c r="C20" s="22">
        <v>4.0</v>
      </c>
      <c r="D20" s="23" t="s">
        <v>29</v>
      </c>
      <c r="E20" s="30">
        <v>25.0</v>
      </c>
      <c r="F20" s="30">
        <v>13.0</v>
      </c>
      <c r="G20" s="30">
        <v>28.0</v>
      </c>
      <c r="H20" s="30">
        <v>22.0</v>
      </c>
      <c r="I20" s="30">
        <v>33.0</v>
      </c>
      <c r="J20" s="30">
        <v>52.0</v>
      </c>
      <c r="K20" s="30">
        <v>24.0</v>
      </c>
      <c r="L20" s="30">
        <v>235.0</v>
      </c>
      <c r="M20" s="30">
        <v>19.0</v>
      </c>
      <c r="N20" s="30">
        <v>14.0</v>
      </c>
      <c r="O20" s="30">
        <v>39.0</v>
      </c>
      <c r="P20" s="30">
        <v>11.0</v>
      </c>
      <c r="Q20" s="31">
        <f t="shared" si="1"/>
        <v>42.91666667</v>
      </c>
      <c r="R20" s="23">
        <v>80.0</v>
      </c>
    </row>
    <row r="21" ht="15.75" customHeight="1">
      <c r="A21" s="20"/>
      <c r="B21" s="27"/>
      <c r="C21" s="22">
        <v>5.0</v>
      </c>
      <c r="D21" s="23" t="s">
        <v>30</v>
      </c>
      <c r="E21" s="30">
        <v>27.0</v>
      </c>
      <c r="F21" s="30">
        <v>10.0</v>
      </c>
      <c r="G21" s="30">
        <v>29.0</v>
      </c>
      <c r="H21" s="30">
        <v>17.0</v>
      </c>
      <c r="I21" s="30">
        <v>31.0</v>
      </c>
      <c r="J21" s="30">
        <v>61.0</v>
      </c>
      <c r="K21" s="30">
        <v>21.0</v>
      </c>
      <c r="L21" s="30">
        <v>138.0</v>
      </c>
      <c r="M21" s="30">
        <v>15.0</v>
      </c>
      <c r="N21" s="30">
        <v>16.0</v>
      </c>
      <c r="O21" s="30">
        <v>34.0</v>
      </c>
      <c r="P21" s="30">
        <v>11.0</v>
      </c>
      <c r="Q21" s="31">
        <f t="shared" si="1"/>
        <v>34.16666667</v>
      </c>
      <c r="R21" s="23">
        <v>80.0</v>
      </c>
    </row>
    <row r="22" ht="15.75" customHeight="1">
      <c r="A22" s="20"/>
      <c r="B22" s="15" t="s">
        <v>34</v>
      </c>
      <c r="C22" s="16">
        <v>1.0</v>
      </c>
      <c r="D22" s="17" t="s">
        <v>25</v>
      </c>
      <c r="E22" s="18">
        <v>7.63</v>
      </c>
      <c r="F22" s="18">
        <v>8.1</v>
      </c>
      <c r="G22" s="18">
        <v>7.52</v>
      </c>
      <c r="H22" s="18">
        <v>7.09</v>
      </c>
      <c r="I22" s="18">
        <v>7.02</v>
      </c>
      <c r="J22" s="18">
        <v>7.01</v>
      </c>
      <c r="K22" s="18">
        <v>6.81</v>
      </c>
      <c r="L22" s="18">
        <v>7.15</v>
      </c>
      <c r="M22" s="18">
        <v>7.04</v>
      </c>
      <c r="N22" s="18">
        <v>7.12</v>
      </c>
      <c r="O22" s="18">
        <v>7.35</v>
      </c>
      <c r="P22" s="18" t="s">
        <v>26</v>
      </c>
      <c r="Q22" s="19">
        <f t="shared" si="1"/>
        <v>7.258181818</v>
      </c>
      <c r="R22" s="18" t="s">
        <v>35</v>
      </c>
    </row>
    <row r="23" ht="15.75" customHeight="1">
      <c r="A23" s="20"/>
      <c r="B23" s="21"/>
      <c r="C23" s="22">
        <v>2.0</v>
      </c>
      <c r="D23" s="23" t="s">
        <v>27</v>
      </c>
      <c r="E23" s="24">
        <v>7.65</v>
      </c>
      <c r="F23" s="24">
        <v>8.15</v>
      </c>
      <c r="G23" s="24">
        <v>7.49</v>
      </c>
      <c r="H23" s="24">
        <v>7.13</v>
      </c>
      <c r="I23" s="24">
        <v>7.03</v>
      </c>
      <c r="J23" s="24">
        <v>6.97</v>
      </c>
      <c r="K23" s="24">
        <v>6.9</v>
      </c>
      <c r="L23" s="24">
        <v>7.23</v>
      </c>
      <c r="M23" s="24">
        <v>7.01</v>
      </c>
      <c r="N23" s="24">
        <v>7.06</v>
      </c>
      <c r="O23" s="24">
        <v>7.32</v>
      </c>
      <c r="P23" s="24" t="s">
        <v>26</v>
      </c>
      <c r="Q23" s="26">
        <f t="shared" si="1"/>
        <v>7.267272727</v>
      </c>
      <c r="R23" s="24" t="s">
        <v>35</v>
      </c>
    </row>
    <row r="24" ht="15.75" customHeight="1">
      <c r="A24" s="20"/>
      <c r="B24" s="21"/>
      <c r="C24" s="22">
        <v>3.0</v>
      </c>
      <c r="D24" s="23" t="s">
        <v>28</v>
      </c>
      <c r="E24" s="24">
        <v>7.68</v>
      </c>
      <c r="F24" s="24">
        <v>8.1</v>
      </c>
      <c r="G24" s="24">
        <v>7.68</v>
      </c>
      <c r="H24" s="24">
        <v>7.12</v>
      </c>
      <c r="I24" s="24">
        <v>7.04</v>
      </c>
      <c r="J24" s="24">
        <v>6.95</v>
      </c>
      <c r="K24" s="24">
        <v>7.03</v>
      </c>
      <c r="L24" s="24">
        <v>7.2</v>
      </c>
      <c r="M24" s="24">
        <v>7.3</v>
      </c>
      <c r="N24" s="24">
        <v>7.08</v>
      </c>
      <c r="O24" s="24">
        <v>7.27</v>
      </c>
      <c r="P24" s="24" t="s">
        <v>26</v>
      </c>
      <c r="Q24" s="26">
        <f t="shared" si="1"/>
        <v>7.313636364</v>
      </c>
      <c r="R24" s="24" t="s">
        <v>35</v>
      </c>
    </row>
    <row r="25" ht="15.75" customHeight="1">
      <c r="A25" s="20"/>
      <c r="B25" s="21"/>
      <c r="C25" s="22">
        <v>4.0</v>
      </c>
      <c r="D25" s="23" t="s">
        <v>29</v>
      </c>
      <c r="E25" s="24">
        <v>7.64</v>
      </c>
      <c r="F25" s="24">
        <v>8.21</v>
      </c>
      <c r="G25" s="24">
        <v>7.61</v>
      </c>
      <c r="H25" s="24">
        <v>7.16</v>
      </c>
      <c r="I25" s="24">
        <v>7.0</v>
      </c>
      <c r="J25" s="24">
        <v>6.99</v>
      </c>
      <c r="K25" s="24">
        <v>7.07</v>
      </c>
      <c r="L25" s="24">
        <v>7.18</v>
      </c>
      <c r="M25" s="24">
        <v>6.96</v>
      </c>
      <c r="N25" s="24">
        <v>7.05</v>
      </c>
      <c r="O25" s="24">
        <v>7.2</v>
      </c>
      <c r="P25" s="24" t="s">
        <v>26</v>
      </c>
      <c r="Q25" s="26">
        <f t="shared" si="1"/>
        <v>7.279090909</v>
      </c>
      <c r="R25" s="24" t="s">
        <v>35</v>
      </c>
    </row>
    <row r="26" ht="15.75" customHeight="1">
      <c r="A26" s="20"/>
      <c r="B26" s="27"/>
      <c r="C26" s="22">
        <v>5.0</v>
      </c>
      <c r="D26" s="23" t="s">
        <v>30</v>
      </c>
      <c r="E26" s="24">
        <v>7.53</v>
      </c>
      <c r="F26" s="24">
        <v>8.2</v>
      </c>
      <c r="G26" s="24">
        <v>7.55</v>
      </c>
      <c r="H26" s="24">
        <v>7.18</v>
      </c>
      <c r="I26" s="24">
        <v>7.03</v>
      </c>
      <c r="J26" s="24">
        <v>6.97</v>
      </c>
      <c r="K26" s="24">
        <v>7.11</v>
      </c>
      <c r="L26" s="24">
        <v>7.05</v>
      </c>
      <c r="M26" s="24">
        <v>6.8</v>
      </c>
      <c r="N26" s="24">
        <v>7.11</v>
      </c>
      <c r="O26" s="24">
        <v>7.31</v>
      </c>
      <c r="P26" s="24" t="s">
        <v>26</v>
      </c>
      <c r="Q26" s="26">
        <f t="shared" si="1"/>
        <v>7.258181818</v>
      </c>
      <c r="R26" s="24" t="s">
        <v>35</v>
      </c>
    </row>
    <row r="27" ht="15.75" customHeight="1">
      <c r="A27" s="20"/>
      <c r="B27" s="15" t="s">
        <v>36</v>
      </c>
      <c r="C27" s="16">
        <v>1.0</v>
      </c>
      <c r="D27" s="17" t="s">
        <v>25</v>
      </c>
      <c r="E27" s="18">
        <v>28.9</v>
      </c>
      <c r="F27" s="18">
        <v>25.78</v>
      </c>
      <c r="G27" s="18">
        <v>30.1</v>
      </c>
      <c r="H27" s="18">
        <v>29.8</v>
      </c>
      <c r="I27" s="18">
        <v>30.5</v>
      </c>
      <c r="J27" s="18">
        <v>26.7</v>
      </c>
      <c r="K27" s="18">
        <v>28.53</v>
      </c>
      <c r="L27" s="18">
        <v>26.08</v>
      </c>
      <c r="M27" s="18">
        <v>28.0</v>
      </c>
      <c r="N27" s="18">
        <v>28.23</v>
      </c>
      <c r="O27" s="18">
        <v>28.28</v>
      </c>
      <c r="P27" s="18" t="s">
        <v>26</v>
      </c>
      <c r="Q27" s="19">
        <f t="shared" si="1"/>
        <v>28.26363636</v>
      </c>
      <c r="R27" s="18" t="s">
        <v>37</v>
      </c>
    </row>
    <row r="28" ht="15.75" customHeight="1">
      <c r="A28" s="20"/>
      <c r="B28" s="21"/>
      <c r="C28" s="22">
        <v>2.0</v>
      </c>
      <c r="D28" s="23" t="s">
        <v>27</v>
      </c>
      <c r="E28" s="24">
        <v>29.31</v>
      </c>
      <c r="F28" s="24">
        <v>24.65</v>
      </c>
      <c r="G28" s="24">
        <v>30.0</v>
      </c>
      <c r="H28" s="24">
        <v>30.69</v>
      </c>
      <c r="I28" s="24">
        <v>30.1</v>
      </c>
      <c r="J28" s="24">
        <v>26.48</v>
      </c>
      <c r="K28" s="24">
        <v>28.8</v>
      </c>
      <c r="L28" s="24">
        <v>26.3</v>
      </c>
      <c r="M28" s="24">
        <v>27.9</v>
      </c>
      <c r="N28" s="24">
        <v>28.15</v>
      </c>
      <c r="O28" s="24">
        <v>27.6</v>
      </c>
      <c r="P28" s="24" t="s">
        <v>26</v>
      </c>
      <c r="Q28" s="26">
        <f t="shared" si="1"/>
        <v>28.18</v>
      </c>
      <c r="R28" s="24" t="s">
        <v>37</v>
      </c>
    </row>
    <row r="29" ht="15.75" customHeight="1">
      <c r="A29" s="20"/>
      <c r="B29" s="21"/>
      <c r="C29" s="22">
        <v>3.0</v>
      </c>
      <c r="D29" s="23" t="s">
        <v>28</v>
      </c>
      <c r="E29" s="24">
        <v>28.58</v>
      </c>
      <c r="F29" s="24">
        <v>25.6</v>
      </c>
      <c r="G29" s="24">
        <v>30.1</v>
      </c>
      <c r="H29" s="24">
        <v>31.5</v>
      </c>
      <c r="I29" s="24">
        <v>29.3</v>
      </c>
      <c r="J29" s="24">
        <v>27.1</v>
      </c>
      <c r="K29" s="24">
        <v>28.93</v>
      </c>
      <c r="L29" s="24">
        <v>26.1</v>
      </c>
      <c r="M29" s="24">
        <v>28.51</v>
      </c>
      <c r="N29" s="24">
        <v>28.13</v>
      </c>
      <c r="O29" s="24">
        <v>27.48</v>
      </c>
      <c r="P29" s="24" t="s">
        <v>26</v>
      </c>
      <c r="Q29" s="26">
        <f t="shared" si="1"/>
        <v>28.30272727</v>
      </c>
      <c r="R29" s="24" t="s">
        <v>37</v>
      </c>
    </row>
    <row r="30" ht="15.75" customHeight="1">
      <c r="A30" s="20"/>
      <c r="B30" s="21"/>
      <c r="C30" s="22">
        <v>4.0</v>
      </c>
      <c r="D30" s="23" t="s">
        <v>29</v>
      </c>
      <c r="E30" s="24">
        <v>28.36</v>
      </c>
      <c r="F30" s="24">
        <v>25.2</v>
      </c>
      <c r="G30" s="24">
        <v>30.3</v>
      </c>
      <c r="H30" s="24">
        <v>28.2</v>
      </c>
      <c r="I30" s="24">
        <v>29.7</v>
      </c>
      <c r="J30" s="24">
        <v>26.86</v>
      </c>
      <c r="K30" s="24">
        <v>29.7</v>
      </c>
      <c r="L30" s="24">
        <v>26.52</v>
      </c>
      <c r="M30" s="24">
        <v>28.3</v>
      </c>
      <c r="N30" s="24">
        <v>28.6</v>
      </c>
      <c r="O30" s="24">
        <v>28.7</v>
      </c>
      <c r="P30" s="24" t="s">
        <v>26</v>
      </c>
      <c r="Q30" s="26">
        <f t="shared" si="1"/>
        <v>28.22181818</v>
      </c>
      <c r="R30" s="24" t="s">
        <v>37</v>
      </c>
    </row>
    <row r="31" ht="15.75" customHeight="1">
      <c r="A31" s="20"/>
      <c r="B31" s="27"/>
      <c r="C31" s="22">
        <v>5.0</v>
      </c>
      <c r="D31" s="23" t="s">
        <v>30</v>
      </c>
      <c r="E31" s="24">
        <v>28.15</v>
      </c>
      <c r="F31" s="24">
        <v>26.0</v>
      </c>
      <c r="G31" s="24">
        <v>30.5</v>
      </c>
      <c r="H31" s="24">
        <v>28.3</v>
      </c>
      <c r="I31" s="24">
        <v>28.7</v>
      </c>
      <c r="J31" s="24">
        <v>26.6</v>
      </c>
      <c r="K31" s="24">
        <v>29.83</v>
      </c>
      <c r="L31" s="24">
        <v>26.38</v>
      </c>
      <c r="M31" s="24">
        <v>28.5</v>
      </c>
      <c r="N31" s="24">
        <v>28.3</v>
      </c>
      <c r="O31" s="24">
        <v>28.9</v>
      </c>
      <c r="P31" s="24" t="s">
        <v>26</v>
      </c>
      <c r="Q31" s="26">
        <f t="shared" si="1"/>
        <v>28.19636364</v>
      </c>
      <c r="R31" s="24" t="s">
        <v>37</v>
      </c>
    </row>
    <row r="32" ht="15.75" customHeight="1">
      <c r="A32" s="20"/>
      <c r="B32" s="15" t="s">
        <v>38</v>
      </c>
      <c r="C32" s="16">
        <v>1.0</v>
      </c>
      <c r="D32" s="17" t="s">
        <v>25</v>
      </c>
      <c r="E32" s="28">
        <v>25.0</v>
      </c>
      <c r="F32" s="28">
        <v>30.0</v>
      </c>
      <c r="G32" s="28">
        <v>30.0</v>
      </c>
      <c r="H32" s="28">
        <v>30.0</v>
      </c>
      <c r="I32" s="28">
        <v>50.0</v>
      </c>
      <c r="J32" s="28">
        <v>20.0</v>
      </c>
      <c r="K32" s="28">
        <v>25.0</v>
      </c>
      <c r="L32" s="28">
        <v>25.0</v>
      </c>
      <c r="M32" s="28">
        <v>15.0</v>
      </c>
      <c r="N32" s="28">
        <v>20.0</v>
      </c>
      <c r="O32" s="28">
        <v>10.0</v>
      </c>
      <c r="P32" s="28">
        <v>30.0</v>
      </c>
      <c r="Q32" s="29">
        <f t="shared" si="1"/>
        <v>25.83333333</v>
      </c>
      <c r="R32" s="17">
        <v>75.0</v>
      </c>
    </row>
    <row r="33" ht="15.75" customHeight="1">
      <c r="A33" s="20"/>
      <c r="B33" s="21"/>
      <c r="C33" s="22">
        <v>2.0</v>
      </c>
      <c r="D33" s="23" t="s">
        <v>27</v>
      </c>
      <c r="E33" s="30">
        <v>25.0</v>
      </c>
      <c r="F33" s="30">
        <v>30.0</v>
      </c>
      <c r="G33" s="30">
        <v>30.0</v>
      </c>
      <c r="H33" s="30">
        <v>30.0</v>
      </c>
      <c r="I33" s="30">
        <v>50.0</v>
      </c>
      <c r="J33" s="30">
        <v>20.0</v>
      </c>
      <c r="K33" s="30">
        <v>25.0</v>
      </c>
      <c r="L33" s="30">
        <v>25.0</v>
      </c>
      <c r="M33" s="30">
        <v>20.0</v>
      </c>
      <c r="N33" s="30">
        <v>20.0</v>
      </c>
      <c r="O33" s="30">
        <v>10.0</v>
      </c>
      <c r="P33" s="30">
        <v>30.0</v>
      </c>
      <c r="Q33" s="31">
        <f t="shared" si="1"/>
        <v>26.25</v>
      </c>
      <c r="R33" s="23">
        <v>75.0</v>
      </c>
    </row>
    <row r="34" ht="15.75" customHeight="1">
      <c r="A34" s="20"/>
      <c r="B34" s="21"/>
      <c r="C34" s="22">
        <v>3.0</v>
      </c>
      <c r="D34" s="23" t="s">
        <v>28</v>
      </c>
      <c r="E34" s="30">
        <v>30.0</v>
      </c>
      <c r="F34" s="30">
        <v>40.0</v>
      </c>
      <c r="G34" s="30">
        <v>40.0</v>
      </c>
      <c r="H34" s="30">
        <v>30.0</v>
      </c>
      <c r="I34" s="30">
        <v>50.0</v>
      </c>
      <c r="J34" s="30">
        <v>20.0</v>
      </c>
      <c r="K34" s="30">
        <v>20.0</v>
      </c>
      <c r="L34" s="30">
        <v>25.0</v>
      </c>
      <c r="M34" s="30">
        <v>20.0</v>
      </c>
      <c r="N34" s="30">
        <v>20.0</v>
      </c>
      <c r="O34" s="30">
        <v>10.0</v>
      </c>
      <c r="P34" s="30">
        <v>30.0</v>
      </c>
      <c r="Q34" s="31">
        <f t="shared" si="1"/>
        <v>27.91666667</v>
      </c>
      <c r="R34" s="23">
        <v>75.0</v>
      </c>
    </row>
    <row r="35" ht="15.75" customHeight="1">
      <c r="A35" s="20"/>
      <c r="B35" s="21"/>
      <c r="C35" s="22">
        <v>4.0</v>
      </c>
      <c r="D35" s="23" t="s">
        <v>29</v>
      </c>
      <c r="E35" s="30">
        <v>30.0</v>
      </c>
      <c r="F35" s="30">
        <v>40.0</v>
      </c>
      <c r="G35" s="30">
        <v>40.0</v>
      </c>
      <c r="H35" s="30">
        <v>30.0</v>
      </c>
      <c r="I35" s="30">
        <v>20.0</v>
      </c>
      <c r="J35" s="30">
        <v>20.0</v>
      </c>
      <c r="K35" s="30">
        <v>20.0</v>
      </c>
      <c r="L35" s="30">
        <v>25.0</v>
      </c>
      <c r="M35" s="30">
        <v>20.0</v>
      </c>
      <c r="N35" s="30">
        <v>20.0</v>
      </c>
      <c r="O35" s="30">
        <v>10.0</v>
      </c>
      <c r="P35" s="30">
        <v>20.0</v>
      </c>
      <c r="Q35" s="31">
        <f t="shared" si="1"/>
        <v>24.58333333</v>
      </c>
      <c r="R35" s="23">
        <v>75.0</v>
      </c>
    </row>
    <row r="36" ht="15.75" customHeight="1">
      <c r="A36" s="20"/>
      <c r="B36" s="27"/>
      <c r="C36" s="22">
        <v>5.0</v>
      </c>
      <c r="D36" s="23" t="s">
        <v>30</v>
      </c>
      <c r="E36" s="30">
        <v>30.0</v>
      </c>
      <c r="F36" s="30">
        <v>40.0</v>
      </c>
      <c r="G36" s="30">
        <v>40.0</v>
      </c>
      <c r="H36" s="30">
        <v>30.0</v>
      </c>
      <c r="I36" s="30">
        <v>40.0</v>
      </c>
      <c r="J36" s="30">
        <v>15.0</v>
      </c>
      <c r="K36" s="30">
        <v>20.0</v>
      </c>
      <c r="L36" s="30">
        <v>25.0</v>
      </c>
      <c r="M36" s="30">
        <v>20.0</v>
      </c>
      <c r="N36" s="30">
        <v>20.0</v>
      </c>
      <c r="O36" s="30">
        <v>10.0</v>
      </c>
      <c r="P36" s="30">
        <v>20.0</v>
      </c>
      <c r="Q36" s="31">
        <f t="shared" si="1"/>
        <v>25.83333333</v>
      </c>
      <c r="R36" s="23">
        <v>75.0</v>
      </c>
    </row>
    <row r="37" ht="15.75" customHeight="1">
      <c r="A37" s="20" t="s">
        <v>39</v>
      </c>
      <c r="B37" s="15" t="s">
        <v>40</v>
      </c>
      <c r="C37" s="16">
        <v>1.0</v>
      </c>
      <c r="D37" s="17" t="s">
        <v>25</v>
      </c>
      <c r="E37" s="32">
        <v>2800000.0</v>
      </c>
      <c r="F37" s="33">
        <v>790000.0</v>
      </c>
      <c r="G37" s="32">
        <v>1.6E7</v>
      </c>
      <c r="H37" s="33">
        <v>2400000.0</v>
      </c>
      <c r="I37" s="33">
        <v>7000000.0</v>
      </c>
      <c r="J37" s="33">
        <v>5400000.0</v>
      </c>
      <c r="K37" s="33">
        <v>230000.0</v>
      </c>
      <c r="L37" s="33">
        <v>2400000.0</v>
      </c>
      <c r="M37" s="34">
        <v>330000.0</v>
      </c>
      <c r="N37" s="33">
        <v>1100000.0</v>
      </c>
      <c r="O37" s="33">
        <v>1.6E7</v>
      </c>
      <c r="P37" s="33">
        <v>2400000.0</v>
      </c>
      <c r="Q37" s="35">
        <f t="shared" ref="Q37:Q41" si="2">GEOMEAN(E37,F37,G37,H37,I37,J37,K37,L37,M37,N37,O37,P37)</f>
        <v>2323086.724</v>
      </c>
      <c r="R37" s="17">
        <v>200.0</v>
      </c>
      <c r="S37" s="36">
        <f>geomean(Q37:Q41)</f>
        <v>2485066.007</v>
      </c>
    </row>
    <row r="38" ht="15.75" customHeight="1">
      <c r="A38" s="20"/>
      <c r="B38" s="21"/>
      <c r="C38" s="22">
        <v>2.0</v>
      </c>
      <c r="D38" s="23" t="s">
        <v>27</v>
      </c>
      <c r="E38" s="37">
        <v>1.6E7</v>
      </c>
      <c r="F38" s="34">
        <v>790000.0</v>
      </c>
      <c r="G38" s="37">
        <v>3.5E7</v>
      </c>
      <c r="H38" s="34">
        <v>2400000.0</v>
      </c>
      <c r="I38" s="34">
        <v>1300000.0</v>
      </c>
      <c r="J38" s="34">
        <v>5400000.0</v>
      </c>
      <c r="K38" s="34">
        <v>490000.0</v>
      </c>
      <c r="L38" s="34">
        <v>1400000.0</v>
      </c>
      <c r="M38" s="34">
        <v>330000.0</v>
      </c>
      <c r="N38" s="34">
        <v>2400000.0</v>
      </c>
      <c r="O38" s="34">
        <v>1.1E7</v>
      </c>
      <c r="P38" s="34">
        <v>790000.0</v>
      </c>
      <c r="Q38" s="38">
        <f t="shared" si="2"/>
        <v>2392596.036</v>
      </c>
      <c r="R38" s="23">
        <v>200.0</v>
      </c>
    </row>
    <row r="39" ht="15.75" customHeight="1">
      <c r="A39" s="20"/>
      <c r="B39" s="21"/>
      <c r="C39" s="22">
        <v>3.0</v>
      </c>
      <c r="D39" s="23" t="s">
        <v>28</v>
      </c>
      <c r="E39" s="37">
        <v>1100000.0</v>
      </c>
      <c r="F39" s="34">
        <v>1700000.0</v>
      </c>
      <c r="G39" s="39">
        <v>5400000.0</v>
      </c>
      <c r="H39" s="34">
        <v>3.4E7</v>
      </c>
      <c r="I39" s="34">
        <v>3.5E7</v>
      </c>
      <c r="J39" s="34">
        <v>3500000.0</v>
      </c>
      <c r="K39" s="34">
        <v>490000.0</v>
      </c>
      <c r="L39" s="34">
        <v>2400000.0</v>
      </c>
      <c r="M39" s="34">
        <v>330000.0</v>
      </c>
      <c r="N39" s="34">
        <v>700000.0</v>
      </c>
      <c r="O39" s="34">
        <v>9200000.0</v>
      </c>
      <c r="P39" s="34">
        <v>1300000.0</v>
      </c>
      <c r="Q39" s="38">
        <f t="shared" si="2"/>
        <v>2678963.138</v>
      </c>
      <c r="R39" s="23">
        <v>200.0</v>
      </c>
    </row>
    <row r="40" ht="15.75" customHeight="1">
      <c r="A40" s="20"/>
      <c r="B40" s="21"/>
      <c r="C40" s="22">
        <v>4.0</v>
      </c>
      <c r="D40" s="23" t="s">
        <v>29</v>
      </c>
      <c r="E40" s="37">
        <v>1100000.0</v>
      </c>
      <c r="F40" s="34">
        <v>460000.0</v>
      </c>
      <c r="G40" s="37">
        <v>5400000.0</v>
      </c>
      <c r="H40" s="34">
        <v>1.4E7</v>
      </c>
      <c r="I40" s="34">
        <v>7000000.0</v>
      </c>
      <c r="J40" s="34">
        <v>490000.0</v>
      </c>
      <c r="K40" s="34">
        <v>1700000.0</v>
      </c>
      <c r="L40" s="34">
        <v>490000.0</v>
      </c>
      <c r="M40" s="34">
        <v>700000.0</v>
      </c>
      <c r="N40" s="34">
        <v>790000.0</v>
      </c>
      <c r="O40" s="34">
        <v>1.6E7</v>
      </c>
      <c r="P40" s="34">
        <v>5400000.0</v>
      </c>
      <c r="Q40" s="38">
        <f t="shared" si="2"/>
        <v>2040895.927</v>
      </c>
      <c r="R40" s="23">
        <v>200.0</v>
      </c>
    </row>
    <row r="41" ht="15.75" customHeight="1">
      <c r="A41" s="20"/>
      <c r="B41" s="27"/>
      <c r="C41" s="22">
        <v>5.0</v>
      </c>
      <c r="D41" s="23" t="s">
        <v>30</v>
      </c>
      <c r="E41" s="37">
        <v>2400000.0</v>
      </c>
      <c r="F41" s="34">
        <v>2400000.0</v>
      </c>
      <c r="G41" s="37">
        <v>1.4E7</v>
      </c>
      <c r="H41" s="34">
        <v>1.6E7</v>
      </c>
      <c r="I41" s="34">
        <v>3.5E7</v>
      </c>
      <c r="J41" s="34">
        <v>2400000.0</v>
      </c>
      <c r="K41" s="34">
        <v>3500000.0</v>
      </c>
      <c r="L41" s="34">
        <v>3500000.0</v>
      </c>
      <c r="M41" s="34">
        <v>330000.0</v>
      </c>
      <c r="N41" s="34">
        <v>230000.0</v>
      </c>
      <c r="O41" s="34">
        <v>3500000.0</v>
      </c>
      <c r="P41" s="34">
        <v>2400000.0</v>
      </c>
      <c r="Q41" s="38">
        <f t="shared" si="2"/>
        <v>3118654.362</v>
      </c>
      <c r="R41" s="23">
        <v>200.0</v>
      </c>
    </row>
    <row r="42" ht="15.75" customHeight="1">
      <c r="A42" s="20"/>
      <c r="B42" s="15" t="s">
        <v>41</v>
      </c>
      <c r="C42" s="16">
        <v>1.0</v>
      </c>
      <c r="D42" s="17" t="s">
        <v>25</v>
      </c>
      <c r="E42" s="40" t="s">
        <v>42</v>
      </c>
      <c r="F42" s="40" t="s">
        <v>42</v>
      </c>
      <c r="G42" s="40">
        <v>0.131</v>
      </c>
      <c r="H42" s="18" t="s">
        <v>42</v>
      </c>
      <c r="I42" s="40">
        <v>0.128</v>
      </c>
      <c r="J42" s="40">
        <v>1.528</v>
      </c>
      <c r="K42" s="40">
        <v>0.736</v>
      </c>
      <c r="L42" s="40">
        <v>1.848</v>
      </c>
      <c r="M42" s="40" t="s">
        <v>42</v>
      </c>
      <c r="N42" s="40">
        <v>0.073</v>
      </c>
      <c r="O42" s="40">
        <v>0.273</v>
      </c>
      <c r="P42" s="40">
        <v>0.358</v>
      </c>
      <c r="Q42" s="41">
        <f t="shared" ref="Q42:Q46" si="3">AVERAGE(E42,F42,G42,H42,I42,J42,K42,L42,0.045,N42,O42,P42)</f>
        <v>0.5688888889</v>
      </c>
      <c r="R42" s="17">
        <v>7.0</v>
      </c>
    </row>
    <row r="43" ht="15.75" customHeight="1">
      <c r="A43" s="20"/>
      <c r="B43" s="21"/>
      <c r="C43" s="22">
        <v>2.0</v>
      </c>
      <c r="D43" s="23" t="s">
        <v>27</v>
      </c>
      <c r="E43" s="42" t="s">
        <v>42</v>
      </c>
      <c r="F43" s="42" t="s">
        <v>42</v>
      </c>
      <c r="G43" s="42" t="s">
        <v>42</v>
      </c>
      <c r="H43" s="43">
        <v>0.056</v>
      </c>
      <c r="I43" s="43">
        <v>0.107</v>
      </c>
      <c r="J43" s="43">
        <v>1.409</v>
      </c>
      <c r="K43" s="43" t="s">
        <v>42</v>
      </c>
      <c r="L43" s="43">
        <v>1.517</v>
      </c>
      <c r="M43" s="43" t="s">
        <v>43</v>
      </c>
      <c r="N43" s="43">
        <v>0.105</v>
      </c>
      <c r="O43" s="43">
        <v>0.294</v>
      </c>
      <c r="P43" s="43">
        <v>0.311</v>
      </c>
      <c r="Q43" s="44">
        <f t="shared" si="3"/>
        <v>0.4805</v>
      </c>
      <c r="R43" s="23">
        <v>7.0</v>
      </c>
    </row>
    <row r="44" ht="15.75" customHeight="1">
      <c r="A44" s="20"/>
      <c r="B44" s="21"/>
      <c r="C44" s="22">
        <v>3.0</v>
      </c>
      <c r="D44" s="23" t="s">
        <v>28</v>
      </c>
      <c r="E44" s="42" t="s">
        <v>42</v>
      </c>
      <c r="F44" s="42" t="s">
        <v>42</v>
      </c>
      <c r="G44" s="42" t="s">
        <v>42</v>
      </c>
      <c r="H44" s="24" t="s">
        <v>42</v>
      </c>
      <c r="I44" s="43" t="s">
        <v>42</v>
      </c>
      <c r="J44" s="43">
        <v>1.994</v>
      </c>
      <c r="K44" s="43" t="s">
        <v>42</v>
      </c>
      <c r="L44" s="43">
        <v>1.975</v>
      </c>
      <c r="M44" s="43" t="s">
        <v>44</v>
      </c>
      <c r="N44" s="43" t="s">
        <v>42</v>
      </c>
      <c r="O44" s="43">
        <v>0.524</v>
      </c>
      <c r="P44" s="43">
        <v>0.153</v>
      </c>
      <c r="Q44" s="44">
        <f t="shared" si="3"/>
        <v>0.9382</v>
      </c>
      <c r="R44" s="23">
        <v>7.0</v>
      </c>
    </row>
    <row r="45" ht="15.75" customHeight="1">
      <c r="A45" s="20"/>
      <c r="B45" s="21"/>
      <c r="C45" s="22">
        <v>4.0</v>
      </c>
      <c r="D45" s="23" t="s">
        <v>29</v>
      </c>
      <c r="E45" s="42" t="s">
        <v>42</v>
      </c>
      <c r="F45" s="42" t="s">
        <v>42</v>
      </c>
      <c r="G45" s="42" t="s">
        <v>42</v>
      </c>
      <c r="H45" s="24" t="s">
        <v>42</v>
      </c>
      <c r="I45" s="43">
        <v>0.087</v>
      </c>
      <c r="J45" s="43">
        <v>1.027</v>
      </c>
      <c r="K45" s="43">
        <v>0.763</v>
      </c>
      <c r="L45" s="43">
        <v>5.839</v>
      </c>
      <c r="M45" s="43" t="s">
        <v>42</v>
      </c>
      <c r="N45" s="43">
        <v>0.295</v>
      </c>
      <c r="O45" s="43">
        <v>0.557</v>
      </c>
      <c r="P45" s="43">
        <v>0.148</v>
      </c>
      <c r="Q45" s="44">
        <f t="shared" si="3"/>
        <v>1.095125</v>
      </c>
      <c r="R45" s="23">
        <v>7.0</v>
      </c>
    </row>
    <row r="46" ht="15.75" customHeight="1">
      <c r="A46" s="20"/>
      <c r="B46" s="27"/>
      <c r="C46" s="22">
        <v>5.0</v>
      </c>
      <c r="D46" s="23" t="s">
        <v>30</v>
      </c>
      <c r="E46" s="42" t="s">
        <v>42</v>
      </c>
      <c r="F46" s="42" t="s">
        <v>42</v>
      </c>
      <c r="G46" s="42" t="s">
        <v>42</v>
      </c>
      <c r="H46" s="24" t="s">
        <v>42</v>
      </c>
      <c r="I46" s="43">
        <v>0.095</v>
      </c>
      <c r="J46" s="43">
        <v>1.09</v>
      </c>
      <c r="K46" s="43">
        <v>0.77</v>
      </c>
      <c r="L46" s="43">
        <v>0.896</v>
      </c>
      <c r="M46" s="43">
        <v>0.151</v>
      </c>
      <c r="N46" s="43">
        <v>0.166</v>
      </c>
      <c r="O46" s="43">
        <v>0.488</v>
      </c>
      <c r="P46" s="43">
        <v>0.205</v>
      </c>
      <c r="Q46" s="44">
        <f t="shared" si="3"/>
        <v>0.469375</v>
      </c>
      <c r="R46" s="23">
        <v>7.0</v>
      </c>
    </row>
    <row r="47" ht="15.75" customHeight="1">
      <c r="A47" s="20"/>
      <c r="B47" s="15" t="s">
        <v>45</v>
      </c>
      <c r="C47" s="16">
        <v>1.0</v>
      </c>
      <c r="D47" s="17" t="s">
        <v>25</v>
      </c>
      <c r="E47" s="40">
        <v>1.221</v>
      </c>
      <c r="F47" s="40">
        <v>1.396</v>
      </c>
      <c r="G47" s="40">
        <v>1.397</v>
      </c>
      <c r="H47" s="40">
        <v>2.188</v>
      </c>
      <c r="I47" s="40">
        <v>2.247</v>
      </c>
      <c r="J47" s="40">
        <v>0.717</v>
      </c>
      <c r="K47" s="40">
        <v>0.873</v>
      </c>
      <c r="L47" s="40">
        <v>0.324</v>
      </c>
      <c r="M47" s="40">
        <v>0.75</v>
      </c>
      <c r="N47" s="40">
        <v>0.63</v>
      </c>
      <c r="O47" s="40">
        <v>1.17</v>
      </c>
      <c r="P47" s="40">
        <v>2.204</v>
      </c>
      <c r="Q47" s="41">
        <f t="shared" ref="Q47:Q56" si="4">AVERAGE(E47,F47,G47,H47,I47,J47,K47,L47,M47,N47,O47,P47)</f>
        <v>1.25975</v>
      </c>
      <c r="R47" s="17">
        <v>0.5</v>
      </c>
    </row>
    <row r="48" ht="15.75" customHeight="1">
      <c r="A48" s="20"/>
      <c r="B48" s="21"/>
      <c r="C48" s="22">
        <v>2.0</v>
      </c>
      <c r="D48" s="23" t="s">
        <v>27</v>
      </c>
      <c r="E48" s="43">
        <v>1.107</v>
      </c>
      <c r="F48" s="43">
        <v>1.774</v>
      </c>
      <c r="G48" s="43">
        <v>1.231</v>
      </c>
      <c r="H48" s="43">
        <v>2.155</v>
      </c>
      <c r="I48" s="43">
        <v>2.272</v>
      </c>
      <c r="J48" s="43">
        <v>0.701</v>
      </c>
      <c r="K48" s="43">
        <v>0.905</v>
      </c>
      <c r="L48" s="43">
        <v>0.362</v>
      </c>
      <c r="M48" s="43">
        <v>0.83</v>
      </c>
      <c r="N48" s="43">
        <v>0.627</v>
      </c>
      <c r="O48" s="43">
        <v>1.135</v>
      </c>
      <c r="P48" s="43">
        <v>2.131</v>
      </c>
      <c r="Q48" s="44">
        <f t="shared" si="4"/>
        <v>1.269166667</v>
      </c>
      <c r="R48" s="23">
        <v>0.5</v>
      </c>
    </row>
    <row r="49" ht="15.75" customHeight="1">
      <c r="A49" s="20"/>
      <c r="B49" s="21"/>
      <c r="C49" s="22">
        <v>3.0</v>
      </c>
      <c r="D49" s="23" t="s">
        <v>28</v>
      </c>
      <c r="E49" s="43">
        <v>1.143</v>
      </c>
      <c r="F49" s="43">
        <v>1.557</v>
      </c>
      <c r="G49" s="43">
        <v>1.58</v>
      </c>
      <c r="H49" s="43">
        <v>2.167</v>
      </c>
      <c r="I49" s="43">
        <v>1.294</v>
      </c>
      <c r="J49" s="43">
        <v>0.612</v>
      </c>
      <c r="K49" s="43">
        <v>0.937</v>
      </c>
      <c r="L49" s="43">
        <v>0.305</v>
      </c>
      <c r="M49" s="43">
        <v>1.068</v>
      </c>
      <c r="N49" s="43">
        <v>0.558</v>
      </c>
      <c r="O49" s="43">
        <v>1.637</v>
      </c>
      <c r="P49" s="43">
        <v>2.123</v>
      </c>
      <c r="Q49" s="44">
        <f t="shared" si="4"/>
        <v>1.248416667</v>
      </c>
      <c r="R49" s="23">
        <v>0.5</v>
      </c>
    </row>
    <row r="50" ht="15.75" customHeight="1">
      <c r="A50" s="20"/>
      <c r="B50" s="21"/>
      <c r="C50" s="22">
        <v>4.0</v>
      </c>
      <c r="D50" s="23" t="s">
        <v>29</v>
      </c>
      <c r="E50" s="43">
        <v>1.164</v>
      </c>
      <c r="F50" s="43">
        <v>1.524</v>
      </c>
      <c r="G50" s="43">
        <v>1.554</v>
      </c>
      <c r="H50" s="43">
        <v>2.266</v>
      </c>
      <c r="I50" s="43">
        <v>2.629</v>
      </c>
      <c r="J50" s="43">
        <v>0.733</v>
      </c>
      <c r="K50" s="43">
        <v>0.689</v>
      </c>
      <c r="L50" s="43">
        <v>0.298</v>
      </c>
      <c r="M50" s="43">
        <v>1.115</v>
      </c>
      <c r="N50" s="43">
        <v>0.596</v>
      </c>
      <c r="O50" s="43">
        <v>1.62</v>
      </c>
      <c r="P50" s="43">
        <v>1.861</v>
      </c>
      <c r="Q50" s="44">
        <f t="shared" si="4"/>
        <v>1.337416667</v>
      </c>
      <c r="R50" s="23">
        <v>0.5</v>
      </c>
    </row>
    <row r="51" ht="15.75" customHeight="1">
      <c r="A51" s="20"/>
      <c r="B51" s="27"/>
      <c r="C51" s="22">
        <v>5.0</v>
      </c>
      <c r="D51" s="23" t="s">
        <v>30</v>
      </c>
      <c r="E51" s="43">
        <v>0.925</v>
      </c>
      <c r="F51" s="43">
        <v>1.533</v>
      </c>
      <c r="G51" s="43">
        <v>1.422</v>
      </c>
      <c r="H51" s="43">
        <v>2.196</v>
      </c>
      <c r="I51" s="43">
        <v>4.892</v>
      </c>
      <c r="J51" s="43">
        <v>0.596</v>
      </c>
      <c r="K51" s="43">
        <v>0.729</v>
      </c>
      <c r="L51" s="43">
        <v>0.271</v>
      </c>
      <c r="M51" s="43">
        <v>1.022</v>
      </c>
      <c r="N51" s="43">
        <v>0.584</v>
      </c>
      <c r="O51" s="43">
        <v>1.834</v>
      </c>
      <c r="P51" s="43">
        <v>1.827</v>
      </c>
      <c r="Q51" s="44">
        <f t="shared" si="4"/>
        <v>1.485916667</v>
      </c>
      <c r="R51" s="23">
        <v>0.5</v>
      </c>
    </row>
    <row r="52" ht="15.75" customHeight="1">
      <c r="A52" s="20"/>
      <c r="B52" s="15" t="s">
        <v>46</v>
      </c>
      <c r="C52" s="16">
        <v>1.0</v>
      </c>
      <c r="D52" s="17" t="s">
        <v>25</v>
      </c>
      <c r="E52" s="28">
        <v>679.0</v>
      </c>
      <c r="F52" s="33">
        <v>35.0</v>
      </c>
      <c r="G52" s="28">
        <v>35.0</v>
      </c>
      <c r="H52" s="28">
        <v>637.0</v>
      </c>
      <c r="I52" s="28">
        <v>3.0</v>
      </c>
      <c r="J52" s="28">
        <v>22.0</v>
      </c>
      <c r="K52" s="28">
        <v>33.0</v>
      </c>
      <c r="L52" s="28">
        <v>10.0</v>
      </c>
      <c r="M52" s="28">
        <v>24.0</v>
      </c>
      <c r="N52" s="28">
        <v>350.0</v>
      </c>
      <c r="O52" s="28">
        <v>32.0</v>
      </c>
      <c r="P52" s="28">
        <v>280.0</v>
      </c>
      <c r="Q52" s="35">
        <f t="shared" si="4"/>
        <v>178.3333333</v>
      </c>
      <c r="R52" s="17">
        <v>350.0</v>
      </c>
    </row>
    <row r="53" ht="15.75" customHeight="1">
      <c r="A53" s="20"/>
      <c r="B53" s="21"/>
      <c r="C53" s="22">
        <v>2.0</v>
      </c>
      <c r="D53" s="23" t="s">
        <v>27</v>
      </c>
      <c r="E53" s="30">
        <v>387.0</v>
      </c>
      <c r="F53" s="34">
        <v>47.0</v>
      </c>
      <c r="G53" s="30">
        <v>30.0</v>
      </c>
      <c r="H53" s="30">
        <v>637.0</v>
      </c>
      <c r="I53" s="30">
        <v>2707.0</v>
      </c>
      <c r="J53" s="30">
        <v>24.0</v>
      </c>
      <c r="K53" s="30">
        <v>32.0</v>
      </c>
      <c r="L53" s="30">
        <v>35.0</v>
      </c>
      <c r="M53" s="30">
        <v>24.0</v>
      </c>
      <c r="N53" s="30">
        <v>24.0</v>
      </c>
      <c r="O53" s="30">
        <v>36.0</v>
      </c>
      <c r="P53" s="30">
        <v>270.0</v>
      </c>
      <c r="Q53" s="38">
        <f t="shared" si="4"/>
        <v>354.4166667</v>
      </c>
      <c r="R53" s="23">
        <v>350.0</v>
      </c>
    </row>
    <row r="54" ht="15.75" customHeight="1">
      <c r="A54" s="20"/>
      <c r="B54" s="21"/>
      <c r="C54" s="22">
        <v>3.0</v>
      </c>
      <c r="D54" s="23" t="s">
        <v>28</v>
      </c>
      <c r="E54" s="30">
        <v>410.0</v>
      </c>
      <c r="F54" s="34">
        <v>566.0</v>
      </c>
      <c r="G54" s="30">
        <v>61.0</v>
      </c>
      <c r="H54" s="30">
        <v>589.0</v>
      </c>
      <c r="I54" s="30">
        <v>86.0</v>
      </c>
      <c r="J54" s="30">
        <v>35.0</v>
      </c>
      <c r="K54" s="30">
        <v>33.0</v>
      </c>
      <c r="L54" s="30">
        <v>13.0</v>
      </c>
      <c r="M54" s="30">
        <v>34.0</v>
      </c>
      <c r="N54" s="30">
        <v>48.0</v>
      </c>
      <c r="O54" s="30">
        <v>79.0</v>
      </c>
      <c r="P54" s="30">
        <v>538.0</v>
      </c>
      <c r="Q54" s="38">
        <f t="shared" si="4"/>
        <v>207.6666667</v>
      </c>
      <c r="R54" s="23">
        <v>350.0</v>
      </c>
    </row>
    <row r="55" ht="15.75" customHeight="1">
      <c r="A55" s="20"/>
      <c r="B55" s="21"/>
      <c r="C55" s="22">
        <v>4.0</v>
      </c>
      <c r="D55" s="23" t="s">
        <v>29</v>
      </c>
      <c r="E55" s="30">
        <v>410.0</v>
      </c>
      <c r="F55" s="34">
        <v>802.0</v>
      </c>
      <c r="G55" s="30">
        <v>196.0</v>
      </c>
      <c r="H55" s="30">
        <v>46.0</v>
      </c>
      <c r="I55" s="30">
        <v>443.0</v>
      </c>
      <c r="J55" s="30">
        <v>38.0</v>
      </c>
      <c r="K55" s="30">
        <v>24.0</v>
      </c>
      <c r="L55" s="30">
        <v>12.0</v>
      </c>
      <c r="M55" s="30">
        <v>33.0</v>
      </c>
      <c r="N55" s="30">
        <v>286.0</v>
      </c>
      <c r="O55" s="30">
        <v>74.0</v>
      </c>
      <c r="P55" s="30">
        <v>39.0</v>
      </c>
      <c r="Q55" s="38">
        <f t="shared" si="4"/>
        <v>200.25</v>
      </c>
      <c r="R55" s="23">
        <v>350.0</v>
      </c>
    </row>
    <row r="56" ht="15.75" customHeight="1">
      <c r="A56" s="20"/>
      <c r="B56" s="27"/>
      <c r="C56" s="22">
        <v>5.0</v>
      </c>
      <c r="D56" s="23" t="s">
        <v>30</v>
      </c>
      <c r="E56" s="30">
        <v>618.0</v>
      </c>
      <c r="F56" s="34">
        <v>1023.0</v>
      </c>
      <c r="G56" s="30">
        <v>332.0</v>
      </c>
      <c r="H56" s="30">
        <v>44.0</v>
      </c>
      <c r="I56" s="30">
        <v>94.0</v>
      </c>
      <c r="J56" s="30">
        <v>37.0</v>
      </c>
      <c r="K56" s="30">
        <v>23.0</v>
      </c>
      <c r="L56" s="30">
        <v>15.0</v>
      </c>
      <c r="M56" s="30">
        <v>33.0</v>
      </c>
      <c r="N56" s="30">
        <v>238.0</v>
      </c>
      <c r="O56" s="30">
        <v>524.0</v>
      </c>
      <c r="P56" s="30">
        <v>39.0</v>
      </c>
      <c r="Q56" s="38">
        <f t="shared" si="4"/>
        <v>251.6666667</v>
      </c>
      <c r="R56" s="23">
        <v>350.0</v>
      </c>
    </row>
    <row r="57" ht="15.75" customHeight="1"/>
    <row r="58" ht="15.75" customHeight="1">
      <c r="A58" s="45" t="s">
        <v>47</v>
      </c>
    </row>
    <row r="59" ht="15.75" customHeight="1"/>
    <row r="60" ht="15.75" customHeight="1">
      <c r="A60" s="46"/>
    </row>
    <row r="61" ht="15.75" customHeight="1"/>
    <row r="62" ht="15.75" customHeight="1"/>
    <row r="63" ht="15.75" customHeight="1">
      <c r="B63" s="47"/>
      <c r="C63" s="47"/>
      <c r="D63" s="47"/>
      <c r="E63" s="47"/>
      <c r="F63" s="47"/>
      <c r="G63" s="47"/>
      <c r="H63" s="47"/>
      <c r="I63" s="47"/>
    </row>
    <row r="64" ht="15.75" customHeight="1">
      <c r="B64" s="47"/>
      <c r="C64" s="47"/>
      <c r="D64" s="47"/>
      <c r="E64" s="47"/>
      <c r="F64" s="47"/>
      <c r="G64" s="47"/>
      <c r="H64" s="47"/>
      <c r="I64" s="47"/>
    </row>
    <row r="65" ht="15.75" customHeight="1">
      <c r="B65" s="47"/>
      <c r="C65" s="47"/>
      <c r="D65" s="47"/>
      <c r="E65" s="47"/>
      <c r="F65" s="47"/>
      <c r="G65" s="47"/>
      <c r="H65" s="47"/>
      <c r="I65" s="47"/>
    </row>
    <row r="66" ht="15.75" customHeight="1">
      <c r="B66" s="47"/>
      <c r="C66" s="47"/>
      <c r="D66" s="47"/>
      <c r="E66" s="47"/>
      <c r="F66" s="47"/>
      <c r="G66" s="47"/>
      <c r="H66" s="47"/>
      <c r="I66" s="47"/>
    </row>
    <row r="67" ht="15.75" customHeight="1">
      <c r="B67" s="47"/>
      <c r="C67" s="47"/>
      <c r="D67" s="47"/>
      <c r="E67" s="47"/>
      <c r="F67" s="47"/>
      <c r="G67" s="47"/>
      <c r="H67" s="47"/>
      <c r="I67" s="47"/>
    </row>
    <row r="68" ht="15.75" customHeight="1">
      <c r="B68" s="47"/>
      <c r="C68" s="47"/>
      <c r="D68" s="47"/>
      <c r="E68" s="47"/>
      <c r="F68" s="47"/>
      <c r="G68" s="47"/>
      <c r="H68" s="47"/>
      <c r="I68" s="47"/>
    </row>
    <row r="69" ht="15.75" customHeight="1">
      <c r="B69" s="47"/>
      <c r="C69" s="47"/>
      <c r="D69" s="47"/>
      <c r="E69" s="47"/>
      <c r="F69" s="47"/>
      <c r="G69" s="47"/>
      <c r="H69" s="47"/>
      <c r="I69" s="47"/>
    </row>
    <row r="70" ht="15.75" customHeight="1">
      <c r="B70" s="47"/>
      <c r="C70" s="47"/>
      <c r="D70" s="47"/>
      <c r="E70" s="47"/>
      <c r="F70" s="47"/>
      <c r="G70" s="47"/>
      <c r="H70" s="47"/>
      <c r="I70" s="47"/>
    </row>
    <row r="71" ht="15.75" customHeight="1">
      <c r="B71" s="47"/>
      <c r="C71" s="47"/>
      <c r="D71" s="47"/>
      <c r="E71" s="47"/>
      <c r="F71" s="47"/>
      <c r="G71" s="47"/>
      <c r="H71" s="47"/>
      <c r="I71" s="4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61.29"/>
    <col customWidth="1" min="5" max="5" width="10.57"/>
    <col customWidth="1" min="6" max="8" width="10.71"/>
    <col customWidth="1" min="9" max="9" width="14.14"/>
    <col customWidth="1" min="10" max="10" width="10.71"/>
    <col customWidth="1" min="11" max="11" width="14.71"/>
    <col customWidth="1" min="12" max="12" width="12.86"/>
    <col customWidth="1" min="13" max="13" width="14.43"/>
    <col customWidth="1" min="14" max="14" width="15.0"/>
    <col customWidth="1" min="15" max="15" width="15.86"/>
    <col customWidth="1" min="16" max="16" width="18.43"/>
    <col customWidth="1" min="17" max="17" width="26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" t="s">
        <v>48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4" t="s">
        <v>23</v>
      </c>
      <c r="B7" s="48" t="s">
        <v>24</v>
      </c>
      <c r="C7" s="16">
        <v>1.0</v>
      </c>
      <c r="D7" s="49" t="s">
        <v>49</v>
      </c>
      <c r="E7" s="50">
        <v>0.0</v>
      </c>
      <c r="F7" s="50">
        <v>3.33</v>
      </c>
      <c r="G7" s="51">
        <v>1.1</v>
      </c>
      <c r="H7" s="18">
        <v>1.39</v>
      </c>
      <c r="I7" s="18">
        <v>1.25</v>
      </c>
      <c r="J7" s="50">
        <v>1.26</v>
      </c>
      <c r="K7" s="18">
        <v>0.78</v>
      </c>
      <c r="L7" s="50">
        <v>2.11</v>
      </c>
      <c r="M7" s="52">
        <v>4.04</v>
      </c>
      <c r="N7" s="50">
        <v>0.75</v>
      </c>
      <c r="O7" s="50">
        <v>0.84</v>
      </c>
      <c r="P7" s="50">
        <v>0.38</v>
      </c>
      <c r="Q7" s="19">
        <f t="shared" ref="Q7:Q36" si="1">AVERAGE(E7,F7,G7,H7,I7,J7,K7,L7,M7,N7,O7,P7)</f>
        <v>1.435833333</v>
      </c>
      <c r="R7" s="17">
        <v>5.0</v>
      </c>
    </row>
    <row r="8">
      <c r="A8" s="20"/>
      <c r="B8" s="21"/>
      <c r="C8" s="22">
        <v>2.0</v>
      </c>
      <c r="D8" s="53" t="s">
        <v>50</v>
      </c>
      <c r="E8" s="54">
        <v>0.0</v>
      </c>
      <c r="F8" s="54">
        <v>0.64</v>
      </c>
      <c r="G8" s="55">
        <v>1.08</v>
      </c>
      <c r="H8" s="24">
        <v>1.1</v>
      </c>
      <c r="I8" s="24">
        <v>0.85</v>
      </c>
      <c r="J8" s="54">
        <v>0.68</v>
      </c>
      <c r="K8" s="24">
        <v>0.51</v>
      </c>
      <c r="L8" s="54">
        <v>1.25</v>
      </c>
      <c r="M8" s="56">
        <v>4.19</v>
      </c>
      <c r="N8" s="54">
        <v>0.45</v>
      </c>
      <c r="O8" s="54">
        <v>0.89</v>
      </c>
      <c r="P8" s="54">
        <v>0.28</v>
      </c>
      <c r="Q8" s="26">
        <f t="shared" si="1"/>
        <v>0.9933333333</v>
      </c>
      <c r="R8" s="23">
        <v>5.0</v>
      </c>
    </row>
    <row r="9">
      <c r="A9" s="20"/>
      <c r="B9" s="21"/>
      <c r="C9" s="22">
        <v>3.0</v>
      </c>
      <c r="D9" s="53" t="s">
        <v>51</v>
      </c>
      <c r="E9" s="54">
        <v>0.0</v>
      </c>
      <c r="F9" s="54">
        <v>1.1</v>
      </c>
      <c r="G9" s="55">
        <v>0.4</v>
      </c>
      <c r="H9" s="24">
        <v>1.37</v>
      </c>
      <c r="I9" s="24">
        <v>1.13</v>
      </c>
      <c r="J9" s="54">
        <v>0.33</v>
      </c>
      <c r="K9" s="24">
        <v>0.65</v>
      </c>
      <c r="L9" s="54">
        <v>0.75</v>
      </c>
      <c r="M9" s="56">
        <v>1.78</v>
      </c>
      <c r="N9" s="54">
        <v>0.5</v>
      </c>
      <c r="O9" s="54">
        <v>1.1</v>
      </c>
      <c r="P9" s="54">
        <v>0.48</v>
      </c>
      <c r="Q9" s="26">
        <f t="shared" si="1"/>
        <v>0.7991666667</v>
      </c>
      <c r="R9" s="23">
        <v>5.0</v>
      </c>
    </row>
    <row r="10">
      <c r="A10" s="20"/>
      <c r="B10" s="21"/>
      <c r="C10" s="22">
        <v>4.0</v>
      </c>
      <c r="D10" s="53" t="s">
        <v>52</v>
      </c>
      <c r="E10" s="54">
        <v>0.0</v>
      </c>
      <c r="F10" s="54">
        <v>1.35</v>
      </c>
      <c r="G10" s="55">
        <v>0.95</v>
      </c>
      <c r="H10" s="24">
        <v>1.21</v>
      </c>
      <c r="I10" s="24">
        <v>1.5</v>
      </c>
      <c r="J10" s="54">
        <v>0.26</v>
      </c>
      <c r="K10" s="24">
        <v>0.48</v>
      </c>
      <c r="L10" s="54">
        <v>0.68</v>
      </c>
      <c r="M10" s="56">
        <v>1.64</v>
      </c>
      <c r="N10" s="54">
        <v>0.38</v>
      </c>
      <c r="O10" s="54">
        <v>1.25</v>
      </c>
      <c r="P10" s="54">
        <v>0.32</v>
      </c>
      <c r="Q10" s="26">
        <f t="shared" si="1"/>
        <v>0.835</v>
      </c>
      <c r="R10" s="23">
        <v>5.0</v>
      </c>
    </row>
    <row r="11">
      <c r="A11" s="20"/>
      <c r="B11" s="27"/>
      <c r="C11" s="22">
        <v>5.0</v>
      </c>
      <c r="D11" s="53" t="s">
        <v>53</v>
      </c>
      <c r="E11" s="54">
        <v>0.0</v>
      </c>
      <c r="F11" s="54">
        <v>1.51</v>
      </c>
      <c r="G11" s="57">
        <v>0.91</v>
      </c>
      <c r="H11" s="24">
        <v>1.09</v>
      </c>
      <c r="I11" s="24">
        <v>0.95</v>
      </c>
      <c r="J11" s="54">
        <v>0.22</v>
      </c>
      <c r="K11" s="24">
        <v>0.57</v>
      </c>
      <c r="L11" s="54">
        <v>1.71</v>
      </c>
      <c r="M11" s="56">
        <v>2.02</v>
      </c>
      <c r="N11" s="54">
        <v>0.3</v>
      </c>
      <c r="O11" s="54">
        <v>1.48</v>
      </c>
      <c r="P11" s="54">
        <v>0.4</v>
      </c>
      <c r="Q11" s="26">
        <f t="shared" si="1"/>
        <v>0.93</v>
      </c>
      <c r="R11" s="23">
        <v>5.0</v>
      </c>
    </row>
    <row r="12">
      <c r="A12" s="20"/>
      <c r="B12" s="15" t="s">
        <v>31</v>
      </c>
      <c r="C12" s="16">
        <v>1.0</v>
      </c>
      <c r="D12" s="49" t="s">
        <v>49</v>
      </c>
      <c r="E12" s="58">
        <v>62.0</v>
      </c>
      <c r="F12" s="59">
        <v>83.0</v>
      </c>
      <c r="G12" s="60">
        <v>59.0</v>
      </c>
      <c r="H12" s="28">
        <v>119.0</v>
      </c>
      <c r="I12" s="28">
        <v>55.0</v>
      </c>
      <c r="J12" s="59">
        <v>60.0</v>
      </c>
      <c r="K12" s="28">
        <v>177.0</v>
      </c>
      <c r="L12" s="59">
        <v>75.0</v>
      </c>
      <c r="M12" s="59">
        <v>97.0</v>
      </c>
      <c r="N12" s="59">
        <v>8.0</v>
      </c>
      <c r="O12" s="59">
        <v>77.0</v>
      </c>
      <c r="P12" s="59">
        <v>62.0</v>
      </c>
      <c r="Q12" s="29">
        <f t="shared" si="1"/>
        <v>77.83333333</v>
      </c>
      <c r="R12" s="17">
        <v>7.0</v>
      </c>
      <c r="S12" s="61">
        <f>AVERAGE(Q12:Q16)</f>
        <v>85.35</v>
      </c>
    </row>
    <row r="13">
      <c r="A13" s="20"/>
      <c r="B13" s="21"/>
      <c r="C13" s="22">
        <v>2.0</v>
      </c>
      <c r="D13" s="53" t="s">
        <v>50</v>
      </c>
      <c r="E13" s="62">
        <v>108.0</v>
      </c>
      <c r="F13" s="62">
        <v>69.0</v>
      </c>
      <c r="G13" s="63">
        <v>49.0</v>
      </c>
      <c r="H13" s="30">
        <v>99.0</v>
      </c>
      <c r="I13" s="30">
        <v>90.0</v>
      </c>
      <c r="J13" s="62">
        <v>93.0</v>
      </c>
      <c r="K13" s="30">
        <v>209.0</v>
      </c>
      <c r="L13" s="62">
        <v>74.0</v>
      </c>
      <c r="M13" s="62">
        <v>116.0</v>
      </c>
      <c r="N13" s="62">
        <v>17.0</v>
      </c>
      <c r="O13" s="62">
        <v>151.0</v>
      </c>
      <c r="P13" s="62">
        <v>106.0</v>
      </c>
      <c r="Q13" s="31">
        <f t="shared" si="1"/>
        <v>98.41666667</v>
      </c>
      <c r="R13" s="23">
        <v>7.0</v>
      </c>
      <c r="S13" s="64">
        <f>AVERAGE(Q1:Q12)</f>
        <v>13.80444444</v>
      </c>
    </row>
    <row r="14">
      <c r="A14" s="20"/>
      <c r="B14" s="21"/>
      <c r="C14" s="22">
        <v>3.0</v>
      </c>
      <c r="D14" s="53" t="s">
        <v>51</v>
      </c>
      <c r="E14" s="62">
        <v>74.0</v>
      </c>
      <c r="F14" s="62">
        <v>142.0</v>
      </c>
      <c r="G14" s="63">
        <v>79.0</v>
      </c>
      <c r="H14" s="30">
        <v>101.0</v>
      </c>
      <c r="I14" s="30">
        <v>104.0</v>
      </c>
      <c r="J14" s="62">
        <v>97.0</v>
      </c>
      <c r="K14" s="30">
        <v>123.0</v>
      </c>
      <c r="L14" s="62">
        <v>84.0</v>
      </c>
      <c r="M14" s="62">
        <v>105.0</v>
      </c>
      <c r="N14" s="62">
        <v>44.0</v>
      </c>
      <c r="O14" s="62">
        <v>52.0</v>
      </c>
      <c r="P14" s="62">
        <v>70.0</v>
      </c>
      <c r="Q14" s="31">
        <f t="shared" si="1"/>
        <v>89.58333333</v>
      </c>
      <c r="R14" s="23">
        <v>7.0</v>
      </c>
    </row>
    <row r="15">
      <c r="A15" s="20"/>
      <c r="B15" s="21"/>
      <c r="C15" s="22">
        <v>4.0</v>
      </c>
      <c r="D15" s="53" t="s">
        <v>52</v>
      </c>
      <c r="E15" s="62">
        <v>64.0</v>
      </c>
      <c r="F15" s="62">
        <v>122.0</v>
      </c>
      <c r="G15" s="63">
        <v>78.0</v>
      </c>
      <c r="H15" s="30">
        <v>68.0</v>
      </c>
      <c r="I15" s="30">
        <v>36.0</v>
      </c>
      <c r="J15" s="62">
        <v>97.0</v>
      </c>
      <c r="K15" s="30">
        <v>188.0</v>
      </c>
      <c r="L15" s="62">
        <v>77.0</v>
      </c>
      <c r="M15" s="62">
        <v>87.0</v>
      </c>
      <c r="N15" s="62">
        <v>124.0</v>
      </c>
      <c r="O15" s="62">
        <v>45.0</v>
      </c>
      <c r="P15" s="62">
        <v>64.0</v>
      </c>
      <c r="Q15" s="31">
        <f t="shared" si="1"/>
        <v>87.5</v>
      </c>
      <c r="R15" s="23">
        <v>7.0</v>
      </c>
    </row>
    <row r="16">
      <c r="A16" s="20"/>
      <c r="B16" s="27"/>
      <c r="C16" s="22">
        <v>5.0</v>
      </c>
      <c r="D16" s="53" t="s">
        <v>53</v>
      </c>
      <c r="E16" s="62">
        <v>63.0</v>
      </c>
      <c r="F16" s="62">
        <v>39.0</v>
      </c>
      <c r="G16" s="63">
        <v>91.0</v>
      </c>
      <c r="H16" s="30">
        <v>55.0</v>
      </c>
      <c r="I16" s="30">
        <v>92.0</v>
      </c>
      <c r="J16" s="62">
        <v>105.0</v>
      </c>
      <c r="K16" s="30">
        <v>132.0</v>
      </c>
      <c r="L16" s="62">
        <v>69.0</v>
      </c>
      <c r="M16" s="62">
        <v>108.0</v>
      </c>
      <c r="N16" s="62">
        <v>23.0</v>
      </c>
      <c r="O16" s="62">
        <v>45.0</v>
      </c>
      <c r="P16" s="62">
        <v>59.0</v>
      </c>
      <c r="Q16" s="31">
        <f t="shared" si="1"/>
        <v>73.41666667</v>
      </c>
      <c r="R16" s="23">
        <v>7.0</v>
      </c>
    </row>
    <row r="17">
      <c r="A17" s="20"/>
      <c r="B17" s="15" t="s">
        <v>33</v>
      </c>
      <c r="C17" s="16">
        <v>1.0</v>
      </c>
      <c r="D17" s="49" t="s">
        <v>49</v>
      </c>
      <c r="E17" s="58">
        <v>25.0</v>
      </c>
      <c r="F17" s="59">
        <v>22.0</v>
      </c>
      <c r="G17" s="65">
        <v>38.0</v>
      </c>
      <c r="H17" s="28">
        <v>21.0</v>
      </c>
      <c r="I17" s="28">
        <v>31.0</v>
      </c>
      <c r="J17" s="59">
        <v>22.0</v>
      </c>
      <c r="K17" s="28">
        <v>115.0</v>
      </c>
      <c r="L17" s="28">
        <v>22.0</v>
      </c>
      <c r="M17" s="59">
        <v>15.0</v>
      </c>
      <c r="N17" s="59">
        <v>36.0</v>
      </c>
      <c r="O17" s="59">
        <v>34.0</v>
      </c>
      <c r="P17" s="59">
        <v>20.0</v>
      </c>
      <c r="Q17" s="29">
        <f t="shared" si="1"/>
        <v>33.41666667</v>
      </c>
      <c r="R17" s="17">
        <v>80.0</v>
      </c>
    </row>
    <row r="18">
      <c r="A18" s="20"/>
      <c r="B18" s="21"/>
      <c r="C18" s="22">
        <v>2.0</v>
      </c>
      <c r="D18" s="53" t="s">
        <v>50</v>
      </c>
      <c r="E18" s="62">
        <v>38.0</v>
      </c>
      <c r="F18" s="62">
        <v>30.0</v>
      </c>
      <c r="G18" s="66">
        <v>29.0</v>
      </c>
      <c r="H18" s="30">
        <v>32.0</v>
      </c>
      <c r="I18" s="30">
        <v>33.0</v>
      </c>
      <c r="J18" s="62">
        <v>21.0</v>
      </c>
      <c r="K18" s="30">
        <v>22.0</v>
      </c>
      <c r="L18" s="30">
        <v>20.0</v>
      </c>
      <c r="M18" s="62">
        <v>22.0</v>
      </c>
      <c r="N18" s="62">
        <v>47.0</v>
      </c>
      <c r="O18" s="62">
        <v>44.0</v>
      </c>
      <c r="P18" s="62">
        <v>21.0</v>
      </c>
      <c r="Q18" s="31">
        <f t="shared" si="1"/>
        <v>29.91666667</v>
      </c>
      <c r="R18" s="23">
        <v>80.0</v>
      </c>
    </row>
    <row r="19">
      <c r="A19" s="20"/>
      <c r="B19" s="21"/>
      <c r="C19" s="22">
        <v>3.0</v>
      </c>
      <c r="D19" s="53" t="s">
        <v>51</v>
      </c>
      <c r="E19" s="62">
        <v>21.0</v>
      </c>
      <c r="F19" s="62">
        <v>55.0</v>
      </c>
      <c r="G19" s="66">
        <v>25.0</v>
      </c>
      <c r="H19" s="30">
        <v>21.0</v>
      </c>
      <c r="I19" s="30">
        <v>24.0</v>
      </c>
      <c r="J19" s="62">
        <v>31.0</v>
      </c>
      <c r="K19" s="30">
        <v>126.0</v>
      </c>
      <c r="L19" s="30">
        <v>18.0</v>
      </c>
      <c r="M19" s="62">
        <v>13.0</v>
      </c>
      <c r="N19" s="62">
        <v>27.0</v>
      </c>
      <c r="O19" s="62">
        <v>22.0</v>
      </c>
      <c r="P19" s="62">
        <v>25.0</v>
      </c>
      <c r="Q19" s="31">
        <f t="shared" si="1"/>
        <v>34</v>
      </c>
      <c r="R19" s="23">
        <v>80.0</v>
      </c>
    </row>
    <row r="20">
      <c r="A20" s="20"/>
      <c r="B20" s="21"/>
      <c r="C20" s="22">
        <v>4.0</v>
      </c>
      <c r="D20" s="53" t="s">
        <v>52</v>
      </c>
      <c r="E20" s="62">
        <v>22.0</v>
      </c>
      <c r="F20" s="62">
        <v>53.0</v>
      </c>
      <c r="G20" s="63">
        <v>36.0</v>
      </c>
      <c r="H20" s="30">
        <v>32.0</v>
      </c>
      <c r="I20" s="30">
        <v>24.0</v>
      </c>
      <c r="J20" s="62">
        <v>19.0</v>
      </c>
      <c r="K20" s="30">
        <v>51.0</v>
      </c>
      <c r="L20" s="30">
        <v>36.0</v>
      </c>
      <c r="M20" s="62">
        <v>23.0</v>
      </c>
      <c r="N20" s="62">
        <v>57.0</v>
      </c>
      <c r="O20" s="62">
        <v>20.0</v>
      </c>
      <c r="P20" s="62">
        <v>24.0</v>
      </c>
      <c r="Q20" s="31">
        <f t="shared" si="1"/>
        <v>33.08333333</v>
      </c>
      <c r="R20" s="23">
        <v>80.0</v>
      </c>
    </row>
    <row r="21" ht="15.75" customHeight="1">
      <c r="A21" s="20"/>
      <c r="B21" s="27"/>
      <c r="C21" s="22">
        <v>5.0</v>
      </c>
      <c r="D21" s="53" t="s">
        <v>53</v>
      </c>
      <c r="E21" s="62">
        <v>18.0</v>
      </c>
      <c r="F21" s="62">
        <v>24.0</v>
      </c>
      <c r="G21" s="67">
        <v>20.0</v>
      </c>
      <c r="H21" s="30">
        <v>11.0</v>
      </c>
      <c r="I21" s="30">
        <v>26.0</v>
      </c>
      <c r="J21" s="62">
        <v>38.0</v>
      </c>
      <c r="K21" s="30">
        <v>37.0</v>
      </c>
      <c r="L21" s="30">
        <v>12.0</v>
      </c>
      <c r="M21" s="62">
        <v>37.0</v>
      </c>
      <c r="N21" s="62">
        <v>29.0</v>
      </c>
      <c r="O21" s="62">
        <v>20.0</v>
      </c>
      <c r="P21" s="62">
        <v>23.0</v>
      </c>
      <c r="Q21" s="31">
        <f t="shared" si="1"/>
        <v>24.58333333</v>
      </c>
      <c r="R21" s="23">
        <v>80.0</v>
      </c>
    </row>
    <row r="22" ht="15.75" customHeight="1">
      <c r="A22" s="20"/>
      <c r="B22" s="15" t="s">
        <v>34</v>
      </c>
      <c r="C22" s="16">
        <v>1.0</v>
      </c>
      <c r="D22" s="49" t="s">
        <v>49</v>
      </c>
      <c r="E22" s="58">
        <v>7.95</v>
      </c>
      <c r="F22" s="50">
        <v>8.03</v>
      </c>
      <c r="G22" s="51">
        <v>7.58</v>
      </c>
      <c r="H22" s="18">
        <v>7.01</v>
      </c>
      <c r="I22" s="18">
        <v>7.03</v>
      </c>
      <c r="J22" s="50">
        <v>7.08</v>
      </c>
      <c r="K22" s="18">
        <v>7.05</v>
      </c>
      <c r="L22" s="50">
        <v>7.0</v>
      </c>
      <c r="M22" s="50">
        <v>6.95</v>
      </c>
      <c r="N22" s="50">
        <v>7.02</v>
      </c>
      <c r="O22" s="50">
        <v>7.13</v>
      </c>
      <c r="P22" s="50">
        <v>7.04</v>
      </c>
      <c r="Q22" s="19">
        <f t="shared" si="1"/>
        <v>7.239166667</v>
      </c>
      <c r="R22" s="18" t="s">
        <v>35</v>
      </c>
    </row>
    <row r="23" ht="15.75" customHeight="1">
      <c r="A23" s="20"/>
      <c r="B23" s="21"/>
      <c r="C23" s="22">
        <v>2.0</v>
      </c>
      <c r="D23" s="53" t="s">
        <v>50</v>
      </c>
      <c r="E23" s="54">
        <v>7.23</v>
      </c>
      <c r="F23" s="54">
        <v>7.99</v>
      </c>
      <c r="G23" s="55">
        <v>7.6</v>
      </c>
      <c r="H23" s="24">
        <v>6.99</v>
      </c>
      <c r="I23" s="24">
        <v>7.0</v>
      </c>
      <c r="J23" s="54">
        <v>7.01</v>
      </c>
      <c r="K23" s="24">
        <v>6.99</v>
      </c>
      <c r="L23" s="54">
        <v>6.86</v>
      </c>
      <c r="M23" s="54">
        <v>6.94</v>
      </c>
      <c r="N23" s="54">
        <v>6.97</v>
      </c>
      <c r="O23" s="54">
        <v>7.11</v>
      </c>
      <c r="P23" s="54">
        <v>7.05</v>
      </c>
      <c r="Q23" s="26">
        <f t="shared" si="1"/>
        <v>7.145</v>
      </c>
      <c r="R23" s="24" t="s">
        <v>35</v>
      </c>
    </row>
    <row r="24" ht="15.75" customHeight="1">
      <c r="A24" s="20"/>
      <c r="B24" s="21"/>
      <c r="C24" s="22">
        <v>3.0</v>
      </c>
      <c r="D24" s="53" t="s">
        <v>51</v>
      </c>
      <c r="E24" s="68">
        <v>6.93</v>
      </c>
      <c r="F24" s="54">
        <v>8.0</v>
      </c>
      <c r="G24" s="55">
        <v>7.61</v>
      </c>
      <c r="H24" s="24">
        <v>7.16</v>
      </c>
      <c r="I24" s="24">
        <v>7.04</v>
      </c>
      <c r="J24" s="54">
        <v>6.99</v>
      </c>
      <c r="K24" s="24">
        <v>7.0</v>
      </c>
      <c r="L24" s="54">
        <v>6.88</v>
      </c>
      <c r="M24" s="54">
        <v>6.96</v>
      </c>
      <c r="N24" s="54">
        <v>7.0</v>
      </c>
      <c r="O24" s="54">
        <v>7.08</v>
      </c>
      <c r="P24" s="54">
        <v>7.02</v>
      </c>
      <c r="Q24" s="26">
        <f t="shared" si="1"/>
        <v>7.139166667</v>
      </c>
      <c r="R24" s="24" t="s">
        <v>35</v>
      </c>
    </row>
    <row r="25" ht="15.75" customHeight="1">
      <c r="A25" s="20"/>
      <c r="B25" s="21"/>
      <c r="C25" s="22">
        <v>4.0</v>
      </c>
      <c r="D25" s="53" t="s">
        <v>52</v>
      </c>
      <c r="E25" s="54">
        <v>7.0</v>
      </c>
      <c r="F25" s="54">
        <v>8.0</v>
      </c>
      <c r="G25" s="55">
        <v>7.59</v>
      </c>
      <c r="H25" s="24">
        <v>7.25</v>
      </c>
      <c r="I25" s="24">
        <v>7.03</v>
      </c>
      <c r="J25" s="54">
        <v>6.98</v>
      </c>
      <c r="K25" s="24">
        <v>7.02</v>
      </c>
      <c r="L25" s="54">
        <v>6.9</v>
      </c>
      <c r="M25" s="54">
        <v>6.91</v>
      </c>
      <c r="N25" s="54">
        <v>6.98</v>
      </c>
      <c r="O25" s="54">
        <v>7.09</v>
      </c>
      <c r="P25" s="54">
        <v>6.99</v>
      </c>
      <c r="Q25" s="26">
        <f t="shared" si="1"/>
        <v>7.145</v>
      </c>
      <c r="R25" s="24" t="s">
        <v>35</v>
      </c>
    </row>
    <row r="26" ht="15.75" customHeight="1">
      <c r="A26" s="20"/>
      <c r="B26" s="27"/>
      <c r="C26" s="22">
        <v>5.0</v>
      </c>
      <c r="D26" s="53" t="s">
        <v>53</v>
      </c>
      <c r="E26" s="68">
        <v>7.07</v>
      </c>
      <c r="F26" s="54">
        <v>8.01</v>
      </c>
      <c r="G26" s="57">
        <v>7.65</v>
      </c>
      <c r="H26" s="24">
        <v>7.0</v>
      </c>
      <c r="I26" s="24">
        <v>7.02</v>
      </c>
      <c r="J26" s="54">
        <v>6.96</v>
      </c>
      <c r="K26" s="24">
        <v>7.01</v>
      </c>
      <c r="L26" s="54">
        <v>6.93</v>
      </c>
      <c r="M26" s="54">
        <v>6.93</v>
      </c>
      <c r="N26" s="54">
        <v>7.01</v>
      </c>
      <c r="O26" s="54">
        <v>7.06</v>
      </c>
      <c r="P26" s="54">
        <v>7.0</v>
      </c>
      <c r="Q26" s="26">
        <f t="shared" si="1"/>
        <v>7.1375</v>
      </c>
      <c r="R26" s="24" t="s">
        <v>35</v>
      </c>
    </row>
    <row r="27" ht="15.75" customHeight="1">
      <c r="A27" s="20"/>
      <c r="B27" s="15" t="s">
        <v>54</v>
      </c>
      <c r="C27" s="16">
        <v>1.0</v>
      </c>
      <c r="D27" s="49" t="s">
        <v>49</v>
      </c>
      <c r="E27" s="51" t="s">
        <v>26</v>
      </c>
      <c r="F27" s="50">
        <v>29.0</v>
      </c>
      <c r="G27" s="51">
        <v>29.3</v>
      </c>
      <c r="H27" s="18">
        <v>30.0</v>
      </c>
      <c r="I27" s="18">
        <v>28.7</v>
      </c>
      <c r="J27" s="50">
        <v>29.38</v>
      </c>
      <c r="K27" s="18">
        <v>27.5</v>
      </c>
      <c r="L27" s="50">
        <v>30.1</v>
      </c>
      <c r="M27" s="50">
        <v>29.4</v>
      </c>
      <c r="N27" s="50">
        <v>27.1</v>
      </c>
      <c r="O27" s="50">
        <v>28.6</v>
      </c>
      <c r="P27" s="50">
        <v>29.7</v>
      </c>
      <c r="Q27" s="19">
        <f t="shared" si="1"/>
        <v>28.98</v>
      </c>
      <c r="R27" s="18" t="s">
        <v>37</v>
      </c>
    </row>
    <row r="28" ht="15.75" customHeight="1">
      <c r="A28" s="20"/>
      <c r="B28" s="21"/>
      <c r="C28" s="22">
        <v>2.0</v>
      </c>
      <c r="D28" s="53" t="s">
        <v>50</v>
      </c>
      <c r="E28" s="55" t="s">
        <v>26</v>
      </c>
      <c r="F28" s="54">
        <v>29.5</v>
      </c>
      <c r="G28" s="55">
        <v>30.0</v>
      </c>
      <c r="H28" s="24">
        <v>27.6</v>
      </c>
      <c r="I28" s="24">
        <v>29.7</v>
      </c>
      <c r="J28" s="54">
        <v>29.96</v>
      </c>
      <c r="K28" s="24">
        <v>30.0</v>
      </c>
      <c r="L28" s="54">
        <v>30.1</v>
      </c>
      <c r="M28" s="54">
        <v>33.1</v>
      </c>
      <c r="N28" s="54">
        <v>26.5</v>
      </c>
      <c r="O28" s="54">
        <v>28.75</v>
      </c>
      <c r="P28" s="54">
        <v>29.85</v>
      </c>
      <c r="Q28" s="26">
        <f t="shared" si="1"/>
        <v>29.55090909</v>
      </c>
      <c r="R28" s="24" t="s">
        <v>37</v>
      </c>
    </row>
    <row r="29" ht="15.75" customHeight="1">
      <c r="A29" s="20"/>
      <c r="B29" s="21"/>
      <c r="C29" s="22">
        <v>3.0</v>
      </c>
      <c r="D29" s="53" t="s">
        <v>51</v>
      </c>
      <c r="E29" s="55" t="s">
        <v>26</v>
      </c>
      <c r="F29" s="54">
        <v>27.2</v>
      </c>
      <c r="G29" s="55">
        <v>27.35</v>
      </c>
      <c r="H29" s="24">
        <v>27.9</v>
      </c>
      <c r="I29" s="24">
        <v>29.3</v>
      </c>
      <c r="J29" s="54">
        <v>29.85</v>
      </c>
      <c r="K29" s="24">
        <v>28.7</v>
      </c>
      <c r="L29" s="54">
        <v>29.1</v>
      </c>
      <c r="M29" s="54">
        <v>29.3</v>
      </c>
      <c r="N29" s="54">
        <v>25.8</v>
      </c>
      <c r="O29" s="54">
        <v>29.0</v>
      </c>
      <c r="P29" s="54">
        <v>29.9</v>
      </c>
      <c r="Q29" s="26">
        <f t="shared" si="1"/>
        <v>28.49090909</v>
      </c>
      <c r="R29" s="24" t="s">
        <v>37</v>
      </c>
    </row>
    <row r="30" ht="15.75" customHeight="1">
      <c r="A30" s="20"/>
      <c r="B30" s="21"/>
      <c r="C30" s="22">
        <v>4.0</v>
      </c>
      <c r="D30" s="53" t="s">
        <v>52</v>
      </c>
      <c r="E30" s="55" t="s">
        <v>26</v>
      </c>
      <c r="F30" s="54">
        <v>30.1</v>
      </c>
      <c r="G30" s="55">
        <v>31.6</v>
      </c>
      <c r="H30" s="24">
        <v>29.7</v>
      </c>
      <c r="I30" s="24">
        <v>30.1</v>
      </c>
      <c r="J30" s="54">
        <v>29.7</v>
      </c>
      <c r="K30" s="24">
        <v>28.9</v>
      </c>
      <c r="L30" s="54">
        <v>29.3</v>
      </c>
      <c r="M30" s="54">
        <v>29.2</v>
      </c>
      <c r="N30" s="54">
        <v>26.1</v>
      </c>
      <c r="O30" s="54">
        <v>28.9</v>
      </c>
      <c r="P30" s="54">
        <v>30.6</v>
      </c>
      <c r="Q30" s="26">
        <f t="shared" si="1"/>
        <v>29.47272727</v>
      </c>
      <c r="R30" s="24" t="s">
        <v>37</v>
      </c>
    </row>
    <row r="31" ht="15.75" customHeight="1">
      <c r="A31" s="20"/>
      <c r="B31" s="27"/>
      <c r="C31" s="22">
        <v>5.0</v>
      </c>
      <c r="D31" s="53" t="s">
        <v>53</v>
      </c>
      <c r="E31" s="55" t="s">
        <v>26</v>
      </c>
      <c r="F31" s="54">
        <v>29.3</v>
      </c>
      <c r="G31" s="57">
        <v>31.1</v>
      </c>
      <c r="H31" s="24">
        <v>29.2</v>
      </c>
      <c r="I31" s="24">
        <v>30.5</v>
      </c>
      <c r="J31" s="54">
        <v>29.68</v>
      </c>
      <c r="K31" s="24">
        <v>28.8</v>
      </c>
      <c r="L31" s="54">
        <v>29.9</v>
      </c>
      <c r="M31" s="54">
        <v>30.2</v>
      </c>
      <c r="N31" s="54">
        <v>26.6</v>
      </c>
      <c r="O31" s="54">
        <v>29.45</v>
      </c>
      <c r="P31" s="54">
        <v>28.7</v>
      </c>
      <c r="Q31" s="26">
        <f t="shared" si="1"/>
        <v>29.40272727</v>
      </c>
      <c r="R31" s="24" t="s">
        <v>37</v>
      </c>
    </row>
    <row r="32" ht="15.75" customHeight="1">
      <c r="A32" s="20"/>
      <c r="B32" s="15" t="s">
        <v>38</v>
      </c>
      <c r="C32" s="16">
        <v>1.0</v>
      </c>
      <c r="D32" s="49" t="s">
        <v>49</v>
      </c>
      <c r="E32" s="58">
        <v>40.0</v>
      </c>
      <c r="F32" s="59">
        <v>50.0</v>
      </c>
      <c r="G32" s="65">
        <v>40.0</v>
      </c>
      <c r="H32" s="28">
        <v>50.0</v>
      </c>
      <c r="I32" s="28">
        <v>40.0</v>
      </c>
      <c r="J32" s="59">
        <v>25.0</v>
      </c>
      <c r="K32" s="28">
        <v>20.0</v>
      </c>
      <c r="L32" s="28">
        <v>25.0</v>
      </c>
      <c r="M32" s="59">
        <v>40.0</v>
      </c>
      <c r="N32" s="59">
        <v>30.0</v>
      </c>
      <c r="O32" s="59">
        <v>50.0</v>
      </c>
      <c r="P32" s="59">
        <v>40.0</v>
      </c>
      <c r="Q32" s="29">
        <f t="shared" si="1"/>
        <v>37.5</v>
      </c>
      <c r="R32" s="17">
        <v>75.0</v>
      </c>
    </row>
    <row r="33" ht="15.75" customHeight="1">
      <c r="A33" s="20"/>
      <c r="B33" s="21"/>
      <c r="C33" s="22">
        <v>2.0</v>
      </c>
      <c r="D33" s="53" t="s">
        <v>50</v>
      </c>
      <c r="E33" s="62">
        <v>40.0</v>
      </c>
      <c r="F33" s="62">
        <v>75.0</v>
      </c>
      <c r="G33" s="66">
        <v>30.0</v>
      </c>
      <c r="H33" s="30">
        <v>15.0</v>
      </c>
      <c r="I33" s="30">
        <v>20.0</v>
      </c>
      <c r="J33" s="62">
        <v>25.0</v>
      </c>
      <c r="K33" s="30">
        <v>20.0</v>
      </c>
      <c r="L33" s="30">
        <v>30.0</v>
      </c>
      <c r="M33" s="62">
        <v>30.0</v>
      </c>
      <c r="N33" s="62">
        <v>50.0</v>
      </c>
      <c r="O33" s="62">
        <v>25.0</v>
      </c>
      <c r="P33" s="62">
        <v>30.0</v>
      </c>
      <c r="Q33" s="31">
        <f t="shared" si="1"/>
        <v>32.5</v>
      </c>
      <c r="R33" s="23">
        <v>75.0</v>
      </c>
    </row>
    <row r="34" ht="15.75" customHeight="1">
      <c r="A34" s="20"/>
      <c r="B34" s="21"/>
      <c r="C34" s="22">
        <v>3.0</v>
      </c>
      <c r="D34" s="53" t="s">
        <v>51</v>
      </c>
      <c r="E34" s="62">
        <v>40.0</v>
      </c>
      <c r="F34" s="62">
        <v>50.0</v>
      </c>
      <c r="G34" s="66">
        <v>25.0</v>
      </c>
      <c r="H34" s="30">
        <v>10.0</v>
      </c>
      <c r="I34" s="30">
        <v>50.0</v>
      </c>
      <c r="J34" s="62">
        <v>20.0</v>
      </c>
      <c r="K34" s="30">
        <v>25.0</v>
      </c>
      <c r="L34" s="30">
        <v>30.0</v>
      </c>
      <c r="M34" s="62">
        <v>30.0</v>
      </c>
      <c r="N34" s="62">
        <v>25.0</v>
      </c>
      <c r="O34" s="62">
        <v>30.0</v>
      </c>
      <c r="P34" s="62">
        <v>30.0</v>
      </c>
      <c r="Q34" s="31">
        <f t="shared" si="1"/>
        <v>30.41666667</v>
      </c>
      <c r="R34" s="23">
        <v>75.0</v>
      </c>
    </row>
    <row r="35" ht="15.75" customHeight="1">
      <c r="A35" s="20"/>
      <c r="B35" s="21"/>
      <c r="C35" s="22">
        <v>4.0</v>
      </c>
      <c r="D35" s="53" t="s">
        <v>52</v>
      </c>
      <c r="E35" s="62">
        <v>40.0</v>
      </c>
      <c r="F35" s="62">
        <v>50.0</v>
      </c>
      <c r="G35" s="63">
        <v>25.0</v>
      </c>
      <c r="H35" s="30">
        <v>40.0</v>
      </c>
      <c r="I35" s="30">
        <v>50.0</v>
      </c>
      <c r="J35" s="62">
        <v>25.0</v>
      </c>
      <c r="K35" s="30">
        <v>25.0</v>
      </c>
      <c r="L35" s="30">
        <v>40.0</v>
      </c>
      <c r="M35" s="62">
        <v>20.0</v>
      </c>
      <c r="N35" s="62">
        <v>20.0</v>
      </c>
      <c r="O35" s="62">
        <v>25.0</v>
      </c>
      <c r="P35" s="62">
        <v>40.0</v>
      </c>
      <c r="Q35" s="31">
        <f t="shared" si="1"/>
        <v>33.33333333</v>
      </c>
      <c r="R35" s="23">
        <v>75.0</v>
      </c>
    </row>
    <row r="36" ht="15.75" customHeight="1">
      <c r="A36" s="20"/>
      <c r="B36" s="27"/>
      <c r="C36" s="22">
        <v>5.0</v>
      </c>
      <c r="D36" s="53" t="s">
        <v>53</v>
      </c>
      <c r="E36" s="62">
        <v>30.0</v>
      </c>
      <c r="F36" s="62">
        <v>50.0</v>
      </c>
      <c r="G36" s="67">
        <v>30.0</v>
      </c>
      <c r="H36" s="30">
        <v>30.0</v>
      </c>
      <c r="I36" s="30">
        <v>50.0</v>
      </c>
      <c r="J36" s="62">
        <v>25.0</v>
      </c>
      <c r="K36" s="30">
        <v>40.0</v>
      </c>
      <c r="L36" s="30">
        <v>30.0</v>
      </c>
      <c r="M36" s="62">
        <v>20.0</v>
      </c>
      <c r="N36" s="62">
        <v>25.0</v>
      </c>
      <c r="O36" s="62">
        <v>25.0</v>
      </c>
      <c r="P36" s="62">
        <v>50.0</v>
      </c>
      <c r="Q36" s="31">
        <f t="shared" si="1"/>
        <v>33.75</v>
      </c>
      <c r="R36" s="23">
        <v>75.0</v>
      </c>
    </row>
    <row r="37" ht="15.75" customHeight="1">
      <c r="A37" s="20"/>
      <c r="B37" s="15" t="s">
        <v>40</v>
      </c>
      <c r="C37" s="16">
        <v>1.0</v>
      </c>
      <c r="D37" s="49" t="s">
        <v>49</v>
      </c>
      <c r="E37" s="69">
        <v>1.6E7</v>
      </c>
      <c r="F37" s="70">
        <v>2.4E7</v>
      </c>
      <c r="G37" s="71">
        <v>3500000.0</v>
      </c>
      <c r="H37" s="33">
        <v>5400000.0</v>
      </c>
      <c r="I37" s="33">
        <v>3.5E7</v>
      </c>
      <c r="J37" s="70">
        <v>3500000.0</v>
      </c>
      <c r="K37" s="33">
        <v>350000.0</v>
      </c>
      <c r="L37" s="33">
        <v>230000.0</v>
      </c>
      <c r="M37" s="70">
        <v>9200000.0</v>
      </c>
      <c r="N37" s="70">
        <v>1100000.0</v>
      </c>
      <c r="O37" s="70">
        <v>1.7E7</v>
      </c>
      <c r="P37" s="70">
        <v>3500000.0</v>
      </c>
      <c r="Q37" s="35">
        <f t="shared" ref="Q37:Q41" si="2">GEOMEAN(E37,F37,G37,H37,I37,J37,K37,L37,M37,N37,O37,P37)</f>
        <v>4327149.231</v>
      </c>
      <c r="R37" s="17">
        <v>200.0</v>
      </c>
      <c r="S37" s="36">
        <f>geomean(Q37:Q41)</f>
        <v>6163540.148</v>
      </c>
    </row>
    <row r="38" ht="15.75" customHeight="1">
      <c r="A38" s="20"/>
      <c r="B38" s="21"/>
      <c r="C38" s="22">
        <v>2.0</v>
      </c>
      <c r="D38" s="53" t="s">
        <v>50</v>
      </c>
      <c r="E38" s="72">
        <v>9200000.0</v>
      </c>
      <c r="F38" s="73">
        <v>3.5E7</v>
      </c>
      <c r="G38" s="74">
        <v>1.6E7</v>
      </c>
      <c r="H38" s="34">
        <v>5400000.0</v>
      </c>
      <c r="I38" s="34">
        <v>7000000.0</v>
      </c>
      <c r="J38" s="73">
        <v>1700000.0</v>
      </c>
      <c r="K38" s="34">
        <v>1600000.0</v>
      </c>
      <c r="L38" s="34">
        <v>240000.0</v>
      </c>
      <c r="M38" s="73">
        <v>7000000.0</v>
      </c>
      <c r="N38" s="73" t="s">
        <v>55</v>
      </c>
      <c r="O38" s="73">
        <v>3.5E7</v>
      </c>
      <c r="P38" s="73">
        <v>5400000.0</v>
      </c>
      <c r="Q38" s="38">
        <f t="shared" si="2"/>
        <v>5595007.782</v>
      </c>
      <c r="R38" s="23">
        <v>200.0</v>
      </c>
    </row>
    <row r="39" ht="15.75" customHeight="1">
      <c r="A39" s="20"/>
      <c r="B39" s="21"/>
      <c r="C39" s="22">
        <v>3.0</v>
      </c>
      <c r="D39" s="53" t="s">
        <v>51</v>
      </c>
      <c r="E39" s="72">
        <v>9200000.0</v>
      </c>
      <c r="F39" s="73">
        <v>3.5E7</v>
      </c>
      <c r="G39" s="74">
        <v>2.2E7</v>
      </c>
      <c r="H39" s="34">
        <v>5400000.0</v>
      </c>
      <c r="I39" s="34">
        <v>3.5E7</v>
      </c>
      <c r="J39" s="73">
        <v>330000.0</v>
      </c>
      <c r="K39" s="34">
        <v>1.7E7</v>
      </c>
      <c r="L39" s="34">
        <v>1.6E7</v>
      </c>
      <c r="M39" s="73" t="s">
        <v>55</v>
      </c>
      <c r="N39" s="73">
        <v>2400000.0</v>
      </c>
      <c r="O39" s="73">
        <v>1.1E7</v>
      </c>
      <c r="P39" s="73">
        <v>1.1E7</v>
      </c>
      <c r="Q39" s="38">
        <f t="shared" si="2"/>
        <v>9087369.031</v>
      </c>
      <c r="R39" s="23">
        <v>200.0</v>
      </c>
    </row>
    <row r="40" ht="15.75" customHeight="1">
      <c r="A40" s="20"/>
      <c r="B40" s="21"/>
      <c r="C40" s="22">
        <v>4.0</v>
      </c>
      <c r="D40" s="53" t="s">
        <v>52</v>
      </c>
      <c r="E40" s="72">
        <v>3500000.0</v>
      </c>
      <c r="F40" s="73">
        <v>1.3E7</v>
      </c>
      <c r="G40" s="74">
        <v>9200000.0</v>
      </c>
      <c r="H40" s="34">
        <v>2400000.0</v>
      </c>
      <c r="I40" s="34">
        <v>1300000.0</v>
      </c>
      <c r="J40" s="73">
        <v>3500000.0</v>
      </c>
      <c r="K40" s="34">
        <v>1.4E7</v>
      </c>
      <c r="L40" s="34">
        <v>5400000.0</v>
      </c>
      <c r="M40" s="73">
        <v>5400000.0</v>
      </c>
      <c r="N40" s="73">
        <v>9200000.0</v>
      </c>
      <c r="O40" s="73">
        <v>9200000.0</v>
      </c>
      <c r="P40" s="73">
        <v>1.7E7</v>
      </c>
      <c r="Q40" s="38">
        <f t="shared" si="2"/>
        <v>6105859.868</v>
      </c>
      <c r="R40" s="23">
        <v>200.0</v>
      </c>
    </row>
    <row r="41" ht="15.75" customHeight="1">
      <c r="A41" s="20"/>
      <c r="B41" s="27"/>
      <c r="C41" s="22">
        <v>5.0</v>
      </c>
      <c r="D41" s="53" t="s">
        <v>53</v>
      </c>
      <c r="E41" s="75">
        <v>2200000.0</v>
      </c>
      <c r="F41" s="73">
        <v>9200000.0</v>
      </c>
      <c r="G41" s="76">
        <v>1.7E7</v>
      </c>
      <c r="H41" s="34">
        <v>3500000.0</v>
      </c>
      <c r="I41" s="34">
        <v>7000000.0</v>
      </c>
      <c r="J41" s="73">
        <v>790000.0</v>
      </c>
      <c r="K41" s="34">
        <v>2.8E7</v>
      </c>
      <c r="L41" s="34">
        <v>2.4E7</v>
      </c>
      <c r="M41" s="73">
        <v>2400000.0</v>
      </c>
      <c r="N41" s="73">
        <v>5400000.0</v>
      </c>
      <c r="O41" s="73">
        <v>3500000.0</v>
      </c>
      <c r="P41" s="73">
        <v>3.5E7</v>
      </c>
      <c r="Q41" s="38">
        <f t="shared" si="2"/>
        <v>6621609.735</v>
      </c>
      <c r="R41" s="23">
        <v>200.0</v>
      </c>
    </row>
    <row r="42" ht="15.75" customHeight="1">
      <c r="A42" s="20"/>
      <c r="B42" s="15" t="s">
        <v>56</v>
      </c>
      <c r="C42" s="16">
        <v>1.0</v>
      </c>
      <c r="D42" s="49" t="s">
        <v>49</v>
      </c>
      <c r="E42" s="58">
        <v>0.075</v>
      </c>
      <c r="F42" s="77">
        <v>0.093</v>
      </c>
      <c r="G42" s="65">
        <v>0.443</v>
      </c>
      <c r="H42" s="40" t="s">
        <v>42</v>
      </c>
      <c r="I42" s="40">
        <v>0.095</v>
      </c>
      <c r="J42" s="77" t="s">
        <v>42</v>
      </c>
      <c r="K42" s="40">
        <v>0.09</v>
      </c>
      <c r="L42" s="40">
        <v>0.127</v>
      </c>
      <c r="M42" s="77" t="s">
        <v>42</v>
      </c>
      <c r="N42" s="77">
        <v>0.236</v>
      </c>
      <c r="O42" s="77">
        <v>0.052</v>
      </c>
      <c r="P42" s="77">
        <v>0.204</v>
      </c>
      <c r="Q42" s="41">
        <f t="shared" ref="Q42:Q46" si="3">AVERAGE(E42,F42,G42,H42,I42,J42,K42,L42,0.045,N42,O42,P42)</f>
        <v>0.146</v>
      </c>
      <c r="R42" s="17">
        <v>7.0</v>
      </c>
    </row>
    <row r="43" ht="15.75" customHeight="1">
      <c r="A43" s="20"/>
      <c r="B43" s="21"/>
      <c r="C43" s="22">
        <v>2.0</v>
      </c>
      <c r="D43" s="53" t="s">
        <v>50</v>
      </c>
      <c r="E43" s="66" t="s">
        <v>42</v>
      </c>
      <c r="F43" s="78" t="s">
        <v>42</v>
      </c>
      <c r="G43" s="79">
        <v>0.353</v>
      </c>
      <c r="H43" s="43">
        <v>0.069</v>
      </c>
      <c r="I43" s="43">
        <v>0.087</v>
      </c>
      <c r="J43" s="78">
        <v>0.116</v>
      </c>
      <c r="K43" s="43">
        <v>0.07</v>
      </c>
      <c r="L43" s="43">
        <v>0.093</v>
      </c>
      <c r="M43" s="78">
        <v>0.33</v>
      </c>
      <c r="N43" s="78">
        <v>0.576</v>
      </c>
      <c r="O43" s="78" t="s">
        <v>42</v>
      </c>
      <c r="P43" s="78">
        <v>0.417</v>
      </c>
      <c r="Q43" s="44">
        <f t="shared" si="3"/>
        <v>0.2028888889</v>
      </c>
      <c r="R43" s="23">
        <v>7.0</v>
      </c>
    </row>
    <row r="44" ht="15.75" customHeight="1">
      <c r="A44" s="20"/>
      <c r="B44" s="21"/>
      <c r="C44" s="22">
        <v>3.0</v>
      </c>
      <c r="D44" s="53" t="s">
        <v>51</v>
      </c>
      <c r="E44" s="66" t="s">
        <v>42</v>
      </c>
      <c r="F44" s="78">
        <v>0.061</v>
      </c>
      <c r="G44" s="66">
        <v>0.152</v>
      </c>
      <c r="H44" s="43" t="s">
        <v>42</v>
      </c>
      <c r="I44" s="43" t="s">
        <v>42</v>
      </c>
      <c r="J44" s="78" t="s">
        <v>42</v>
      </c>
      <c r="K44" s="43">
        <v>0.067</v>
      </c>
      <c r="L44" s="43">
        <v>0.143</v>
      </c>
      <c r="M44" s="78">
        <v>0.289</v>
      </c>
      <c r="N44" s="78">
        <v>0.616</v>
      </c>
      <c r="O44" s="78" t="s">
        <v>42</v>
      </c>
      <c r="P44" s="78">
        <v>0.189</v>
      </c>
      <c r="Q44" s="44">
        <f t="shared" si="3"/>
        <v>0.1818571429</v>
      </c>
      <c r="R44" s="23">
        <v>7.0</v>
      </c>
    </row>
    <row r="45" ht="15.75" customHeight="1">
      <c r="A45" s="20"/>
      <c r="B45" s="21"/>
      <c r="C45" s="22">
        <v>4.0</v>
      </c>
      <c r="D45" s="53" t="s">
        <v>52</v>
      </c>
      <c r="E45" s="66">
        <v>0.093</v>
      </c>
      <c r="F45" s="78" t="s">
        <v>42</v>
      </c>
      <c r="G45" s="79">
        <v>0.318</v>
      </c>
      <c r="H45" s="43">
        <v>0.171</v>
      </c>
      <c r="I45" s="43">
        <v>1.107</v>
      </c>
      <c r="J45" s="78" t="s">
        <v>42</v>
      </c>
      <c r="K45" s="43">
        <v>0.277</v>
      </c>
      <c r="L45" s="43">
        <v>0.192</v>
      </c>
      <c r="M45" s="78">
        <v>0.129</v>
      </c>
      <c r="N45" s="78">
        <v>0.189</v>
      </c>
      <c r="O45" s="78" t="s">
        <v>42</v>
      </c>
      <c r="P45" s="78">
        <v>0.226</v>
      </c>
      <c r="Q45" s="44">
        <f t="shared" si="3"/>
        <v>0.2908888889</v>
      </c>
      <c r="R45" s="23">
        <v>7.0</v>
      </c>
    </row>
    <row r="46" ht="15.75" customHeight="1">
      <c r="A46" s="20"/>
      <c r="B46" s="27"/>
      <c r="C46" s="22">
        <v>5.0</v>
      </c>
      <c r="D46" s="53" t="s">
        <v>53</v>
      </c>
      <c r="E46" s="66">
        <v>0.072</v>
      </c>
      <c r="F46" s="78">
        <v>0.475</v>
      </c>
      <c r="G46" s="67">
        <v>0.325</v>
      </c>
      <c r="H46" s="43">
        <v>0.179</v>
      </c>
      <c r="I46" s="43">
        <v>0.128</v>
      </c>
      <c r="J46" s="78" t="s">
        <v>42</v>
      </c>
      <c r="K46" s="43">
        <v>0.16</v>
      </c>
      <c r="L46" s="43">
        <v>0.078</v>
      </c>
      <c r="M46" s="78">
        <v>0.166</v>
      </c>
      <c r="N46" s="78">
        <v>0.055</v>
      </c>
      <c r="O46" s="78" t="s">
        <v>42</v>
      </c>
      <c r="P46" s="78">
        <v>0.238</v>
      </c>
      <c r="Q46" s="44">
        <f t="shared" si="3"/>
        <v>0.1755</v>
      </c>
      <c r="R46" s="23">
        <v>7.0</v>
      </c>
    </row>
    <row r="47" ht="15.75" customHeight="1">
      <c r="A47" s="20"/>
      <c r="B47" s="15" t="s">
        <v>57</v>
      </c>
      <c r="C47" s="16">
        <v>1.0</v>
      </c>
      <c r="D47" s="49" t="s">
        <v>49</v>
      </c>
      <c r="E47" s="58">
        <v>3.437</v>
      </c>
      <c r="F47" s="77">
        <v>0.472</v>
      </c>
      <c r="G47" s="80">
        <v>4.244</v>
      </c>
      <c r="H47" s="40">
        <v>4.489</v>
      </c>
      <c r="I47" s="40">
        <v>4.892</v>
      </c>
      <c r="J47" s="77">
        <v>0.744</v>
      </c>
      <c r="K47" s="40">
        <v>0.843</v>
      </c>
      <c r="L47" s="40">
        <v>0.615</v>
      </c>
      <c r="M47" s="77">
        <v>1.917</v>
      </c>
      <c r="N47" s="77">
        <v>0.502</v>
      </c>
      <c r="O47" s="77">
        <v>3.04</v>
      </c>
      <c r="P47" s="77">
        <v>1.899</v>
      </c>
      <c r="Q47" s="41">
        <f t="shared" ref="Q47:Q56" si="4">AVERAGE(E47,F47,G47,H47,I47,J47,K47,L47,M47,N47,O47,P47)</f>
        <v>2.257833333</v>
      </c>
      <c r="R47" s="17">
        <v>0.5</v>
      </c>
    </row>
    <row r="48" ht="15.75" customHeight="1">
      <c r="A48" s="20"/>
      <c r="B48" s="21"/>
      <c r="C48" s="22">
        <v>2.0</v>
      </c>
      <c r="D48" s="53" t="s">
        <v>50</v>
      </c>
      <c r="E48" s="78">
        <v>1.824</v>
      </c>
      <c r="F48" s="78">
        <v>0.352</v>
      </c>
      <c r="G48" s="79">
        <v>1.967</v>
      </c>
      <c r="H48" s="43">
        <v>2.708</v>
      </c>
      <c r="I48" s="43">
        <v>2.629</v>
      </c>
      <c r="J48" s="78">
        <v>0.712</v>
      </c>
      <c r="K48" s="43">
        <v>1.036</v>
      </c>
      <c r="L48" s="43">
        <v>1.039</v>
      </c>
      <c r="M48" s="78">
        <v>1.238</v>
      </c>
      <c r="N48" s="78">
        <v>0.497</v>
      </c>
      <c r="O48" s="78">
        <v>1.043</v>
      </c>
      <c r="P48" s="78">
        <v>1.831</v>
      </c>
      <c r="Q48" s="44">
        <f t="shared" si="4"/>
        <v>1.406333333</v>
      </c>
      <c r="R48" s="23">
        <v>0.5</v>
      </c>
    </row>
    <row r="49" ht="15.75" customHeight="1">
      <c r="A49" s="20"/>
      <c r="B49" s="21"/>
      <c r="C49" s="22">
        <v>3.0</v>
      </c>
      <c r="D49" s="53" t="s">
        <v>51</v>
      </c>
      <c r="E49" s="78">
        <v>0.501</v>
      </c>
      <c r="F49" s="78">
        <v>0.176</v>
      </c>
      <c r="G49" s="79">
        <v>0.653</v>
      </c>
      <c r="H49" s="43">
        <v>1.127</v>
      </c>
      <c r="I49" s="43">
        <v>1.294</v>
      </c>
      <c r="J49" s="78">
        <v>0.801</v>
      </c>
      <c r="K49" s="43">
        <v>0.969</v>
      </c>
      <c r="L49" s="43">
        <v>1.759</v>
      </c>
      <c r="M49" s="78">
        <v>0.628</v>
      </c>
      <c r="N49" s="78">
        <v>0.401</v>
      </c>
      <c r="O49" s="78">
        <v>1.7</v>
      </c>
      <c r="P49" s="78">
        <v>1.857</v>
      </c>
      <c r="Q49" s="44">
        <f t="shared" si="4"/>
        <v>0.9888333333</v>
      </c>
      <c r="R49" s="23">
        <v>0.5</v>
      </c>
    </row>
    <row r="50" ht="15.75" customHeight="1">
      <c r="A50" s="20"/>
      <c r="B50" s="21"/>
      <c r="C50" s="22">
        <v>4.0</v>
      </c>
      <c r="D50" s="53" t="s">
        <v>52</v>
      </c>
      <c r="E50" s="78">
        <v>1.525</v>
      </c>
      <c r="F50" s="78">
        <v>0.391</v>
      </c>
      <c r="G50" s="79">
        <v>1.864</v>
      </c>
      <c r="H50" s="43">
        <v>2.048</v>
      </c>
      <c r="I50" s="43">
        <v>2.272</v>
      </c>
      <c r="J50" s="78">
        <v>0.777</v>
      </c>
      <c r="K50" s="43">
        <v>1.92</v>
      </c>
      <c r="L50" s="43">
        <v>1.837</v>
      </c>
      <c r="M50" s="78">
        <v>0.724</v>
      </c>
      <c r="N50" s="78">
        <v>0.648</v>
      </c>
      <c r="O50" s="78">
        <v>0.854</v>
      </c>
      <c r="P50" s="78">
        <v>1.823</v>
      </c>
      <c r="Q50" s="44">
        <f t="shared" si="4"/>
        <v>1.39025</v>
      </c>
      <c r="R50" s="23">
        <v>0.5</v>
      </c>
    </row>
    <row r="51" ht="15.75" customHeight="1">
      <c r="A51" s="20"/>
      <c r="B51" s="27"/>
      <c r="C51" s="22">
        <v>5.0</v>
      </c>
      <c r="D51" s="53" t="s">
        <v>53</v>
      </c>
      <c r="E51" s="78">
        <v>1.469</v>
      </c>
      <c r="F51" s="78">
        <v>0.357</v>
      </c>
      <c r="G51" s="81">
        <v>1.881</v>
      </c>
      <c r="H51" s="43">
        <v>1.822</v>
      </c>
      <c r="I51" s="43">
        <v>2.247</v>
      </c>
      <c r="J51" s="78">
        <v>0.809</v>
      </c>
      <c r="K51" s="43">
        <v>1.983</v>
      </c>
      <c r="L51" s="43">
        <v>1.96</v>
      </c>
      <c r="M51" s="78">
        <v>0.672</v>
      </c>
      <c r="N51" s="78">
        <v>0.765</v>
      </c>
      <c r="O51" s="78">
        <v>1.709</v>
      </c>
      <c r="P51" s="78">
        <v>2.87</v>
      </c>
      <c r="Q51" s="44">
        <f t="shared" si="4"/>
        <v>1.545333333</v>
      </c>
      <c r="R51" s="23">
        <v>0.5</v>
      </c>
    </row>
    <row r="52" ht="15.75" customHeight="1">
      <c r="A52" s="20"/>
      <c r="B52" s="15" t="s">
        <v>46</v>
      </c>
      <c r="C52" s="16">
        <v>1.0</v>
      </c>
      <c r="D52" s="49" t="s">
        <v>49</v>
      </c>
      <c r="E52" s="69">
        <v>79.0</v>
      </c>
      <c r="F52" s="70">
        <v>2593.0</v>
      </c>
      <c r="G52" s="69">
        <v>100.0</v>
      </c>
      <c r="H52" s="33">
        <v>89.0</v>
      </c>
      <c r="I52" s="33">
        <v>94.0</v>
      </c>
      <c r="J52" s="70">
        <v>4438.0</v>
      </c>
      <c r="K52" s="33">
        <v>7733.0</v>
      </c>
      <c r="L52" s="33">
        <v>802.0</v>
      </c>
      <c r="M52" s="59">
        <v>57.0</v>
      </c>
      <c r="N52" s="70">
        <v>15.0</v>
      </c>
      <c r="O52" s="70">
        <v>95.0</v>
      </c>
      <c r="P52" s="70">
        <v>1999.0</v>
      </c>
      <c r="Q52" s="35">
        <f t="shared" si="4"/>
        <v>1507.833333</v>
      </c>
      <c r="R52" s="17">
        <v>350.0</v>
      </c>
    </row>
    <row r="53" ht="15.75" customHeight="1">
      <c r="A53" s="20"/>
      <c r="B53" s="21"/>
      <c r="C53" s="22">
        <v>2.0</v>
      </c>
      <c r="D53" s="53" t="s">
        <v>50</v>
      </c>
      <c r="E53" s="72">
        <v>184.0</v>
      </c>
      <c r="F53" s="73">
        <v>1728.0</v>
      </c>
      <c r="G53" s="72">
        <v>1202.0</v>
      </c>
      <c r="H53" s="34">
        <v>377.0</v>
      </c>
      <c r="I53" s="34">
        <v>443.0</v>
      </c>
      <c r="J53" s="73">
        <v>4531.0</v>
      </c>
      <c r="K53" s="34">
        <v>6932.0</v>
      </c>
      <c r="L53" s="34">
        <v>472.0</v>
      </c>
      <c r="M53" s="73">
        <v>48.0</v>
      </c>
      <c r="N53" s="73">
        <v>13.0</v>
      </c>
      <c r="O53" s="73">
        <v>2428.0</v>
      </c>
      <c r="P53" s="73">
        <v>1952.0</v>
      </c>
      <c r="Q53" s="38">
        <f t="shared" si="4"/>
        <v>1692.5</v>
      </c>
      <c r="R53" s="23">
        <v>350.0</v>
      </c>
    </row>
    <row r="54" ht="15.75" customHeight="1">
      <c r="A54" s="20"/>
      <c r="B54" s="21"/>
      <c r="C54" s="22">
        <v>3.0</v>
      </c>
      <c r="D54" s="53" t="s">
        <v>51</v>
      </c>
      <c r="E54" s="72">
        <v>30.0</v>
      </c>
      <c r="F54" s="62">
        <v>164.0</v>
      </c>
      <c r="G54" s="72">
        <v>81.0</v>
      </c>
      <c r="H54" s="34">
        <v>51.0</v>
      </c>
      <c r="I54" s="34">
        <v>86.0</v>
      </c>
      <c r="J54" s="73">
        <v>4204.0</v>
      </c>
      <c r="K54" s="34">
        <v>6555.0</v>
      </c>
      <c r="L54" s="34">
        <v>41.0</v>
      </c>
      <c r="M54" s="73">
        <v>19.0</v>
      </c>
      <c r="N54" s="62">
        <v>39.0</v>
      </c>
      <c r="O54" s="73">
        <v>3094.0</v>
      </c>
      <c r="P54" s="73">
        <v>2047.0</v>
      </c>
      <c r="Q54" s="38">
        <f t="shared" si="4"/>
        <v>1367.583333</v>
      </c>
      <c r="R54" s="23">
        <v>350.0</v>
      </c>
    </row>
    <row r="55" ht="15.75" customHeight="1">
      <c r="A55" s="20"/>
      <c r="B55" s="21"/>
      <c r="C55" s="22">
        <v>4.0</v>
      </c>
      <c r="D55" s="53" t="s">
        <v>52</v>
      </c>
      <c r="E55" s="72">
        <v>3489.0</v>
      </c>
      <c r="F55" s="62">
        <v>255.0</v>
      </c>
      <c r="G55" s="72">
        <v>1179.0</v>
      </c>
      <c r="H55" s="34">
        <v>2641.0</v>
      </c>
      <c r="I55" s="34">
        <v>2707.0</v>
      </c>
      <c r="J55" s="73">
        <v>4298.0</v>
      </c>
      <c r="K55" s="34">
        <v>87.0</v>
      </c>
      <c r="L55" s="34">
        <v>64.0</v>
      </c>
      <c r="M55" s="73">
        <v>1333.0</v>
      </c>
      <c r="N55" s="62">
        <v>65.0</v>
      </c>
      <c r="O55" s="73">
        <v>3237.0</v>
      </c>
      <c r="P55" s="73">
        <v>1904.0</v>
      </c>
      <c r="Q55" s="38">
        <f t="shared" si="4"/>
        <v>1771.583333</v>
      </c>
      <c r="R55" s="23">
        <v>350.0</v>
      </c>
    </row>
    <row r="56" ht="15.75" customHeight="1">
      <c r="A56" s="20"/>
      <c r="B56" s="27"/>
      <c r="C56" s="22">
        <v>5.0</v>
      </c>
      <c r="D56" s="53" t="s">
        <v>53</v>
      </c>
      <c r="E56" s="72">
        <v>3725.0</v>
      </c>
      <c r="F56" s="62">
        <v>55.0</v>
      </c>
      <c r="G56" s="75">
        <v>1580.0</v>
      </c>
      <c r="H56" s="34">
        <v>2735.0</v>
      </c>
      <c r="I56" s="34">
        <v>3.0</v>
      </c>
      <c r="J56" s="73">
        <v>4438.0</v>
      </c>
      <c r="K56" s="34">
        <v>141.0</v>
      </c>
      <c r="L56" s="34">
        <v>41.0</v>
      </c>
      <c r="M56" s="73">
        <v>2951.0</v>
      </c>
      <c r="N56" s="62">
        <v>48.0</v>
      </c>
      <c r="O56" s="73">
        <v>3094.0</v>
      </c>
      <c r="P56" s="62">
        <v>76.0</v>
      </c>
      <c r="Q56" s="38">
        <f t="shared" si="4"/>
        <v>1573.916667</v>
      </c>
      <c r="R56" s="23">
        <v>350.0</v>
      </c>
    </row>
    <row r="57" ht="15.75" customHeight="1">
      <c r="F57" s="82"/>
      <c r="G57" s="82"/>
      <c r="I57" s="82"/>
      <c r="K57" s="83"/>
      <c r="O57" s="84"/>
    </row>
    <row r="58" ht="15.75" customHeight="1">
      <c r="A58" s="45" t="s">
        <v>58</v>
      </c>
      <c r="F58" s="82"/>
      <c r="G58" s="82"/>
      <c r="I58" s="82"/>
      <c r="K58" s="83"/>
      <c r="O58" s="84"/>
    </row>
    <row r="59" ht="15.75" customHeight="1">
      <c r="F59" s="82"/>
      <c r="G59" s="82"/>
      <c r="I59" s="82"/>
      <c r="K59" s="83"/>
    </row>
    <row r="60" ht="15.75" customHeight="1">
      <c r="A60" s="45"/>
      <c r="K60" s="83"/>
    </row>
    <row r="61" ht="15.75" customHeight="1">
      <c r="K61" s="83"/>
    </row>
    <row r="62" ht="15.75" customHeight="1">
      <c r="K62" s="83"/>
    </row>
    <row r="63" ht="15.75" customHeight="1">
      <c r="K63" s="83"/>
    </row>
    <row r="64" ht="15.75" customHeight="1">
      <c r="K64" s="83"/>
    </row>
    <row r="65" ht="15.75" customHeight="1">
      <c r="K65" s="83"/>
    </row>
    <row r="66" ht="15.75" customHeight="1">
      <c r="K66" s="83"/>
    </row>
    <row r="67" ht="15.75" customHeight="1">
      <c r="K67" s="83"/>
    </row>
    <row r="68" ht="15.75" customHeight="1">
      <c r="K68" s="83"/>
    </row>
    <row r="69" ht="15.75" customHeight="1">
      <c r="K69" s="83"/>
    </row>
    <row r="70" ht="15.75" customHeight="1">
      <c r="K70" s="83"/>
    </row>
    <row r="71" ht="15.75" customHeight="1">
      <c r="K71" s="83"/>
    </row>
    <row r="72" ht="15.75" customHeight="1">
      <c r="K72" s="83"/>
    </row>
    <row r="73" ht="15.75" customHeight="1">
      <c r="K73" s="83"/>
    </row>
    <row r="74" ht="15.75" customHeight="1">
      <c r="K74" s="83"/>
    </row>
    <row r="75" ht="15.75" customHeight="1">
      <c r="K75" s="83"/>
    </row>
    <row r="76" ht="15.75" customHeight="1">
      <c r="K76" s="83"/>
    </row>
    <row r="77" ht="15.75" customHeight="1">
      <c r="K77" s="83"/>
    </row>
    <row r="78" ht="15.75" customHeight="1">
      <c r="K78" s="83"/>
    </row>
    <row r="79" ht="15.75" customHeight="1">
      <c r="K79" s="83"/>
    </row>
    <row r="80" ht="15.75" customHeight="1">
      <c r="K80" s="83"/>
    </row>
    <row r="81" ht="15.75" customHeight="1">
      <c r="K81" s="83"/>
    </row>
    <row r="82" ht="15.75" customHeight="1">
      <c r="K82" s="83"/>
    </row>
    <row r="83" ht="15.75" customHeight="1">
      <c r="K83" s="83"/>
    </row>
    <row r="84" ht="15.75" customHeight="1">
      <c r="K84" s="83"/>
    </row>
    <row r="85" ht="15.75" customHeight="1">
      <c r="K85" s="83"/>
    </row>
    <row r="86" ht="15.75" customHeight="1">
      <c r="K86" s="83"/>
    </row>
    <row r="87" ht="15.75" customHeight="1">
      <c r="K87" s="83"/>
    </row>
    <row r="88" ht="15.75" customHeight="1">
      <c r="K88" s="83"/>
    </row>
    <row r="89" ht="15.75" customHeight="1">
      <c r="K89" s="83"/>
    </row>
    <row r="90" ht="15.75" customHeight="1">
      <c r="K90" s="83"/>
    </row>
    <row r="91" ht="15.75" customHeight="1">
      <c r="K91" s="83"/>
    </row>
    <row r="92" ht="15.75" customHeight="1">
      <c r="K92" s="83"/>
    </row>
    <row r="93" ht="15.75" customHeight="1">
      <c r="K93" s="83"/>
    </row>
    <row r="94" ht="15.75" customHeight="1">
      <c r="K94" s="83"/>
    </row>
    <row r="95" ht="15.75" customHeight="1">
      <c r="K95" s="83"/>
    </row>
    <row r="96" ht="15.75" customHeight="1">
      <c r="K96" s="83"/>
    </row>
    <row r="97" ht="15.75" customHeight="1">
      <c r="K97" s="83"/>
    </row>
    <row r="98" ht="15.75" customHeight="1">
      <c r="K98" s="83"/>
    </row>
    <row r="99" ht="15.75" customHeight="1">
      <c r="K99" s="83"/>
    </row>
    <row r="100" ht="15.75" customHeight="1">
      <c r="K100" s="83"/>
    </row>
    <row r="101" ht="15.75" customHeight="1">
      <c r="K101" s="83"/>
    </row>
    <row r="102" ht="15.75" customHeight="1">
      <c r="K102" s="83"/>
    </row>
    <row r="103" ht="15.75" customHeight="1">
      <c r="K103" s="83"/>
    </row>
    <row r="104" ht="15.75" customHeight="1">
      <c r="K104" s="83"/>
    </row>
    <row r="105" ht="15.75" customHeight="1">
      <c r="K105" s="83"/>
    </row>
    <row r="106" ht="15.75" customHeight="1">
      <c r="K106" s="83"/>
    </row>
    <row r="107" ht="15.75" customHeight="1">
      <c r="K107" s="83"/>
    </row>
    <row r="108" ht="15.75" customHeight="1">
      <c r="K108" s="83"/>
    </row>
    <row r="109" ht="15.75" customHeight="1">
      <c r="K109" s="83"/>
    </row>
    <row r="110" ht="15.75" customHeight="1">
      <c r="K110" s="83"/>
    </row>
    <row r="111" ht="15.75" customHeight="1">
      <c r="K111" s="83"/>
    </row>
    <row r="112" ht="15.75" customHeight="1">
      <c r="K112" s="83"/>
    </row>
    <row r="113" ht="15.75" customHeight="1">
      <c r="K113" s="83"/>
    </row>
    <row r="114" ht="15.75" customHeight="1">
      <c r="K114" s="83"/>
    </row>
    <row r="115" ht="15.75" customHeight="1">
      <c r="K115" s="83"/>
    </row>
    <row r="116" ht="15.75" customHeight="1">
      <c r="K116" s="83"/>
    </row>
    <row r="117" ht="15.75" customHeight="1">
      <c r="K117" s="83"/>
    </row>
    <row r="118" ht="15.75" customHeight="1">
      <c r="K118" s="83"/>
    </row>
    <row r="119" ht="15.75" customHeight="1">
      <c r="K119" s="83"/>
    </row>
    <row r="120" ht="15.75" customHeight="1">
      <c r="K120" s="83"/>
    </row>
    <row r="121" ht="15.75" customHeight="1">
      <c r="K121" s="83"/>
    </row>
    <row r="122" ht="15.75" customHeight="1">
      <c r="K122" s="83"/>
    </row>
    <row r="123" ht="15.75" customHeight="1">
      <c r="K123" s="83"/>
    </row>
    <row r="124" ht="15.75" customHeight="1">
      <c r="K124" s="83"/>
    </row>
    <row r="125" ht="15.75" customHeight="1">
      <c r="K125" s="83"/>
    </row>
    <row r="126" ht="15.75" customHeight="1">
      <c r="K126" s="83"/>
    </row>
    <row r="127" ht="15.75" customHeight="1">
      <c r="K127" s="83"/>
    </row>
    <row r="128" ht="15.75" customHeight="1">
      <c r="K128" s="83"/>
    </row>
    <row r="129" ht="15.75" customHeight="1">
      <c r="K129" s="83"/>
    </row>
    <row r="130" ht="15.75" customHeight="1">
      <c r="K130" s="83"/>
    </row>
    <row r="131" ht="15.75" customHeight="1">
      <c r="K131" s="83"/>
    </row>
    <row r="132" ht="15.75" customHeight="1">
      <c r="K132" s="83"/>
    </row>
    <row r="133" ht="15.75" customHeight="1">
      <c r="K133" s="83"/>
    </row>
    <row r="134" ht="15.75" customHeight="1">
      <c r="K134" s="83"/>
    </row>
    <row r="135" ht="15.75" customHeight="1">
      <c r="K135" s="83"/>
    </row>
    <row r="136" ht="15.75" customHeight="1">
      <c r="K136" s="83"/>
    </row>
    <row r="137" ht="15.75" customHeight="1">
      <c r="K137" s="83"/>
    </row>
    <row r="138" ht="15.75" customHeight="1">
      <c r="K138" s="83"/>
    </row>
    <row r="139" ht="15.75" customHeight="1">
      <c r="K139" s="83"/>
    </row>
    <row r="140" ht="15.75" customHeight="1">
      <c r="K140" s="83"/>
    </row>
    <row r="141" ht="15.75" customHeight="1">
      <c r="K141" s="83"/>
    </row>
    <row r="142" ht="15.75" customHeight="1">
      <c r="K142" s="83"/>
    </row>
    <row r="143" ht="15.75" customHeight="1">
      <c r="K143" s="83"/>
    </row>
    <row r="144" ht="15.75" customHeight="1">
      <c r="K144" s="83"/>
    </row>
    <row r="145" ht="15.75" customHeight="1">
      <c r="K145" s="83"/>
    </row>
    <row r="146" ht="15.75" customHeight="1">
      <c r="K146" s="83"/>
    </row>
    <row r="147" ht="15.75" customHeight="1">
      <c r="K147" s="83"/>
    </row>
    <row r="148" ht="15.75" customHeight="1">
      <c r="K148" s="83"/>
    </row>
    <row r="149" ht="15.75" customHeight="1">
      <c r="K149" s="83"/>
    </row>
    <row r="150" ht="15.75" customHeight="1">
      <c r="K150" s="83"/>
    </row>
    <row r="151" ht="15.75" customHeight="1">
      <c r="K151" s="83"/>
    </row>
    <row r="152" ht="15.75" customHeight="1">
      <c r="K152" s="83"/>
    </row>
    <row r="153" ht="15.75" customHeight="1">
      <c r="K153" s="83"/>
    </row>
    <row r="154" ht="15.75" customHeight="1">
      <c r="K154" s="83"/>
    </row>
    <row r="155" ht="15.75" customHeight="1">
      <c r="K155" s="83"/>
    </row>
    <row r="156" ht="15.75" customHeight="1">
      <c r="K156" s="83"/>
    </row>
    <row r="157" ht="15.75" customHeight="1">
      <c r="K157" s="83"/>
    </row>
    <row r="158" ht="15.75" customHeight="1">
      <c r="K158" s="83"/>
    </row>
    <row r="159" ht="15.75" customHeight="1">
      <c r="K159" s="83"/>
    </row>
    <row r="160" ht="15.75" customHeight="1">
      <c r="K160" s="83"/>
    </row>
    <row r="161" ht="15.75" customHeight="1">
      <c r="K161" s="83"/>
    </row>
    <row r="162" ht="15.75" customHeight="1">
      <c r="K162" s="83"/>
    </row>
    <row r="163" ht="15.75" customHeight="1">
      <c r="K163" s="83"/>
    </row>
    <row r="164" ht="15.75" customHeight="1">
      <c r="K164" s="83"/>
    </row>
    <row r="165" ht="15.75" customHeight="1">
      <c r="K165" s="83"/>
    </row>
    <row r="166" ht="15.75" customHeight="1">
      <c r="K166" s="83"/>
    </row>
    <row r="167" ht="15.75" customHeight="1">
      <c r="K167" s="83"/>
    </row>
    <row r="168" ht="15.75" customHeight="1">
      <c r="K168" s="83"/>
    </row>
    <row r="169" ht="15.75" customHeight="1">
      <c r="K169" s="83"/>
    </row>
    <row r="170" ht="15.75" customHeight="1">
      <c r="K170" s="83"/>
    </row>
    <row r="171" ht="15.75" customHeight="1">
      <c r="K171" s="83"/>
    </row>
    <row r="172" ht="15.75" customHeight="1">
      <c r="K172" s="83"/>
    </row>
    <row r="173" ht="15.75" customHeight="1">
      <c r="K173" s="83"/>
    </row>
    <row r="174" ht="15.75" customHeight="1">
      <c r="K174" s="83"/>
    </row>
    <row r="175" ht="15.75" customHeight="1">
      <c r="K175" s="83"/>
    </row>
    <row r="176" ht="15.75" customHeight="1">
      <c r="K176" s="83"/>
    </row>
    <row r="177" ht="15.75" customHeight="1">
      <c r="K177" s="83"/>
    </row>
    <row r="178" ht="15.75" customHeight="1">
      <c r="K178" s="83"/>
    </row>
    <row r="179" ht="15.75" customHeight="1">
      <c r="K179" s="83"/>
    </row>
    <row r="180" ht="15.75" customHeight="1">
      <c r="K180" s="83"/>
    </row>
    <row r="181" ht="15.75" customHeight="1">
      <c r="K181" s="83"/>
    </row>
    <row r="182" ht="15.75" customHeight="1">
      <c r="K182" s="83"/>
    </row>
    <row r="183" ht="15.75" customHeight="1">
      <c r="K183" s="83"/>
    </row>
    <row r="184" ht="15.75" customHeight="1">
      <c r="K184" s="83"/>
    </row>
    <row r="185" ht="15.75" customHeight="1">
      <c r="K185" s="83"/>
    </row>
    <row r="186" ht="15.75" customHeight="1">
      <c r="K186" s="83"/>
    </row>
    <row r="187" ht="15.75" customHeight="1">
      <c r="K187" s="83"/>
    </row>
    <row r="188" ht="15.75" customHeight="1">
      <c r="K188" s="83"/>
    </row>
    <row r="189" ht="15.75" customHeight="1">
      <c r="K189" s="83"/>
    </row>
    <row r="190" ht="15.75" customHeight="1">
      <c r="K190" s="83"/>
    </row>
    <row r="191" ht="15.75" customHeight="1">
      <c r="K191" s="83"/>
    </row>
    <row r="192" ht="15.75" customHeight="1">
      <c r="K192" s="83"/>
    </row>
    <row r="193" ht="15.75" customHeight="1">
      <c r="K193" s="83"/>
    </row>
    <row r="194" ht="15.75" customHeight="1">
      <c r="K194" s="83"/>
    </row>
    <row r="195" ht="15.75" customHeight="1">
      <c r="K195" s="83"/>
    </row>
    <row r="196" ht="15.75" customHeight="1">
      <c r="K196" s="83"/>
    </row>
    <row r="197" ht="15.75" customHeight="1">
      <c r="K197" s="83"/>
    </row>
    <row r="198" ht="15.75" customHeight="1">
      <c r="K198" s="83"/>
    </row>
    <row r="199" ht="15.75" customHeight="1">
      <c r="K199" s="83"/>
    </row>
    <row r="200" ht="15.75" customHeight="1">
      <c r="K200" s="83"/>
    </row>
    <row r="201" ht="15.75" customHeight="1">
      <c r="K201" s="83"/>
    </row>
    <row r="202" ht="15.75" customHeight="1">
      <c r="K202" s="83"/>
    </row>
    <row r="203" ht="15.75" customHeight="1">
      <c r="K203" s="83"/>
    </row>
    <row r="204" ht="15.75" customHeight="1">
      <c r="K204" s="83"/>
    </row>
    <row r="205" ht="15.75" customHeight="1">
      <c r="K205" s="83"/>
    </row>
    <row r="206" ht="15.75" customHeight="1">
      <c r="K206" s="83"/>
    </row>
    <row r="207" ht="15.75" customHeight="1">
      <c r="K207" s="83"/>
    </row>
    <row r="208" ht="15.75" customHeight="1">
      <c r="K208" s="83"/>
    </row>
    <row r="209" ht="15.75" customHeight="1">
      <c r="K209" s="83"/>
    </row>
    <row r="210" ht="15.75" customHeight="1">
      <c r="K210" s="83"/>
    </row>
    <row r="211" ht="15.75" customHeight="1">
      <c r="K211" s="83"/>
    </row>
    <row r="212" ht="15.75" customHeight="1">
      <c r="K212" s="83"/>
    </row>
    <row r="213" ht="15.75" customHeight="1">
      <c r="K213" s="83"/>
    </row>
    <row r="214" ht="15.75" customHeight="1">
      <c r="K214" s="83"/>
    </row>
    <row r="215" ht="15.75" customHeight="1">
      <c r="K215" s="83"/>
    </row>
    <row r="216" ht="15.75" customHeight="1">
      <c r="K216" s="83"/>
    </row>
    <row r="217" ht="15.75" customHeight="1">
      <c r="K217" s="83"/>
    </row>
    <row r="218" ht="15.75" customHeight="1">
      <c r="K218" s="83"/>
    </row>
    <row r="219" ht="15.75" customHeight="1">
      <c r="K219" s="83"/>
    </row>
    <row r="220" ht="15.75" customHeight="1">
      <c r="K220" s="83"/>
    </row>
    <row r="221" ht="15.75" customHeight="1">
      <c r="K221" s="83"/>
    </row>
    <row r="222" ht="15.75" customHeight="1">
      <c r="K222" s="83"/>
    </row>
    <row r="223" ht="15.75" customHeight="1">
      <c r="K223" s="83"/>
    </row>
    <row r="224" ht="15.75" customHeight="1">
      <c r="K224" s="83"/>
    </row>
    <row r="225" ht="15.75" customHeight="1">
      <c r="K225" s="83"/>
    </row>
    <row r="226" ht="15.75" customHeight="1">
      <c r="K226" s="83"/>
    </row>
    <row r="227" ht="15.75" customHeight="1">
      <c r="K227" s="83"/>
    </row>
    <row r="228" ht="15.75" customHeight="1">
      <c r="K228" s="83"/>
    </row>
    <row r="229" ht="15.75" customHeight="1">
      <c r="K229" s="83"/>
    </row>
    <row r="230" ht="15.75" customHeight="1">
      <c r="K230" s="83"/>
    </row>
    <row r="231" ht="15.75" customHeight="1">
      <c r="K231" s="83"/>
    </row>
    <row r="232" ht="15.75" customHeight="1">
      <c r="K232" s="83"/>
    </row>
    <row r="233" ht="15.75" customHeight="1">
      <c r="K233" s="83"/>
    </row>
    <row r="234" ht="15.75" customHeight="1">
      <c r="K234" s="83"/>
    </row>
    <row r="235" ht="15.75" customHeight="1">
      <c r="K235" s="83"/>
    </row>
    <row r="236" ht="15.75" customHeight="1">
      <c r="K236" s="83"/>
    </row>
    <row r="237" ht="15.75" customHeight="1">
      <c r="K237" s="83"/>
    </row>
    <row r="238" ht="15.75" customHeight="1">
      <c r="K238" s="83"/>
    </row>
    <row r="239" ht="15.75" customHeight="1">
      <c r="K239" s="83"/>
    </row>
    <row r="240" ht="15.75" customHeight="1">
      <c r="K240" s="83"/>
    </row>
    <row r="241" ht="15.75" customHeight="1">
      <c r="K241" s="83"/>
    </row>
    <row r="242" ht="15.75" customHeight="1">
      <c r="K242" s="83"/>
    </row>
    <row r="243" ht="15.75" customHeight="1">
      <c r="K243" s="83"/>
    </row>
    <row r="244" ht="15.75" customHeight="1">
      <c r="K244" s="83"/>
    </row>
    <row r="245" ht="15.75" customHeight="1">
      <c r="K245" s="83"/>
    </row>
    <row r="246" ht="15.75" customHeight="1">
      <c r="K246" s="83"/>
    </row>
    <row r="247" ht="15.75" customHeight="1">
      <c r="K247" s="83"/>
    </row>
    <row r="248" ht="15.75" customHeight="1">
      <c r="K248" s="83"/>
    </row>
    <row r="249" ht="15.75" customHeight="1">
      <c r="K249" s="83"/>
    </row>
    <row r="250" ht="15.75" customHeight="1">
      <c r="K250" s="83"/>
    </row>
    <row r="251" ht="15.75" customHeight="1">
      <c r="K251" s="83"/>
    </row>
    <row r="252" ht="15.75" customHeight="1">
      <c r="K252" s="83"/>
    </row>
    <row r="253" ht="15.75" customHeight="1">
      <c r="K253" s="83"/>
    </row>
    <row r="254" ht="15.75" customHeight="1">
      <c r="K254" s="83"/>
    </row>
    <row r="255" ht="15.75" customHeight="1">
      <c r="K255" s="83"/>
    </row>
    <row r="256" ht="15.75" customHeight="1">
      <c r="K256" s="83"/>
    </row>
    <row r="257" ht="15.75" customHeight="1">
      <c r="K257" s="83"/>
    </row>
    <row r="258" ht="15.75" customHeight="1">
      <c r="K258" s="83"/>
    </row>
    <row r="259" ht="15.75" customHeight="1">
      <c r="K259" s="83"/>
    </row>
    <row r="260" ht="15.75" customHeight="1">
      <c r="K260" s="83"/>
    </row>
    <row r="261" ht="15.75" customHeight="1">
      <c r="K261" s="83"/>
    </row>
    <row r="262" ht="15.75" customHeight="1">
      <c r="K262" s="83"/>
    </row>
    <row r="263" ht="15.75" customHeight="1">
      <c r="K263" s="83"/>
    </row>
    <row r="264" ht="15.75" customHeight="1">
      <c r="K264" s="83"/>
    </row>
    <row r="265" ht="15.75" customHeight="1">
      <c r="K265" s="83"/>
    </row>
    <row r="266" ht="15.75" customHeight="1">
      <c r="K266" s="83"/>
    </row>
    <row r="267" ht="15.75" customHeight="1">
      <c r="K267" s="83"/>
    </row>
    <row r="268" ht="15.75" customHeight="1">
      <c r="K268" s="83"/>
    </row>
    <row r="269" ht="15.75" customHeight="1">
      <c r="K269" s="83"/>
    </row>
    <row r="270" ht="15.75" customHeight="1">
      <c r="K270" s="83"/>
    </row>
    <row r="271" ht="15.75" customHeight="1">
      <c r="K271" s="83"/>
    </row>
    <row r="272" ht="15.75" customHeight="1">
      <c r="K272" s="83"/>
    </row>
    <row r="273" ht="15.75" customHeight="1">
      <c r="K273" s="83"/>
    </row>
    <row r="274" ht="15.75" customHeight="1">
      <c r="K274" s="83"/>
    </row>
    <row r="275" ht="15.75" customHeight="1">
      <c r="K275" s="83"/>
    </row>
    <row r="276" ht="15.75" customHeight="1">
      <c r="K276" s="83"/>
    </row>
    <row r="277" ht="15.75" customHeight="1">
      <c r="K277" s="83"/>
    </row>
    <row r="278" ht="15.75" customHeight="1">
      <c r="K278" s="83"/>
    </row>
    <row r="279" ht="15.75" customHeight="1">
      <c r="K279" s="83"/>
    </row>
    <row r="280" ht="15.75" customHeight="1">
      <c r="K280" s="83"/>
    </row>
    <row r="281" ht="15.75" customHeight="1">
      <c r="K281" s="83"/>
    </row>
    <row r="282" ht="15.75" customHeight="1">
      <c r="K282" s="83"/>
    </row>
    <row r="283" ht="15.75" customHeight="1">
      <c r="K283" s="83"/>
    </row>
    <row r="284" ht="15.75" customHeight="1">
      <c r="K284" s="83"/>
    </row>
    <row r="285" ht="15.75" customHeight="1">
      <c r="K285" s="83"/>
    </row>
    <row r="286" ht="15.75" customHeight="1">
      <c r="K286" s="83"/>
    </row>
    <row r="287" ht="15.75" customHeight="1">
      <c r="K287" s="83"/>
    </row>
    <row r="288" ht="15.75" customHeight="1">
      <c r="K288" s="83"/>
    </row>
    <row r="289" ht="15.75" customHeight="1">
      <c r="K289" s="83"/>
    </row>
    <row r="290" ht="15.75" customHeight="1">
      <c r="K290" s="83"/>
    </row>
    <row r="291" ht="15.75" customHeight="1">
      <c r="K291" s="83"/>
    </row>
    <row r="292" ht="15.75" customHeight="1">
      <c r="K292" s="83"/>
    </row>
    <row r="293" ht="15.75" customHeight="1">
      <c r="K293" s="83"/>
    </row>
    <row r="294" ht="15.75" customHeight="1">
      <c r="K294" s="83"/>
    </row>
    <row r="295" ht="15.75" customHeight="1">
      <c r="K295" s="83"/>
    </row>
    <row r="296" ht="15.75" customHeight="1">
      <c r="K296" s="83"/>
    </row>
    <row r="297" ht="15.75" customHeight="1">
      <c r="K297" s="83"/>
    </row>
    <row r="298" ht="15.75" customHeight="1">
      <c r="K298" s="83"/>
    </row>
    <row r="299" ht="15.75" customHeight="1">
      <c r="K299" s="83"/>
    </row>
    <row r="300" ht="15.75" customHeight="1">
      <c r="K300" s="83"/>
    </row>
    <row r="301" ht="15.75" customHeight="1">
      <c r="K301" s="83"/>
    </row>
    <row r="302" ht="15.75" customHeight="1">
      <c r="K302" s="83"/>
    </row>
    <row r="303" ht="15.75" customHeight="1">
      <c r="K303" s="83"/>
    </row>
    <row r="304" ht="15.75" customHeight="1">
      <c r="K304" s="83"/>
    </row>
    <row r="305" ht="15.75" customHeight="1">
      <c r="K305" s="83"/>
    </row>
    <row r="306" ht="15.75" customHeight="1">
      <c r="K306" s="83"/>
    </row>
    <row r="307" ht="15.75" customHeight="1">
      <c r="K307" s="83"/>
    </row>
    <row r="308" ht="15.75" customHeight="1">
      <c r="K308" s="83"/>
    </row>
    <row r="309" ht="15.75" customHeight="1">
      <c r="K309" s="83"/>
    </row>
    <row r="310" ht="15.75" customHeight="1">
      <c r="K310" s="83"/>
    </row>
    <row r="311" ht="15.75" customHeight="1">
      <c r="K311" s="83"/>
    </row>
    <row r="312" ht="15.75" customHeight="1">
      <c r="K312" s="83"/>
    </row>
    <row r="313" ht="15.75" customHeight="1">
      <c r="K313" s="83"/>
    </row>
    <row r="314" ht="15.75" customHeight="1">
      <c r="K314" s="83"/>
    </row>
    <row r="315" ht="15.75" customHeight="1">
      <c r="K315" s="83"/>
    </row>
    <row r="316" ht="15.75" customHeight="1">
      <c r="K316" s="83"/>
    </row>
    <row r="317" ht="15.75" customHeight="1">
      <c r="K317" s="83"/>
    </row>
    <row r="318" ht="15.75" customHeight="1">
      <c r="K318" s="83"/>
    </row>
    <row r="319" ht="15.75" customHeight="1">
      <c r="K319" s="83"/>
    </row>
    <row r="320" ht="15.75" customHeight="1">
      <c r="K320" s="83"/>
    </row>
    <row r="321" ht="15.75" customHeight="1">
      <c r="K321" s="83"/>
    </row>
    <row r="322" ht="15.75" customHeight="1">
      <c r="K322" s="83"/>
    </row>
    <row r="323" ht="15.75" customHeight="1">
      <c r="K323" s="83"/>
    </row>
    <row r="324" ht="15.75" customHeight="1">
      <c r="K324" s="83"/>
    </row>
    <row r="325" ht="15.75" customHeight="1">
      <c r="K325" s="83"/>
    </row>
    <row r="326" ht="15.75" customHeight="1">
      <c r="K326" s="83"/>
    </row>
    <row r="327" ht="15.75" customHeight="1">
      <c r="K327" s="83"/>
    </row>
    <row r="328" ht="15.75" customHeight="1">
      <c r="K328" s="83"/>
    </row>
    <row r="329" ht="15.75" customHeight="1">
      <c r="K329" s="83"/>
    </row>
    <row r="330" ht="15.75" customHeight="1">
      <c r="K330" s="83"/>
    </row>
    <row r="331" ht="15.75" customHeight="1">
      <c r="K331" s="83"/>
    </row>
    <row r="332" ht="15.75" customHeight="1">
      <c r="K332" s="83"/>
    </row>
    <row r="333" ht="15.75" customHeight="1">
      <c r="K333" s="83"/>
    </row>
    <row r="334" ht="15.75" customHeight="1">
      <c r="K334" s="83"/>
    </row>
    <row r="335" ht="15.75" customHeight="1">
      <c r="K335" s="83"/>
    </row>
    <row r="336" ht="15.75" customHeight="1">
      <c r="K336" s="83"/>
    </row>
    <row r="337" ht="15.75" customHeight="1">
      <c r="K337" s="83"/>
    </row>
    <row r="338" ht="15.75" customHeight="1">
      <c r="K338" s="83"/>
    </row>
    <row r="339" ht="15.75" customHeight="1">
      <c r="K339" s="83"/>
    </row>
    <row r="340" ht="15.75" customHeight="1">
      <c r="K340" s="83"/>
    </row>
    <row r="341" ht="15.75" customHeight="1">
      <c r="K341" s="83"/>
    </row>
    <row r="342" ht="15.75" customHeight="1">
      <c r="K342" s="83"/>
    </row>
    <row r="343" ht="15.75" customHeight="1">
      <c r="K343" s="83"/>
    </row>
    <row r="344" ht="15.75" customHeight="1">
      <c r="K344" s="83"/>
    </row>
    <row r="345" ht="15.75" customHeight="1">
      <c r="K345" s="83"/>
    </row>
    <row r="346" ht="15.75" customHeight="1">
      <c r="K346" s="83"/>
    </row>
    <row r="347" ht="15.75" customHeight="1">
      <c r="K347" s="83"/>
    </row>
    <row r="348" ht="15.75" customHeight="1">
      <c r="K348" s="83"/>
    </row>
    <row r="349" ht="15.75" customHeight="1">
      <c r="K349" s="83"/>
    </row>
    <row r="350" ht="15.75" customHeight="1">
      <c r="K350" s="83"/>
    </row>
    <row r="351" ht="15.75" customHeight="1">
      <c r="K351" s="83"/>
    </row>
    <row r="352" ht="15.75" customHeight="1">
      <c r="K352" s="83"/>
    </row>
    <row r="353" ht="15.75" customHeight="1">
      <c r="K353" s="83"/>
    </row>
    <row r="354" ht="15.75" customHeight="1">
      <c r="K354" s="83"/>
    </row>
    <row r="355" ht="15.75" customHeight="1">
      <c r="K355" s="83"/>
    </row>
    <row r="356" ht="15.75" customHeight="1">
      <c r="K356" s="83"/>
    </row>
    <row r="357" ht="15.75" customHeight="1">
      <c r="K357" s="83"/>
    </row>
    <row r="358" ht="15.75" customHeight="1">
      <c r="K358" s="83"/>
    </row>
    <row r="359" ht="15.75" customHeight="1">
      <c r="K359" s="83"/>
    </row>
    <row r="360" ht="15.75" customHeight="1">
      <c r="K360" s="83"/>
    </row>
    <row r="361" ht="15.75" customHeight="1">
      <c r="K361" s="83"/>
    </row>
    <row r="362" ht="15.75" customHeight="1">
      <c r="K362" s="83"/>
    </row>
    <row r="363" ht="15.75" customHeight="1">
      <c r="K363" s="83"/>
    </row>
    <row r="364" ht="15.75" customHeight="1">
      <c r="K364" s="83"/>
    </row>
    <row r="365" ht="15.75" customHeight="1">
      <c r="K365" s="83"/>
    </row>
    <row r="366" ht="15.75" customHeight="1">
      <c r="K366" s="83"/>
    </row>
    <row r="367" ht="15.75" customHeight="1">
      <c r="K367" s="83"/>
    </row>
    <row r="368" ht="15.75" customHeight="1">
      <c r="K368" s="83"/>
    </row>
    <row r="369" ht="15.75" customHeight="1">
      <c r="K369" s="83"/>
    </row>
    <row r="370" ht="15.75" customHeight="1">
      <c r="K370" s="83"/>
    </row>
    <row r="371" ht="15.75" customHeight="1">
      <c r="K371" s="83"/>
    </row>
    <row r="372" ht="15.75" customHeight="1">
      <c r="K372" s="83"/>
    </row>
    <row r="373" ht="15.75" customHeight="1">
      <c r="K373" s="83"/>
    </row>
    <row r="374" ht="15.75" customHeight="1">
      <c r="K374" s="83"/>
    </row>
    <row r="375" ht="15.75" customHeight="1">
      <c r="K375" s="83"/>
    </row>
    <row r="376" ht="15.75" customHeight="1">
      <c r="K376" s="83"/>
    </row>
    <row r="377" ht="15.75" customHeight="1">
      <c r="K377" s="83"/>
    </row>
    <row r="378" ht="15.75" customHeight="1">
      <c r="K378" s="83"/>
    </row>
    <row r="379" ht="15.75" customHeight="1">
      <c r="K379" s="83"/>
    </row>
    <row r="380" ht="15.75" customHeight="1">
      <c r="K380" s="83"/>
    </row>
    <row r="381" ht="15.75" customHeight="1">
      <c r="K381" s="83"/>
    </row>
    <row r="382" ht="15.75" customHeight="1">
      <c r="K382" s="83"/>
    </row>
    <row r="383" ht="15.75" customHeight="1">
      <c r="K383" s="83"/>
    </row>
    <row r="384" ht="15.75" customHeight="1">
      <c r="K384" s="83"/>
    </row>
    <row r="385" ht="15.75" customHeight="1">
      <c r="K385" s="83"/>
    </row>
    <row r="386" ht="15.75" customHeight="1">
      <c r="K386" s="83"/>
    </row>
    <row r="387" ht="15.75" customHeight="1">
      <c r="K387" s="83"/>
    </row>
    <row r="388" ht="15.75" customHeight="1">
      <c r="K388" s="83"/>
    </row>
    <row r="389" ht="15.75" customHeight="1">
      <c r="K389" s="83"/>
    </row>
    <row r="390" ht="15.75" customHeight="1">
      <c r="K390" s="83"/>
    </row>
    <row r="391" ht="15.75" customHeight="1">
      <c r="K391" s="83"/>
    </row>
    <row r="392" ht="15.75" customHeight="1">
      <c r="K392" s="83"/>
    </row>
    <row r="393" ht="15.75" customHeight="1">
      <c r="K393" s="83"/>
    </row>
    <row r="394" ht="15.75" customHeight="1">
      <c r="K394" s="83"/>
    </row>
    <row r="395" ht="15.75" customHeight="1">
      <c r="K395" s="83"/>
    </row>
    <row r="396" ht="15.75" customHeight="1">
      <c r="K396" s="83"/>
    </row>
    <row r="397" ht="15.75" customHeight="1">
      <c r="K397" s="83"/>
    </row>
    <row r="398" ht="15.75" customHeight="1">
      <c r="K398" s="83"/>
    </row>
    <row r="399" ht="15.75" customHeight="1">
      <c r="K399" s="83"/>
    </row>
    <row r="400" ht="15.75" customHeight="1">
      <c r="K400" s="83"/>
    </row>
    <row r="401" ht="15.75" customHeight="1">
      <c r="K401" s="83"/>
    </row>
    <row r="402" ht="15.75" customHeight="1">
      <c r="K402" s="83"/>
    </row>
    <row r="403" ht="15.75" customHeight="1">
      <c r="K403" s="83"/>
    </row>
    <row r="404" ht="15.75" customHeight="1">
      <c r="K404" s="83"/>
    </row>
    <row r="405" ht="15.75" customHeight="1">
      <c r="K405" s="83"/>
    </row>
    <row r="406" ht="15.75" customHeight="1">
      <c r="K406" s="83"/>
    </row>
    <row r="407" ht="15.75" customHeight="1">
      <c r="K407" s="83"/>
    </row>
    <row r="408" ht="15.75" customHeight="1">
      <c r="K408" s="83"/>
    </row>
    <row r="409" ht="15.75" customHeight="1">
      <c r="K409" s="83"/>
    </row>
    <row r="410" ht="15.75" customHeight="1">
      <c r="K410" s="83"/>
    </row>
    <row r="411" ht="15.75" customHeight="1">
      <c r="K411" s="83"/>
    </row>
    <row r="412" ht="15.75" customHeight="1">
      <c r="K412" s="83"/>
    </row>
    <row r="413" ht="15.75" customHeight="1">
      <c r="K413" s="83"/>
    </row>
    <row r="414" ht="15.75" customHeight="1">
      <c r="K414" s="83"/>
    </row>
    <row r="415" ht="15.75" customHeight="1">
      <c r="K415" s="83"/>
    </row>
    <row r="416" ht="15.75" customHeight="1">
      <c r="K416" s="83"/>
    </row>
    <row r="417" ht="15.75" customHeight="1">
      <c r="K417" s="83"/>
    </row>
    <row r="418" ht="15.75" customHeight="1">
      <c r="K418" s="83"/>
    </row>
    <row r="419" ht="15.75" customHeight="1">
      <c r="K419" s="83"/>
    </row>
    <row r="420" ht="15.75" customHeight="1">
      <c r="K420" s="83"/>
    </row>
    <row r="421" ht="15.75" customHeight="1">
      <c r="K421" s="83"/>
    </row>
    <row r="422" ht="15.75" customHeight="1">
      <c r="K422" s="83"/>
    </row>
    <row r="423" ht="15.75" customHeight="1">
      <c r="K423" s="83"/>
    </row>
    <row r="424" ht="15.75" customHeight="1">
      <c r="K424" s="83"/>
    </row>
    <row r="425" ht="15.75" customHeight="1">
      <c r="K425" s="83"/>
    </row>
    <row r="426" ht="15.75" customHeight="1">
      <c r="K426" s="83"/>
    </row>
    <row r="427" ht="15.75" customHeight="1">
      <c r="K427" s="83"/>
    </row>
    <row r="428" ht="15.75" customHeight="1">
      <c r="K428" s="83"/>
    </row>
    <row r="429" ht="15.75" customHeight="1">
      <c r="K429" s="83"/>
    </row>
    <row r="430" ht="15.75" customHeight="1">
      <c r="K430" s="83"/>
    </row>
    <row r="431" ht="15.75" customHeight="1">
      <c r="K431" s="83"/>
    </row>
    <row r="432" ht="15.75" customHeight="1">
      <c r="K432" s="83"/>
    </row>
    <row r="433" ht="15.75" customHeight="1">
      <c r="K433" s="83"/>
    </row>
    <row r="434" ht="15.75" customHeight="1">
      <c r="K434" s="83"/>
    </row>
    <row r="435" ht="15.75" customHeight="1">
      <c r="K435" s="83"/>
    </row>
    <row r="436" ht="15.75" customHeight="1">
      <c r="K436" s="83"/>
    </row>
    <row r="437" ht="15.75" customHeight="1">
      <c r="K437" s="83"/>
    </row>
    <row r="438" ht="15.75" customHeight="1">
      <c r="K438" s="83"/>
    </row>
    <row r="439" ht="15.75" customHeight="1">
      <c r="K439" s="83"/>
    </row>
    <row r="440" ht="15.75" customHeight="1">
      <c r="K440" s="83"/>
    </row>
    <row r="441" ht="15.75" customHeight="1">
      <c r="K441" s="83"/>
    </row>
    <row r="442" ht="15.75" customHeight="1">
      <c r="K442" s="83"/>
    </row>
    <row r="443" ht="15.75" customHeight="1">
      <c r="K443" s="83"/>
    </row>
    <row r="444" ht="15.75" customHeight="1">
      <c r="K444" s="83"/>
    </row>
    <row r="445" ht="15.75" customHeight="1">
      <c r="K445" s="83"/>
    </row>
    <row r="446" ht="15.75" customHeight="1">
      <c r="K446" s="83"/>
    </row>
    <row r="447" ht="15.75" customHeight="1">
      <c r="K447" s="83"/>
    </row>
    <row r="448" ht="15.75" customHeight="1">
      <c r="K448" s="83"/>
    </row>
    <row r="449" ht="15.75" customHeight="1">
      <c r="K449" s="83"/>
    </row>
    <row r="450" ht="15.75" customHeight="1">
      <c r="K450" s="83"/>
    </row>
    <row r="451" ht="15.75" customHeight="1">
      <c r="K451" s="83"/>
    </row>
    <row r="452" ht="15.75" customHeight="1">
      <c r="K452" s="83"/>
    </row>
    <row r="453" ht="15.75" customHeight="1">
      <c r="K453" s="83"/>
    </row>
    <row r="454" ht="15.75" customHeight="1">
      <c r="K454" s="83"/>
    </row>
    <row r="455" ht="15.75" customHeight="1">
      <c r="K455" s="83"/>
    </row>
    <row r="456" ht="15.75" customHeight="1">
      <c r="K456" s="83"/>
    </row>
    <row r="457" ht="15.75" customHeight="1">
      <c r="K457" s="83"/>
    </row>
    <row r="458" ht="15.75" customHeight="1">
      <c r="K458" s="83"/>
    </row>
    <row r="459" ht="15.75" customHeight="1">
      <c r="K459" s="83"/>
    </row>
    <row r="460" ht="15.75" customHeight="1">
      <c r="K460" s="83"/>
    </row>
    <row r="461" ht="15.75" customHeight="1">
      <c r="K461" s="83"/>
    </row>
    <row r="462" ht="15.75" customHeight="1">
      <c r="K462" s="83"/>
    </row>
    <row r="463" ht="15.75" customHeight="1">
      <c r="K463" s="83"/>
    </row>
    <row r="464" ht="15.75" customHeight="1">
      <c r="K464" s="83"/>
    </row>
    <row r="465" ht="15.75" customHeight="1">
      <c r="K465" s="83"/>
    </row>
    <row r="466" ht="15.75" customHeight="1">
      <c r="K466" s="83"/>
    </row>
    <row r="467" ht="15.75" customHeight="1">
      <c r="K467" s="83"/>
    </row>
    <row r="468" ht="15.75" customHeight="1">
      <c r="K468" s="83"/>
    </row>
    <row r="469" ht="15.75" customHeight="1">
      <c r="K469" s="83"/>
    </row>
    <row r="470" ht="15.75" customHeight="1">
      <c r="K470" s="83"/>
    </row>
    <row r="471" ht="15.75" customHeight="1">
      <c r="K471" s="83"/>
    </row>
    <row r="472" ht="15.75" customHeight="1">
      <c r="K472" s="83"/>
    </row>
    <row r="473" ht="15.75" customHeight="1">
      <c r="K473" s="83"/>
    </row>
    <row r="474" ht="15.75" customHeight="1">
      <c r="K474" s="83"/>
    </row>
    <row r="475" ht="15.75" customHeight="1">
      <c r="K475" s="83"/>
    </row>
    <row r="476" ht="15.75" customHeight="1">
      <c r="K476" s="83"/>
    </row>
    <row r="477" ht="15.75" customHeight="1">
      <c r="K477" s="83"/>
    </row>
    <row r="478" ht="15.75" customHeight="1">
      <c r="K478" s="83"/>
    </row>
    <row r="479" ht="15.75" customHeight="1">
      <c r="K479" s="83"/>
    </row>
    <row r="480" ht="15.75" customHeight="1">
      <c r="K480" s="83"/>
    </row>
    <row r="481" ht="15.75" customHeight="1">
      <c r="K481" s="83"/>
    </row>
    <row r="482" ht="15.75" customHeight="1">
      <c r="K482" s="83"/>
    </row>
    <row r="483" ht="15.75" customHeight="1">
      <c r="K483" s="83"/>
    </row>
    <row r="484" ht="15.75" customHeight="1">
      <c r="K484" s="83"/>
    </row>
    <row r="485" ht="15.75" customHeight="1">
      <c r="K485" s="83"/>
    </row>
    <row r="486" ht="15.75" customHeight="1">
      <c r="K486" s="83"/>
    </row>
    <row r="487" ht="15.75" customHeight="1">
      <c r="K487" s="83"/>
    </row>
    <row r="488" ht="15.75" customHeight="1">
      <c r="K488" s="83"/>
    </row>
    <row r="489" ht="15.75" customHeight="1">
      <c r="K489" s="83"/>
    </row>
    <row r="490" ht="15.75" customHeight="1">
      <c r="K490" s="83"/>
    </row>
    <row r="491" ht="15.75" customHeight="1">
      <c r="K491" s="83"/>
    </row>
    <row r="492" ht="15.75" customHeight="1">
      <c r="K492" s="83"/>
    </row>
    <row r="493" ht="15.75" customHeight="1">
      <c r="K493" s="83"/>
    </row>
    <row r="494" ht="15.75" customHeight="1">
      <c r="K494" s="83"/>
    </row>
    <row r="495" ht="15.75" customHeight="1">
      <c r="K495" s="83"/>
    </row>
    <row r="496" ht="15.75" customHeight="1">
      <c r="K496" s="83"/>
    </row>
    <row r="497" ht="15.75" customHeight="1">
      <c r="K497" s="83"/>
    </row>
    <row r="498" ht="15.75" customHeight="1">
      <c r="K498" s="83"/>
    </row>
    <row r="499" ht="15.75" customHeight="1">
      <c r="K499" s="83"/>
    </row>
    <row r="500" ht="15.75" customHeight="1">
      <c r="K500" s="83"/>
    </row>
    <row r="501" ht="15.75" customHeight="1">
      <c r="K501" s="83"/>
    </row>
    <row r="502" ht="15.75" customHeight="1">
      <c r="K502" s="83"/>
    </row>
    <row r="503" ht="15.75" customHeight="1">
      <c r="K503" s="83"/>
    </row>
    <row r="504" ht="15.75" customHeight="1">
      <c r="K504" s="83"/>
    </row>
    <row r="505" ht="15.75" customHeight="1">
      <c r="K505" s="83"/>
    </row>
    <row r="506" ht="15.75" customHeight="1">
      <c r="K506" s="83"/>
    </row>
    <row r="507" ht="15.75" customHeight="1">
      <c r="K507" s="83"/>
    </row>
    <row r="508" ht="15.75" customHeight="1">
      <c r="K508" s="83"/>
    </row>
    <row r="509" ht="15.75" customHeight="1">
      <c r="K509" s="83"/>
    </row>
    <row r="510" ht="15.75" customHeight="1">
      <c r="K510" s="83"/>
    </row>
    <row r="511" ht="15.75" customHeight="1">
      <c r="K511" s="83"/>
    </row>
    <row r="512" ht="15.75" customHeight="1">
      <c r="K512" s="83"/>
    </row>
    <row r="513" ht="15.75" customHeight="1">
      <c r="K513" s="83"/>
    </row>
    <row r="514" ht="15.75" customHeight="1">
      <c r="K514" s="83"/>
    </row>
    <row r="515" ht="15.75" customHeight="1">
      <c r="K515" s="83"/>
    </row>
    <row r="516" ht="15.75" customHeight="1">
      <c r="K516" s="83"/>
    </row>
    <row r="517" ht="15.75" customHeight="1">
      <c r="K517" s="83"/>
    </row>
    <row r="518" ht="15.75" customHeight="1">
      <c r="K518" s="83"/>
    </row>
    <row r="519" ht="15.75" customHeight="1">
      <c r="K519" s="83"/>
    </row>
    <row r="520" ht="15.75" customHeight="1">
      <c r="K520" s="83"/>
    </row>
    <row r="521" ht="15.75" customHeight="1">
      <c r="K521" s="83"/>
    </row>
    <row r="522" ht="15.75" customHeight="1">
      <c r="K522" s="83"/>
    </row>
    <row r="523" ht="15.75" customHeight="1">
      <c r="K523" s="83"/>
    </row>
    <row r="524" ht="15.75" customHeight="1">
      <c r="K524" s="83"/>
    </row>
    <row r="525" ht="15.75" customHeight="1">
      <c r="K525" s="83"/>
    </row>
    <row r="526" ht="15.75" customHeight="1">
      <c r="K526" s="83"/>
    </row>
    <row r="527" ht="15.75" customHeight="1">
      <c r="K527" s="83"/>
    </row>
    <row r="528" ht="15.75" customHeight="1">
      <c r="K528" s="83"/>
    </row>
    <row r="529" ht="15.75" customHeight="1">
      <c r="K529" s="83"/>
    </row>
    <row r="530" ht="15.75" customHeight="1">
      <c r="K530" s="83"/>
    </row>
    <row r="531" ht="15.75" customHeight="1">
      <c r="K531" s="83"/>
    </row>
    <row r="532" ht="15.75" customHeight="1">
      <c r="K532" s="83"/>
    </row>
    <row r="533" ht="15.75" customHeight="1">
      <c r="K533" s="83"/>
    </row>
    <row r="534" ht="15.75" customHeight="1">
      <c r="K534" s="83"/>
    </row>
    <row r="535" ht="15.75" customHeight="1">
      <c r="K535" s="83"/>
    </row>
    <row r="536" ht="15.75" customHeight="1">
      <c r="K536" s="83"/>
    </row>
    <row r="537" ht="15.75" customHeight="1">
      <c r="K537" s="83"/>
    </row>
    <row r="538" ht="15.75" customHeight="1">
      <c r="K538" s="83"/>
    </row>
    <row r="539" ht="15.75" customHeight="1">
      <c r="K539" s="83"/>
    </row>
    <row r="540" ht="15.75" customHeight="1">
      <c r="K540" s="83"/>
    </row>
    <row r="541" ht="15.75" customHeight="1">
      <c r="K541" s="83"/>
    </row>
    <row r="542" ht="15.75" customHeight="1">
      <c r="K542" s="83"/>
    </row>
    <row r="543" ht="15.75" customHeight="1">
      <c r="K543" s="83"/>
    </row>
    <row r="544" ht="15.75" customHeight="1">
      <c r="K544" s="83"/>
    </row>
    <row r="545" ht="15.75" customHeight="1">
      <c r="K545" s="83"/>
    </row>
    <row r="546" ht="15.75" customHeight="1">
      <c r="K546" s="83"/>
    </row>
    <row r="547" ht="15.75" customHeight="1">
      <c r="K547" s="83"/>
    </row>
    <row r="548" ht="15.75" customHeight="1">
      <c r="K548" s="83"/>
    </row>
    <row r="549" ht="15.75" customHeight="1">
      <c r="K549" s="83"/>
    </row>
    <row r="550" ht="15.75" customHeight="1">
      <c r="K550" s="83"/>
    </row>
    <row r="551" ht="15.75" customHeight="1">
      <c r="K551" s="83"/>
    </row>
    <row r="552" ht="15.75" customHeight="1">
      <c r="K552" s="83"/>
    </row>
    <row r="553" ht="15.75" customHeight="1">
      <c r="K553" s="83"/>
    </row>
    <row r="554" ht="15.75" customHeight="1">
      <c r="K554" s="83"/>
    </row>
    <row r="555" ht="15.75" customHeight="1">
      <c r="K555" s="83"/>
    </row>
    <row r="556" ht="15.75" customHeight="1">
      <c r="K556" s="83"/>
    </row>
    <row r="557" ht="15.75" customHeight="1">
      <c r="K557" s="83"/>
    </row>
    <row r="558" ht="15.75" customHeight="1">
      <c r="K558" s="83"/>
    </row>
    <row r="559" ht="15.75" customHeight="1">
      <c r="K559" s="83"/>
    </row>
    <row r="560" ht="15.75" customHeight="1">
      <c r="K560" s="83"/>
    </row>
    <row r="561" ht="15.75" customHeight="1">
      <c r="K561" s="83"/>
    </row>
    <row r="562" ht="15.75" customHeight="1">
      <c r="K562" s="83"/>
    </row>
    <row r="563" ht="15.75" customHeight="1">
      <c r="K563" s="83"/>
    </row>
    <row r="564" ht="15.75" customHeight="1">
      <c r="K564" s="83"/>
    </row>
    <row r="565" ht="15.75" customHeight="1">
      <c r="K565" s="83"/>
    </row>
    <row r="566" ht="15.75" customHeight="1">
      <c r="K566" s="83"/>
    </row>
    <row r="567" ht="15.75" customHeight="1">
      <c r="K567" s="83"/>
    </row>
    <row r="568" ht="15.75" customHeight="1">
      <c r="K568" s="83"/>
    </row>
    <row r="569" ht="15.75" customHeight="1">
      <c r="K569" s="83"/>
    </row>
    <row r="570" ht="15.75" customHeight="1">
      <c r="K570" s="83"/>
    </row>
    <row r="571" ht="15.75" customHeight="1">
      <c r="K571" s="83"/>
    </row>
    <row r="572" ht="15.75" customHeight="1">
      <c r="K572" s="83"/>
    </row>
    <row r="573" ht="15.75" customHeight="1">
      <c r="K573" s="83"/>
    </row>
    <row r="574" ht="15.75" customHeight="1">
      <c r="K574" s="83"/>
    </row>
    <row r="575" ht="15.75" customHeight="1">
      <c r="K575" s="83"/>
    </row>
    <row r="576" ht="15.75" customHeight="1">
      <c r="K576" s="83"/>
    </row>
    <row r="577" ht="15.75" customHeight="1">
      <c r="K577" s="83"/>
    </row>
    <row r="578" ht="15.75" customHeight="1">
      <c r="K578" s="83"/>
    </row>
    <row r="579" ht="15.75" customHeight="1">
      <c r="K579" s="83"/>
    </row>
    <row r="580" ht="15.75" customHeight="1">
      <c r="K580" s="83"/>
    </row>
    <row r="581" ht="15.75" customHeight="1">
      <c r="K581" s="83"/>
    </row>
    <row r="582" ht="15.75" customHeight="1">
      <c r="K582" s="83"/>
    </row>
    <row r="583" ht="15.75" customHeight="1">
      <c r="K583" s="83"/>
    </row>
    <row r="584" ht="15.75" customHeight="1">
      <c r="K584" s="83"/>
    </row>
    <row r="585" ht="15.75" customHeight="1">
      <c r="K585" s="83"/>
    </row>
    <row r="586" ht="15.75" customHeight="1">
      <c r="K586" s="83"/>
    </row>
    <row r="587" ht="15.75" customHeight="1">
      <c r="K587" s="83"/>
    </row>
    <row r="588" ht="15.75" customHeight="1">
      <c r="K588" s="83"/>
    </row>
    <row r="589" ht="15.75" customHeight="1">
      <c r="K589" s="83"/>
    </row>
    <row r="590" ht="15.75" customHeight="1">
      <c r="K590" s="83"/>
    </row>
    <row r="591" ht="15.75" customHeight="1">
      <c r="K591" s="83"/>
    </row>
    <row r="592" ht="15.75" customHeight="1">
      <c r="K592" s="83"/>
    </row>
    <row r="593" ht="15.75" customHeight="1">
      <c r="K593" s="83"/>
    </row>
    <row r="594" ht="15.75" customHeight="1">
      <c r="K594" s="83"/>
    </row>
    <row r="595" ht="15.75" customHeight="1">
      <c r="K595" s="83"/>
    </row>
    <row r="596" ht="15.75" customHeight="1">
      <c r="K596" s="83"/>
    </row>
    <row r="597" ht="15.75" customHeight="1">
      <c r="K597" s="83"/>
    </row>
    <row r="598" ht="15.75" customHeight="1">
      <c r="K598" s="83"/>
    </row>
    <row r="599" ht="15.75" customHeight="1">
      <c r="K599" s="83"/>
    </row>
    <row r="600" ht="15.75" customHeight="1">
      <c r="K600" s="83"/>
    </row>
    <row r="601" ht="15.75" customHeight="1">
      <c r="K601" s="83"/>
    </row>
    <row r="602" ht="15.75" customHeight="1">
      <c r="K602" s="83"/>
    </row>
    <row r="603" ht="15.75" customHeight="1">
      <c r="K603" s="83"/>
    </row>
    <row r="604" ht="15.75" customHeight="1">
      <c r="K604" s="83"/>
    </row>
    <row r="605" ht="15.75" customHeight="1">
      <c r="K605" s="83"/>
    </row>
    <row r="606" ht="15.75" customHeight="1">
      <c r="K606" s="83"/>
    </row>
    <row r="607" ht="15.75" customHeight="1">
      <c r="K607" s="83"/>
    </row>
    <row r="608" ht="15.75" customHeight="1">
      <c r="K608" s="83"/>
    </row>
    <row r="609" ht="15.75" customHeight="1">
      <c r="K609" s="83"/>
    </row>
    <row r="610" ht="15.75" customHeight="1">
      <c r="K610" s="83"/>
    </row>
    <row r="611" ht="15.75" customHeight="1">
      <c r="K611" s="83"/>
    </row>
    <row r="612" ht="15.75" customHeight="1">
      <c r="K612" s="83"/>
    </row>
    <row r="613" ht="15.75" customHeight="1">
      <c r="K613" s="83"/>
    </row>
    <row r="614" ht="15.75" customHeight="1">
      <c r="K614" s="83"/>
    </row>
    <row r="615" ht="15.75" customHeight="1">
      <c r="K615" s="83"/>
    </row>
    <row r="616" ht="15.75" customHeight="1">
      <c r="K616" s="83"/>
    </row>
    <row r="617" ht="15.75" customHeight="1">
      <c r="K617" s="83"/>
    </row>
    <row r="618" ht="15.75" customHeight="1">
      <c r="K618" s="83"/>
    </row>
    <row r="619" ht="15.75" customHeight="1">
      <c r="K619" s="83"/>
    </row>
    <row r="620" ht="15.75" customHeight="1">
      <c r="K620" s="83"/>
    </row>
    <row r="621" ht="15.75" customHeight="1">
      <c r="K621" s="83"/>
    </row>
    <row r="622" ht="15.75" customHeight="1">
      <c r="K622" s="83"/>
    </row>
    <row r="623" ht="15.75" customHeight="1">
      <c r="K623" s="83"/>
    </row>
    <row r="624" ht="15.75" customHeight="1">
      <c r="K624" s="83"/>
    </row>
    <row r="625" ht="15.75" customHeight="1">
      <c r="K625" s="83"/>
    </row>
    <row r="626" ht="15.75" customHeight="1">
      <c r="K626" s="83"/>
    </row>
    <row r="627" ht="15.75" customHeight="1">
      <c r="K627" s="83"/>
    </row>
    <row r="628" ht="15.75" customHeight="1">
      <c r="K628" s="83"/>
    </row>
    <row r="629" ht="15.75" customHeight="1">
      <c r="K629" s="83"/>
    </row>
    <row r="630" ht="15.75" customHeight="1">
      <c r="K630" s="83"/>
    </row>
    <row r="631" ht="15.75" customHeight="1">
      <c r="K631" s="83"/>
    </row>
    <row r="632" ht="15.75" customHeight="1">
      <c r="K632" s="83"/>
    </row>
    <row r="633" ht="15.75" customHeight="1">
      <c r="K633" s="83"/>
    </row>
    <row r="634" ht="15.75" customHeight="1">
      <c r="K634" s="83"/>
    </row>
    <row r="635" ht="15.75" customHeight="1">
      <c r="K635" s="83"/>
    </row>
    <row r="636" ht="15.75" customHeight="1">
      <c r="K636" s="83"/>
    </row>
    <row r="637" ht="15.75" customHeight="1">
      <c r="K637" s="83"/>
    </row>
    <row r="638" ht="15.75" customHeight="1">
      <c r="K638" s="83"/>
    </row>
    <row r="639" ht="15.75" customHeight="1">
      <c r="K639" s="83"/>
    </row>
    <row r="640" ht="15.75" customHeight="1">
      <c r="K640" s="83"/>
    </row>
    <row r="641" ht="15.75" customHeight="1">
      <c r="K641" s="83"/>
    </row>
    <row r="642" ht="15.75" customHeight="1">
      <c r="K642" s="83"/>
    </row>
    <row r="643" ht="15.75" customHeight="1">
      <c r="K643" s="83"/>
    </row>
    <row r="644" ht="15.75" customHeight="1">
      <c r="K644" s="83"/>
    </row>
    <row r="645" ht="15.75" customHeight="1">
      <c r="K645" s="83"/>
    </row>
    <row r="646" ht="15.75" customHeight="1">
      <c r="K646" s="83"/>
    </row>
    <row r="647" ht="15.75" customHeight="1">
      <c r="K647" s="83"/>
    </row>
    <row r="648" ht="15.75" customHeight="1">
      <c r="K648" s="83"/>
    </row>
    <row r="649" ht="15.75" customHeight="1">
      <c r="K649" s="83"/>
    </row>
    <row r="650" ht="15.75" customHeight="1">
      <c r="K650" s="83"/>
    </row>
    <row r="651" ht="15.75" customHeight="1">
      <c r="K651" s="83"/>
    </row>
    <row r="652" ht="15.75" customHeight="1">
      <c r="K652" s="83"/>
    </row>
    <row r="653" ht="15.75" customHeight="1">
      <c r="K653" s="83"/>
    </row>
    <row r="654" ht="15.75" customHeight="1">
      <c r="K654" s="83"/>
    </row>
    <row r="655" ht="15.75" customHeight="1">
      <c r="K655" s="83"/>
    </row>
    <row r="656" ht="15.75" customHeight="1">
      <c r="K656" s="83"/>
    </row>
    <row r="657" ht="15.75" customHeight="1">
      <c r="K657" s="83"/>
    </row>
    <row r="658" ht="15.75" customHeight="1">
      <c r="K658" s="83"/>
    </row>
    <row r="659" ht="15.75" customHeight="1">
      <c r="K659" s="83"/>
    </row>
    <row r="660" ht="15.75" customHeight="1">
      <c r="K660" s="83"/>
    </row>
    <row r="661" ht="15.75" customHeight="1">
      <c r="K661" s="83"/>
    </row>
    <row r="662" ht="15.75" customHeight="1">
      <c r="K662" s="83"/>
    </row>
    <row r="663" ht="15.75" customHeight="1">
      <c r="K663" s="83"/>
    </row>
    <row r="664" ht="15.75" customHeight="1">
      <c r="K664" s="83"/>
    </row>
    <row r="665" ht="15.75" customHeight="1">
      <c r="K665" s="83"/>
    </row>
    <row r="666" ht="15.75" customHeight="1">
      <c r="K666" s="83"/>
    </row>
    <row r="667" ht="15.75" customHeight="1">
      <c r="K667" s="83"/>
    </row>
    <row r="668" ht="15.75" customHeight="1">
      <c r="K668" s="83"/>
    </row>
    <row r="669" ht="15.75" customHeight="1">
      <c r="K669" s="83"/>
    </row>
    <row r="670" ht="15.75" customHeight="1">
      <c r="K670" s="83"/>
    </row>
    <row r="671" ht="15.75" customHeight="1">
      <c r="K671" s="83"/>
    </row>
    <row r="672" ht="15.75" customHeight="1">
      <c r="K672" s="83"/>
    </row>
    <row r="673" ht="15.75" customHeight="1">
      <c r="K673" s="83"/>
    </row>
    <row r="674" ht="15.75" customHeight="1">
      <c r="K674" s="83"/>
    </row>
    <row r="675" ht="15.75" customHeight="1">
      <c r="K675" s="83"/>
    </row>
    <row r="676" ht="15.75" customHeight="1">
      <c r="K676" s="83"/>
    </row>
    <row r="677" ht="15.75" customHeight="1">
      <c r="K677" s="83"/>
    </row>
    <row r="678" ht="15.75" customHeight="1">
      <c r="K678" s="83"/>
    </row>
    <row r="679" ht="15.75" customHeight="1">
      <c r="K679" s="83"/>
    </row>
    <row r="680" ht="15.75" customHeight="1">
      <c r="K680" s="83"/>
    </row>
    <row r="681" ht="15.75" customHeight="1">
      <c r="K681" s="83"/>
    </row>
    <row r="682" ht="15.75" customHeight="1">
      <c r="K682" s="83"/>
    </row>
    <row r="683" ht="15.75" customHeight="1">
      <c r="K683" s="83"/>
    </row>
    <row r="684" ht="15.75" customHeight="1">
      <c r="K684" s="83"/>
    </row>
    <row r="685" ht="15.75" customHeight="1">
      <c r="K685" s="83"/>
    </row>
    <row r="686" ht="15.75" customHeight="1">
      <c r="K686" s="83"/>
    </row>
    <row r="687" ht="15.75" customHeight="1">
      <c r="K687" s="83"/>
    </row>
    <row r="688" ht="15.75" customHeight="1">
      <c r="K688" s="83"/>
    </row>
    <row r="689" ht="15.75" customHeight="1">
      <c r="K689" s="83"/>
    </row>
    <row r="690" ht="15.75" customHeight="1">
      <c r="K690" s="83"/>
    </row>
    <row r="691" ht="15.75" customHeight="1">
      <c r="K691" s="83"/>
    </row>
    <row r="692" ht="15.75" customHeight="1">
      <c r="K692" s="83"/>
    </row>
    <row r="693" ht="15.75" customHeight="1">
      <c r="K693" s="83"/>
    </row>
    <row r="694" ht="15.75" customHeight="1">
      <c r="K694" s="83"/>
    </row>
    <row r="695" ht="15.75" customHeight="1">
      <c r="K695" s="83"/>
    </row>
    <row r="696" ht="15.75" customHeight="1">
      <c r="K696" s="83"/>
    </row>
    <row r="697" ht="15.75" customHeight="1">
      <c r="K697" s="83"/>
    </row>
    <row r="698" ht="15.75" customHeight="1">
      <c r="K698" s="83"/>
    </row>
    <row r="699" ht="15.75" customHeight="1">
      <c r="K699" s="83"/>
    </row>
    <row r="700" ht="15.75" customHeight="1">
      <c r="K700" s="83"/>
    </row>
    <row r="701" ht="15.75" customHeight="1">
      <c r="K701" s="83"/>
    </row>
    <row r="702" ht="15.75" customHeight="1">
      <c r="K702" s="83"/>
    </row>
    <row r="703" ht="15.75" customHeight="1">
      <c r="K703" s="83"/>
    </row>
    <row r="704" ht="15.75" customHeight="1">
      <c r="K704" s="83"/>
    </row>
    <row r="705" ht="15.75" customHeight="1">
      <c r="K705" s="83"/>
    </row>
    <row r="706" ht="15.75" customHeight="1">
      <c r="K706" s="83"/>
    </row>
    <row r="707" ht="15.75" customHeight="1">
      <c r="K707" s="83"/>
    </row>
    <row r="708" ht="15.75" customHeight="1">
      <c r="K708" s="83"/>
    </row>
    <row r="709" ht="15.75" customHeight="1">
      <c r="K709" s="83"/>
    </row>
    <row r="710" ht="15.75" customHeight="1">
      <c r="K710" s="83"/>
    </row>
    <row r="711" ht="15.75" customHeight="1">
      <c r="K711" s="83"/>
    </row>
    <row r="712" ht="15.75" customHeight="1">
      <c r="K712" s="83"/>
    </row>
    <row r="713" ht="15.75" customHeight="1">
      <c r="K713" s="83"/>
    </row>
    <row r="714" ht="15.75" customHeight="1">
      <c r="K714" s="83"/>
    </row>
    <row r="715" ht="15.75" customHeight="1">
      <c r="K715" s="83"/>
    </row>
    <row r="716" ht="15.75" customHeight="1">
      <c r="K716" s="83"/>
    </row>
    <row r="717" ht="15.75" customHeight="1">
      <c r="K717" s="83"/>
    </row>
    <row r="718" ht="15.75" customHeight="1">
      <c r="K718" s="83"/>
    </row>
    <row r="719" ht="15.75" customHeight="1">
      <c r="K719" s="83"/>
    </row>
    <row r="720" ht="15.75" customHeight="1">
      <c r="K720" s="83"/>
    </row>
    <row r="721" ht="15.75" customHeight="1">
      <c r="K721" s="83"/>
    </row>
    <row r="722" ht="15.75" customHeight="1">
      <c r="K722" s="83"/>
    </row>
    <row r="723" ht="15.75" customHeight="1">
      <c r="K723" s="83"/>
    </row>
    <row r="724" ht="15.75" customHeight="1">
      <c r="K724" s="83"/>
    </row>
    <row r="725" ht="15.75" customHeight="1">
      <c r="K725" s="83"/>
    </row>
    <row r="726" ht="15.75" customHeight="1">
      <c r="K726" s="83"/>
    </row>
    <row r="727" ht="15.75" customHeight="1">
      <c r="K727" s="83"/>
    </row>
    <row r="728" ht="15.75" customHeight="1">
      <c r="K728" s="83"/>
    </row>
    <row r="729" ht="15.75" customHeight="1">
      <c r="K729" s="83"/>
    </row>
    <row r="730" ht="15.75" customHeight="1">
      <c r="K730" s="83"/>
    </row>
    <row r="731" ht="15.75" customHeight="1">
      <c r="K731" s="83"/>
    </row>
    <row r="732" ht="15.75" customHeight="1">
      <c r="K732" s="83"/>
    </row>
    <row r="733" ht="15.75" customHeight="1">
      <c r="K733" s="83"/>
    </row>
    <row r="734" ht="15.75" customHeight="1">
      <c r="K734" s="83"/>
    </row>
    <row r="735" ht="15.75" customHeight="1">
      <c r="K735" s="83"/>
    </row>
    <row r="736" ht="15.75" customHeight="1">
      <c r="K736" s="83"/>
    </row>
    <row r="737" ht="15.75" customHeight="1">
      <c r="K737" s="83"/>
    </row>
    <row r="738" ht="15.75" customHeight="1">
      <c r="K738" s="83"/>
    </row>
    <row r="739" ht="15.75" customHeight="1">
      <c r="K739" s="83"/>
    </row>
    <row r="740" ht="15.75" customHeight="1">
      <c r="K740" s="83"/>
    </row>
    <row r="741" ht="15.75" customHeight="1">
      <c r="K741" s="83"/>
    </row>
    <row r="742" ht="15.75" customHeight="1">
      <c r="K742" s="83"/>
    </row>
    <row r="743" ht="15.75" customHeight="1">
      <c r="K743" s="83"/>
    </row>
    <row r="744" ht="15.75" customHeight="1">
      <c r="K744" s="83"/>
    </row>
    <row r="745" ht="15.75" customHeight="1">
      <c r="K745" s="83"/>
    </row>
    <row r="746" ht="15.75" customHeight="1">
      <c r="K746" s="83"/>
    </row>
    <row r="747" ht="15.75" customHeight="1">
      <c r="K747" s="83"/>
    </row>
    <row r="748" ht="15.75" customHeight="1">
      <c r="K748" s="83"/>
    </row>
    <row r="749" ht="15.75" customHeight="1">
      <c r="K749" s="83"/>
    </row>
    <row r="750" ht="15.75" customHeight="1">
      <c r="K750" s="83"/>
    </row>
    <row r="751" ht="15.75" customHeight="1">
      <c r="K751" s="83"/>
    </row>
    <row r="752" ht="15.75" customHeight="1">
      <c r="K752" s="83"/>
    </row>
    <row r="753" ht="15.75" customHeight="1">
      <c r="K753" s="83"/>
    </row>
    <row r="754" ht="15.75" customHeight="1">
      <c r="K754" s="83"/>
    </row>
    <row r="755" ht="15.75" customHeight="1">
      <c r="K755" s="83"/>
    </row>
    <row r="756" ht="15.75" customHeight="1">
      <c r="K756" s="83"/>
    </row>
    <row r="757" ht="15.75" customHeight="1">
      <c r="K757" s="83"/>
    </row>
    <row r="758" ht="15.75" customHeight="1">
      <c r="K758" s="83"/>
    </row>
    <row r="759" ht="15.75" customHeight="1">
      <c r="K759" s="83"/>
    </row>
    <row r="760" ht="15.75" customHeight="1">
      <c r="K760" s="83"/>
    </row>
    <row r="761" ht="15.75" customHeight="1">
      <c r="K761" s="83"/>
    </row>
    <row r="762" ht="15.75" customHeight="1">
      <c r="K762" s="83"/>
    </row>
    <row r="763" ht="15.75" customHeight="1">
      <c r="K763" s="83"/>
    </row>
    <row r="764" ht="15.75" customHeight="1">
      <c r="K764" s="83"/>
    </row>
    <row r="765" ht="15.75" customHeight="1">
      <c r="K765" s="83"/>
    </row>
    <row r="766" ht="15.75" customHeight="1">
      <c r="K766" s="83"/>
    </row>
    <row r="767" ht="15.75" customHeight="1">
      <c r="K767" s="83"/>
    </row>
    <row r="768" ht="15.75" customHeight="1">
      <c r="K768" s="83"/>
    </row>
    <row r="769" ht="15.75" customHeight="1">
      <c r="K769" s="83"/>
    </row>
    <row r="770" ht="15.75" customHeight="1">
      <c r="K770" s="83"/>
    </row>
    <row r="771" ht="15.75" customHeight="1">
      <c r="K771" s="83"/>
    </row>
    <row r="772" ht="15.75" customHeight="1">
      <c r="K772" s="83"/>
    </row>
    <row r="773" ht="15.75" customHeight="1">
      <c r="K773" s="83"/>
    </row>
    <row r="774" ht="15.75" customHeight="1">
      <c r="K774" s="83"/>
    </row>
    <row r="775" ht="15.75" customHeight="1">
      <c r="K775" s="83"/>
    </row>
    <row r="776" ht="15.75" customHeight="1">
      <c r="K776" s="83"/>
    </row>
    <row r="777" ht="15.75" customHeight="1">
      <c r="K777" s="83"/>
    </row>
    <row r="778" ht="15.75" customHeight="1">
      <c r="K778" s="83"/>
    </row>
    <row r="779" ht="15.75" customHeight="1">
      <c r="K779" s="83"/>
    </row>
    <row r="780" ht="15.75" customHeight="1">
      <c r="K780" s="83"/>
    </row>
    <row r="781" ht="15.75" customHeight="1">
      <c r="K781" s="83"/>
    </row>
    <row r="782" ht="15.75" customHeight="1">
      <c r="K782" s="83"/>
    </row>
    <row r="783" ht="15.75" customHeight="1">
      <c r="K783" s="83"/>
    </row>
    <row r="784" ht="15.75" customHeight="1">
      <c r="K784" s="83"/>
    </row>
    <row r="785" ht="15.75" customHeight="1">
      <c r="K785" s="83"/>
    </row>
    <row r="786" ht="15.75" customHeight="1">
      <c r="K786" s="83"/>
    </row>
    <row r="787" ht="15.75" customHeight="1">
      <c r="K787" s="83"/>
    </row>
    <row r="788" ht="15.75" customHeight="1">
      <c r="K788" s="83"/>
    </row>
    <row r="789" ht="15.75" customHeight="1">
      <c r="K789" s="83"/>
    </row>
    <row r="790" ht="15.75" customHeight="1">
      <c r="K790" s="83"/>
    </row>
    <row r="791" ht="15.75" customHeight="1">
      <c r="K791" s="83"/>
    </row>
    <row r="792" ht="15.75" customHeight="1">
      <c r="K792" s="83"/>
    </row>
    <row r="793" ht="15.75" customHeight="1">
      <c r="K793" s="83"/>
    </row>
    <row r="794" ht="15.75" customHeight="1">
      <c r="K794" s="83"/>
    </row>
    <row r="795" ht="15.75" customHeight="1">
      <c r="K795" s="83"/>
    </row>
    <row r="796" ht="15.75" customHeight="1">
      <c r="K796" s="83"/>
    </row>
    <row r="797" ht="15.75" customHeight="1">
      <c r="K797" s="83"/>
    </row>
    <row r="798" ht="15.75" customHeight="1">
      <c r="K798" s="83"/>
    </row>
    <row r="799" ht="15.75" customHeight="1">
      <c r="K799" s="83"/>
    </row>
    <row r="800" ht="15.75" customHeight="1">
      <c r="K800" s="83"/>
    </row>
    <row r="801" ht="15.75" customHeight="1">
      <c r="K801" s="83"/>
    </row>
    <row r="802" ht="15.75" customHeight="1">
      <c r="K802" s="83"/>
    </row>
    <row r="803" ht="15.75" customHeight="1">
      <c r="K803" s="83"/>
    </row>
    <row r="804" ht="15.75" customHeight="1">
      <c r="K804" s="83"/>
    </row>
    <row r="805" ht="15.75" customHeight="1">
      <c r="K805" s="83"/>
    </row>
    <row r="806" ht="15.75" customHeight="1">
      <c r="K806" s="83"/>
    </row>
    <row r="807" ht="15.75" customHeight="1">
      <c r="K807" s="83"/>
    </row>
    <row r="808" ht="15.75" customHeight="1">
      <c r="K808" s="83"/>
    </row>
    <row r="809" ht="15.75" customHeight="1">
      <c r="K809" s="83"/>
    </row>
    <row r="810" ht="15.75" customHeight="1">
      <c r="K810" s="83"/>
    </row>
    <row r="811" ht="15.75" customHeight="1">
      <c r="K811" s="83"/>
    </row>
    <row r="812" ht="15.75" customHeight="1">
      <c r="K812" s="83"/>
    </row>
    <row r="813" ht="15.75" customHeight="1">
      <c r="K813" s="83"/>
    </row>
    <row r="814" ht="15.75" customHeight="1">
      <c r="K814" s="83"/>
    </row>
    <row r="815" ht="15.75" customHeight="1">
      <c r="K815" s="83"/>
    </row>
    <row r="816" ht="15.75" customHeight="1">
      <c r="K816" s="83"/>
    </row>
    <row r="817" ht="15.75" customHeight="1">
      <c r="K817" s="83"/>
    </row>
    <row r="818" ht="15.75" customHeight="1">
      <c r="K818" s="83"/>
    </row>
    <row r="819" ht="15.75" customHeight="1">
      <c r="K819" s="83"/>
    </row>
    <row r="820" ht="15.75" customHeight="1">
      <c r="K820" s="83"/>
    </row>
    <row r="821" ht="15.75" customHeight="1">
      <c r="K821" s="83"/>
    </row>
    <row r="822" ht="15.75" customHeight="1">
      <c r="K822" s="83"/>
    </row>
    <row r="823" ht="15.75" customHeight="1">
      <c r="K823" s="83"/>
    </row>
    <row r="824" ht="15.75" customHeight="1">
      <c r="K824" s="83"/>
    </row>
    <row r="825" ht="15.75" customHeight="1">
      <c r="K825" s="83"/>
    </row>
    <row r="826" ht="15.75" customHeight="1">
      <c r="K826" s="83"/>
    </row>
    <row r="827" ht="15.75" customHeight="1">
      <c r="K827" s="83"/>
    </row>
    <row r="828" ht="15.75" customHeight="1">
      <c r="K828" s="83"/>
    </row>
    <row r="829" ht="15.75" customHeight="1">
      <c r="K829" s="83"/>
    </row>
    <row r="830" ht="15.75" customHeight="1">
      <c r="K830" s="83"/>
    </row>
    <row r="831" ht="15.75" customHeight="1">
      <c r="K831" s="83"/>
    </row>
    <row r="832" ht="15.75" customHeight="1">
      <c r="K832" s="83"/>
    </row>
    <row r="833" ht="15.75" customHeight="1">
      <c r="K833" s="83"/>
    </row>
    <row r="834" ht="15.75" customHeight="1">
      <c r="K834" s="83"/>
    </row>
    <row r="835" ht="15.75" customHeight="1">
      <c r="K835" s="83"/>
    </row>
    <row r="836" ht="15.75" customHeight="1">
      <c r="K836" s="83"/>
    </row>
    <row r="837" ht="15.75" customHeight="1">
      <c r="K837" s="83"/>
    </row>
    <row r="838" ht="15.75" customHeight="1">
      <c r="K838" s="83"/>
    </row>
    <row r="839" ht="15.75" customHeight="1">
      <c r="K839" s="83"/>
    </row>
    <row r="840" ht="15.75" customHeight="1">
      <c r="K840" s="83"/>
    </row>
    <row r="841" ht="15.75" customHeight="1">
      <c r="K841" s="83"/>
    </row>
    <row r="842" ht="15.75" customHeight="1">
      <c r="K842" s="83"/>
    </row>
    <row r="843" ht="15.75" customHeight="1">
      <c r="K843" s="83"/>
    </row>
    <row r="844" ht="15.75" customHeight="1">
      <c r="K844" s="83"/>
    </row>
    <row r="845" ht="15.75" customHeight="1">
      <c r="K845" s="83"/>
    </row>
    <row r="846" ht="15.75" customHeight="1">
      <c r="K846" s="83"/>
    </row>
    <row r="847" ht="15.75" customHeight="1">
      <c r="K847" s="83"/>
    </row>
    <row r="848" ht="15.75" customHeight="1">
      <c r="K848" s="83"/>
    </row>
    <row r="849" ht="15.75" customHeight="1">
      <c r="K849" s="83"/>
    </row>
    <row r="850" ht="15.75" customHeight="1">
      <c r="K850" s="83"/>
    </row>
    <row r="851" ht="15.75" customHeight="1">
      <c r="K851" s="83"/>
    </row>
    <row r="852" ht="15.75" customHeight="1">
      <c r="K852" s="83"/>
    </row>
    <row r="853" ht="15.75" customHeight="1">
      <c r="K853" s="83"/>
    </row>
    <row r="854" ht="15.75" customHeight="1">
      <c r="K854" s="83"/>
    </row>
    <row r="855" ht="15.75" customHeight="1">
      <c r="K855" s="83"/>
    </row>
    <row r="856" ht="15.75" customHeight="1">
      <c r="K856" s="83"/>
    </row>
    <row r="857" ht="15.75" customHeight="1">
      <c r="K857" s="83"/>
    </row>
    <row r="858" ht="15.75" customHeight="1">
      <c r="K858" s="83"/>
    </row>
    <row r="859" ht="15.75" customHeight="1">
      <c r="K859" s="83"/>
    </row>
    <row r="860" ht="15.75" customHeight="1">
      <c r="K860" s="83"/>
    </row>
    <row r="861" ht="15.75" customHeight="1">
      <c r="K861" s="83"/>
    </row>
    <row r="862" ht="15.75" customHeight="1">
      <c r="K862" s="83"/>
    </row>
    <row r="863" ht="15.75" customHeight="1">
      <c r="K863" s="83"/>
    </row>
    <row r="864" ht="15.75" customHeight="1">
      <c r="K864" s="83"/>
    </row>
    <row r="865" ht="15.75" customHeight="1">
      <c r="K865" s="83"/>
    </row>
    <row r="866" ht="15.75" customHeight="1">
      <c r="K866" s="83"/>
    </row>
    <row r="867" ht="15.75" customHeight="1">
      <c r="K867" s="83"/>
    </row>
    <row r="868" ht="15.75" customHeight="1">
      <c r="K868" s="83"/>
    </row>
    <row r="869" ht="15.75" customHeight="1">
      <c r="K869" s="83"/>
    </row>
    <row r="870" ht="15.75" customHeight="1">
      <c r="K870" s="83"/>
    </row>
    <row r="871" ht="15.75" customHeight="1">
      <c r="K871" s="83"/>
    </row>
    <row r="872" ht="15.75" customHeight="1">
      <c r="K872" s="83"/>
    </row>
    <row r="873" ht="15.75" customHeight="1">
      <c r="K873" s="83"/>
    </row>
    <row r="874" ht="15.75" customHeight="1">
      <c r="K874" s="83"/>
    </row>
    <row r="875" ht="15.75" customHeight="1">
      <c r="K875" s="83"/>
    </row>
    <row r="876" ht="15.75" customHeight="1">
      <c r="K876" s="83"/>
    </row>
    <row r="877" ht="15.75" customHeight="1">
      <c r="K877" s="83"/>
    </row>
    <row r="878" ht="15.75" customHeight="1">
      <c r="K878" s="83"/>
    </row>
    <row r="879" ht="15.75" customHeight="1">
      <c r="K879" s="83"/>
    </row>
    <row r="880" ht="15.75" customHeight="1">
      <c r="K880" s="83"/>
    </row>
    <row r="881" ht="15.75" customHeight="1">
      <c r="K881" s="83"/>
    </row>
    <row r="882" ht="15.75" customHeight="1">
      <c r="K882" s="83"/>
    </row>
    <row r="883" ht="15.75" customHeight="1">
      <c r="K883" s="83"/>
    </row>
    <row r="884" ht="15.75" customHeight="1">
      <c r="K884" s="83"/>
    </row>
    <row r="885" ht="15.75" customHeight="1">
      <c r="K885" s="83"/>
    </row>
    <row r="886" ht="15.75" customHeight="1">
      <c r="K886" s="83"/>
    </row>
    <row r="887" ht="15.75" customHeight="1">
      <c r="K887" s="83"/>
    </row>
    <row r="888" ht="15.75" customHeight="1">
      <c r="K888" s="83"/>
    </row>
    <row r="889" ht="15.75" customHeight="1">
      <c r="K889" s="83"/>
    </row>
    <row r="890" ht="15.75" customHeight="1">
      <c r="K890" s="83"/>
    </row>
    <row r="891" ht="15.75" customHeight="1">
      <c r="K891" s="83"/>
    </row>
    <row r="892" ht="15.75" customHeight="1">
      <c r="K892" s="83"/>
    </row>
    <row r="893" ht="15.75" customHeight="1">
      <c r="K893" s="83"/>
    </row>
    <row r="894" ht="15.75" customHeight="1">
      <c r="K894" s="83"/>
    </row>
    <row r="895" ht="15.75" customHeight="1">
      <c r="K895" s="83"/>
    </row>
    <row r="896" ht="15.75" customHeight="1">
      <c r="K896" s="83"/>
    </row>
    <row r="897" ht="15.75" customHeight="1">
      <c r="K897" s="83"/>
    </row>
    <row r="898" ht="15.75" customHeight="1">
      <c r="K898" s="83"/>
    </row>
    <row r="899" ht="15.75" customHeight="1">
      <c r="K899" s="83"/>
    </row>
    <row r="900" ht="15.75" customHeight="1">
      <c r="K900" s="83"/>
    </row>
    <row r="901" ht="15.75" customHeight="1">
      <c r="K901" s="83"/>
    </row>
    <row r="902" ht="15.75" customHeight="1">
      <c r="K902" s="83"/>
    </row>
    <row r="903" ht="15.75" customHeight="1">
      <c r="K903" s="83"/>
    </row>
    <row r="904" ht="15.75" customHeight="1">
      <c r="K904" s="83"/>
    </row>
    <row r="905" ht="15.75" customHeight="1">
      <c r="K905" s="83"/>
    </row>
    <row r="906" ht="15.75" customHeight="1">
      <c r="K906" s="83"/>
    </row>
    <row r="907" ht="15.75" customHeight="1">
      <c r="K907" s="83"/>
    </row>
    <row r="908" ht="15.75" customHeight="1">
      <c r="K908" s="83"/>
    </row>
    <row r="909" ht="15.75" customHeight="1">
      <c r="K909" s="83"/>
    </row>
    <row r="910" ht="15.75" customHeight="1">
      <c r="K910" s="83"/>
    </row>
    <row r="911" ht="15.75" customHeight="1">
      <c r="K911" s="83"/>
    </row>
    <row r="912" ht="15.75" customHeight="1">
      <c r="K912" s="83"/>
    </row>
    <row r="913" ht="15.75" customHeight="1">
      <c r="K913" s="83"/>
    </row>
    <row r="914" ht="15.75" customHeight="1">
      <c r="K914" s="83"/>
    </row>
    <row r="915" ht="15.75" customHeight="1">
      <c r="K915" s="83"/>
    </row>
    <row r="916" ht="15.75" customHeight="1">
      <c r="K916" s="83"/>
    </row>
    <row r="917" ht="15.75" customHeight="1">
      <c r="K917" s="83"/>
    </row>
    <row r="918" ht="15.75" customHeight="1">
      <c r="K918" s="83"/>
    </row>
    <row r="919" ht="15.75" customHeight="1">
      <c r="K919" s="83"/>
    </row>
    <row r="920" ht="15.75" customHeight="1">
      <c r="K920" s="83"/>
    </row>
    <row r="921" ht="15.75" customHeight="1">
      <c r="K921" s="83"/>
    </row>
    <row r="922" ht="15.75" customHeight="1">
      <c r="K922" s="83"/>
    </row>
    <row r="923" ht="15.75" customHeight="1">
      <c r="K923" s="83"/>
    </row>
    <row r="924" ht="15.75" customHeight="1">
      <c r="K924" s="83"/>
    </row>
    <row r="925" ht="15.75" customHeight="1">
      <c r="K925" s="83"/>
    </row>
    <row r="926" ht="15.75" customHeight="1">
      <c r="K926" s="83"/>
    </row>
    <row r="927" ht="15.75" customHeight="1">
      <c r="K927" s="83"/>
    </row>
    <row r="928" ht="15.75" customHeight="1">
      <c r="K928" s="83"/>
    </row>
    <row r="929" ht="15.75" customHeight="1">
      <c r="K929" s="83"/>
    </row>
    <row r="930" ht="15.75" customHeight="1">
      <c r="K930" s="83"/>
    </row>
    <row r="931" ht="15.75" customHeight="1">
      <c r="K931" s="83"/>
    </row>
    <row r="932" ht="15.75" customHeight="1">
      <c r="K932" s="83"/>
    </row>
    <row r="933" ht="15.75" customHeight="1">
      <c r="K933" s="83"/>
    </row>
    <row r="934" ht="15.75" customHeight="1">
      <c r="K934" s="83"/>
    </row>
    <row r="935" ht="15.75" customHeight="1">
      <c r="K935" s="83"/>
    </row>
    <row r="936" ht="15.75" customHeight="1">
      <c r="K936" s="83"/>
    </row>
    <row r="937" ht="15.75" customHeight="1">
      <c r="K937" s="83"/>
    </row>
    <row r="938" ht="15.75" customHeight="1">
      <c r="K938" s="83"/>
    </row>
    <row r="939" ht="15.75" customHeight="1">
      <c r="K939" s="83"/>
    </row>
    <row r="940" ht="15.75" customHeight="1">
      <c r="K940" s="83"/>
    </row>
    <row r="941" ht="15.75" customHeight="1">
      <c r="K941" s="83"/>
    </row>
    <row r="942" ht="15.75" customHeight="1">
      <c r="K942" s="83"/>
    </row>
    <row r="943" ht="15.75" customHeight="1">
      <c r="K943" s="83"/>
    </row>
    <row r="944" ht="15.75" customHeight="1">
      <c r="K944" s="83"/>
    </row>
    <row r="945" ht="15.75" customHeight="1">
      <c r="K945" s="83"/>
    </row>
    <row r="946" ht="15.75" customHeight="1">
      <c r="K946" s="83"/>
    </row>
    <row r="947" ht="15.75" customHeight="1">
      <c r="K947" s="83"/>
    </row>
    <row r="948" ht="15.75" customHeight="1">
      <c r="K948" s="83"/>
    </row>
    <row r="949" ht="15.75" customHeight="1">
      <c r="K949" s="83"/>
    </row>
    <row r="950" ht="15.75" customHeight="1">
      <c r="K950" s="83"/>
    </row>
    <row r="951" ht="15.75" customHeight="1">
      <c r="K951" s="83"/>
    </row>
    <row r="952" ht="15.75" customHeight="1">
      <c r="K952" s="83"/>
    </row>
    <row r="953" ht="15.75" customHeight="1">
      <c r="K953" s="83"/>
    </row>
    <row r="954" ht="15.75" customHeight="1">
      <c r="K954" s="83"/>
    </row>
    <row r="955" ht="15.75" customHeight="1">
      <c r="K955" s="83"/>
    </row>
    <row r="956" ht="15.75" customHeight="1">
      <c r="K956" s="83"/>
    </row>
    <row r="957" ht="15.75" customHeight="1">
      <c r="K957" s="83"/>
    </row>
    <row r="958" ht="15.75" customHeight="1">
      <c r="K958" s="83"/>
    </row>
    <row r="959" ht="15.75" customHeight="1">
      <c r="K959" s="83"/>
    </row>
    <row r="960" ht="15.75" customHeight="1">
      <c r="K960" s="83"/>
    </row>
    <row r="961" ht="15.75" customHeight="1">
      <c r="K961" s="83"/>
    </row>
    <row r="962" ht="15.75" customHeight="1">
      <c r="K962" s="83"/>
    </row>
    <row r="963" ht="15.75" customHeight="1">
      <c r="K963" s="83"/>
    </row>
    <row r="964" ht="15.75" customHeight="1">
      <c r="K964" s="83"/>
    </row>
    <row r="965" ht="15.75" customHeight="1">
      <c r="K965" s="83"/>
    </row>
    <row r="966" ht="15.75" customHeight="1">
      <c r="K966" s="83"/>
    </row>
    <row r="967" ht="15.75" customHeight="1">
      <c r="K967" s="83"/>
    </row>
    <row r="968" ht="15.75" customHeight="1">
      <c r="K968" s="83"/>
    </row>
    <row r="969" ht="15.75" customHeight="1">
      <c r="K969" s="83"/>
    </row>
    <row r="970" ht="15.75" customHeight="1">
      <c r="K970" s="83"/>
    </row>
    <row r="971" ht="15.75" customHeight="1">
      <c r="K971" s="83"/>
    </row>
    <row r="972" ht="15.75" customHeight="1">
      <c r="K972" s="83"/>
    </row>
    <row r="973" ht="15.75" customHeight="1">
      <c r="K973" s="83"/>
    </row>
    <row r="974" ht="15.75" customHeight="1">
      <c r="K974" s="83"/>
    </row>
    <row r="975" ht="15.75" customHeight="1">
      <c r="K975" s="83"/>
    </row>
    <row r="976" ht="15.75" customHeight="1">
      <c r="K976" s="83"/>
    </row>
    <row r="977" ht="15.75" customHeight="1">
      <c r="K977" s="83"/>
    </row>
    <row r="978" ht="15.75" customHeight="1">
      <c r="K978" s="83"/>
    </row>
    <row r="979" ht="15.75" customHeight="1">
      <c r="K979" s="83"/>
    </row>
    <row r="980" ht="15.75" customHeight="1">
      <c r="K980" s="83"/>
    </row>
    <row r="981" ht="15.75" customHeight="1">
      <c r="K981" s="83"/>
    </row>
    <row r="982" ht="15.75" customHeight="1">
      <c r="K982" s="83"/>
    </row>
    <row r="983" ht="15.75" customHeight="1">
      <c r="K983" s="83"/>
    </row>
    <row r="984" ht="15.75" customHeight="1">
      <c r="K984" s="83"/>
    </row>
    <row r="985" ht="15.75" customHeight="1">
      <c r="K985" s="83"/>
    </row>
    <row r="986" ht="15.75" customHeight="1">
      <c r="K986" s="83"/>
    </row>
    <row r="987" ht="15.75" customHeight="1">
      <c r="K987" s="83"/>
    </row>
    <row r="988" ht="15.75" customHeight="1">
      <c r="K988" s="83"/>
    </row>
    <row r="989" ht="15.75" customHeight="1">
      <c r="K989" s="83"/>
    </row>
    <row r="990" ht="15.75" customHeight="1">
      <c r="K990" s="83"/>
    </row>
    <row r="991" ht="15.75" customHeight="1">
      <c r="K991" s="83"/>
    </row>
    <row r="992" ht="15.75" customHeight="1">
      <c r="K992" s="83"/>
    </row>
    <row r="993" ht="15.75" customHeight="1">
      <c r="K993" s="83"/>
    </row>
    <row r="994" ht="15.75" customHeight="1">
      <c r="K994" s="83"/>
    </row>
    <row r="995" ht="15.75" customHeight="1">
      <c r="K995" s="83"/>
    </row>
    <row r="996" ht="15.75" customHeight="1">
      <c r="K996" s="83"/>
    </row>
    <row r="997" ht="15.75" customHeight="1">
      <c r="K997" s="83"/>
    </row>
    <row r="998" ht="15.75" customHeight="1">
      <c r="K998" s="83"/>
    </row>
    <row r="999" ht="15.75" customHeight="1">
      <c r="K999" s="83"/>
    </row>
    <row r="1000" ht="15.75" customHeight="1">
      <c r="K1000" s="83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8.71"/>
    <col customWidth="1" min="4" max="4" width="45.57"/>
    <col customWidth="1" min="5" max="11" width="10.71"/>
    <col customWidth="1" min="12" max="12" width="11.43"/>
    <col customWidth="1" min="13" max="13" width="15.86"/>
    <col customWidth="1" min="14" max="14" width="13.43"/>
    <col customWidth="1" min="15" max="15" width="14.29"/>
    <col customWidth="1" min="16" max="16" width="10.71"/>
    <col customWidth="1" min="17" max="17" width="18.71"/>
    <col customWidth="1" min="18" max="18" width="6.86"/>
    <col customWidth="1" min="19" max="19" width="17.0"/>
    <col customWidth="1" min="2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5" t="s">
        <v>15</v>
      </c>
      <c r="N4" s="8" t="s">
        <v>16</v>
      </c>
      <c r="O4" s="8" t="s">
        <v>17</v>
      </c>
      <c r="P4" s="8" t="s">
        <v>18</v>
      </c>
      <c r="Q4" s="85" t="s">
        <v>19</v>
      </c>
      <c r="R4" s="8" t="s">
        <v>20</v>
      </c>
    </row>
    <row r="5">
      <c r="A5" s="10" t="s">
        <v>59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60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6" t="s">
        <v>23</v>
      </c>
      <c r="B7" s="48" t="s">
        <v>24</v>
      </c>
      <c r="C7" s="87">
        <v>1.0</v>
      </c>
      <c r="D7" s="88" t="s">
        <v>61</v>
      </c>
      <c r="E7" s="89">
        <v>4.15</v>
      </c>
      <c r="F7" s="89">
        <v>0.83</v>
      </c>
      <c r="G7" s="89">
        <v>1.62</v>
      </c>
      <c r="H7" s="90">
        <v>2.14</v>
      </c>
      <c r="I7" s="89">
        <v>1.85</v>
      </c>
      <c r="J7" s="89">
        <v>4.21</v>
      </c>
      <c r="K7" s="90">
        <v>3.18</v>
      </c>
      <c r="L7" s="89">
        <v>4.25</v>
      </c>
      <c r="M7" s="90">
        <v>0.89</v>
      </c>
      <c r="N7" s="89">
        <v>0.95</v>
      </c>
      <c r="O7" s="90">
        <v>0.85</v>
      </c>
      <c r="P7" s="90">
        <v>2.21</v>
      </c>
      <c r="Q7" s="51">
        <f t="shared" ref="Q7:Q24" si="1">AVERAGE(E7,F7,G7,H7,I7,J7,K7,L7,M7,N7,O7,P7)</f>
        <v>2.260833333</v>
      </c>
      <c r="R7" s="17">
        <v>5.0</v>
      </c>
    </row>
    <row r="8">
      <c r="A8" s="20"/>
      <c r="B8" s="21"/>
      <c r="C8" s="22">
        <v>2.0</v>
      </c>
      <c r="D8" s="53" t="s">
        <v>62</v>
      </c>
      <c r="E8" s="24">
        <v>1.1</v>
      </c>
      <c r="F8" s="24">
        <v>0.78</v>
      </c>
      <c r="G8" s="24">
        <v>0.75</v>
      </c>
      <c r="H8" s="24">
        <v>1.72</v>
      </c>
      <c r="I8" s="24">
        <v>1.05</v>
      </c>
      <c r="J8" s="24">
        <v>3.17</v>
      </c>
      <c r="K8" s="24">
        <v>1.25</v>
      </c>
      <c r="L8" s="24">
        <v>4.25</v>
      </c>
      <c r="M8" s="24">
        <v>7.98</v>
      </c>
      <c r="N8" s="24">
        <v>0.8</v>
      </c>
      <c r="O8" s="24">
        <v>0.7</v>
      </c>
      <c r="P8" s="24">
        <v>2.08</v>
      </c>
      <c r="Q8" s="55">
        <f t="shared" si="1"/>
        <v>2.135833333</v>
      </c>
      <c r="R8" s="23">
        <v>5.0</v>
      </c>
    </row>
    <row r="9">
      <c r="A9" s="20"/>
      <c r="B9" s="27"/>
      <c r="C9" s="22">
        <v>3.0</v>
      </c>
      <c r="D9" s="53" t="s">
        <v>63</v>
      </c>
      <c r="E9" s="91">
        <v>1.25</v>
      </c>
      <c r="F9" s="91">
        <v>0.46</v>
      </c>
      <c r="G9" s="91">
        <v>5.59</v>
      </c>
      <c r="H9" s="24">
        <v>4.2</v>
      </c>
      <c r="I9" s="91">
        <v>4.17</v>
      </c>
      <c r="J9" s="91">
        <v>4.39</v>
      </c>
      <c r="K9" s="91">
        <v>4.28</v>
      </c>
      <c r="L9" s="91">
        <v>2.98</v>
      </c>
      <c r="M9" s="91">
        <v>1.19</v>
      </c>
      <c r="N9" s="24">
        <v>3.3</v>
      </c>
      <c r="O9" s="91">
        <v>1.39</v>
      </c>
      <c r="P9" s="91">
        <v>2.8</v>
      </c>
      <c r="Q9" s="55">
        <f t="shared" si="1"/>
        <v>3</v>
      </c>
      <c r="R9" s="23">
        <v>5.0</v>
      </c>
    </row>
    <row r="10">
      <c r="A10" s="20"/>
      <c r="B10" s="15" t="s">
        <v>31</v>
      </c>
      <c r="C10" s="16">
        <v>1.0</v>
      </c>
      <c r="D10" s="49" t="s">
        <v>61</v>
      </c>
      <c r="E10" s="89">
        <v>23.0</v>
      </c>
      <c r="F10" s="92">
        <v>11.0</v>
      </c>
      <c r="G10" s="89">
        <v>16.0</v>
      </c>
      <c r="H10" s="92">
        <v>19.0</v>
      </c>
      <c r="I10" s="89">
        <v>4.0</v>
      </c>
      <c r="J10" s="89">
        <v>44.0</v>
      </c>
      <c r="K10" s="89" t="s">
        <v>64</v>
      </c>
      <c r="L10" s="92">
        <v>14.0</v>
      </c>
      <c r="M10" s="89">
        <v>32.0</v>
      </c>
      <c r="N10" s="89">
        <v>95.0</v>
      </c>
      <c r="O10" s="89">
        <v>59.0</v>
      </c>
      <c r="P10" s="89">
        <v>11.0</v>
      </c>
      <c r="Q10" s="29">
        <f t="shared" si="1"/>
        <v>29.81818182</v>
      </c>
      <c r="R10" s="17">
        <v>7.0</v>
      </c>
    </row>
    <row r="11">
      <c r="A11" s="20"/>
      <c r="B11" s="21"/>
      <c r="C11" s="22">
        <v>2.0</v>
      </c>
      <c r="D11" s="53" t="s">
        <v>62</v>
      </c>
      <c r="E11" s="30">
        <v>11.0</v>
      </c>
      <c r="F11" s="30">
        <v>23.0</v>
      </c>
      <c r="G11" s="30">
        <v>10.0</v>
      </c>
      <c r="H11" s="30">
        <v>27.0</v>
      </c>
      <c r="I11" s="24">
        <v>17.0</v>
      </c>
      <c r="J11" s="30">
        <v>73.0</v>
      </c>
      <c r="K11" s="30">
        <v>25.0</v>
      </c>
      <c r="L11" s="30">
        <v>20.0</v>
      </c>
      <c r="M11" s="30">
        <v>26.0</v>
      </c>
      <c r="N11" s="30">
        <v>18.0</v>
      </c>
      <c r="O11" s="30">
        <v>89.0</v>
      </c>
      <c r="P11" s="30">
        <v>43.0</v>
      </c>
      <c r="Q11" s="31">
        <f t="shared" si="1"/>
        <v>31.83333333</v>
      </c>
      <c r="R11" s="23">
        <v>7.0</v>
      </c>
    </row>
    <row r="12">
      <c r="A12" s="20"/>
      <c r="B12" s="27"/>
      <c r="C12" s="22">
        <v>3.0</v>
      </c>
      <c r="D12" s="53" t="s">
        <v>63</v>
      </c>
      <c r="E12" s="91">
        <v>57.0</v>
      </c>
      <c r="F12" s="30">
        <v>7.0</v>
      </c>
      <c r="G12" s="91">
        <v>10.0</v>
      </c>
      <c r="H12" s="30">
        <v>9.0</v>
      </c>
      <c r="I12" s="91">
        <v>30.0</v>
      </c>
      <c r="J12" s="34">
        <v>4539.0</v>
      </c>
      <c r="K12" s="91">
        <v>14.0</v>
      </c>
      <c r="L12" s="30">
        <v>28.0</v>
      </c>
      <c r="M12" s="91">
        <v>26.0</v>
      </c>
      <c r="N12" s="91">
        <v>17.0</v>
      </c>
      <c r="O12" s="91">
        <v>77.0</v>
      </c>
      <c r="P12" s="91">
        <v>19.0</v>
      </c>
      <c r="Q12" s="31">
        <f t="shared" si="1"/>
        <v>402.75</v>
      </c>
      <c r="R12" s="23">
        <v>7.0</v>
      </c>
    </row>
    <row r="13">
      <c r="A13" s="20"/>
      <c r="B13" s="15" t="s">
        <v>33</v>
      </c>
      <c r="C13" s="16">
        <v>1.0</v>
      </c>
      <c r="D13" s="49" t="s">
        <v>61</v>
      </c>
      <c r="E13" s="89">
        <v>27.0</v>
      </c>
      <c r="F13" s="92">
        <v>18.0</v>
      </c>
      <c r="G13" s="89">
        <v>32.0</v>
      </c>
      <c r="H13" s="92">
        <v>33.0</v>
      </c>
      <c r="I13" s="89">
        <v>38.0</v>
      </c>
      <c r="J13" s="89">
        <v>16.0</v>
      </c>
      <c r="K13" s="89">
        <v>24.0</v>
      </c>
      <c r="L13" s="92">
        <v>17.0</v>
      </c>
      <c r="M13" s="89">
        <v>22.0</v>
      </c>
      <c r="N13" s="89">
        <v>26.0</v>
      </c>
      <c r="O13" s="89">
        <v>20.0</v>
      </c>
      <c r="P13" s="89">
        <v>19.0</v>
      </c>
      <c r="Q13" s="29">
        <f t="shared" si="1"/>
        <v>24.33333333</v>
      </c>
      <c r="R13" s="17">
        <v>80.0</v>
      </c>
    </row>
    <row r="14">
      <c r="A14" s="20"/>
      <c r="B14" s="21"/>
      <c r="C14" s="22">
        <v>2.0</v>
      </c>
      <c r="D14" s="53" t="s">
        <v>62</v>
      </c>
      <c r="E14" s="30">
        <v>22.0</v>
      </c>
      <c r="F14" s="30">
        <v>41.0</v>
      </c>
      <c r="G14" s="30">
        <v>38.0</v>
      </c>
      <c r="H14" s="30">
        <v>42.0</v>
      </c>
      <c r="I14" s="24">
        <v>40.0</v>
      </c>
      <c r="J14" s="30">
        <v>29.0</v>
      </c>
      <c r="K14" s="30">
        <v>27.0</v>
      </c>
      <c r="L14" s="30">
        <v>20.0</v>
      </c>
      <c r="M14" s="30">
        <v>15.0</v>
      </c>
      <c r="N14" s="30">
        <v>26.0</v>
      </c>
      <c r="O14" s="30">
        <v>36.0</v>
      </c>
      <c r="P14" s="30">
        <v>26.0</v>
      </c>
      <c r="Q14" s="31">
        <f t="shared" si="1"/>
        <v>30.16666667</v>
      </c>
      <c r="R14" s="23">
        <v>80.0</v>
      </c>
    </row>
    <row r="15">
      <c r="A15" s="20"/>
      <c r="B15" s="27"/>
      <c r="C15" s="22">
        <v>3.0</v>
      </c>
      <c r="D15" s="53" t="s">
        <v>63</v>
      </c>
      <c r="E15" s="91">
        <v>27.0</v>
      </c>
      <c r="F15" s="30">
        <v>27.0</v>
      </c>
      <c r="G15" s="91">
        <v>35.0</v>
      </c>
      <c r="H15" s="30">
        <v>21.0</v>
      </c>
      <c r="I15" s="91">
        <v>30.0</v>
      </c>
      <c r="J15" s="91">
        <v>30.0</v>
      </c>
      <c r="K15" s="91">
        <v>23.0</v>
      </c>
      <c r="L15" s="30">
        <v>15.0</v>
      </c>
      <c r="M15" s="91">
        <v>47.0</v>
      </c>
      <c r="N15" s="91">
        <v>46.0</v>
      </c>
      <c r="O15" s="91">
        <v>28.0</v>
      </c>
      <c r="P15" s="91">
        <v>39.0</v>
      </c>
      <c r="Q15" s="31">
        <f t="shared" si="1"/>
        <v>30.66666667</v>
      </c>
      <c r="R15" s="23">
        <v>80.0</v>
      </c>
    </row>
    <row r="16">
      <c r="A16" s="20"/>
      <c r="B16" s="15" t="s">
        <v>34</v>
      </c>
      <c r="C16" s="16">
        <v>1.0</v>
      </c>
      <c r="D16" s="49" t="s">
        <v>61</v>
      </c>
      <c r="E16" s="89">
        <v>8.05</v>
      </c>
      <c r="F16" s="89">
        <v>7.98</v>
      </c>
      <c r="G16" s="89">
        <v>7.34</v>
      </c>
      <c r="H16" s="90">
        <v>6.99</v>
      </c>
      <c r="I16" s="89">
        <v>7.05</v>
      </c>
      <c r="J16" s="89">
        <v>7.07</v>
      </c>
      <c r="K16" s="90">
        <v>7.07</v>
      </c>
      <c r="L16" s="89">
        <v>7.03</v>
      </c>
      <c r="M16" s="90">
        <v>7.07</v>
      </c>
      <c r="N16" s="90">
        <v>7.06</v>
      </c>
      <c r="O16" s="90">
        <v>7.16</v>
      </c>
      <c r="P16" s="90">
        <v>6.92</v>
      </c>
      <c r="Q16" s="51">
        <f t="shared" si="1"/>
        <v>7.2325</v>
      </c>
      <c r="R16" s="18" t="s">
        <v>35</v>
      </c>
    </row>
    <row r="17">
      <c r="A17" s="20"/>
      <c r="B17" s="21"/>
      <c r="C17" s="22">
        <v>2.0</v>
      </c>
      <c r="D17" s="53" t="s">
        <v>62</v>
      </c>
      <c r="E17" s="24">
        <v>8.04</v>
      </c>
      <c r="F17" s="24">
        <v>7.85</v>
      </c>
      <c r="G17" s="24">
        <v>7.35</v>
      </c>
      <c r="H17" s="24">
        <v>6.95</v>
      </c>
      <c r="I17" s="24">
        <v>7.0</v>
      </c>
      <c r="J17" s="24">
        <v>7.04</v>
      </c>
      <c r="K17" s="24">
        <v>7.03</v>
      </c>
      <c r="L17" s="24">
        <v>6.98</v>
      </c>
      <c r="M17" s="24">
        <v>7.03</v>
      </c>
      <c r="N17" s="24">
        <v>7.05</v>
      </c>
      <c r="O17" s="24">
        <v>7.19</v>
      </c>
      <c r="P17" s="24">
        <v>6.98</v>
      </c>
      <c r="Q17" s="55">
        <f t="shared" si="1"/>
        <v>7.2075</v>
      </c>
      <c r="R17" s="24" t="s">
        <v>35</v>
      </c>
    </row>
    <row r="18">
      <c r="A18" s="20"/>
      <c r="B18" s="27"/>
      <c r="C18" s="22">
        <v>3.0</v>
      </c>
      <c r="D18" s="53" t="s">
        <v>63</v>
      </c>
      <c r="E18" s="91">
        <v>8.03</v>
      </c>
      <c r="F18" s="24">
        <v>8.1</v>
      </c>
      <c r="G18" s="91">
        <v>7.36</v>
      </c>
      <c r="H18" s="24">
        <v>7.0</v>
      </c>
      <c r="I18" s="91">
        <v>7.06</v>
      </c>
      <c r="J18" s="91">
        <v>7.05</v>
      </c>
      <c r="K18" s="91">
        <v>7.02</v>
      </c>
      <c r="L18" s="91">
        <v>6.89</v>
      </c>
      <c r="M18" s="24">
        <v>7.07</v>
      </c>
      <c r="N18" s="91">
        <v>7.07</v>
      </c>
      <c r="O18" s="91">
        <v>7.17</v>
      </c>
      <c r="P18" s="91">
        <v>7.0</v>
      </c>
      <c r="Q18" s="55">
        <f t="shared" si="1"/>
        <v>7.235</v>
      </c>
      <c r="R18" s="24" t="s">
        <v>35</v>
      </c>
    </row>
    <row r="19">
      <c r="A19" s="20"/>
      <c r="B19" s="15" t="s">
        <v>65</v>
      </c>
      <c r="C19" s="16">
        <v>1.0</v>
      </c>
      <c r="D19" s="49" t="s">
        <v>61</v>
      </c>
      <c r="E19" s="90">
        <v>27.4</v>
      </c>
      <c r="F19" s="90">
        <v>28.1</v>
      </c>
      <c r="G19" s="90">
        <v>27.0</v>
      </c>
      <c r="H19" s="90">
        <v>29.03</v>
      </c>
      <c r="I19" s="90">
        <v>29.6</v>
      </c>
      <c r="J19" s="89">
        <v>30.01</v>
      </c>
      <c r="K19" s="90">
        <v>31.25</v>
      </c>
      <c r="L19" s="90">
        <v>29.0</v>
      </c>
      <c r="M19" s="90">
        <v>27.9</v>
      </c>
      <c r="N19" s="90">
        <v>27.8</v>
      </c>
      <c r="O19" s="90">
        <v>29.5</v>
      </c>
      <c r="P19" s="90">
        <v>25.17</v>
      </c>
      <c r="Q19" s="51">
        <f t="shared" si="1"/>
        <v>28.48</v>
      </c>
      <c r="R19" s="18" t="s">
        <v>37</v>
      </c>
    </row>
    <row r="20">
      <c r="A20" s="20"/>
      <c r="B20" s="21"/>
      <c r="C20" s="22">
        <v>2.0</v>
      </c>
      <c r="D20" s="53" t="s">
        <v>62</v>
      </c>
      <c r="E20" s="24">
        <v>26.4</v>
      </c>
      <c r="F20" s="24">
        <v>27.38</v>
      </c>
      <c r="G20" s="24">
        <v>27.05</v>
      </c>
      <c r="H20" s="24">
        <v>28.9</v>
      </c>
      <c r="I20" s="24">
        <v>30.6</v>
      </c>
      <c r="J20" s="24">
        <v>30.65</v>
      </c>
      <c r="K20" s="24">
        <v>31.1</v>
      </c>
      <c r="L20" s="24">
        <v>20.1</v>
      </c>
      <c r="M20" s="24">
        <v>27.4</v>
      </c>
      <c r="N20" s="24">
        <v>29.05</v>
      </c>
      <c r="O20" s="24">
        <v>29.0</v>
      </c>
      <c r="P20" s="24">
        <v>25.32</v>
      </c>
      <c r="Q20" s="55">
        <f t="shared" si="1"/>
        <v>27.74583333</v>
      </c>
      <c r="R20" s="24" t="s">
        <v>37</v>
      </c>
    </row>
    <row r="21" ht="15.75" customHeight="1">
      <c r="A21" s="20"/>
      <c r="B21" s="27"/>
      <c r="C21" s="22">
        <v>3.0</v>
      </c>
      <c r="D21" s="53" t="s">
        <v>63</v>
      </c>
      <c r="E21" s="24">
        <v>26.9</v>
      </c>
      <c r="F21" s="91">
        <v>26.43</v>
      </c>
      <c r="G21" s="24">
        <v>27.8</v>
      </c>
      <c r="H21" s="24">
        <v>29.7</v>
      </c>
      <c r="I21" s="24">
        <v>30.4</v>
      </c>
      <c r="J21" s="91">
        <v>30.38</v>
      </c>
      <c r="K21" s="24">
        <v>31.3</v>
      </c>
      <c r="L21" s="24">
        <v>29.5</v>
      </c>
      <c r="M21" s="24">
        <v>25.6</v>
      </c>
      <c r="N21" s="24">
        <v>28.2</v>
      </c>
      <c r="O21" s="91">
        <v>28.5</v>
      </c>
      <c r="P21" s="91">
        <v>26.05</v>
      </c>
      <c r="Q21" s="55">
        <f t="shared" si="1"/>
        <v>28.39666667</v>
      </c>
      <c r="R21" s="24" t="s">
        <v>37</v>
      </c>
    </row>
    <row r="22" ht="15.75" customHeight="1">
      <c r="A22" s="20"/>
      <c r="B22" s="15" t="s">
        <v>38</v>
      </c>
      <c r="C22" s="16">
        <v>1.0</v>
      </c>
      <c r="D22" s="49" t="s">
        <v>61</v>
      </c>
      <c r="E22" s="89">
        <v>40.0</v>
      </c>
      <c r="F22" s="89">
        <v>30.0</v>
      </c>
      <c r="G22" s="89">
        <v>20.0</v>
      </c>
      <c r="H22" s="92">
        <v>40.0</v>
      </c>
      <c r="I22" s="89">
        <v>20.0</v>
      </c>
      <c r="J22" s="89">
        <v>20.0</v>
      </c>
      <c r="K22" s="89">
        <v>10.0</v>
      </c>
      <c r="L22" s="92">
        <v>20.0</v>
      </c>
      <c r="M22" s="89">
        <v>20.0</v>
      </c>
      <c r="N22" s="89">
        <v>30.0</v>
      </c>
      <c r="O22" s="89">
        <v>25.0</v>
      </c>
      <c r="P22" s="89">
        <v>15.0</v>
      </c>
      <c r="Q22" s="29">
        <f t="shared" si="1"/>
        <v>24.16666667</v>
      </c>
      <c r="R22" s="17">
        <v>75.0</v>
      </c>
    </row>
    <row r="23" ht="15.75" customHeight="1">
      <c r="A23" s="20"/>
      <c r="B23" s="21"/>
      <c r="C23" s="22">
        <v>2.0</v>
      </c>
      <c r="D23" s="53" t="s">
        <v>62</v>
      </c>
      <c r="E23" s="30">
        <v>20.0</v>
      </c>
      <c r="F23" s="30">
        <v>20.0</v>
      </c>
      <c r="G23" s="30">
        <v>30.0</v>
      </c>
      <c r="H23" s="30">
        <v>30.0</v>
      </c>
      <c r="I23" s="30">
        <v>20.0</v>
      </c>
      <c r="J23" s="30">
        <v>20.0</v>
      </c>
      <c r="K23" s="30">
        <v>10.0</v>
      </c>
      <c r="L23" s="30">
        <v>20.0</v>
      </c>
      <c r="M23" s="30">
        <v>10.0</v>
      </c>
      <c r="N23" s="30">
        <v>10.0</v>
      </c>
      <c r="O23" s="30">
        <v>15.0</v>
      </c>
      <c r="P23" s="30">
        <v>20.0</v>
      </c>
      <c r="Q23" s="31">
        <f t="shared" si="1"/>
        <v>18.75</v>
      </c>
      <c r="R23" s="23">
        <v>75.0</v>
      </c>
    </row>
    <row r="24" ht="15.75" customHeight="1">
      <c r="A24" s="20"/>
      <c r="B24" s="27"/>
      <c r="C24" s="22">
        <v>3.0</v>
      </c>
      <c r="D24" s="53" t="s">
        <v>63</v>
      </c>
      <c r="E24" s="91">
        <v>20.0</v>
      </c>
      <c r="F24" s="91">
        <v>40.0</v>
      </c>
      <c r="G24" s="91">
        <v>20.0</v>
      </c>
      <c r="H24" s="30">
        <v>25.0</v>
      </c>
      <c r="I24" s="91">
        <v>20.0</v>
      </c>
      <c r="J24" s="91">
        <v>20.0</v>
      </c>
      <c r="K24" s="91">
        <v>10.0</v>
      </c>
      <c r="L24" s="30">
        <v>40.0</v>
      </c>
      <c r="M24" s="91">
        <v>20.0</v>
      </c>
      <c r="N24" s="91">
        <v>20.0</v>
      </c>
      <c r="O24" s="91">
        <v>20.0</v>
      </c>
      <c r="P24" s="91">
        <v>15.0</v>
      </c>
      <c r="Q24" s="31">
        <f t="shared" si="1"/>
        <v>22.5</v>
      </c>
      <c r="R24" s="23">
        <v>75.0</v>
      </c>
    </row>
    <row r="25" ht="15.75" customHeight="1">
      <c r="A25" s="20"/>
      <c r="B25" s="15" t="s">
        <v>40</v>
      </c>
      <c r="C25" s="16">
        <v>1.0</v>
      </c>
      <c r="D25" s="49" t="s">
        <v>61</v>
      </c>
      <c r="E25" s="93">
        <v>23000.0</v>
      </c>
      <c r="F25" s="93">
        <v>13000.0</v>
      </c>
      <c r="G25" s="94">
        <v>79000.0</v>
      </c>
      <c r="H25" s="93">
        <v>23000.0</v>
      </c>
      <c r="I25" s="94">
        <v>7000.0</v>
      </c>
      <c r="J25" s="93">
        <v>49000.0</v>
      </c>
      <c r="K25" s="93">
        <v>1700.0</v>
      </c>
      <c r="L25" s="94">
        <v>7000.0</v>
      </c>
      <c r="M25" s="93">
        <v>3500000.0</v>
      </c>
      <c r="N25" s="94">
        <v>540000.0</v>
      </c>
      <c r="O25" s="93">
        <v>70000.0</v>
      </c>
      <c r="P25" s="93">
        <v>160000.0</v>
      </c>
      <c r="Q25" s="35">
        <f t="shared" ref="Q25:Q27" si="2">GEOMEAN(E25,F25,G25,H25,I25,J25,K25,L25,M25,N25,O25,P25)</f>
        <v>43580.83885</v>
      </c>
      <c r="R25" s="17">
        <v>200.0</v>
      </c>
      <c r="S25" s="95"/>
    </row>
    <row r="26" ht="15.75" customHeight="1">
      <c r="A26" s="20"/>
      <c r="B26" s="21"/>
      <c r="C26" s="22">
        <v>2.0</v>
      </c>
      <c r="D26" s="53" t="s">
        <v>62</v>
      </c>
      <c r="E26" s="37">
        <v>920000.0</v>
      </c>
      <c r="F26" s="37">
        <v>1700000.0</v>
      </c>
      <c r="G26" s="34">
        <v>350000.0</v>
      </c>
      <c r="H26" s="34">
        <v>540000.0</v>
      </c>
      <c r="I26" s="34">
        <v>33000.0</v>
      </c>
      <c r="J26" s="30">
        <v>33000.0</v>
      </c>
      <c r="K26" s="34">
        <v>920000.0</v>
      </c>
      <c r="L26" s="34">
        <v>33000.0</v>
      </c>
      <c r="M26" s="34">
        <v>700000.0</v>
      </c>
      <c r="N26" s="34">
        <v>49000.0</v>
      </c>
      <c r="O26" s="34">
        <v>49000.0</v>
      </c>
      <c r="P26" s="34">
        <v>920000.0</v>
      </c>
      <c r="Q26" s="38">
        <f t="shared" si="2"/>
        <v>222984.933</v>
      </c>
      <c r="R26" s="23">
        <v>200.0</v>
      </c>
    </row>
    <row r="27" ht="15.75" customHeight="1">
      <c r="A27" s="20"/>
      <c r="B27" s="27"/>
      <c r="C27" s="22">
        <v>3.0</v>
      </c>
      <c r="D27" s="53" t="s">
        <v>63</v>
      </c>
      <c r="E27" s="37">
        <v>540000.0</v>
      </c>
      <c r="F27" s="37">
        <v>170000.0</v>
      </c>
      <c r="G27" s="34">
        <v>49000.0</v>
      </c>
      <c r="H27" s="37">
        <v>49000.0</v>
      </c>
      <c r="I27" s="37">
        <v>70000.0</v>
      </c>
      <c r="J27" s="37">
        <v>33000.0</v>
      </c>
      <c r="K27" s="37">
        <v>35000.0</v>
      </c>
      <c r="L27" s="34">
        <v>220000.0</v>
      </c>
      <c r="M27" s="37">
        <v>1700000.0</v>
      </c>
      <c r="N27" s="34">
        <v>33000.0</v>
      </c>
      <c r="O27" s="37">
        <v>110000.0</v>
      </c>
      <c r="P27" s="37">
        <v>160000.0</v>
      </c>
      <c r="Q27" s="38">
        <f t="shared" si="2"/>
        <v>111939.7733</v>
      </c>
      <c r="R27" s="23">
        <v>200.0</v>
      </c>
    </row>
    <row r="28" ht="15.75" customHeight="1">
      <c r="A28" s="20"/>
      <c r="B28" s="15" t="s">
        <v>66</v>
      </c>
      <c r="C28" s="16">
        <v>1.0</v>
      </c>
      <c r="D28" s="49" t="s">
        <v>61</v>
      </c>
      <c r="E28" s="89">
        <v>0.141</v>
      </c>
      <c r="F28" s="89">
        <v>0.069</v>
      </c>
      <c r="G28" s="89">
        <v>0.845</v>
      </c>
      <c r="H28" s="89" t="s">
        <v>42</v>
      </c>
      <c r="I28" s="89">
        <v>0.06</v>
      </c>
      <c r="J28" s="89">
        <v>0.21</v>
      </c>
      <c r="K28" s="89" t="s">
        <v>42</v>
      </c>
      <c r="L28" s="89" t="s">
        <v>42</v>
      </c>
      <c r="M28" s="96">
        <v>0.506</v>
      </c>
      <c r="N28" s="89" t="s">
        <v>42</v>
      </c>
      <c r="O28" s="89" t="s">
        <v>42</v>
      </c>
      <c r="P28" s="89">
        <v>0.055</v>
      </c>
      <c r="Q28" s="41">
        <f>AVERAGE(E28)</f>
        <v>0.141</v>
      </c>
      <c r="R28" s="17">
        <v>7.0</v>
      </c>
    </row>
    <row r="29" ht="15.75" customHeight="1">
      <c r="A29" s="20"/>
      <c r="B29" s="21"/>
      <c r="C29" s="22">
        <v>2.0</v>
      </c>
      <c r="D29" s="53" t="s">
        <v>62</v>
      </c>
      <c r="E29" s="43" t="s">
        <v>42</v>
      </c>
      <c r="F29" s="43" t="s">
        <v>42</v>
      </c>
      <c r="G29" s="43">
        <v>0.518</v>
      </c>
      <c r="H29" s="43" t="s">
        <v>42</v>
      </c>
      <c r="I29" s="24" t="s">
        <v>42</v>
      </c>
      <c r="J29" s="24" t="s">
        <v>42</v>
      </c>
      <c r="K29" s="43" t="s">
        <v>42</v>
      </c>
      <c r="L29" s="43">
        <v>0.657</v>
      </c>
      <c r="M29" s="43">
        <v>0.375</v>
      </c>
      <c r="N29" s="43" t="s">
        <v>42</v>
      </c>
      <c r="O29" s="43" t="s">
        <v>42</v>
      </c>
      <c r="P29" s="43">
        <v>0.167</v>
      </c>
      <c r="Q29" s="44">
        <f>AVERAGE(E29,F29,G29,H29,I29,J29,0.045,0.045,0.045,N29,O29,P29)</f>
        <v>0.164</v>
      </c>
      <c r="R29" s="23">
        <v>7.0</v>
      </c>
    </row>
    <row r="30" ht="15.75" customHeight="1">
      <c r="A30" s="20"/>
      <c r="B30" s="27"/>
      <c r="C30" s="22">
        <v>3.0</v>
      </c>
      <c r="D30" s="53" t="s">
        <v>63</v>
      </c>
      <c r="E30" s="43" t="s">
        <v>42</v>
      </c>
      <c r="F30" s="43" t="s">
        <v>42</v>
      </c>
      <c r="G30" s="91">
        <v>0.734</v>
      </c>
      <c r="H30" s="43" t="s">
        <v>42</v>
      </c>
      <c r="I30" s="91">
        <v>0.092</v>
      </c>
      <c r="J30" s="91" t="s">
        <v>42</v>
      </c>
      <c r="K30" s="91">
        <v>0.438</v>
      </c>
      <c r="L30" s="91">
        <v>0.722</v>
      </c>
      <c r="M30" s="43">
        <v>0.219</v>
      </c>
      <c r="N30" s="43" t="s">
        <v>42</v>
      </c>
      <c r="O30" s="91" t="s">
        <v>42</v>
      </c>
      <c r="P30" s="43">
        <v>0.282</v>
      </c>
      <c r="Q30" s="44">
        <f>AVERAGE(E30,F30,G30,H30,I30,J30,K30,0.045,M30,N30,O30,P30)</f>
        <v>0.3016666667</v>
      </c>
      <c r="R30" s="23">
        <v>7.0</v>
      </c>
    </row>
    <row r="31" ht="15.75" customHeight="1">
      <c r="A31" s="20"/>
      <c r="B31" s="15" t="s">
        <v>67</v>
      </c>
      <c r="C31" s="16">
        <v>1.0</v>
      </c>
      <c r="D31" s="49" t="s">
        <v>61</v>
      </c>
      <c r="E31" s="89">
        <v>8.192</v>
      </c>
      <c r="F31" s="96">
        <v>0.845</v>
      </c>
      <c r="G31" s="89">
        <v>0.845</v>
      </c>
      <c r="H31" s="96">
        <v>0.808</v>
      </c>
      <c r="I31" s="89">
        <v>0.694</v>
      </c>
      <c r="J31" s="89">
        <v>0.609</v>
      </c>
      <c r="K31" s="89">
        <v>0.492</v>
      </c>
      <c r="L31" s="96">
        <v>0.115</v>
      </c>
      <c r="M31" s="96">
        <v>1.246</v>
      </c>
      <c r="N31" s="96">
        <v>0.878</v>
      </c>
      <c r="O31" s="89">
        <v>0.671</v>
      </c>
      <c r="P31" s="89">
        <v>0.519</v>
      </c>
      <c r="Q31" s="41">
        <f t="shared" ref="Q31:Q32" si="3">AVERAGE(E31,F31,G31,H31,I31,J31,K31,L31,M31,N31,O31,P31)</f>
        <v>1.326166667</v>
      </c>
      <c r="R31" s="17">
        <v>0.5</v>
      </c>
    </row>
    <row r="32" ht="15.75" customHeight="1">
      <c r="A32" s="20"/>
      <c r="B32" s="21"/>
      <c r="C32" s="22">
        <v>2.0</v>
      </c>
      <c r="D32" s="53" t="s">
        <v>62</v>
      </c>
      <c r="E32" s="43">
        <v>8.09</v>
      </c>
      <c r="F32" s="43">
        <v>0.518</v>
      </c>
      <c r="G32" s="43">
        <v>0.518</v>
      </c>
      <c r="H32" s="43">
        <v>0.861</v>
      </c>
      <c r="I32" s="43">
        <v>0.622</v>
      </c>
      <c r="J32" s="24">
        <v>0.622</v>
      </c>
      <c r="K32" s="43">
        <v>0.195</v>
      </c>
      <c r="L32" s="43">
        <v>0.123</v>
      </c>
      <c r="M32" s="43">
        <v>0.973</v>
      </c>
      <c r="N32" s="43">
        <v>0.32</v>
      </c>
      <c r="O32" s="43">
        <v>0.387</v>
      </c>
      <c r="P32" s="43">
        <v>0.5</v>
      </c>
      <c r="Q32" s="44">
        <f t="shared" si="3"/>
        <v>1.144083333</v>
      </c>
      <c r="R32" s="23">
        <v>0.5</v>
      </c>
    </row>
    <row r="33" ht="15.75" customHeight="1">
      <c r="A33" s="20"/>
      <c r="B33" s="27"/>
      <c r="C33" s="22">
        <v>3.0</v>
      </c>
      <c r="D33" s="53" t="s">
        <v>63</v>
      </c>
      <c r="E33" s="91">
        <v>8.487</v>
      </c>
      <c r="F33" s="43">
        <v>0.734</v>
      </c>
      <c r="G33" s="91">
        <v>0.734</v>
      </c>
      <c r="H33" s="43">
        <v>0.664</v>
      </c>
      <c r="I33" s="91">
        <v>0.667</v>
      </c>
      <c r="J33" s="91">
        <v>0.611</v>
      </c>
      <c r="K33" s="43">
        <v>0.48</v>
      </c>
      <c r="L33" s="43">
        <v>0.236</v>
      </c>
      <c r="M33" s="43">
        <v>1.769</v>
      </c>
      <c r="N33" s="43">
        <v>0.397</v>
      </c>
      <c r="O33" s="91">
        <v>0.659</v>
      </c>
      <c r="P33" s="91">
        <v>0.504</v>
      </c>
      <c r="Q33" s="44">
        <v>10.0</v>
      </c>
      <c r="R33" s="23">
        <v>0.5</v>
      </c>
    </row>
    <row r="34" ht="15.75" customHeight="1">
      <c r="A34" s="20"/>
      <c r="B34" s="15" t="s">
        <v>46</v>
      </c>
      <c r="C34" s="16">
        <v>1.0</v>
      </c>
      <c r="D34" s="49" t="s">
        <v>61</v>
      </c>
      <c r="E34" s="89">
        <v>283.0</v>
      </c>
      <c r="F34" s="93">
        <v>9431.0</v>
      </c>
      <c r="G34" s="94">
        <v>10893.0</v>
      </c>
      <c r="H34" s="94">
        <v>99.0</v>
      </c>
      <c r="I34" s="89">
        <v>116.0</v>
      </c>
      <c r="J34" s="94">
        <v>8736.0</v>
      </c>
      <c r="K34" s="93">
        <v>12826.0</v>
      </c>
      <c r="L34" s="94">
        <v>4574.0</v>
      </c>
      <c r="M34" s="94">
        <v>152.0</v>
      </c>
      <c r="N34" s="94">
        <v>105.0</v>
      </c>
      <c r="O34" s="93">
        <v>104.0</v>
      </c>
      <c r="P34" s="93">
        <v>17042.0</v>
      </c>
      <c r="Q34" s="35">
        <f t="shared" ref="Q34:Q36" si="4">AVERAGE(E34,F34,G34,H34,I34,J34,K34,L34,M34,N34,O34,P34)</f>
        <v>5363.416667</v>
      </c>
      <c r="R34" s="17">
        <v>350.0</v>
      </c>
    </row>
    <row r="35" ht="15.75" customHeight="1">
      <c r="A35" s="20"/>
      <c r="B35" s="21"/>
      <c r="C35" s="22">
        <v>2.0</v>
      </c>
      <c r="D35" s="53" t="s">
        <v>62</v>
      </c>
      <c r="E35" s="34">
        <v>12119.0</v>
      </c>
      <c r="F35" s="37">
        <v>11034.0</v>
      </c>
      <c r="G35" s="34">
        <v>14099.0</v>
      </c>
      <c r="H35" s="34">
        <v>15750.0</v>
      </c>
      <c r="I35" s="34">
        <v>12779.0</v>
      </c>
      <c r="J35" s="34">
        <v>8595.0</v>
      </c>
      <c r="K35" s="34">
        <v>13864.0</v>
      </c>
      <c r="L35" s="34">
        <v>2594.0</v>
      </c>
      <c r="M35" s="34">
        <v>7950.0</v>
      </c>
      <c r="N35" s="34">
        <v>16852.0</v>
      </c>
      <c r="O35" s="34">
        <v>14481.0</v>
      </c>
      <c r="P35" s="34">
        <v>13615.0</v>
      </c>
      <c r="Q35" s="38">
        <f t="shared" si="4"/>
        <v>11977.66667</v>
      </c>
      <c r="R35" s="23">
        <v>350.0</v>
      </c>
    </row>
    <row r="36" ht="15.75" customHeight="1">
      <c r="A36" s="20"/>
      <c r="B36" s="27"/>
      <c r="C36" s="22">
        <v>3.0</v>
      </c>
      <c r="D36" s="53" t="s">
        <v>63</v>
      </c>
      <c r="E36" s="37">
        <v>10657.0</v>
      </c>
      <c r="F36" s="37">
        <v>11789.0</v>
      </c>
      <c r="G36" s="91">
        <v>101.0</v>
      </c>
      <c r="H36" s="34">
        <v>14052.0</v>
      </c>
      <c r="I36" s="91">
        <v>354.0</v>
      </c>
      <c r="J36" s="34">
        <v>8696.0</v>
      </c>
      <c r="K36" s="34">
        <v>189.0</v>
      </c>
      <c r="L36" s="37">
        <v>212.0</v>
      </c>
      <c r="M36" s="34">
        <v>362.0</v>
      </c>
      <c r="N36" s="34">
        <v>10187.0</v>
      </c>
      <c r="O36" s="34">
        <v>13547.0</v>
      </c>
      <c r="P36" s="37">
        <v>14472.0</v>
      </c>
      <c r="Q36" s="38">
        <f t="shared" si="4"/>
        <v>7051.5</v>
      </c>
      <c r="R36" s="23">
        <v>350.0</v>
      </c>
    </row>
    <row r="37" ht="15.75" customHeight="1">
      <c r="J37" s="95"/>
    </row>
    <row r="38" ht="15.75" customHeight="1">
      <c r="A38" s="97" t="s">
        <v>47</v>
      </c>
      <c r="D38" s="98"/>
    </row>
    <row r="39" ht="15.75" customHeight="1"/>
    <row r="40" ht="15.75" customHeight="1">
      <c r="A40" s="99"/>
      <c r="B40" s="100"/>
      <c r="C40" s="100"/>
      <c r="D40" s="100"/>
      <c r="E40" s="10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8.71"/>
    <col customWidth="1" min="4" max="4" width="62.43"/>
    <col customWidth="1" min="5" max="11" width="10.71"/>
    <col customWidth="1" min="12" max="12" width="14.71"/>
    <col customWidth="1" min="13" max="13" width="11.43"/>
    <col customWidth="1" min="14" max="15" width="10.86"/>
    <col customWidth="1" hidden="1" min="16" max="16" width="10.71"/>
    <col customWidth="1" min="17" max="17" width="18.71"/>
    <col customWidth="1" min="18" max="18" width="9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1" t="s">
        <v>68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</row>
    <row r="7">
      <c r="A7" s="86" t="s">
        <v>23</v>
      </c>
      <c r="B7" s="48" t="s">
        <v>24</v>
      </c>
      <c r="C7" s="87">
        <v>1.0</v>
      </c>
      <c r="D7" s="88" t="s">
        <v>69</v>
      </c>
      <c r="E7" s="18" t="s">
        <v>26</v>
      </c>
      <c r="F7" s="18">
        <v>5.48</v>
      </c>
      <c r="G7" s="18" t="s">
        <v>26</v>
      </c>
      <c r="H7" s="18" t="s">
        <v>26</v>
      </c>
      <c r="I7" s="18">
        <v>3.96</v>
      </c>
      <c r="J7" s="18" t="s">
        <v>26</v>
      </c>
      <c r="K7" s="18">
        <v>4.28</v>
      </c>
      <c r="L7" s="18" t="s">
        <v>26</v>
      </c>
      <c r="M7" s="18" t="s">
        <v>26</v>
      </c>
      <c r="N7" s="18" t="s">
        <v>26</v>
      </c>
      <c r="O7" s="18" t="s">
        <v>70</v>
      </c>
      <c r="P7" s="18"/>
      <c r="Q7" s="18">
        <f t="shared" ref="Q7:Q24" si="1">AVERAGE(E7:I7)</f>
        <v>4.72</v>
      </c>
      <c r="R7" s="17">
        <v>5.0</v>
      </c>
    </row>
    <row r="8">
      <c r="A8" s="20"/>
      <c r="B8" s="21"/>
      <c r="C8" s="22">
        <v>2.0</v>
      </c>
      <c r="D8" s="53" t="s">
        <v>71</v>
      </c>
      <c r="E8" s="24" t="s">
        <v>26</v>
      </c>
      <c r="F8" s="24">
        <v>5.42</v>
      </c>
      <c r="G8" s="24" t="s">
        <v>26</v>
      </c>
      <c r="H8" s="24" t="s">
        <v>26</v>
      </c>
      <c r="I8" s="24">
        <v>4.79</v>
      </c>
      <c r="J8" s="24" t="s">
        <v>26</v>
      </c>
      <c r="K8" s="24">
        <v>4.7</v>
      </c>
      <c r="L8" s="24" t="s">
        <v>26</v>
      </c>
      <c r="M8" s="24" t="s">
        <v>26</v>
      </c>
      <c r="N8" s="24" t="s">
        <v>26</v>
      </c>
      <c r="O8" s="24" t="s">
        <v>70</v>
      </c>
      <c r="P8" s="24"/>
      <c r="Q8" s="25">
        <f t="shared" si="1"/>
        <v>5.105</v>
      </c>
      <c r="R8" s="23">
        <v>5.0</v>
      </c>
    </row>
    <row r="9">
      <c r="A9" s="20"/>
      <c r="B9" s="27"/>
      <c r="C9" s="22">
        <v>3.0</v>
      </c>
      <c r="D9" s="53" t="s">
        <v>72</v>
      </c>
      <c r="E9" s="24" t="s">
        <v>26</v>
      </c>
      <c r="F9" s="24">
        <v>5.32</v>
      </c>
      <c r="G9" s="24" t="s">
        <v>26</v>
      </c>
      <c r="H9" s="24" t="s">
        <v>26</v>
      </c>
      <c r="I9" s="24">
        <v>4.92</v>
      </c>
      <c r="J9" s="24" t="s">
        <v>26</v>
      </c>
      <c r="K9" s="24">
        <v>3.22</v>
      </c>
      <c r="L9" s="24" t="s">
        <v>26</v>
      </c>
      <c r="M9" s="24" t="s">
        <v>26</v>
      </c>
      <c r="N9" s="24" t="s">
        <v>26</v>
      </c>
      <c r="O9" s="24" t="s">
        <v>70</v>
      </c>
      <c r="P9" s="24"/>
      <c r="Q9" s="25">
        <f t="shared" si="1"/>
        <v>5.12</v>
      </c>
      <c r="R9" s="23">
        <v>5.0</v>
      </c>
    </row>
    <row r="10">
      <c r="A10" s="20"/>
      <c r="B10" s="15" t="s">
        <v>31</v>
      </c>
      <c r="C10" s="16">
        <v>1.0</v>
      </c>
      <c r="D10" s="49" t="s">
        <v>69</v>
      </c>
      <c r="E10" s="18" t="s">
        <v>26</v>
      </c>
      <c r="F10" s="28">
        <v>6.0</v>
      </c>
      <c r="G10" s="18" t="s">
        <v>26</v>
      </c>
      <c r="H10" s="18" t="s">
        <v>26</v>
      </c>
      <c r="I10" s="28">
        <v>16.0</v>
      </c>
      <c r="J10" s="18" t="s">
        <v>26</v>
      </c>
      <c r="K10" s="28">
        <v>86.0</v>
      </c>
      <c r="L10" s="18" t="s">
        <v>26</v>
      </c>
      <c r="M10" s="18" t="s">
        <v>26</v>
      </c>
      <c r="N10" s="18" t="s">
        <v>26</v>
      </c>
      <c r="O10" s="28">
        <v>21.0</v>
      </c>
      <c r="P10" s="18"/>
      <c r="Q10" s="28">
        <f t="shared" si="1"/>
        <v>11</v>
      </c>
      <c r="R10" s="17">
        <v>7.0</v>
      </c>
    </row>
    <row r="11">
      <c r="A11" s="20"/>
      <c r="B11" s="21"/>
      <c r="C11" s="22">
        <v>2.0</v>
      </c>
      <c r="D11" s="53" t="s">
        <v>71</v>
      </c>
      <c r="E11" s="24" t="s">
        <v>26</v>
      </c>
      <c r="F11" s="30">
        <v>5.0</v>
      </c>
      <c r="G11" s="24" t="s">
        <v>26</v>
      </c>
      <c r="H11" s="24" t="s">
        <v>26</v>
      </c>
      <c r="I11" s="30">
        <v>14.0</v>
      </c>
      <c r="J11" s="24" t="s">
        <v>26</v>
      </c>
      <c r="K11" s="30">
        <v>5.0</v>
      </c>
      <c r="L11" s="24" t="s">
        <v>26</v>
      </c>
      <c r="M11" s="24" t="s">
        <v>26</v>
      </c>
      <c r="N11" s="24" t="s">
        <v>26</v>
      </c>
      <c r="O11" s="30">
        <v>15.0</v>
      </c>
      <c r="P11" s="24"/>
      <c r="Q11" s="105">
        <f t="shared" si="1"/>
        <v>9.5</v>
      </c>
      <c r="R11" s="23">
        <v>7.0</v>
      </c>
    </row>
    <row r="12">
      <c r="A12" s="20"/>
      <c r="B12" s="27"/>
      <c r="C12" s="22">
        <v>3.0</v>
      </c>
      <c r="D12" s="53" t="s">
        <v>72</v>
      </c>
      <c r="E12" s="24" t="s">
        <v>26</v>
      </c>
      <c r="F12" s="30">
        <v>6.0</v>
      </c>
      <c r="G12" s="24" t="s">
        <v>26</v>
      </c>
      <c r="H12" s="24" t="s">
        <v>26</v>
      </c>
      <c r="I12" s="30">
        <v>18.0</v>
      </c>
      <c r="J12" s="24" t="s">
        <v>26</v>
      </c>
      <c r="K12" s="30">
        <v>10.0</v>
      </c>
      <c r="L12" s="24" t="s">
        <v>26</v>
      </c>
      <c r="M12" s="24" t="s">
        <v>26</v>
      </c>
      <c r="N12" s="24" t="s">
        <v>26</v>
      </c>
      <c r="O12" s="30">
        <v>50.0</v>
      </c>
      <c r="P12" s="24"/>
      <c r="Q12" s="105">
        <f t="shared" si="1"/>
        <v>12</v>
      </c>
      <c r="R12" s="23">
        <v>7.0</v>
      </c>
    </row>
    <row r="13">
      <c r="A13" s="20"/>
      <c r="B13" s="15" t="s">
        <v>33</v>
      </c>
      <c r="C13" s="16">
        <v>1.0</v>
      </c>
      <c r="D13" s="49" t="s">
        <v>69</v>
      </c>
      <c r="E13" s="18" t="s">
        <v>26</v>
      </c>
      <c r="F13" s="28">
        <v>46.0</v>
      </c>
      <c r="G13" s="18" t="s">
        <v>26</v>
      </c>
      <c r="H13" s="18" t="s">
        <v>26</v>
      </c>
      <c r="I13" s="28">
        <v>29.0</v>
      </c>
      <c r="J13" s="18" t="s">
        <v>26</v>
      </c>
      <c r="K13" s="28">
        <v>45.0</v>
      </c>
      <c r="L13" s="18" t="s">
        <v>26</v>
      </c>
      <c r="M13" s="18" t="s">
        <v>26</v>
      </c>
      <c r="N13" s="18" t="s">
        <v>26</v>
      </c>
      <c r="O13" s="28">
        <v>12.0</v>
      </c>
      <c r="P13" s="18"/>
      <c r="Q13" s="28">
        <f t="shared" si="1"/>
        <v>37.5</v>
      </c>
      <c r="R13" s="17">
        <v>80.0</v>
      </c>
    </row>
    <row r="14">
      <c r="A14" s="20"/>
      <c r="B14" s="21"/>
      <c r="C14" s="22">
        <v>2.0</v>
      </c>
      <c r="D14" s="53" t="s">
        <v>71</v>
      </c>
      <c r="E14" s="24" t="s">
        <v>26</v>
      </c>
      <c r="F14" s="30">
        <v>34.0</v>
      </c>
      <c r="G14" s="24" t="s">
        <v>26</v>
      </c>
      <c r="H14" s="24" t="s">
        <v>26</v>
      </c>
      <c r="I14" s="30">
        <v>25.0</v>
      </c>
      <c r="J14" s="24" t="s">
        <v>26</v>
      </c>
      <c r="K14" s="30">
        <v>102.0</v>
      </c>
      <c r="L14" s="24" t="s">
        <v>26</v>
      </c>
      <c r="M14" s="24" t="s">
        <v>26</v>
      </c>
      <c r="N14" s="24" t="s">
        <v>26</v>
      </c>
      <c r="O14" s="30">
        <v>12.0</v>
      </c>
      <c r="P14" s="24"/>
      <c r="Q14" s="105">
        <f t="shared" si="1"/>
        <v>29.5</v>
      </c>
      <c r="R14" s="23">
        <v>80.0</v>
      </c>
    </row>
    <row r="15">
      <c r="A15" s="20"/>
      <c r="B15" s="27"/>
      <c r="C15" s="22">
        <v>3.0</v>
      </c>
      <c r="D15" s="53" t="s">
        <v>72</v>
      </c>
      <c r="E15" s="24" t="s">
        <v>26</v>
      </c>
      <c r="F15" s="30">
        <v>25.0</v>
      </c>
      <c r="G15" s="24" t="s">
        <v>26</v>
      </c>
      <c r="H15" s="24" t="s">
        <v>26</v>
      </c>
      <c r="I15" s="30">
        <v>22.0</v>
      </c>
      <c r="J15" s="24" t="s">
        <v>26</v>
      </c>
      <c r="K15" s="30">
        <v>111.0</v>
      </c>
      <c r="L15" s="24" t="s">
        <v>26</v>
      </c>
      <c r="M15" s="24" t="s">
        <v>26</v>
      </c>
      <c r="N15" s="24" t="s">
        <v>26</v>
      </c>
      <c r="O15" s="30">
        <v>11.0</v>
      </c>
      <c r="P15" s="24"/>
      <c r="Q15" s="105">
        <f t="shared" si="1"/>
        <v>23.5</v>
      </c>
      <c r="R15" s="23">
        <v>80.0</v>
      </c>
    </row>
    <row r="16">
      <c r="A16" s="20"/>
      <c r="B16" s="15" t="s">
        <v>34</v>
      </c>
      <c r="C16" s="16">
        <v>1.0</v>
      </c>
      <c r="D16" s="49" t="s">
        <v>69</v>
      </c>
      <c r="E16" s="18" t="s">
        <v>26</v>
      </c>
      <c r="F16" s="18">
        <v>7.83</v>
      </c>
      <c r="G16" s="18" t="s">
        <v>26</v>
      </c>
      <c r="H16" s="18" t="s">
        <v>26</v>
      </c>
      <c r="I16" s="18">
        <v>7.71</v>
      </c>
      <c r="J16" s="18" t="s">
        <v>26</v>
      </c>
      <c r="K16" s="18">
        <v>7.18</v>
      </c>
      <c r="L16" s="18" t="s">
        <v>26</v>
      </c>
      <c r="M16" s="18" t="s">
        <v>26</v>
      </c>
      <c r="N16" s="18" t="s">
        <v>26</v>
      </c>
      <c r="O16" s="18" t="s">
        <v>70</v>
      </c>
      <c r="P16" s="18"/>
      <c r="Q16" s="18">
        <f t="shared" si="1"/>
        <v>7.77</v>
      </c>
      <c r="R16" s="18" t="s">
        <v>35</v>
      </c>
    </row>
    <row r="17">
      <c r="A17" s="20"/>
      <c r="B17" s="21"/>
      <c r="C17" s="22">
        <v>2.0</v>
      </c>
      <c r="D17" s="53" t="s">
        <v>71</v>
      </c>
      <c r="E17" s="24" t="s">
        <v>26</v>
      </c>
      <c r="F17" s="24">
        <v>7.8</v>
      </c>
      <c r="G17" s="24" t="s">
        <v>26</v>
      </c>
      <c r="H17" s="24" t="s">
        <v>26</v>
      </c>
      <c r="I17" s="24">
        <v>7.56</v>
      </c>
      <c r="J17" s="24" t="s">
        <v>26</v>
      </c>
      <c r="K17" s="24">
        <v>7.03</v>
      </c>
      <c r="L17" s="24" t="s">
        <v>26</v>
      </c>
      <c r="M17" s="24" t="s">
        <v>26</v>
      </c>
      <c r="N17" s="24" t="s">
        <v>26</v>
      </c>
      <c r="O17" s="24" t="s">
        <v>70</v>
      </c>
      <c r="P17" s="24"/>
      <c r="Q17" s="25">
        <f t="shared" si="1"/>
        <v>7.68</v>
      </c>
      <c r="R17" s="24" t="s">
        <v>35</v>
      </c>
    </row>
    <row r="18">
      <c r="A18" s="20"/>
      <c r="B18" s="27"/>
      <c r="C18" s="22">
        <v>3.0</v>
      </c>
      <c r="D18" s="53" t="s">
        <v>72</v>
      </c>
      <c r="E18" s="24" t="s">
        <v>26</v>
      </c>
      <c r="F18" s="24">
        <v>7.84</v>
      </c>
      <c r="G18" s="24" t="s">
        <v>26</v>
      </c>
      <c r="H18" s="24" t="s">
        <v>26</v>
      </c>
      <c r="I18" s="24">
        <v>7.59</v>
      </c>
      <c r="J18" s="24" t="s">
        <v>26</v>
      </c>
      <c r="K18" s="24">
        <v>7.1</v>
      </c>
      <c r="L18" s="24" t="s">
        <v>26</v>
      </c>
      <c r="M18" s="24" t="s">
        <v>26</v>
      </c>
      <c r="N18" s="24" t="s">
        <v>26</v>
      </c>
      <c r="O18" s="24" t="s">
        <v>70</v>
      </c>
      <c r="P18" s="24"/>
      <c r="Q18" s="25">
        <f t="shared" si="1"/>
        <v>7.715</v>
      </c>
      <c r="R18" s="24" t="s">
        <v>35</v>
      </c>
    </row>
    <row r="19">
      <c r="A19" s="20"/>
      <c r="B19" s="15" t="s">
        <v>73</v>
      </c>
      <c r="C19" s="16">
        <v>1.0</v>
      </c>
      <c r="D19" s="49" t="s">
        <v>69</v>
      </c>
      <c r="E19" s="18" t="s">
        <v>26</v>
      </c>
      <c r="F19" s="18">
        <v>27.15</v>
      </c>
      <c r="G19" s="18" t="s">
        <v>26</v>
      </c>
      <c r="H19" s="18" t="s">
        <v>26</v>
      </c>
      <c r="I19" s="18">
        <v>28.42</v>
      </c>
      <c r="J19" s="18" t="s">
        <v>26</v>
      </c>
      <c r="K19" s="18">
        <v>28.9</v>
      </c>
      <c r="L19" s="18" t="s">
        <v>26</v>
      </c>
      <c r="M19" s="18" t="s">
        <v>26</v>
      </c>
      <c r="N19" s="18" t="s">
        <v>26</v>
      </c>
      <c r="O19" s="18" t="s">
        <v>70</v>
      </c>
      <c r="P19" s="18"/>
      <c r="Q19" s="18">
        <f t="shared" si="1"/>
        <v>27.785</v>
      </c>
      <c r="R19" s="18" t="s">
        <v>37</v>
      </c>
    </row>
    <row r="20">
      <c r="A20" s="20"/>
      <c r="B20" s="21"/>
      <c r="C20" s="22">
        <v>2.0</v>
      </c>
      <c r="D20" s="53" t="s">
        <v>71</v>
      </c>
      <c r="E20" s="24" t="s">
        <v>26</v>
      </c>
      <c r="F20" s="24">
        <v>29.14</v>
      </c>
      <c r="G20" s="24" t="s">
        <v>26</v>
      </c>
      <c r="H20" s="24" t="s">
        <v>26</v>
      </c>
      <c r="I20" s="24">
        <v>28.51</v>
      </c>
      <c r="J20" s="24" t="s">
        <v>26</v>
      </c>
      <c r="K20" s="24">
        <v>27.17</v>
      </c>
      <c r="L20" s="24" t="s">
        <v>26</v>
      </c>
      <c r="M20" s="24" t="s">
        <v>26</v>
      </c>
      <c r="N20" s="24" t="s">
        <v>26</v>
      </c>
      <c r="O20" s="24" t="s">
        <v>70</v>
      </c>
      <c r="P20" s="24"/>
      <c r="Q20" s="25">
        <f t="shared" si="1"/>
        <v>28.825</v>
      </c>
      <c r="R20" s="24" t="s">
        <v>37</v>
      </c>
    </row>
    <row r="21" ht="15.75" customHeight="1">
      <c r="A21" s="20"/>
      <c r="B21" s="27"/>
      <c r="C21" s="22">
        <v>3.0</v>
      </c>
      <c r="D21" s="53" t="s">
        <v>72</v>
      </c>
      <c r="E21" s="24" t="s">
        <v>26</v>
      </c>
      <c r="F21" s="24">
        <v>27.48</v>
      </c>
      <c r="G21" s="24" t="s">
        <v>26</v>
      </c>
      <c r="H21" s="24" t="s">
        <v>26</v>
      </c>
      <c r="I21" s="24">
        <v>28.48</v>
      </c>
      <c r="J21" s="24" t="s">
        <v>26</v>
      </c>
      <c r="K21" s="24">
        <v>27.1</v>
      </c>
      <c r="L21" s="24" t="s">
        <v>26</v>
      </c>
      <c r="M21" s="24" t="s">
        <v>26</v>
      </c>
      <c r="N21" s="24" t="s">
        <v>26</v>
      </c>
      <c r="O21" s="24" t="s">
        <v>70</v>
      </c>
      <c r="P21" s="24"/>
      <c r="Q21" s="25">
        <f t="shared" si="1"/>
        <v>27.98</v>
      </c>
      <c r="R21" s="24" t="s">
        <v>37</v>
      </c>
    </row>
    <row r="22" ht="15.75" customHeight="1">
      <c r="A22" s="20"/>
      <c r="B22" s="15" t="s">
        <v>38</v>
      </c>
      <c r="C22" s="16">
        <v>1.0</v>
      </c>
      <c r="D22" s="49" t="s">
        <v>69</v>
      </c>
      <c r="E22" s="18" t="s">
        <v>26</v>
      </c>
      <c r="F22" s="28">
        <v>30.0</v>
      </c>
      <c r="G22" s="18" t="s">
        <v>26</v>
      </c>
      <c r="H22" s="18" t="s">
        <v>26</v>
      </c>
      <c r="I22" s="28">
        <v>30.0</v>
      </c>
      <c r="J22" s="18" t="s">
        <v>26</v>
      </c>
      <c r="K22" s="28">
        <v>50.0</v>
      </c>
      <c r="L22" s="18" t="s">
        <v>26</v>
      </c>
      <c r="M22" s="18" t="s">
        <v>26</v>
      </c>
      <c r="N22" s="18" t="s">
        <v>26</v>
      </c>
      <c r="O22" s="28">
        <v>30.0</v>
      </c>
      <c r="P22" s="18"/>
      <c r="Q22" s="28">
        <f t="shared" si="1"/>
        <v>30</v>
      </c>
      <c r="R22" s="17">
        <v>75.0</v>
      </c>
    </row>
    <row r="23" ht="15.75" customHeight="1">
      <c r="A23" s="20"/>
      <c r="B23" s="21"/>
      <c r="C23" s="22">
        <v>2.0</v>
      </c>
      <c r="D23" s="53" t="s">
        <v>71</v>
      </c>
      <c r="E23" s="24" t="s">
        <v>26</v>
      </c>
      <c r="F23" s="30">
        <v>30.0</v>
      </c>
      <c r="G23" s="24" t="s">
        <v>26</v>
      </c>
      <c r="H23" s="24" t="s">
        <v>26</v>
      </c>
      <c r="I23" s="30">
        <v>30.0</v>
      </c>
      <c r="J23" s="24" t="s">
        <v>26</v>
      </c>
      <c r="K23" s="30">
        <v>30.0</v>
      </c>
      <c r="L23" s="24" t="s">
        <v>26</v>
      </c>
      <c r="M23" s="24" t="s">
        <v>26</v>
      </c>
      <c r="N23" s="24" t="s">
        <v>26</v>
      </c>
      <c r="O23" s="30">
        <v>30.0</v>
      </c>
      <c r="P23" s="24"/>
      <c r="Q23" s="105">
        <f t="shared" si="1"/>
        <v>30</v>
      </c>
      <c r="R23" s="23">
        <v>75.0</v>
      </c>
    </row>
    <row r="24" ht="15.75" customHeight="1">
      <c r="A24" s="20"/>
      <c r="B24" s="27"/>
      <c r="C24" s="22">
        <v>3.0</v>
      </c>
      <c r="D24" s="53" t="s">
        <v>72</v>
      </c>
      <c r="E24" s="24" t="s">
        <v>26</v>
      </c>
      <c r="F24" s="30">
        <v>30.0</v>
      </c>
      <c r="G24" s="24" t="s">
        <v>26</v>
      </c>
      <c r="H24" s="24" t="s">
        <v>26</v>
      </c>
      <c r="I24" s="30">
        <v>30.0</v>
      </c>
      <c r="J24" s="24" t="s">
        <v>26</v>
      </c>
      <c r="K24" s="30">
        <v>30.0</v>
      </c>
      <c r="L24" s="24" t="s">
        <v>26</v>
      </c>
      <c r="M24" s="24" t="s">
        <v>26</v>
      </c>
      <c r="N24" s="24" t="s">
        <v>26</v>
      </c>
      <c r="O24" s="30">
        <v>30.0</v>
      </c>
      <c r="P24" s="24"/>
      <c r="Q24" s="105">
        <f t="shared" si="1"/>
        <v>30</v>
      </c>
      <c r="R24" s="23">
        <v>75.0</v>
      </c>
    </row>
    <row r="25" ht="15.75" customHeight="1">
      <c r="A25" s="20"/>
      <c r="B25" s="15" t="s">
        <v>40</v>
      </c>
      <c r="C25" s="16">
        <v>1.0</v>
      </c>
      <c r="D25" s="49" t="s">
        <v>69</v>
      </c>
      <c r="E25" s="18" t="s">
        <v>26</v>
      </c>
      <c r="F25" s="33">
        <v>54000.0</v>
      </c>
      <c r="G25" s="18" t="s">
        <v>26</v>
      </c>
      <c r="H25" s="18" t="s">
        <v>26</v>
      </c>
      <c r="I25" s="33">
        <v>540000.0</v>
      </c>
      <c r="J25" s="18" t="s">
        <v>26</v>
      </c>
      <c r="K25" s="33">
        <v>33000.0</v>
      </c>
      <c r="L25" s="18" t="s">
        <v>26</v>
      </c>
      <c r="M25" s="18" t="s">
        <v>26</v>
      </c>
      <c r="N25" s="18" t="s">
        <v>26</v>
      </c>
      <c r="O25" s="18">
        <v>920000.0</v>
      </c>
      <c r="P25" s="18"/>
      <c r="Q25" s="33">
        <f t="shared" ref="Q25:Q27" si="2">GEOMEAN(E25:I25)</f>
        <v>170762.9936</v>
      </c>
      <c r="R25" s="17">
        <v>200.0</v>
      </c>
      <c r="S25" s="36">
        <f>geomean(Q25:Q27)</f>
        <v>113841.9958</v>
      </c>
    </row>
    <row r="26" ht="15.75" customHeight="1">
      <c r="A26" s="20"/>
      <c r="B26" s="21"/>
      <c r="C26" s="22">
        <v>2.0</v>
      </c>
      <c r="D26" s="53" t="s">
        <v>71</v>
      </c>
      <c r="E26" s="24" t="s">
        <v>26</v>
      </c>
      <c r="F26" s="34">
        <v>24000.0</v>
      </c>
      <c r="G26" s="24" t="s">
        <v>26</v>
      </c>
      <c r="H26" s="24" t="s">
        <v>26</v>
      </c>
      <c r="I26" s="34">
        <v>240000.0</v>
      </c>
      <c r="J26" s="24" t="s">
        <v>26</v>
      </c>
      <c r="K26" s="34">
        <v>130000.0</v>
      </c>
      <c r="L26" s="24" t="s">
        <v>26</v>
      </c>
      <c r="M26" s="24" t="s">
        <v>26</v>
      </c>
      <c r="N26" s="24" t="s">
        <v>26</v>
      </c>
      <c r="O26" s="24">
        <v>240000.0</v>
      </c>
      <c r="P26" s="24"/>
      <c r="Q26" s="106">
        <f t="shared" si="2"/>
        <v>75894.66384</v>
      </c>
      <c r="R26" s="23">
        <v>200.0</v>
      </c>
    </row>
    <row r="27" ht="15.75" customHeight="1">
      <c r="A27" s="20"/>
      <c r="B27" s="27"/>
      <c r="C27" s="22">
        <v>3.0</v>
      </c>
      <c r="D27" s="53" t="s">
        <v>72</v>
      </c>
      <c r="E27" s="24" t="s">
        <v>26</v>
      </c>
      <c r="F27" s="34">
        <v>24000.0</v>
      </c>
      <c r="G27" s="24" t="s">
        <v>26</v>
      </c>
      <c r="H27" s="24" t="s">
        <v>26</v>
      </c>
      <c r="I27" s="34">
        <v>540000.0</v>
      </c>
      <c r="J27" s="24" t="s">
        <v>26</v>
      </c>
      <c r="K27" s="34">
        <v>350000.0</v>
      </c>
      <c r="L27" s="24" t="s">
        <v>26</v>
      </c>
      <c r="M27" s="24" t="s">
        <v>26</v>
      </c>
      <c r="N27" s="24" t="s">
        <v>26</v>
      </c>
      <c r="O27" s="24">
        <v>1600000.0</v>
      </c>
      <c r="P27" s="24"/>
      <c r="Q27" s="106">
        <f t="shared" si="2"/>
        <v>113841.9958</v>
      </c>
      <c r="R27" s="23">
        <v>200.0</v>
      </c>
    </row>
    <row r="28" ht="15.75" customHeight="1">
      <c r="A28" s="20"/>
      <c r="B28" s="15" t="s">
        <v>74</v>
      </c>
      <c r="C28" s="16">
        <v>1.0</v>
      </c>
      <c r="D28" s="49" t="s">
        <v>69</v>
      </c>
      <c r="E28" s="18" t="s">
        <v>26</v>
      </c>
      <c r="F28" s="40">
        <v>1.116</v>
      </c>
      <c r="G28" s="18" t="s">
        <v>26</v>
      </c>
      <c r="H28" s="18" t="s">
        <v>26</v>
      </c>
      <c r="I28" s="40">
        <v>0.363</v>
      </c>
      <c r="J28" s="18" t="s">
        <v>26</v>
      </c>
      <c r="K28" s="40">
        <v>1.547</v>
      </c>
      <c r="L28" s="18" t="s">
        <v>26</v>
      </c>
      <c r="M28" s="18" t="s">
        <v>26</v>
      </c>
      <c r="N28" s="18" t="s">
        <v>26</v>
      </c>
      <c r="O28" s="18" t="s">
        <v>42</v>
      </c>
      <c r="P28" s="18"/>
      <c r="Q28" s="40">
        <f t="shared" ref="Q28:Q36" si="3">AVERAGE(E28:I28)</f>
        <v>0.7395</v>
      </c>
      <c r="R28" s="17">
        <v>7.0</v>
      </c>
    </row>
    <row r="29" ht="15.75" customHeight="1">
      <c r="A29" s="20"/>
      <c r="B29" s="21"/>
      <c r="C29" s="22">
        <v>2.0</v>
      </c>
      <c r="D29" s="53" t="s">
        <v>71</v>
      </c>
      <c r="E29" s="24" t="s">
        <v>26</v>
      </c>
      <c r="F29" s="43">
        <v>1.05</v>
      </c>
      <c r="G29" s="24" t="s">
        <v>26</v>
      </c>
      <c r="H29" s="24" t="s">
        <v>26</v>
      </c>
      <c r="I29" s="43">
        <v>0.159</v>
      </c>
      <c r="J29" s="24" t="s">
        <v>26</v>
      </c>
      <c r="K29" s="43">
        <v>1.617</v>
      </c>
      <c r="L29" s="24" t="s">
        <v>26</v>
      </c>
      <c r="M29" s="24" t="s">
        <v>26</v>
      </c>
      <c r="N29" s="24" t="s">
        <v>26</v>
      </c>
      <c r="O29" s="24" t="s">
        <v>42</v>
      </c>
      <c r="P29" s="24"/>
      <c r="Q29" s="42">
        <f t="shared" si="3"/>
        <v>0.6045</v>
      </c>
      <c r="R29" s="23">
        <v>7.0</v>
      </c>
    </row>
    <row r="30" ht="15.75" customHeight="1">
      <c r="A30" s="20"/>
      <c r="B30" s="27"/>
      <c r="C30" s="22">
        <v>3.0</v>
      </c>
      <c r="D30" s="53" t="s">
        <v>72</v>
      </c>
      <c r="E30" s="24" t="s">
        <v>26</v>
      </c>
      <c r="F30" s="43">
        <v>0.787</v>
      </c>
      <c r="G30" s="24" t="s">
        <v>26</v>
      </c>
      <c r="H30" s="24" t="s">
        <v>26</v>
      </c>
      <c r="I30" s="43">
        <v>0.179</v>
      </c>
      <c r="J30" s="24" t="s">
        <v>26</v>
      </c>
      <c r="K30" s="43">
        <v>1.607</v>
      </c>
      <c r="L30" s="24" t="s">
        <v>26</v>
      </c>
      <c r="M30" s="24" t="s">
        <v>26</v>
      </c>
      <c r="N30" s="24" t="s">
        <v>26</v>
      </c>
      <c r="O30" s="24" t="s">
        <v>42</v>
      </c>
      <c r="P30" s="24"/>
      <c r="Q30" s="42">
        <f t="shared" si="3"/>
        <v>0.483</v>
      </c>
      <c r="R30" s="23">
        <v>7.0</v>
      </c>
    </row>
    <row r="31" ht="15.75" customHeight="1">
      <c r="A31" s="20"/>
      <c r="B31" s="15" t="s">
        <v>75</v>
      </c>
      <c r="C31" s="16">
        <v>1.0</v>
      </c>
      <c r="D31" s="49" t="s">
        <v>69</v>
      </c>
      <c r="E31" s="18" t="s">
        <v>26</v>
      </c>
      <c r="F31" s="40">
        <v>1.093</v>
      </c>
      <c r="G31" s="18" t="s">
        <v>26</v>
      </c>
      <c r="H31" s="18" t="s">
        <v>26</v>
      </c>
      <c r="I31" s="40">
        <v>1.53</v>
      </c>
      <c r="J31" s="18" t="s">
        <v>26</v>
      </c>
      <c r="K31" s="40">
        <v>0.766</v>
      </c>
      <c r="L31" s="18" t="s">
        <v>26</v>
      </c>
      <c r="M31" s="18" t="s">
        <v>26</v>
      </c>
      <c r="N31" s="18" t="s">
        <v>26</v>
      </c>
      <c r="O31" s="40">
        <v>1.443</v>
      </c>
      <c r="P31" s="18"/>
      <c r="Q31" s="40">
        <f t="shared" si="3"/>
        <v>1.3115</v>
      </c>
      <c r="R31" s="17">
        <v>0.5</v>
      </c>
    </row>
    <row r="32" ht="15.75" customHeight="1">
      <c r="A32" s="20"/>
      <c r="B32" s="21"/>
      <c r="C32" s="22">
        <v>2.0</v>
      </c>
      <c r="D32" s="53" t="s">
        <v>71</v>
      </c>
      <c r="E32" s="24" t="s">
        <v>26</v>
      </c>
      <c r="F32" s="43">
        <v>1.068</v>
      </c>
      <c r="G32" s="24" t="s">
        <v>26</v>
      </c>
      <c r="H32" s="24" t="s">
        <v>26</v>
      </c>
      <c r="I32" s="43">
        <v>2.168</v>
      </c>
      <c r="J32" s="24" t="s">
        <v>26</v>
      </c>
      <c r="K32" s="43">
        <v>0.598</v>
      </c>
      <c r="L32" s="24" t="s">
        <v>26</v>
      </c>
      <c r="M32" s="24" t="s">
        <v>26</v>
      </c>
      <c r="N32" s="24" t="s">
        <v>26</v>
      </c>
      <c r="O32" s="43">
        <v>1.412</v>
      </c>
      <c r="P32" s="24"/>
      <c r="Q32" s="42">
        <f t="shared" si="3"/>
        <v>1.618</v>
      </c>
      <c r="R32" s="23">
        <v>0.5</v>
      </c>
    </row>
    <row r="33" ht="15.75" customHeight="1">
      <c r="A33" s="20"/>
      <c r="B33" s="27"/>
      <c r="C33" s="22">
        <v>3.0</v>
      </c>
      <c r="D33" s="53" t="s">
        <v>72</v>
      </c>
      <c r="E33" s="24" t="s">
        <v>26</v>
      </c>
      <c r="F33" s="43">
        <v>1.036</v>
      </c>
      <c r="G33" s="24" t="s">
        <v>26</v>
      </c>
      <c r="H33" s="24" t="s">
        <v>26</v>
      </c>
      <c r="I33" s="43">
        <v>1.499</v>
      </c>
      <c r="J33" s="24" t="s">
        <v>26</v>
      </c>
      <c r="K33" s="43">
        <v>0.679</v>
      </c>
      <c r="L33" s="24" t="s">
        <v>26</v>
      </c>
      <c r="M33" s="24" t="s">
        <v>26</v>
      </c>
      <c r="N33" s="24" t="s">
        <v>26</v>
      </c>
      <c r="O33" s="43">
        <v>1.453</v>
      </c>
      <c r="P33" s="24"/>
      <c r="Q33" s="42">
        <f t="shared" si="3"/>
        <v>1.2675</v>
      </c>
      <c r="R33" s="23">
        <v>0.5</v>
      </c>
    </row>
    <row r="34" ht="15.75" customHeight="1">
      <c r="A34" s="20"/>
      <c r="B34" s="15" t="s">
        <v>46</v>
      </c>
      <c r="C34" s="16">
        <v>1.0</v>
      </c>
      <c r="D34" s="49" t="s">
        <v>69</v>
      </c>
      <c r="E34" s="18" t="s">
        <v>26</v>
      </c>
      <c r="F34" s="33">
        <v>1168.0</v>
      </c>
      <c r="G34" s="18" t="s">
        <v>26</v>
      </c>
      <c r="H34" s="18" t="s">
        <v>26</v>
      </c>
      <c r="I34" s="33">
        <v>4765.0</v>
      </c>
      <c r="J34" s="18" t="s">
        <v>26</v>
      </c>
      <c r="K34" s="28">
        <v>25.0</v>
      </c>
      <c r="L34" s="18" t="s">
        <v>26</v>
      </c>
      <c r="M34" s="18" t="s">
        <v>26</v>
      </c>
      <c r="N34" s="18" t="s">
        <v>26</v>
      </c>
      <c r="O34" s="18" t="s">
        <v>70</v>
      </c>
      <c r="P34" s="18"/>
      <c r="Q34" s="33">
        <f t="shared" si="3"/>
        <v>2966.5</v>
      </c>
      <c r="R34" s="17">
        <v>350.0</v>
      </c>
    </row>
    <row r="35" ht="15.75" customHeight="1">
      <c r="A35" s="20"/>
      <c r="B35" s="21"/>
      <c r="C35" s="22">
        <v>2.0</v>
      </c>
      <c r="D35" s="53" t="s">
        <v>71</v>
      </c>
      <c r="E35" s="24" t="s">
        <v>26</v>
      </c>
      <c r="F35" s="34">
        <v>1187.0</v>
      </c>
      <c r="G35" s="24" t="s">
        <v>26</v>
      </c>
      <c r="H35" s="24" t="s">
        <v>26</v>
      </c>
      <c r="I35" s="34">
        <v>4858.0</v>
      </c>
      <c r="J35" s="24" t="s">
        <v>26</v>
      </c>
      <c r="K35" s="30">
        <v>26.0</v>
      </c>
      <c r="L35" s="24" t="s">
        <v>26</v>
      </c>
      <c r="M35" s="24" t="s">
        <v>26</v>
      </c>
      <c r="N35" s="24" t="s">
        <v>26</v>
      </c>
      <c r="O35" s="24" t="s">
        <v>70</v>
      </c>
      <c r="P35" s="24"/>
      <c r="Q35" s="106">
        <f t="shared" si="3"/>
        <v>3022.5</v>
      </c>
      <c r="R35" s="23">
        <v>350.0</v>
      </c>
    </row>
    <row r="36" ht="15.75" customHeight="1">
      <c r="A36" s="20"/>
      <c r="B36" s="27"/>
      <c r="C36" s="22">
        <v>3.0</v>
      </c>
      <c r="D36" s="53" t="s">
        <v>72</v>
      </c>
      <c r="E36" s="24" t="s">
        <v>26</v>
      </c>
      <c r="F36" s="34">
        <v>1177.0</v>
      </c>
      <c r="G36" s="24" t="s">
        <v>26</v>
      </c>
      <c r="H36" s="24" t="s">
        <v>26</v>
      </c>
      <c r="I36" s="34">
        <v>4812.0</v>
      </c>
      <c r="J36" s="24" t="s">
        <v>26</v>
      </c>
      <c r="K36" s="30">
        <v>56.0</v>
      </c>
      <c r="L36" s="24" t="s">
        <v>26</v>
      </c>
      <c r="M36" s="24" t="s">
        <v>26</v>
      </c>
      <c r="N36" s="24" t="s">
        <v>26</v>
      </c>
      <c r="O36" s="24" t="s">
        <v>70</v>
      </c>
      <c r="P36" s="24"/>
      <c r="Q36" s="106">
        <f t="shared" si="3"/>
        <v>2994.5</v>
      </c>
      <c r="R36" s="23">
        <v>350.0</v>
      </c>
    </row>
    <row r="37" ht="15.75" customHeight="1"/>
    <row r="38" ht="15.75" customHeight="1">
      <c r="A38" s="97" t="s">
        <v>76</v>
      </c>
    </row>
    <row r="39" ht="15.75" customHeight="1"/>
    <row r="40" ht="15.75" customHeight="1">
      <c r="A40" s="107" t="s">
        <v>77</v>
      </c>
      <c r="D40" s="10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8.14"/>
    <col customWidth="1" min="4" max="4" width="53.29"/>
    <col customWidth="1" min="5" max="11" width="10.71"/>
    <col customWidth="1" min="12" max="12" width="7.71"/>
    <col customWidth="1" min="13" max="13" width="11.14"/>
    <col customWidth="1" min="14" max="14" width="10.86"/>
    <col customWidth="1" min="15" max="15" width="13.86"/>
    <col customWidth="1" hidden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09" t="s">
        <v>3</v>
      </c>
      <c r="B4" s="110" t="s">
        <v>4</v>
      </c>
      <c r="C4" s="110" t="s">
        <v>5</v>
      </c>
      <c r="D4" s="110" t="s">
        <v>6</v>
      </c>
      <c r="E4" s="110" t="s">
        <v>78</v>
      </c>
      <c r="F4" s="110" t="s">
        <v>8</v>
      </c>
      <c r="G4" s="110" t="s">
        <v>9</v>
      </c>
      <c r="H4" s="110" t="s">
        <v>10</v>
      </c>
      <c r="I4" s="110" t="s">
        <v>11</v>
      </c>
      <c r="J4" s="110" t="s">
        <v>12</v>
      </c>
      <c r="K4" s="110" t="s">
        <v>13</v>
      </c>
      <c r="L4" s="110" t="s">
        <v>14</v>
      </c>
      <c r="M4" s="110" t="s">
        <v>15</v>
      </c>
      <c r="N4" s="110" t="s">
        <v>16</v>
      </c>
      <c r="O4" s="110" t="s">
        <v>17</v>
      </c>
      <c r="P4" s="110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79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80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111" t="s">
        <v>81</v>
      </c>
      <c r="E7" s="89" t="s">
        <v>26</v>
      </c>
      <c r="F7" s="90">
        <v>1.5</v>
      </c>
      <c r="G7" s="89" t="s">
        <v>26</v>
      </c>
      <c r="H7" s="89" t="s">
        <v>26</v>
      </c>
      <c r="I7" s="89" t="s">
        <v>26</v>
      </c>
      <c r="J7" s="89" t="s">
        <v>26</v>
      </c>
      <c r="K7" s="90">
        <v>4.99</v>
      </c>
      <c r="L7" s="89" t="s">
        <v>26</v>
      </c>
      <c r="M7" s="89" t="s">
        <v>26</v>
      </c>
      <c r="N7" s="90">
        <v>2.19</v>
      </c>
      <c r="O7" s="89" t="s">
        <v>26</v>
      </c>
      <c r="P7" s="89"/>
      <c r="Q7" s="90">
        <v>1.5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12" t="s">
        <v>82</v>
      </c>
      <c r="E8" s="24" t="s">
        <v>26</v>
      </c>
      <c r="F8" s="24">
        <v>3.84</v>
      </c>
      <c r="G8" s="24" t="s">
        <v>26</v>
      </c>
      <c r="H8" s="24" t="s">
        <v>26</v>
      </c>
      <c r="I8" s="24" t="s">
        <v>26</v>
      </c>
      <c r="J8" s="24" t="s">
        <v>26</v>
      </c>
      <c r="K8" s="24">
        <v>5.23</v>
      </c>
      <c r="L8" s="24" t="s">
        <v>26</v>
      </c>
      <c r="M8" s="24" t="s">
        <v>26</v>
      </c>
      <c r="N8" s="24">
        <v>1.18</v>
      </c>
      <c r="O8" s="24" t="s">
        <v>26</v>
      </c>
      <c r="P8" s="24"/>
      <c r="Q8" s="24">
        <v>3.84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12" t="s">
        <v>83</v>
      </c>
      <c r="E9" s="91" t="s">
        <v>26</v>
      </c>
      <c r="F9" s="24">
        <v>3.2</v>
      </c>
      <c r="G9" s="91" t="s">
        <v>26</v>
      </c>
      <c r="H9" s="91" t="s">
        <v>26</v>
      </c>
      <c r="I9" s="91" t="s">
        <v>26</v>
      </c>
      <c r="J9" s="91" t="s">
        <v>26</v>
      </c>
      <c r="K9" s="24">
        <v>4.54</v>
      </c>
      <c r="L9" s="91" t="s">
        <v>26</v>
      </c>
      <c r="M9" s="91" t="s">
        <v>26</v>
      </c>
      <c r="N9" s="24">
        <v>1.23</v>
      </c>
      <c r="O9" s="91" t="s">
        <v>26</v>
      </c>
      <c r="P9" s="91"/>
      <c r="Q9" s="24">
        <v>3.2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13" t="s">
        <v>81</v>
      </c>
      <c r="E10" s="89" t="s">
        <v>26</v>
      </c>
      <c r="F10" s="89">
        <v>20.0</v>
      </c>
      <c r="G10" s="89" t="s">
        <v>26</v>
      </c>
      <c r="H10" s="89" t="s">
        <v>26</v>
      </c>
      <c r="I10" s="89" t="s">
        <v>26</v>
      </c>
      <c r="J10" s="89" t="s">
        <v>26</v>
      </c>
      <c r="K10" s="114">
        <v>18.0</v>
      </c>
      <c r="L10" s="89" t="s">
        <v>26</v>
      </c>
      <c r="M10" s="89" t="s">
        <v>26</v>
      </c>
      <c r="N10" s="28">
        <v>4.0</v>
      </c>
      <c r="O10" s="89" t="s">
        <v>26</v>
      </c>
      <c r="P10" s="89"/>
      <c r="Q10" s="89">
        <v>20.0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12" t="s">
        <v>82</v>
      </c>
      <c r="E11" s="24" t="s">
        <v>26</v>
      </c>
      <c r="F11" s="30">
        <v>9.0</v>
      </c>
      <c r="G11" s="24" t="s">
        <v>26</v>
      </c>
      <c r="H11" s="24" t="s">
        <v>26</v>
      </c>
      <c r="I11" s="24" t="s">
        <v>26</v>
      </c>
      <c r="J11" s="24" t="s">
        <v>26</v>
      </c>
      <c r="K11" s="30">
        <v>5.0</v>
      </c>
      <c r="L11" s="24" t="s">
        <v>26</v>
      </c>
      <c r="M11" s="24" t="s">
        <v>26</v>
      </c>
      <c r="N11" s="30">
        <v>17.0</v>
      </c>
      <c r="O11" s="24" t="s">
        <v>26</v>
      </c>
      <c r="P11" s="24"/>
      <c r="Q11" s="30">
        <v>9.0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12" t="s">
        <v>83</v>
      </c>
      <c r="E12" s="91" t="s">
        <v>26</v>
      </c>
      <c r="F12" s="91">
        <v>10.0</v>
      </c>
      <c r="G12" s="91" t="s">
        <v>26</v>
      </c>
      <c r="H12" s="91" t="s">
        <v>26</v>
      </c>
      <c r="I12" s="91" t="s">
        <v>26</v>
      </c>
      <c r="J12" s="91" t="s">
        <v>26</v>
      </c>
      <c r="K12" s="91">
        <v>13.0</v>
      </c>
      <c r="L12" s="91" t="s">
        <v>26</v>
      </c>
      <c r="M12" s="91" t="s">
        <v>26</v>
      </c>
      <c r="N12" s="30">
        <v>21.0</v>
      </c>
      <c r="O12" s="91" t="s">
        <v>26</v>
      </c>
      <c r="P12" s="91"/>
      <c r="Q12" s="91">
        <v>10.0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13" t="s">
        <v>81</v>
      </c>
      <c r="E13" s="89" t="s">
        <v>26</v>
      </c>
      <c r="F13" s="89">
        <v>11.0</v>
      </c>
      <c r="G13" s="89" t="s">
        <v>26</v>
      </c>
      <c r="H13" s="89" t="s">
        <v>26</v>
      </c>
      <c r="I13" s="89" t="s">
        <v>26</v>
      </c>
      <c r="J13" s="89" t="s">
        <v>26</v>
      </c>
      <c r="K13" s="114">
        <v>66.0</v>
      </c>
      <c r="L13" s="89" t="s">
        <v>26</v>
      </c>
      <c r="M13" s="89" t="s">
        <v>26</v>
      </c>
      <c r="N13" s="114">
        <v>26.0</v>
      </c>
      <c r="O13" s="89" t="s">
        <v>26</v>
      </c>
      <c r="P13" s="89"/>
      <c r="Q13" s="89">
        <v>11.0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12" t="s">
        <v>82</v>
      </c>
      <c r="E14" s="24" t="s">
        <v>26</v>
      </c>
      <c r="F14" s="30">
        <v>16.0</v>
      </c>
      <c r="G14" s="24" t="s">
        <v>26</v>
      </c>
      <c r="H14" s="24" t="s">
        <v>26</v>
      </c>
      <c r="I14" s="24" t="s">
        <v>26</v>
      </c>
      <c r="J14" s="24" t="s">
        <v>26</v>
      </c>
      <c r="K14" s="30">
        <v>71.0</v>
      </c>
      <c r="L14" s="24" t="s">
        <v>26</v>
      </c>
      <c r="M14" s="24" t="s">
        <v>26</v>
      </c>
      <c r="N14" s="30">
        <v>23.0</v>
      </c>
      <c r="O14" s="24" t="s">
        <v>26</v>
      </c>
      <c r="P14" s="24"/>
      <c r="Q14" s="30">
        <v>16.0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12" t="s">
        <v>83</v>
      </c>
      <c r="E15" s="91" t="s">
        <v>26</v>
      </c>
      <c r="F15" s="91">
        <v>11.0</v>
      </c>
      <c r="G15" s="91" t="s">
        <v>26</v>
      </c>
      <c r="H15" s="91" t="s">
        <v>26</v>
      </c>
      <c r="I15" s="91" t="s">
        <v>26</v>
      </c>
      <c r="J15" s="91" t="s">
        <v>26</v>
      </c>
      <c r="K15" s="91">
        <v>39.0</v>
      </c>
      <c r="L15" s="91" t="s">
        <v>26</v>
      </c>
      <c r="M15" s="91" t="s">
        <v>26</v>
      </c>
      <c r="N15" s="91">
        <v>25.0</v>
      </c>
      <c r="O15" s="91" t="s">
        <v>26</v>
      </c>
      <c r="P15" s="91"/>
      <c r="Q15" s="91">
        <v>11.0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13" t="s">
        <v>81</v>
      </c>
      <c r="E16" s="89" t="s">
        <v>26</v>
      </c>
      <c r="F16" s="90">
        <v>7.9</v>
      </c>
      <c r="G16" s="89" t="s">
        <v>26</v>
      </c>
      <c r="H16" s="89" t="s">
        <v>26</v>
      </c>
      <c r="I16" s="89" t="s">
        <v>26</v>
      </c>
      <c r="J16" s="89" t="s">
        <v>26</v>
      </c>
      <c r="K16" s="114">
        <v>7.19</v>
      </c>
      <c r="L16" s="89" t="s">
        <v>26</v>
      </c>
      <c r="M16" s="89" t="s">
        <v>26</v>
      </c>
      <c r="N16" s="114">
        <v>7.11</v>
      </c>
      <c r="O16" s="89" t="s">
        <v>26</v>
      </c>
      <c r="P16" s="89"/>
      <c r="Q16" s="90">
        <v>7.9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12" t="s">
        <v>82</v>
      </c>
      <c r="E17" s="24" t="s">
        <v>26</v>
      </c>
      <c r="F17" s="24">
        <v>7.92</v>
      </c>
      <c r="G17" s="24" t="s">
        <v>26</v>
      </c>
      <c r="H17" s="24" t="s">
        <v>26</v>
      </c>
      <c r="I17" s="24" t="s">
        <v>26</v>
      </c>
      <c r="J17" s="24" t="s">
        <v>26</v>
      </c>
      <c r="K17" s="24">
        <v>7.15</v>
      </c>
      <c r="L17" s="24" t="s">
        <v>26</v>
      </c>
      <c r="M17" s="24" t="s">
        <v>26</v>
      </c>
      <c r="N17" s="24">
        <v>7.15</v>
      </c>
      <c r="O17" s="24" t="s">
        <v>26</v>
      </c>
      <c r="P17" s="24"/>
      <c r="Q17" s="24">
        <v>7.92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12" t="s">
        <v>83</v>
      </c>
      <c r="E18" s="91" t="s">
        <v>26</v>
      </c>
      <c r="F18" s="91">
        <v>7.94</v>
      </c>
      <c r="G18" s="91" t="s">
        <v>26</v>
      </c>
      <c r="H18" s="91" t="s">
        <v>26</v>
      </c>
      <c r="I18" s="91" t="s">
        <v>26</v>
      </c>
      <c r="J18" s="91" t="s">
        <v>26</v>
      </c>
      <c r="K18" s="91">
        <v>7.11</v>
      </c>
      <c r="L18" s="91" t="s">
        <v>26</v>
      </c>
      <c r="M18" s="91" t="s">
        <v>26</v>
      </c>
      <c r="N18" s="91">
        <v>7.18</v>
      </c>
      <c r="O18" s="91" t="s">
        <v>26</v>
      </c>
      <c r="P18" s="91"/>
      <c r="Q18" s="91">
        <v>7.94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84</v>
      </c>
      <c r="C19" s="16">
        <v>1.0</v>
      </c>
      <c r="D19" s="113" t="s">
        <v>81</v>
      </c>
      <c r="E19" s="89" t="s">
        <v>26</v>
      </c>
      <c r="F19" s="90">
        <v>26.5</v>
      </c>
      <c r="G19" s="89" t="s">
        <v>26</v>
      </c>
      <c r="H19" s="89" t="s">
        <v>26</v>
      </c>
      <c r="I19" s="89" t="s">
        <v>26</v>
      </c>
      <c r="J19" s="89" t="s">
        <v>26</v>
      </c>
      <c r="K19" s="18">
        <v>25.9</v>
      </c>
      <c r="L19" s="89" t="s">
        <v>26</v>
      </c>
      <c r="M19" s="89" t="s">
        <v>26</v>
      </c>
      <c r="N19" s="18">
        <v>28.8</v>
      </c>
      <c r="O19" s="89" t="s">
        <v>26</v>
      </c>
      <c r="P19" s="89"/>
      <c r="Q19" s="90">
        <v>26.5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12" t="s">
        <v>82</v>
      </c>
      <c r="E20" s="24" t="s">
        <v>26</v>
      </c>
      <c r="F20" s="24">
        <v>27.58</v>
      </c>
      <c r="G20" s="24" t="s">
        <v>26</v>
      </c>
      <c r="H20" s="24" t="s">
        <v>26</v>
      </c>
      <c r="I20" s="24" t="s">
        <v>26</v>
      </c>
      <c r="J20" s="24" t="s">
        <v>26</v>
      </c>
      <c r="K20" s="24">
        <v>25.68</v>
      </c>
      <c r="L20" s="24" t="s">
        <v>26</v>
      </c>
      <c r="M20" s="24" t="s">
        <v>26</v>
      </c>
      <c r="N20" s="24">
        <v>29.5</v>
      </c>
      <c r="O20" s="24" t="s">
        <v>26</v>
      </c>
      <c r="P20" s="24"/>
      <c r="Q20" s="24">
        <v>27.58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12" t="s">
        <v>83</v>
      </c>
      <c r="E21" s="91" t="s">
        <v>26</v>
      </c>
      <c r="F21" s="91">
        <v>27.98</v>
      </c>
      <c r="G21" s="91" t="s">
        <v>26</v>
      </c>
      <c r="H21" s="91" t="s">
        <v>26</v>
      </c>
      <c r="I21" s="91" t="s">
        <v>26</v>
      </c>
      <c r="J21" s="91" t="s">
        <v>26</v>
      </c>
      <c r="K21" s="24">
        <v>25.78</v>
      </c>
      <c r="L21" s="91" t="s">
        <v>26</v>
      </c>
      <c r="M21" s="91" t="s">
        <v>26</v>
      </c>
      <c r="N21" s="24">
        <v>29.4</v>
      </c>
      <c r="O21" s="91" t="s">
        <v>26</v>
      </c>
      <c r="P21" s="91"/>
      <c r="Q21" s="91">
        <v>27.98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113" t="s">
        <v>81</v>
      </c>
      <c r="E22" s="89" t="s">
        <v>26</v>
      </c>
      <c r="F22" s="89">
        <v>40.0</v>
      </c>
      <c r="G22" s="89" t="s">
        <v>26</v>
      </c>
      <c r="H22" s="89" t="s">
        <v>26</v>
      </c>
      <c r="I22" s="89" t="s">
        <v>26</v>
      </c>
      <c r="J22" s="89" t="s">
        <v>26</v>
      </c>
      <c r="K22" s="114">
        <v>40.0</v>
      </c>
      <c r="L22" s="89" t="s">
        <v>26</v>
      </c>
      <c r="M22" s="89" t="s">
        <v>26</v>
      </c>
      <c r="N22" s="114">
        <v>30.0</v>
      </c>
      <c r="O22" s="89" t="s">
        <v>26</v>
      </c>
      <c r="P22" s="89"/>
      <c r="Q22" s="89">
        <v>40.0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12" t="s">
        <v>82</v>
      </c>
      <c r="E23" s="24" t="s">
        <v>26</v>
      </c>
      <c r="F23" s="30">
        <v>15.0</v>
      </c>
      <c r="G23" s="24" t="s">
        <v>26</v>
      </c>
      <c r="H23" s="24" t="s">
        <v>26</v>
      </c>
      <c r="I23" s="24" t="s">
        <v>26</v>
      </c>
      <c r="J23" s="24" t="s">
        <v>26</v>
      </c>
      <c r="K23" s="30">
        <v>30.0</v>
      </c>
      <c r="L23" s="24" t="s">
        <v>26</v>
      </c>
      <c r="M23" s="24" t="s">
        <v>26</v>
      </c>
      <c r="N23" s="30">
        <v>40.0</v>
      </c>
      <c r="O23" s="24" t="s">
        <v>26</v>
      </c>
      <c r="P23" s="24"/>
      <c r="Q23" s="30">
        <v>15.0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12" t="s">
        <v>83</v>
      </c>
      <c r="E24" s="91" t="s">
        <v>26</v>
      </c>
      <c r="F24" s="91">
        <v>20.0</v>
      </c>
      <c r="G24" s="91" t="s">
        <v>26</v>
      </c>
      <c r="H24" s="91" t="s">
        <v>26</v>
      </c>
      <c r="I24" s="91" t="s">
        <v>26</v>
      </c>
      <c r="J24" s="91" t="s">
        <v>26</v>
      </c>
      <c r="K24" s="91">
        <v>40.0</v>
      </c>
      <c r="L24" s="91" t="s">
        <v>26</v>
      </c>
      <c r="M24" s="91" t="s">
        <v>26</v>
      </c>
      <c r="N24" s="91">
        <v>30.0</v>
      </c>
      <c r="O24" s="91" t="s">
        <v>26</v>
      </c>
      <c r="P24" s="91"/>
      <c r="Q24" s="91">
        <v>20.0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13" t="s">
        <v>81</v>
      </c>
      <c r="E25" s="89" t="s">
        <v>26</v>
      </c>
      <c r="F25" s="93">
        <v>2400.0</v>
      </c>
      <c r="G25" s="89" t="s">
        <v>26</v>
      </c>
      <c r="H25" s="89" t="s">
        <v>26</v>
      </c>
      <c r="I25" s="89" t="s">
        <v>26</v>
      </c>
      <c r="J25" s="89" t="s">
        <v>26</v>
      </c>
      <c r="K25" s="32">
        <v>920000.0</v>
      </c>
      <c r="L25" s="89" t="s">
        <v>26</v>
      </c>
      <c r="M25" s="89" t="s">
        <v>26</v>
      </c>
      <c r="N25" s="33">
        <v>17000.0</v>
      </c>
      <c r="O25" s="89" t="s">
        <v>26</v>
      </c>
      <c r="P25" s="89"/>
      <c r="Q25" s="93">
        <v>2400.0</v>
      </c>
      <c r="R25" s="17">
        <v>200.0</v>
      </c>
      <c r="S25" s="115">
        <f>geomean(Q25:Q27)</f>
        <v>5863.588836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12" t="s">
        <v>82</v>
      </c>
      <c r="E26" s="24" t="s">
        <v>26</v>
      </c>
      <c r="F26" s="34">
        <v>24000.0</v>
      </c>
      <c r="G26" s="24" t="s">
        <v>26</v>
      </c>
      <c r="H26" s="24" t="s">
        <v>26</v>
      </c>
      <c r="I26" s="24" t="s">
        <v>26</v>
      </c>
      <c r="J26" s="24" t="s">
        <v>26</v>
      </c>
      <c r="K26" s="37">
        <v>110000.0</v>
      </c>
      <c r="L26" s="24" t="s">
        <v>26</v>
      </c>
      <c r="M26" s="24" t="s">
        <v>26</v>
      </c>
      <c r="N26" s="34">
        <v>350000.0</v>
      </c>
      <c r="O26" s="24" t="s">
        <v>26</v>
      </c>
      <c r="P26" s="24"/>
      <c r="Q26" s="34">
        <v>24000.0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12" t="s">
        <v>83</v>
      </c>
      <c r="E27" s="91" t="s">
        <v>26</v>
      </c>
      <c r="F27" s="37">
        <v>3500.0</v>
      </c>
      <c r="G27" s="91" t="s">
        <v>26</v>
      </c>
      <c r="H27" s="91" t="s">
        <v>26</v>
      </c>
      <c r="I27" s="91" t="s">
        <v>26</v>
      </c>
      <c r="J27" s="91" t="s">
        <v>26</v>
      </c>
      <c r="K27" s="37">
        <v>920000.0</v>
      </c>
      <c r="L27" s="91" t="s">
        <v>26</v>
      </c>
      <c r="M27" s="91" t="s">
        <v>26</v>
      </c>
      <c r="N27" s="34">
        <v>350000.0</v>
      </c>
      <c r="O27" s="91" t="s">
        <v>26</v>
      </c>
      <c r="P27" s="91"/>
      <c r="Q27" s="37">
        <v>3500.0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85</v>
      </c>
      <c r="C28" s="16">
        <v>1.0</v>
      </c>
      <c r="D28" s="113" t="s">
        <v>81</v>
      </c>
      <c r="E28" s="89" t="s">
        <v>26</v>
      </c>
      <c r="F28" s="89" t="s">
        <v>42</v>
      </c>
      <c r="G28" s="89" t="s">
        <v>26</v>
      </c>
      <c r="H28" s="89" t="s">
        <v>26</v>
      </c>
      <c r="I28" s="89" t="s">
        <v>26</v>
      </c>
      <c r="J28" s="89" t="s">
        <v>26</v>
      </c>
      <c r="K28" s="40">
        <v>1.822</v>
      </c>
      <c r="L28" s="89" t="s">
        <v>26</v>
      </c>
      <c r="M28" s="89" t="s">
        <v>26</v>
      </c>
      <c r="N28" s="114">
        <v>1.404</v>
      </c>
      <c r="O28" s="89" t="s">
        <v>26</v>
      </c>
      <c r="P28" s="89"/>
      <c r="Q28" s="89" t="s">
        <v>42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12" t="s">
        <v>82</v>
      </c>
      <c r="E29" s="24" t="s">
        <v>26</v>
      </c>
      <c r="F29" s="43">
        <v>1.503</v>
      </c>
      <c r="G29" s="24" t="s">
        <v>26</v>
      </c>
      <c r="H29" s="24" t="s">
        <v>26</v>
      </c>
      <c r="I29" s="24" t="s">
        <v>26</v>
      </c>
      <c r="J29" s="24" t="s">
        <v>26</v>
      </c>
      <c r="K29" s="43">
        <v>1.822</v>
      </c>
      <c r="L29" s="24" t="s">
        <v>26</v>
      </c>
      <c r="M29" s="24" t="s">
        <v>26</v>
      </c>
      <c r="N29" s="43">
        <v>1.28</v>
      </c>
      <c r="O29" s="24" t="s">
        <v>26</v>
      </c>
      <c r="P29" s="24"/>
      <c r="Q29" s="43">
        <v>1.503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12" t="s">
        <v>83</v>
      </c>
      <c r="E30" s="91" t="s">
        <v>26</v>
      </c>
      <c r="F30" s="91">
        <v>1.388</v>
      </c>
      <c r="G30" s="91" t="s">
        <v>26</v>
      </c>
      <c r="H30" s="91" t="s">
        <v>26</v>
      </c>
      <c r="I30" s="91" t="s">
        <v>26</v>
      </c>
      <c r="J30" s="91" t="s">
        <v>26</v>
      </c>
      <c r="K30" s="91">
        <v>1.814</v>
      </c>
      <c r="L30" s="91" t="s">
        <v>26</v>
      </c>
      <c r="M30" s="91" t="s">
        <v>26</v>
      </c>
      <c r="N30" s="91">
        <v>1.297</v>
      </c>
      <c r="O30" s="91" t="s">
        <v>26</v>
      </c>
      <c r="P30" s="91"/>
      <c r="Q30" s="91">
        <v>1.388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86</v>
      </c>
      <c r="C31" s="16">
        <v>1.0</v>
      </c>
      <c r="D31" s="113" t="s">
        <v>81</v>
      </c>
      <c r="E31" s="89" t="s">
        <v>26</v>
      </c>
      <c r="F31" s="89">
        <v>2.763</v>
      </c>
      <c r="G31" s="89" t="s">
        <v>26</v>
      </c>
      <c r="H31" s="89" t="s">
        <v>26</v>
      </c>
      <c r="I31" s="89" t="s">
        <v>26</v>
      </c>
      <c r="J31" s="89" t="s">
        <v>26</v>
      </c>
      <c r="K31" s="40">
        <v>0.955</v>
      </c>
      <c r="L31" s="89" t="s">
        <v>26</v>
      </c>
      <c r="M31" s="89" t="s">
        <v>26</v>
      </c>
      <c r="N31" s="114">
        <v>0.555</v>
      </c>
      <c r="O31" s="89" t="s">
        <v>26</v>
      </c>
      <c r="P31" s="89"/>
      <c r="Q31" s="89">
        <v>2.763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12" t="s">
        <v>82</v>
      </c>
      <c r="E32" s="24" t="s">
        <v>26</v>
      </c>
      <c r="F32" s="43">
        <v>1.149</v>
      </c>
      <c r="G32" s="24" t="s">
        <v>26</v>
      </c>
      <c r="H32" s="24" t="s">
        <v>26</v>
      </c>
      <c r="I32" s="24" t="s">
        <v>26</v>
      </c>
      <c r="J32" s="24" t="s">
        <v>26</v>
      </c>
      <c r="K32" s="43">
        <v>0.746</v>
      </c>
      <c r="L32" s="24" t="s">
        <v>26</v>
      </c>
      <c r="M32" s="24" t="s">
        <v>26</v>
      </c>
      <c r="N32" s="43">
        <v>0.585</v>
      </c>
      <c r="O32" s="24" t="s">
        <v>26</v>
      </c>
      <c r="P32" s="24"/>
      <c r="Q32" s="43">
        <v>1.149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12" t="s">
        <v>83</v>
      </c>
      <c r="E33" s="91" t="s">
        <v>26</v>
      </c>
      <c r="F33" s="91">
        <v>1.169</v>
      </c>
      <c r="G33" s="91" t="s">
        <v>26</v>
      </c>
      <c r="H33" s="91" t="s">
        <v>26</v>
      </c>
      <c r="I33" s="91" t="s">
        <v>26</v>
      </c>
      <c r="J33" s="91" t="s">
        <v>26</v>
      </c>
      <c r="K33" s="43">
        <v>1.21</v>
      </c>
      <c r="L33" s="91" t="s">
        <v>26</v>
      </c>
      <c r="M33" s="91" t="s">
        <v>26</v>
      </c>
      <c r="N33" s="91">
        <v>0.571</v>
      </c>
      <c r="O33" s="91" t="s">
        <v>26</v>
      </c>
      <c r="P33" s="91"/>
      <c r="Q33" s="91">
        <v>1.169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113" t="s">
        <v>81</v>
      </c>
      <c r="E34" s="89" t="s">
        <v>26</v>
      </c>
      <c r="F34" s="89">
        <v>39.0</v>
      </c>
      <c r="G34" s="89" t="s">
        <v>26</v>
      </c>
      <c r="H34" s="89" t="s">
        <v>26</v>
      </c>
      <c r="I34" s="89" t="s">
        <v>26</v>
      </c>
      <c r="J34" s="89" t="s">
        <v>26</v>
      </c>
      <c r="K34" s="114">
        <v>19.0</v>
      </c>
      <c r="L34" s="89" t="s">
        <v>26</v>
      </c>
      <c r="M34" s="89" t="s">
        <v>26</v>
      </c>
      <c r="N34" s="114">
        <v>26.0</v>
      </c>
      <c r="O34" s="89" t="s">
        <v>26</v>
      </c>
      <c r="P34" s="89"/>
      <c r="Q34" s="89">
        <v>39.0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116" t="s">
        <v>82</v>
      </c>
      <c r="E35" s="24" t="s">
        <v>26</v>
      </c>
      <c r="F35" s="30">
        <v>60.0</v>
      </c>
      <c r="G35" s="24" t="s">
        <v>26</v>
      </c>
      <c r="H35" s="24" t="s">
        <v>26</v>
      </c>
      <c r="I35" s="24" t="s">
        <v>26</v>
      </c>
      <c r="J35" s="24" t="s">
        <v>26</v>
      </c>
      <c r="K35" s="30">
        <v>71.0</v>
      </c>
      <c r="L35" s="24" t="s">
        <v>26</v>
      </c>
      <c r="M35" s="24" t="s">
        <v>26</v>
      </c>
      <c r="N35" s="30">
        <v>32.0</v>
      </c>
      <c r="O35" s="24" t="s">
        <v>26</v>
      </c>
      <c r="P35" s="24"/>
      <c r="Q35" s="30">
        <v>60.0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112" t="s">
        <v>83</v>
      </c>
      <c r="E36" s="91" t="s">
        <v>26</v>
      </c>
      <c r="F36" s="91">
        <v>192.0</v>
      </c>
      <c r="G36" s="91" t="s">
        <v>26</v>
      </c>
      <c r="H36" s="91" t="s">
        <v>26</v>
      </c>
      <c r="I36" s="91" t="s">
        <v>26</v>
      </c>
      <c r="J36" s="91" t="s">
        <v>26</v>
      </c>
      <c r="K36" s="91">
        <v>39.0</v>
      </c>
      <c r="L36" s="91" t="s">
        <v>26</v>
      </c>
      <c r="M36" s="91" t="s">
        <v>26</v>
      </c>
      <c r="N36" s="91">
        <v>65.0</v>
      </c>
      <c r="O36" s="91" t="s">
        <v>26</v>
      </c>
      <c r="P36" s="91"/>
      <c r="Q36" s="91">
        <v>192.0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17"/>
      <c r="O37" s="100"/>
      <c r="P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7" t="s">
        <v>76</v>
      </c>
      <c r="D38" s="107"/>
      <c r="E38" s="100"/>
      <c r="F38" s="100"/>
      <c r="G38" s="100"/>
      <c r="H38" s="100"/>
      <c r="I38" s="100"/>
      <c r="J38" s="100"/>
      <c r="K38" s="100"/>
      <c r="L38" s="100"/>
      <c r="M38" s="100"/>
      <c r="N38" s="117"/>
      <c r="O38" s="100"/>
      <c r="P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E39" s="100"/>
      <c r="F39" s="100"/>
      <c r="G39" s="100"/>
      <c r="H39" s="100"/>
      <c r="I39" s="100"/>
      <c r="J39" s="100"/>
      <c r="K39" s="100"/>
      <c r="L39" s="100"/>
      <c r="M39" s="100"/>
      <c r="N39" s="117"/>
      <c r="O39" s="100"/>
      <c r="P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97" t="s">
        <v>87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17"/>
      <c r="O40" s="100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17"/>
      <c r="O41" s="100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17"/>
      <c r="O42" s="100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17"/>
      <c r="O43" s="100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17"/>
      <c r="O44" s="100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17"/>
      <c r="O45" s="100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17"/>
      <c r="O46" s="100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17"/>
      <c r="O47" s="100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17"/>
      <c r="O48" s="100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17"/>
      <c r="O49" s="100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17"/>
      <c r="O50" s="100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17"/>
      <c r="O51" s="100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17"/>
      <c r="O52" s="100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17"/>
      <c r="O53" s="100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17"/>
      <c r="O54" s="100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17"/>
      <c r="O55" s="100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17"/>
      <c r="O56" s="100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17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17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17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17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17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17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17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17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17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17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17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17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17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17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17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17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17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17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17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17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17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17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17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17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17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17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17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17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17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17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17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17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17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17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17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17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17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17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17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17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17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17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17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17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17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17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17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17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17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17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17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17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17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17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17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17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17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17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17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17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17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17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17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17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17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17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17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17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17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17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17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17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17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17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17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17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17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17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17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17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17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17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17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17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17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17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17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17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17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17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17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17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17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17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17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17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17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17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17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17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17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17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17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17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17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17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17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17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17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17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17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17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17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17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17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17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17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17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17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17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17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17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17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17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17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17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17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17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17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17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17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17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17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17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17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17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17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17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17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17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17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17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17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17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17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17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17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17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17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17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17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17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17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17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17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17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17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17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17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17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17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17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17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17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17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17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17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17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17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17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17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17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17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17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17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17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17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17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17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17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17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17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17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17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17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17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17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17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17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17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17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17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17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17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17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17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17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17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17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17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17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17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17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17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17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17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17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17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17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17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17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17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17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17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17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17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17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17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17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17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17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17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17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17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17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17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17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17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17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17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17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17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17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17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17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17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17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17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17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17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17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17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17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17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17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17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17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17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17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17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17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17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17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17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17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17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17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17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17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17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17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17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17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17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17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17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17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17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17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17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17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17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17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17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17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17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17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17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17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17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17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17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17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17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17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17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17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17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17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17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17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17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17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17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17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17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17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17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17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17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17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17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17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17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17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17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17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17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17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17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17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17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17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17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17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17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17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17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17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17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17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17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17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17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17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17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17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17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17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17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17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17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17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17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17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17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17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17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17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17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17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17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17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17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17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17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17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17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17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17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17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17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17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17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17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17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17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17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17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17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17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17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17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17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17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17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17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17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17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17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17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17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17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17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17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17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17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17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17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17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17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17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17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17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17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17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17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17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17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17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17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17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17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17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17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17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17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17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17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17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17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17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17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17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17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17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17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17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17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17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17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17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17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17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17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17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17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17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17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17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17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17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17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17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17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17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17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17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17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17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17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17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17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17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17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17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17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17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17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17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17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17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17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17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17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17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17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17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17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17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17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17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17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17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17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17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17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17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17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17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17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17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17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17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17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17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17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17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17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17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17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17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17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17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17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17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17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17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17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17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17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17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17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17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17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17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17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17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17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17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17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17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17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17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17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17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17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17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17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17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17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17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17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17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17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17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17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17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17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17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17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17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17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17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17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17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17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17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17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17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17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17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17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17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17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17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17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17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17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17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17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17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17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17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17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17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17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17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17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17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17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17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17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17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17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17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17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17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17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17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17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17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17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17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17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17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17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17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17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17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17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17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17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17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17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17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17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17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17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17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17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17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17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17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17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17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17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17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17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17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17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17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17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17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17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17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17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17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17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17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17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17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17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17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17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17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17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17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17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17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17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17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17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17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17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17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17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17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17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17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17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17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17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17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17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17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17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17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17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17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17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17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17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17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17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17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17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17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17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17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17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17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17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17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17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17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17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17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17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17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17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17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17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17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17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17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17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17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17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17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17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17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17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17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17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17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17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17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17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17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17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17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17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17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17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17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17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17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17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17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17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17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17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17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17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17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17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17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17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17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17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17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17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17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17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17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17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17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17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17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17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17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17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17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17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17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17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17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17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17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17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17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17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17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17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17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17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17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17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17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17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17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17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17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17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17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17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17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17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17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17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17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17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17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17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17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17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17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17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17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17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17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17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17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17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17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17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17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17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17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17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17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17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17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17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17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17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17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17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17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17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17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17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17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17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17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17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17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17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17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17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17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17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17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17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17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17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17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17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17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17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17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17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17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17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17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17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17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17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17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17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17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17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17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17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17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17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17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17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17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17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17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17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17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17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17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17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17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17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17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17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17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17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17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17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17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17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17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17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17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17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17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17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17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17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17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17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17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17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17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17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17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17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17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17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17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17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17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17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17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17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17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17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17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17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17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17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17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17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17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17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17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17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17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17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17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17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17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17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17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17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17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17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17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17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17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17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17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17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17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17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17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17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17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17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17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17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17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17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17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17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17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17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17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17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17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17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17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17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17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17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17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17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17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17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17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17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17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17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17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17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17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17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17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17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17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17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17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17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17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17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17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17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17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17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17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17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17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17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17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17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17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17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17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17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17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17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17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17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17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17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17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17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17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17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17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17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17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17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17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17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17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17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17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17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17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17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17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17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17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17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17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17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17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4.29"/>
    <col customWidth="1" min="5" max="5" width="10.71"/>
    <col customWidth="1" min="6" max="6" width="14.0"/>
    <col customWidth="1" min="7" max="11" width="10.71"/>
    <col customWidth="1" min="12" max="12" width="11.14"/>
    <col customWidth="1" min="13" max="13" width="11.71"/>
    <col customWidth="1" min="14" max="14" width="11.14"/>
    <col customWidth="1" min="15" max="15" width="11.43"/>
    <col customWidth="1" min="16" max="16" width="10.71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88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22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111" t="s">
        <v>89</v>
      </c>
      <c r="E7" s="118" t="s">
        <v>26</v>
      </c>
      <c r="F7" s="119">
        <v>4.29</v>
      </c>
      <c r="G7" s="118" t="s">
        <v>26</v>
      </c>
      <c r="H7" s="119">
        <v>3.51</v>
      </c>
      <c r="I7" s="118" t="s">
        <v>26</v>
      </c>
      <c r="J7" s="118" t="s">
        <v>26</v>
      </c>
      <c r="K7" s="119">
        <v>4.06</v>
      </c>
      <c r="L7" s="118" t="s">
        <v>26</v>
      </c>
      <c r="M7" s="118" t="s">
        <v>26</v>
      </c>
      <c r="N7" s="118" t="s">
        <v>26</v>
      </c>
      <c r="O7" s="119">
        <v>2.67</v>
      </c>
      <c r="P7" s="118"/>
      <c r="Q7" s="119">
        <v>4.29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12" t="s">
        <v>90</v>
      </c>
      <c r="E8" s="120" t="s">
        <v>26</v>
      </c>
      <c r="F8" s="121">
        <v>4.23</v>
      </c>
      <c r="G8" s="120" t="s">
        <v>26</v>
      </c>
      <c r="H8" s="121">
        <v>4.02</v>
      </c>
      <c r="I8" s="120" t="s">
        <v>26</v>
      </c>
      <c r="J8" s="120" t="s">
        <v>26</v>
      </c>
      <c r="K8" s="121">
        <v>3.87</v>
      </c>
      <c r="L8" s="120" t="s">
        <v>26</v>
      </c>
      <c r="M8" s="120" t="s">
        <v>26</v>
      </c>
      <c r="N8" s="120" t="s">
        <v>26</v>
      </c>
      <c r="O8" s="121">
        <v>2.72</v>
      </c>
      <c r="P8" s="120"/>
      <c r="Q8" s="121">
        <v>4.23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1"/>
      <c r="C9" s="22">
        <v>3.0</v>
      </c>
      <c r="D9" s="112" t="s">
        <v>91</v>
      </c>
      <c r="E9" s="120" t="s">
        <v>26</v>
      </c>
      <c r="F9" s="121">
        <v>4.19</v>
      </c>
      <c r="G9" s="120" t="s">
        <v>26</v>
      </c>
      <c r="H9" s="121">
        <v>2.75</v>
      </c>
      <c r="I9" s="120" t="s">
        <v>26</v>
      </c>
      <c r="J9" s="120" t="s">
        <v>26</v>
      </c>
      <c r="K9" s="121">
        <v>3.59</v>
      </c>
      <c r="L9" s="120" t="s">
        <v>26</v>
      </c>
      <c r="M9" s="120" t="s">
        <v>26</v>
      </c>
      <c r="N9" s="120" t="s">
        <v>26</v>
      </c>
      <c r="O9" s="121">
        <v>2.6</v>
      </c>
      <c r="P9" s="120"/>
      <c r="Q9" s="121">
        <v>4.19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21"/>
      <c r="C10" s="22">
        <v>4.0</v>
      </c>
      <c r="D10" s="112" t="s">
        <v>92</v>
      </c>
      <c r="E10" s="120" t="s">
        <v>26</v>
      </c>
      <c r="F10" s="121">
        <v>4.16</v>
      </c>
      <c r="G10" s="120" t="s">
        <v>26</v>
      </c>
      <c r="H10" s="121">
        <v>2.05</v>
      </c>
      <c r="I10" s="120" t="s">
        <v>26</v>
      </c>
      <c r="J10" s="120" t="s">
        <v>26</v>
      </c>
      <c r="K10" s="121">
        <v>4.79</v>
      </c>
      <c r="L10" s="120" t="s">
        <v>26</v>
      </c>
      <c r="M10" s="120" t="s">
        <v>26</v>
      </c>
      <c r="N10" s="120" t="s">
        <v>26</v>
      </c>
      <c r="O10" s="121">
        <v>1.9</v>
      </c>
      <c r="P10" s="120"/>
      <c r="Q10" s="121">
        <v>4.16</v>
      </c>
      <c r="R10" s="23">
        <v>5.0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7"/>
      <c r="C11" s="22">
        <v>5.0</v>
      </c>
      <c r="D11" s="112" t="s">
        <v>93</v>
      </c>
      <c r="E11" s="120" t="s">
        <v>26</v>
      </c>
      <c r="F11" s="121">
        <v>4.21</v>
      </c>
      <c r="G11" s="120" t="s">
        <v>26</v>
      </c>
      <c r="H11" s="121">
        <v>2.18</v>
      </c>
      <c r="I11" s="120" t="s">
        <v>26</v>
      </c>
      <c r="J11" s="120" t="s">
        <v>26</v>
      </c>
      <c r="K11" s="121">
        <v>4.03</v>
      </c>
      <c r="L11" s="120" t="s">
        <v>26</v>
      </c>
      <c r="M11" s="120" t="s">
        <v>26</v>
      </c>
      <c r="N11" s="120" t="s">
        <v>26</v>
      </c>
      <c r="O11" s="121">
        <v>1.69</v>
      </c>
      <c r="P11" s="120"/>
      <c r="Q11" s="121">
        <v>4.21</v>
      </c>
      <c r="R11" s="23">
        <v>5.0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15" t="s">
        <v>31</v>
      </c>
      <c r="C12" s="16">
        <v>1.0</v>
      </c>
      <c r="D12" s="111" t="s">
        <v>89</v>
      </c>
      <c r="E12" s="118" t="s">
        <v>26</v>
      </c>
      <c r="F12" s="118">
        <v>4.0</v>
      </c>
      <c r="G12" s="118" t="s">
        <v>26</v>
      </c>
      <c r="H12" s="118">
        <v>4.0</v>
      </c>
      <c r="I12" s="118" t="s">
        <v>26</v>
      </c>
      <c r="J12" s="118" t="s">
        <v>26</v>
      </c>
      <c r="K12" s="118">
        <v>10.0</v>
      </c>
      <c r="L12" s="118" t="s">
        <v>26</v>
      </c>
      <c r="M12" s="118" t="s">
        <v>26</v>
      </c>
      <c r="N12" s="118" t="s">
        <v>26</v>
      </c>
      <c r="O12" s="118">
        <v>3.0</v>
      </c>
      <c r="P12" s="118"/>
      <c r="Q12" s="118">
        <v>4.0</v>
      </c>
      <c r="R12" s="17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21"/>
      <c r="C13" s="22">
        <v>2.0</v>
      </c>
      <c r="D13" s="112" t="s">
        <v>90</v>
      </c>
      <c r="E13" s="120" t="s">
        <v>26</v>
      </c>
      <c r="F13" s="120">
        <v>4.0</v>
      </c>
      <c r="G13" s="120" t="s">
        <v>26</v>
      </c>
      <c r="H13" s="120">
        <v>4.0</v>
      </c>
      <c r="I13" s="120" t="s">
        <v>26</v>
      </c>
      <c r="J13" s="120" t="s">
        <v>26</v>
      </c>
      <c r="K13" s="120">
        <v>5.0</v>
      </c>
      <c r="L13" s="120" t="s">
        <v>26</v>
      </c>
      <c r="M13" s="120" t="s">
        <v>26</v>
      </c>
      <c r="N13" s="120" t="s">
        <v>26</v>
      </c>
      <c r="O13" s="120">
        <v>5.0</v>
      </c>
      <c r="P13" s="120"/>
      <c r="Q13" s="120">
        <v>4.0</v>
      </c>
      <c r="R13" s="23">
        <v>7.0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3.0</v>
      </c>
      <c r="D14" s="112" t="s">
        <v>91</v>
      </c>
      <c r="E14" s="120" t="s">
        <v>26</v>
      </c>
      <c r="F14" s="120">
        <v>3.0</v>
      </c>
      <c r="G14" s="120" t="s">
        <v>26</v>
      </c>
      <c r="H14" s="120">
        <v>5.0</v>
      </c>
      <c r="I14" s="120" t="s">
        <v>26</v>
      </c>
      <c r="J14" s="120" t="s">
        <v>26</v>
      </c>
      <c r="K14" s="120">
        <v>6.0</v>
      </c>
      <c r="L14" s="120" t="s">
        <v>26</v>
      </c>
      <c r="M14" s="120" t="s">
        <v>26</v>
      </c>
      <c r="N14" s="120" t="s">
        <v>26</v>
      </c>
      <c r="O14" s="120">
        <v>4.0</v>
      </c>
      <c r="P14" s="120"/>
      <c r="Q14" s="120">
        <v>3.0</v>
      </c>
      <c r="R14" s="23">
        <v>7.0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1"/>
      <c r="C15" s="22">
        <v>4.0</v>
      </c>
      <c r="D15" s="112" t="s">
        <v>92</v>
      </c>
      <c r="E15" s="120" t="s">
        <v>26</v>
      </c>
      <c r="F15" s="120">
        <v>4.0</v>
      </c>
      <c r="G15" s="120" t="s">
        <v>26</v>
      </c>
      <c r="H15" s="120">
        <v>7.0</v>
      </c>
      <c r="I15" s="120" t="s">
        <v>26</v>
      </c>
      <c r="J15" s="120" t="s">
        <v>26</v>
      </c>
      <c r="K15" s="120">
        <v>7.0</v>
      </c>
      <c r="L15" s="120" t="s">
        <v>26</v>
      </c>
      <c r="M15" s="120" t="s">
        <v>26</v>
      </c>
      <c r="N15" s="120" t="s">
        <v>26</v>
      </c>
      <c r="O15" s="120">
        <v>3.0</v>
      </c>
      <c r="P15" s="120"/>
      <c r="Q15" s="120">
        <v>4.0</v>
      </c>
      <c r="R15" s="23">
        <v>7.0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27"/>
      <c r="C16" s="22">
        <v>5.0</v>
      </c>
      <c r="D16" s="112" t="s">
        <v>93</v>
      </c>
      <c r="E16" s="120" t="s">
        <v>26</v>
      </c>
      <c r="F16" s="120">
        <v>4.0</v>
      </c>
      <c r="G16" s="120" t="s">
        <v>26</v>
      </c>
      <c r="H16" s="120">
        <v>6.0</v>
      </c>
      <c r="I16" s="120" t="s">
        <v>26</v>
      </c>
      <c r="J16" s="120" t="s">
        <v>26</v>
      </c>
      <c r="K16" s="120">
        <v>5.0</v>
      </c>
      <c r="L16" s="120" t="s">
        <v>26</v>
      </c>
      <c r="M16" s="120" t="s">
        <v>26</v>
      </c>
      <c r="N16" s="120" t="s">
        <v>26</v>
      </c>
      <c r="O16" s="120" t="s">
        <v>64</v>
      </c>
      <c r="P16" s="120"/>
      <c r="Q16" s="120">
        <v>4.0</v>
      </c>
      <c r="R16" s="23">
        <v>7.0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15" t="s">
        <v>33</v>
      </c>
      <c r="C17" s="16">
        <v>1.0</v>
      </c>
      <c r="D17" s="111" t="s">
        <v>89</v>
      </c>
      <c r="E17" s="118" t="s">
        <v>26</v>
      </c>
      <c r="F17" s="118">
        <v>20.0</v>
      </c>
      <c r="G17" s="118" t="s">
        <v>26</v>
      </c>
      <c r="H17" s="118">
        <v>17.0</v>
      </c>
      <c r="I17" s="118" t="s">
        <v>26</v>
      </c>
      <c r="J17" s="118" t="s">
        <v>26</v>
      </c>
      <c r="K17" s="118">
        <v>48.0</v>
      </c>
      <c r="L17" s="118" t="s">
        <v>26</v>
      </c>
      <c r="M17" s="118" t="s">
        <v>26</v>
      </c>
      <c r="N17" s="118" t="s">
        <v>26</v>
      </c>
      <c r="O17" s="118">
        <v>34.0</v>
      </c>
      <c r="P17" s="118"/>
      <c r="Q17" s="118">
        <v>20.0</v>
      </c>
      <c r="R17" s="17">
        <v>80.0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1"/>
      <c r="C18" s="22">
        <v>2.0</v>
      </c>
      <c r="D18" s="112" t="s">
        <v>90</v>
      </c>
      <c r="E18" s="120" t="s">
        <v>26</v>
      </c>
      <c r="F18" s="120">
        <v>20.0</v>
      </c>
      <c r="G18" s="120" t="s">
        <v>26</v>
      </c>
      <c r="H18" s="120">
        <v>17.0</v>
      </c>
      <c r="I18" s="120" t="s">
        <v>26</v>
      </c>
      <c r="J18" s="120" t="s">
        <v>26</v>
      </c>
      <c r="K18" s="120">
        <v>48.0</v>
      </c>
      <c r="L18" s="120" t="s">
        <v>26</v>
      </c>
      <c r="M18" s="120" t="s">
        <v>26</v>
      </c>
      <c r="N18" s="120" t="s">
        <v>26</v>
      </c>
      <c r="O18" s="120">
        <v>39.0</v>
      </c>
      <c r="P18" s="120"/>
      <c r="Q18" s="120">
        <v>20.0</v>
      </c>
      <c r="R18" s="23">
        <v>80.0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21"/>
      <c r="C19" s="22">
        <v>3.0</v>
      </c>
      <c r="D19" s="112" t="s">
        <v>91</v>
      </c>
      <c r="E19" s="120" t="s">
        <v>26</v>
      </c>
      <c r="F19" s="120">
        <v>24.0</v>
      </c>
      <c r="G19" s="120" t="s">
        <v>26</v>
      </c>
      <c r="H19" s="120">
        <v>22.0</v>
      </c>
      <c r="I19" s="120" t="s">
        <v>26</v>
      </c>
      <c r="J19" s="120" t="s">
        <v>26</v>
      </c>
      <c r="K19" s="120">
        <v>40.0</v>
      </c>
      <c r="L19" s="120" t="s">
        <v>26</v>
      </c>
      <c r="M19" s="120" t="s">
        <v>26</v>
      </c>
      <c r="N19" s="120" t="s">
        <v>26</v>
      </c>
      <c r="O19" s="120">
        <v>36.0</v>
      </c>
      <c r="P19" s="120"/>
      <c r="Q19" s="120">
        <v>24.0</v>
      </c>
      <c r="R19" s="23">
        <v>80.0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4.0</v>
      </c>
      <c r="D20" s="112" t="s">
        <v>92</v>
      </c>
      <c r="E20" s="120" t="s">
        <v>26</v>
      </c>
      <c r="F20" s="120">
        <v>30.0</v>
      </c>
      <c r="G20" s="120" t="s">
        <v>26</v>
      </c>
      <c r="H20" s="120">
        <v>14.0</v>
      </c>
      <c r="I20" s="120" t="s">
        <v>26</v>
      </c>
      <c r="J20" s="120" t="s">
        <v>26</v>
      </c>
      <c r="K20" s="120">
        <v>105.0</v>
      </c>
      <c r="L20" s="120" t="s">
        <v>26</v>
      </c>
      <c r="M20" s="120" t="s">
        <v>26</v>
      </c>
      <c r="N20" s="120" t="s">
        <v>26</v>
      </c>
      <c r="O20" s="120">
        <v>34.0</v>
      </c>
      <c r="P20" s="120"/>
      <c r="Q20" s="120">
        <v>30.0</v>
      </c>
      <c r="R20" s="23">
        <v>80.0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5.0</v>
      </c>
      <c r="D21" s="112" t="s">
        <v>93</v>
      </c>
      <c r="E21" s="120" t="s">
        <v>26</v>
      </c>
      <c r="F21" s="120">
        <v>33.0</v>
      </c>
      <c r="G21" s="120" t="s">
        <v>26</v>
      </c>
      <c r="H21" s="120">
        <v>24.0</v>
      </c>
      <c r="I21" s="120" t="s">
        <v>26</v>
      </c>
      <c r="J21" s="120" t="s">
        <v>26</v>
      </c>
      <c r="K21" s="120">
        <v>128.0</v>
      </c>
      <c r="L21" s="120" t="s">
        <v>26</v>
      </c>
      <c r="M21" s="120" t="s">
        <v>26</v>
      </c>
      <c r="N21" s="120" t="s">
        <v>26</v>
      </c>
      <c r="O21" s="120">
        <v>26.0</v>
      </c>
      <c r="P21" s="120"/>
      <c r="Q21" s="120">
        <v>33.0</v>
      </c>
      <c r="R21" s="23">
        <v>80.0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34</v>
      </c>
      <c r="C22" s="16">
        <v>1.0</v>
      </c>
      <c r="D22" s="111" t="s">
        <v>89</v>
      </c>
      <c r="E22" s="118" t="s">
        <v>26</v>
      </c>
      <c r="F22" s="119">
        <v>7.85</v>
      </c>
      <c r="G22" s="118" t="s">
        <v>26</v>
      </c>
      <c r="H22" s="119">
        <v>6.68</v>
      </c>
      <c r="I22" s="118" t="s">
        <v>26</v>
      </c>
      <c r="J22" s="118" t="s">
        <v>26</v>
      </c>
      <c r="K22" s="119">
        <v>7.0</v>
      </c>
      <c r="L22" s="118" t="s">
        <v>26</v>
      </c>
      <c r="M22" s="118" t="s">
        <v>26</v>
      </c>
      <c r="N22" s="118" t="s">
        <v>26</v>
      </c>
      <c r="O22" s="119">
        <v>7.34</v>
      </c>
      <c r="P22" s="118"/>
      <c r="Q22" s="119">
        <v>7.85</v>
      </c>
      <c r="R22" s="18" t="s">
        <v>35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12" t="s">
        <v>90</v>
      </c>
      <c r="E23" s="120" t="s">
        <v>26</v>
      </c>
      <c r="F23" s="121">
        <v>7.87</v>
      </c>
      <c r="G23" s="120" t="s">
        <v>26</v>
      </c>
      <c r="H23" s="121">
        <v>6.65</v>
      </c>
      <c r="I23" s="120" t="s">
        <v>26</v>
      </c>
      <c r="J23" s="120" t="s">
        <v>26</v>
      </c>
      <c r="K23" s="121">
        <v>7.05</v>
      </c>
      <c r="L23" s="120" t="s">
        <v>26</v>
      </c>
      <c r="M23" s="120" t="s">
        <v>26</v>
      </c>
      <c r="N23" s="120" t="s">
        <v>26</v>
      </c>
      <c r="O23" s="121">
        <v>7.32</v>
      </c>
      <c r="P23" s="120"/>
      <c r="Q23" s="121">
        <v>7.87</v>
      </c>
      <c r="R23" s="24" t="s">
        <v>35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1"/>
      <c r="C24" s="22">
        <v>3.0</v>
      </c>
      <c r="D24" s="112" t="s">
        <v>91</v>
      </c>
      <c r="E24" s="120" t="s">
        <v>26</v>
      </c>
      <c r="F24" s="121">
        <v>7.86</v>
      </c>
      <c r="G24" s="120" t="s">
        <v>26</v>
      </c>
      <c r="H24" s="121">
        <v>6.68</v>
      </c>
      <c r="I24" s="120" t="s">
        <v>26</v>
      </c>
      <c r="J24" s="120" t="s">
        <v>26</v>
      </c>
      <c r="K24" s="121">
        <v>7.03</v>
      </c>
      <c r="L24" s="120" t="s">
        <v>26</v>
      </c>
      <c r="M24" s="120" t="s">
        <v>26</v>
      </c>
      <c r="N24" s="120" t="s">
        <v>26</v>
      </c>
      <c r="O24" s="121">
        <v>7.36</v>
      </c>
      <c r="P24" s="120"/>
      <c r="Q24" s="121">
        <v>7.86</v>
      </c>
      <c r="R24" s="24" t="s">
        <v>35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21"/>
      <c r="C25" s="22">
        <v>4.0</v>
      </c>
      <c r="D25" s="112" t="s">
        <v>92</v>
      </c>
      <c r="E25" s="120" t="s">
        <v>26</v>
      </c>
      <c r="F25" s="121">
        <v>7.84</v>
      </c>
      <c r="G25" s="120" t="s">
        <v>26</v>
      </c>
      <c r="H25" s="121">
        <v>6.69</v>
      </c>
      <c r="I25" s="120" t="s">
        <v>26</v>
      </c>
      <c r="J25" s="120" t="s">
        <v>26</v>
      </c>
      <c r="K25" s="121">
        <v>6.99</v>
      </c>
      <c r="L25" s="120" t="s">
        <v>26</v>
      </c>
      <c r="M25" s="120" t="s">
        <v>26</v>
      </c>
      <c r="N25" s="120" t="s">
        <v>26</v>
      </c>
      <c r="O25" s="121">
        <v>7.24</v>
      </c>
      <c r="P25" s="120"/>
      <c r="Q25" s="121">
        <v>7.84</v>
      </c>
      <c r="R25" s="24" t="s">
        <v>35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7"/>
      <c r="C26" s="22">
        <v>5.0</v>
      </c>
      <c r="D26" s="112" t="s">
        <v>93</v>
      </c>
      <c r="E26" s="120" t="s">
        <v>26</v>
      </c>
      <c r="F26" s="121">
        <v>7.83</v>
      </c>
      <c r="G26" s="120" t="s">
        <v>26</v>
      </c>
      <c r="H26" s="121">
        <v>6.67</v>
      </c>
      <c r="I26" s="120" t="s">
        <v>26</v>
      </c>
      <c r="J26" s="120" t="s">
        <v>26</v>
      </c>
      <c r="K26" s="121">
        <v>6.98</v>
      </c>
      <c r="L26" s="120" t="s">
        <v>26</v>
      </c>
      <c r="M26" s="120" t="s">
        <v>26</v>
      </c>
      <c r="N26" s="120" t="s">
        <v>26</v>
      </c>
      <c r="O26" s="121">
        <v>7.3</v>
      </c>
      <c r="P26" s="120"/>
      <c r="Q26" s="121">
        <v>7.83</v>
      </c>
      <c r="R26" s="24" t="s">
        <v>35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15" t="s">
        <v>94</v>
      </c>
      <c r="C27" s="16">
        <v>1.0</v>
      </c>
      <c r="D27" s="111" t="s">
        <v>89</v>
      </c>
      <c r="E27" s="118" t="s">
        <v>26</v>
      </c>
      <c r="F27" s="119">
        <v>28.05</v>
      </c>
      <c r="G27" s="118" t="s">
        <v>26</v>
      </c>
      <c r="H27" s="119">
        <v>29.1</v>
      </c>
      <c r="I27" s="118" t="s">
        <v>26</v>
      </c>
      <c r="J27" s="118" t="s">
        <v>26</v>
      </c>
      <c r="K27" s="119">
        <v>28.4</v>
      </c>
      <c r="L27" s="118" t="s">
        <v>26</v>
      </c>
      <c r="M27" s="118" t="s">
        <v>26</v>
      </c>
      <c r="N27" s="118" t="s">
        <v>26</v>
      </c>
      <c r="O27" s="119">
        <v>29.0</v>
      </c>
      <c r="P27" s="118"/>
      <c r="Q27" s="119">
        <v>28.05</v>
      </c>
      <c r="R27" s="18" t="s">
        <v>37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21"/>
      <c r="C28" s="22">
        <v>2.0</v>
      </c>
      <c r="D28" s="112" t="s">
        <v>90</v>
      </c>
      <c r="E28" s="120" t="s">
        <v>26</v>
      </c>
      <c r="F28" s="121">
        <v>28.2</v>
      </c>
      <c r="G28" s="120" t="s">
        <v>26</v>
      </c>
      <c r="H28" s="121">
        <v>29.2</v>
      </c>
      <c r="I28" s="120" t="s">
        <v>26</v>
      </c>
      <c r="J28" s="120" t="s">
        <v>26</v>
      </c>
      <c r="K28" s="121">
        <v>28.9</v>
      </c>
      <c r="L28" s="120" t="s">
        <v>26</v>
      </c>
      <c r="M28" s="120" t="s">
        <v>26</v>
      </c>
      <c r="N28" s="120" t="s">
        <v>26</v>
      </c>
      <c r="O28" s="121">
        <v>28.9</v>
      </c>
      <c r="P28" s="120"/>
      <c r="Q28" s="121">
        <v>28.2</v>
      </c>
      <c r="R28" s="24" t="s">
        <v>37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3.0</v>
      </c>
      <c r="D29" s="112" t="s">
        <v>91</v>
      </c>
      <c r="E29" s="120" t="s">
        <v>26</v>
      </c>
      <c r="F29" s="121">
        <v>27.95</v>
      </c>
      <c r="G29" s="120" t="s">
        <v>26</v>
      </c>
      <c r="H29" s="121">
        <v>27.9</v>
      </c>
      <c r="I29" s="120" t="s">
        <v>26</v>
      </c>
      <c r="J29" s="120" t="s">
        <v>26</v>
      </c>
      <c r="K29" s="121">
        <v>28.15</v>
      </c>
      <c r="L29" s="120" t="s">
        <v>26</v>
      </c>
      <c r="M29" s="120" t="s">
        <v>26</v>
      </c>
      <c r="N29" s="120" t="s">
        <v>26</v>
      </c>
      <c r="O29" s="121">
        <v>29.46</v>
      </c>
      <c r="P29" s="120"/>
      <c r="Q29" s="121">
        <v>27.95</v>
      </c>
      <c r="R29" s="24" t="s">
        <v>37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1"/>
      <c r="C30" s="22">
        <v>4.0</v>
      </c>
      <c r="D30" s="112" t="s">
        <v>92</v>
      </c>
      <c r="E30" s="120" t="s">
        <v>26</v>
      </c>
      <c r="F30" s="121">
        <v>28.3</v>
      </c>
      <c r="G30" s="120" t="s">
        <v>26</v>
      </c>
      <c r="H30" s="121">
        <v>29.1</v>
      </c>
      <c r="I30" s="120" t="s">
        <v>26</v>
      </c>
      <c r="J30" s="120" t="s">
        <v>26</v>
      </c>
      <c r="K30" s="121">
        <v>27.68</v>
      </c>
      <c r="L30" s="120" t="s">
        <v>26</v>
      </c>
      <c r="M30" s="120" t="s">
        <v>26</v>
      </c>
      <c r="N30" s="120" t="s">
        <v>26</v>
      </c>
      <c r="O30" s="121">
        <v>29.4</v>
      </c>
      <c r="P30" s="120"/>
      <c r="Q30" s="121">
        <v>28.3</v>
      </c>
      <c r="R30" s="24" t="s">
        <v>37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27"/>
      <c r="C31" s="22">
        <v>5.0</v>
      </c>
      <c r="D31" s="112" t="s">
        <v>93</v>
      </c>
      <c r="E31" s="120" t="s">
        <v>26</v>
      </c>
      <c r="F31" s="121">
        <v>28.32</v>
      </c>
      <c r="G31" s="120" t="s">
        <v>26</v>
      </c>
      <c r="H31" s="121">
        <v>29.6</v>
      </c>
      <c r="I31" s="120" t="s">
        <v>26</v>
      </c>
      <c r="J31" s="120" t="s">
        <v>26</v>
      </c>
      <c r="K31" s="121">
        <v>28.08</v>
      </c>
      <c r="L31" s="120" t="s">
        <v>26</v>
      </c>
      <c r="M31" s="120" t="s">
        <v>26</v>
      </c>
      <c r="N31" s="120" t="s">
        <v>26</v>
      </c>
      <c r="O31" s="121">
        <v>29.49</v>
      </c>
      <c r="P31" s="120"/>
      <c r="Q31" s="121">
        <v>28.32</v>
      </c>
      <c r="R31" s="24" t="s">
        <v>37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15" t="s">
        <v>38</v>
      </c>
      <c r="C32" s="16">
        <v>1.0</v>
      </c>
      <c r="D32" s="111" t="s">
        <v>89</v>
      </c>
      <c r="E32" s="118" t="s">
        <v>26</v>
      </c>
      <c r="F32" s="118">
        <v>20.0</v>
      </c>
      <c r="G32" s="118" t="s">
        <v>26</v>
      </c>
      <c r="H32" s="118">
        <v>30.0</v>
      </c>
      <c r="I32" s="118" t="s">
        <v>26</v>
      </c>
      <c r="J32" s="118" t="s">
        <v>26</v>
      </c>
      <c r="K32" s="118">
        <v>40.0</v>
      </c>
      <c r="L32" s="118" t="s">
        <v>26</v>
      </c>
      <c r="M32" s="118" t="s">
        <v>26</v>
      </c>
      <c r="N32" s="118" t="s">
        <v>26</v>
      </c>
      <c r="O32" s="118">
        <v>15.0</v>
      </c>
      <c r="P32" s="118"/>
      <c r="Q32" s="118">
        <v>20.0</v>
      </c>
      <c r="R32" s="17">
        <v>75.0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1"/>
      <c r="C33" s="22">
        <v>2.0</v>
      </c>
      <c r="D33" s="112" t="s">
        <v>90</v>
      </c>
      <c r="E33" s="120" t="s">
        <v>26</v>
      </c>
      <c r="F33" s="120">
        <v>25.0</v>
      </c>
      <c r="G33" s="120" t="s">
        <v>26</v>
      </c>
      <c r="H33" s="120">
        <v>30.0</v>
      </c>
      <c r="I33" s="120" t="s">
        <v>26</v>
      </c>
      <c r="J33" s="120" t="s">
        <v>26</v>
      </c>
      <c r="K33" s="120">
        <v>40.0</v>
      </c>
      <c r="L33" s="120" t="s">
        <v>26</v>
      </c>
      <c r="M33" s="120" t="s">
        <v>26</v>
      </c>
      <c r="N33" s="120" t="s">
        <v>26</v>
      </c>
      <c r="O33" s="120">
        <v>15.0</v>
      </c>
      <c r="P33" s="120"/>
      <c r="Q33" s="120">
        <v>25.0</v>
      </c>
      <c r="R33" s="23">
        <v>75.0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21"/>
      <c r="C34" s="22">
        <v>3.0</v>
      </c>
      <c r="D34" s="112" t="s">
        <v>91</v>
      </c>
      <c r="E34" s="120" t="s">
        <v>26</v>
      </c>
      <c r="F34" s="120">
        <v>20.0</v>
      </c>
      <c r="G34" s="120" t="s">
        <v>26</v>
      </c>
      <c r="H34" s="120">
        <v>25.0</v>
      </c>
      <c r="I34" s="120" t="s">
        <v>26</v>
      </c>
      <c r="J34" s="120" t="s">
        <v>26</v>
      </c>
      <c r="K34" s="120">
        <v>40.0</v>
      </c>
      <c r="L34" s="120" t="s">
        <v>26</v>
      </c>
      <c r="M34" s="120" t="s">
        <v>26</v>
      </c>
      <c r="N34" s="120" t="s">
        <v>26</v>
      </c>
      <c r="O34" s="120">
        <v>10.0</v>
      </c>
      <c r="P34" s="120"/>
      <c r="Q34" s="120">
        <v>20.0</v>
      </c>
      <c r="R34" s="23">
        <v>75.0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4.0</v>
      </c>
      <c r="D35" s="112" t="s">
        <v>92</v>
      </c>
      <c r="E35" s="120" t="s">
        <v>26</v>
      </c>
      <c r="F35" s="120">
        <v>15.0</v>
      </c>
      <c r="G35" s="120" t="s">
        <v>26</v>
      </c>
      <c r="H35" s="120">
        <v>40.0</v>
      </c>
      <c r="I35" s="120" t="s">
        <v>26</v>
      </c>
      <c r="J35" s="120" t="s">
        <v>26</v>
      </c>
      <c r="K35" s="120">
        <v>30.0</v>
      </c>
      <c r="L35" s="120" t="s">
        <v>26</v>
      </c>
      <c r="M35" s="120" t="s">
        <v>26</v>
      </c>
      <c r="N35" s="120" t="s">
        <v>26</v>
      </c>
      <c r="O35" s="120">
        <v>15.0</v>
      </c>
      <c r="P35" s="120"/>
      <c r="Q35" s="120">
        <v>15.0</v>
      </c>
      <c r="R35" s="23">
        <v>75.0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5.0</v>
      </c>
      <c r="D36" s="112" t="s">
        <v>93</v>
      </c>
      <c r="E36" s="120" t="s">
        <v>26</v>
      </c>
      <c r="F36" s="120">
        <v>15.0</v>
      </c>
      <c r="G36" s="120" t="s">
        <v>26</v>
      </c>
      <c r="H36" s="120">
        <v>30.0</v>
      </c>
      <c r="I36" s="120" t="s">
        <v>26</v>
      </c>
      <c r="J36" s="120" t="s">
        <v>26</v>
      </c>
      <c r="K36" s="120">
        <v>30.0</v>
      </c>
      <c r="L36" s="120" t="s">
        <v>26</v>
      </c>
      <c r="M36" s="120" t="s">
        <v>26</v>
      </c>
      <c r="N36" s="120" t="s">
        <v>26</v>
      </c>
      <c r="O36" s="120">
        <v>15.0</v>
      </c>
      <c r="P36" s="120"/>
      <c r="Q36" s="120">
        <v>15.0</v>
      </c>
      <c r="R36" s="23">
        <v>75.0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20"/>
      <c r="B37" s="15" t="s">
        <v>40</v>
      </c>
      <c r="C37" s="16">
        <v>1.0</v>
      </c>
      <c r="D37" s="111" t="s">
        <v>89</v>
      </c>
      <c r="E37" s="118" t="s">
        <v>26</v>
      </c>
      <c r="F37" s="118">
        <v>5400.0</v>
      </c>
      <c r="G37" s="118" t="s">
        <v>26</v>
      </c>
      <c r="H37" s="118">
        <v>11000.0</v>
      </c>
      <c r="I37" s="118" t="s">
        <v>26</v>
      </c>
      <c r="J37" s="118" t="s">
        <v>26</v>
      </c>
      <c r="K37" s="118">
        <v>54000.0</v>
      </c>
      <c r="L37" s="118" t="s">
        <v>26</v>
      </c>
      <c r="M37" s="118" t="s">
        <v>26</v>
      </c>
      <c r="N37" s="118" t="s">
        <v>26</v>
      </c>
      <c r="O37" s="118">
        <v>16000.0</v>
      </c>
      <c r="P37" s="118"/>
      <c r="Q37" s="118">
        <f t="shared" ref="Q37:Q41" si="1">GEOMEAN(E37:P37)</f>
        <v>15051.33586</v>
      </c>
      <c r="R37" s="17">
        <v>200.0</v>
      </c>
      <c r="S37" s="115">
        <f t="shared" ref="S37:S56" si="2">GEOMEAN(Q37:Q41)</f>
        <v>20357.8982</v>
      </c>
      <c r="T37" s="100"/>
      <c r="U37" s="100"/>
      <c r="V37" s="100"/>
      <c r="W37" s="100"/>
      <c r="X37" s="100"/>
      <c r="Y37" s="100"/>
      <c r="Z37" s="100"/>
    </row>
    <row r="38" ht="15.75" customHeight="1">
      <c r="A38" s="20"/>
      <c r="B38" s="21"/>
      <c r="C38" s="22">
        <v>2.0</v>
      </c>
      <c r="D38" s="112" t="s">
        <v>90</v>
      </c>
      <c r="E38" s="120" t="s">
        <v>26</v>
      </c>
      <c r="F38" s="120">
        <v>16000.0</v>
      </c>
      <c r="G38" s="120" t="s">
        <v>26</v>
      </c>
      <c r="H38" s="120">
        <v>14000.0</v>
      </c>
      <c r="I38" s="120" t="s">
        <v>26</v>
      </c>
      <c r="J38" s="120" t="s">
        <v>26</v>
      </c>
      <c r="K38" s="120">
        <v>54000.0</v>
      </c>
      <c r="L38" s="120" t="s">
        <v>26</v>
      </c>
      <c r="M38" s="120" t="s">
        <v>26</v>
      </c>
      <c r="N38" s="120" t="s">
        <v>26</v>
      </c>
      <c r="O38" s="120">
        <v>9200.0</v>
      </c>
      <c r="P38" s="120"/>
      <c r="Q38" s="118">
        <f t="shared" si="1"/>
        <v>18264.48375</v>
      </c>
      <c r="R38" s="23">
        <v>200.0</v>
      </c>
      <c r="S38" s="115">
        <f t="shared" si="2"/>
        <v>2890.825549</v>
      </c>
      <c r="T38" s="100"/>
      <c r="U38" s="100"/>
      <c r="V38" s="100"/>
      <c r="W38" s="100"/>
      <c r="X38" s="100"/>
      <c r="Y38" s="100"/>
      <c r="Z38" s="100"/>
    </row>
    <row r="39" ht="15.75" customHeight="1">
      <c r="A39" s="20"/>
      <c r="B39" s="21"/>
      <c r="C39" s="22">
        <v>3.0</v>
      </c>
      <c r="D39" s="112" t="s">
        <v>91</v>
      </c>
      <c r="E39" s="120" t="s">
        <v>26</v>
      </c>
      <c r="F39" s="120">
        <v>24000.0</v>
      </c>
      <c r="G39" s="120" t="s">
        <v>26</v>
      </c>
      <c r="H39" s="120">
        <v>16000.0</v>
      </c>
      <c r="I39" s="120" t="s">
        <v>26</v>
      </c>
      <c r="J39" s="120" t="s">
        <v>26</v>
      </c>
      <c r="K39" s="120">
        <v>54000.0</v>
      </c>
      <c r="L39" s="120" t="s">
        <v>26</v>
      </c>
      <c r="M39" s="120" t="s">
        <v>26</v>
      </c>
      <c r="N39" s="120" t="s">
        <v>26</v>
      </c>
      <c r="O39" s="120">
        <v>16000.0</v>
      </c>
      <c r="P39" s="120"/>
      <c r="Q39" s="118">
        <f t="shared" si="1"/>
        <v>24000</v>
      </c>
      <c r="R39" s="23">
        <v>200.0</v>
      </c>
      <c r="S39" s="115">
        <f t="shared" si="2"/>
        <v>389.6893287</v>
      </c>
      <c r="T39" s="100"/>
      <c r="U39" s="100"/>
      <c r="V39" s="100"/>
      <c r="W39" s="100"/>
      <c r="X39" s="100"/>
      <c r="Y39" s="100"/>
      <c r="Z39" s="100"/>
    </row>
    <row r="40" ht="15.75" customHeight="1">
      <c r="A40" s="20"/>
      <c r="B40" s="21"/>
      <c r="C40" s="22">
        <v>4.0</v>
      </c>
      <c r="D40" s="112" t="s">
        <v>92</v>
      </c>
      <c r="E40" s="120" t="s">
        <v>26</v>
      </c>
      <c r="F40" s="120">
        <v>17000.0</v>
      </c>
      <c r="G40" s="120" t="s">
        <v>26</v>
      </c>
      <c r="H40" s="120">
        <v>17000.0</v>
      </c>
      <c r="I40" s="120" t="s">
        <v>26</v>
      </c>
      <c r="J40" s="120" t="s">
        <v>26</v>
      </c>
      <c r="K40" s="120">
        <v>16000.0</v>
      </c>
      <c r="L40" s="120" t="s">
        <v>26</v>
      </c>
      <c r="M40" s="120" t="s">
        <v>26</v>
      </c>
      <c r="N40" s="120" t="s">
        <v>26</v>
      </c>
      <c r="O40" s="120">
        <v>2400.0</v>
      </c>
      <c r="P40" s="120"/>
      <c r="Q40" s="118">
        <f t="shared" si="1"/>
        <v>10263.7784</v>
      </c>
      <c r="R40" s="23">
        <v>200.0</v>
      </c>
      <c r="S40" s="115">
        <f t="shared" si="2"/>
        <v>51.82059236</v>
      </c>
      <c r="T40" s="100"/>
      <c r="U40" s="100"/>
      <c r="V40" s="100"/>
      <c r="W40" s="100"/>
      <c r="X40" s="100"/>
      <c r="Y40" s="100"/>
      <c r="Z40" s="100"/>
    </row>
    <row r="41" ht="15.75" customHeight="1">
      <c r="A41" s="20"/>
      <c r="B41" s="27"/>
      <c r="C41" s="22">
        <v>5.0</v>
      </c>
      <c r="D41" s="112" t="s">
        <v>93</v>
      </c>
      <c r="E41" s="120" t="s">
        <v>26</v>
      </c>
      <c r="F41" s="120">
        <v>35000.0</v>
      </c>
      <c r="G41" s="120" t="s">
        <v>26</v>
      </c>
      <c r="H41" s="120">
        <v>92000.0</v>
      </c>
      <c r="I41" s="120" t="s">
        <v>26</v>
      </c>
      <c r="J41" s="120" t="s">
        <v>26</v>
      </c>
      <c r="K41" s="120">
        <v>92000.0</v>
      </c>
      <c r="L41" s="120" t="s">
        <v>26</v>
      </c>
      <c r="M41" s="120" t="s">
        <v>26</v>
      </c>
      <c r="N41" s="120" t="s">
        <v>26</v>
      </c>
      <c r="O41" s="120">
        <v>24000.0</v>
      </c>
      <c r="P41" s="120"/>
      <c r="Q41" s="118">
        <f t="shared" si="1"/>
        <v>51637.32489</v>
      </c>
      <c r="R41" s="23">
        <v>200.0</v>
      </c>
      <c r="S41" s="115">
        <f t="shared" si="2"/>
        <v>7.905331571</v>
      </c>
      <c r="T41" s="100"/>
      <c r="U41" s="100"/>
      <c r="V41" s="100"/>
      <c r="W41" s="100"/>
      <c r="X41" s="100"/>
      <c r="Y41" s="100"/>
      <c r="Z41" s="100"/>
    </row>
    <row r="42" ht="15.75" customHeight="1">
      <c r="A42" s="20"/>
      <c r="B42" s="15" t="s">
        <v>95</v>
      </c>
      <c r="C42" s="16">
        <v>1.0</v>
      </c>
      <c r="D42" s="111" t="s">
        <v>89</v>
      </c>
      <c r="E42" s="118" t="s">
        <v>26</v>
      </c>
      <c r="F42" s="122">
        <v>0.869</v>
      </c>
      <c r="G42" s="118" t="s">
        <v>26</v>
      </c>
      <c r="H42" s="122">
        <v>0.185</v>
      </c>
      <c r="I42" s="118" t="s">
        <v>26</v>
      </c>
      <c r="J42" s="118" t="s">
        <v>26</v>
      </c>
      <c r="K42" s="122">
        <v>0.711</v>
      </c>
      <c r="L42" s="118" t="s">
        <v>26</v>
      </c>
      <c r="M42" s="118" t="s">
        <v>26</v>
      </c>
      <c r="N42" s="118" t="s">
        <v>26</v>
      </c>
      <c r="O42" s="122">
        <v>0.38</v>
      </c>
      <c r="P42" s="118"/>
      <c r="Q42" s="122">
        <v>0.869</v>
      </c>
      <c r="R42" s="17">
        <v>7.0</v>
      </c>
      <c r="S42" s="123">
        <f t="shared" si="2"/>
        <v>0.81298893</v>
      </c>
      <c r="T42" s="100"/>
      <c r="U42" s="100"/>
      <c r="V42" s="100"/>
      <c r="W42" s="100"/>
      <c r="X42" s="100"/>
      <c r="Y42" s="100"/>
      <c r="Z42" s="100"/>
    </row>
    <row r="43" ht="15.75" customHeight="1">
      <c r="A43" s="20"/>
      <c r="B43" s="21"/>
      <c r="C43" s="22">
        <v>2.0</v>
      </c>
      <c r="D43" s="112" t="s">
        <v>90</v>
      </c>
      <c r="E43" s="120" t="s">
        <v>26</v>
      </c>
      <c r="F43" s="124">
        <v>0.813</v>
      </c>
      <c r="G43" s="120" t="s">
        <v>26</v>
      </c>
      <c r="H43" s="124">
        <v>0.153</v>
      </c>
      <c r="I43" s="120" t="s">
        <v>26</v>
      </c>
      <c r="J43" s="120" t="s">
        <v>26</v>
      </c>
      <c r="K43" s="124">
        <v>0.545</v>
      </c>
      <c r="L43" s="120" t="s">
        <v>26</v>
      </c>
      <c r="M43" s="120" t="s">
        <v>26</v>
      </c>
      <c r="N43" s="120" t="s">
        <v>26</v>
      </c>
      <c r="O43" s="124">
        <v>0.602</v>
      </c>
      <c r="P43" s="120"/>
      <c r="Q43" s="124">
        <v>0.813</v>
      </c>
      <c r="R43" s="23">
        <v>7.0</v>
      </c>
      <c r="S43" s="123">
        <f t="shared" si="2"/>
        <v>0.5265113234</v>
      </c>
      <c r="T43" s="100"/>
      <c r="U43" s="100"/>
      <c r="V43" s="100"/>
      <c r="W43" s="100"/>
      <c r="X43" s="100"/>
      <c r="Y43" s="100"/>
      <c r="Z43" s="100"/>
    </row>
    <row r="44" ht="15.75" customHeight="1">
      <c r="A44" s="20"/>
      <c r="B44" s="21"/>
      <c r="C44" s="22">
        <v>3.0</v>
      </c>
      <c r="D44" s="112" t="s">
        <v>91</v>
      </c>
      <c r="E44" s="120" t="s">
        <v>26</v>
      </c>
      <c r="F44" s="124">
        <v>0.998</v>
      </c>
      <c r="G44" s="120" t="s">
        <v>26</v>
      </c>
      <c r="H44" s="120" t="s">
        <v>42</v>
      </c>
      <c r="I44" s="120" t="s">
        <v>26</v>
      </c>
      <c r="J44" s="120" t="s">
        <v>26</v>
      </c>
      <c r="K44" s="124">
        <v>0.59</v>
      </c>
      <c r="L44" s="120" t="s">
        <v>26</v>
      </c>
      <c r="M44" s="120" t="s">
        <v>26</v>
      </c>
      <c r="N44" s="120" t="s">
        <v>26</v>
      </c>
      <c r="O44" s="124">
        <v>0.203</v>
      </c>
      <c r="P44" s="120"/>
      <c r="Q44" s="124">
        <v>0.998</v>
      </c>
      <c r="R44" s="23">
        <v>7.0</v>
      </c>
      <c r="S44" s="123">
        <f t="shared" si="2"/>
        <v>0.3434344469</v>
      </c>
      <c r="T44" s="100"/>
      <c r="U44" s="100"/>
      <c r="V44" s="100"/>
      <c r="W44" s="100"/>
      <c r="X44" s="100"/>
      <c r="Y44" s="100"/>
      <c r="Z44" s="100"/>
    </row>
    <row r="45" ht="15.75" customHeight="1">
      <c r="A45" s="20"/>
      <c r="B45" s="21"/>
      <c r="C45" s="22">
        <v>4.0</v>
      </c>
      <c r="D45" s="112" t="s">
        <v>92</v>
      </c>
      <c r="E45" s="120" t="s">
        <v>26</v>
      </c>
      <c r="F45" s="124">
        <v>0.848</v>
      </c>
      <c r="G45" s="120" t="s">
        <v>26</v>
      </c>
      <c r="H45" s="124">
        <v>0.181</v>
      </c>
      <c r="I45" s="120" t="s">
        <v>26</v>
      </c>
      <c r="J45" s="120" t="s">
        <v>26</v>
      </c>
      <c r="K45" s="124">
        <v>0.724</v>
      </c>
      <c r="L45" s="120" t="s">
        <v>26</v>
      </c>
      <c r="M45" s="120" t="s">
        <v>26</v>
      </c>
      <c r="N45" s="120" t="s">
        <v>26</v>
      </c>
      <c r="O45" s="124">
        <v>0.357</v>
      </c>
      <c r="P45" s="120"/>
      <c r="Q45" s="124">
        <v>0.848</v>
      </c>
      <c r="R45" s="23">
        <v>7.0</v>
      </c>
      <c r="S45" s="123">
        <f t="shared" si="2"/>
        <v>0.218486402</v>
      </c>
      <c r="T45" s="100"/>
      <c r="U45" s="100"/>
      <c r="V45" s="100"/>
      <c r="W45" s="100"/>
      <c r="X45" s="100"/>
      <c r="Y45" s="100"/>
      <c r="Z45" s="100"/>
    </row>
    <row r="46" ht="15.75" customHeight="1">
      <c r="A46" s="20"/>
      <c r="B46" s="27"/>
      <c r="C46" s="22">
        <v>5.0</v>
      </c>
      <c r="D46" s="112" t="s">
        <v>93</v>
      </c>
      <c r="E46" s="120" t="s">
        <v>26</v>
      </c>
      <c r="F46" s="124">
        <v>0.594</v>
      </c>
      <c r="G46" s="120" t="s">
        <v>26</v>
      </c>
      <c r="H46" s="124">
        <v>0.217</v>
      </c>
      <c r="I46" s="120" t="s">
        <v>26</v>
      </c>
      <c r="J46" s="120" t="s">
        <v>26</v>
      </c>
      <c r="K46" s="124">
        <v>0.772</v>
      </c>
      <c r="L46" s="120" t="s">
        <v>26</v>
      </c>
      <c r="M46" s="120" t="s">
        <v>26</v>
      </c>
      <c r="N46" s="120" t="s">
        <v>26</v>
      </c>
      <c r="O46" s="124">
        <v>0.354</v>
      </c>
      <c r="P46" s="120"/>
      <c r="Q46" s="124">
        <v>0.594</v>
      </c>
      <c r="R46" s="23">
        <v>7.0</v>
      </c>
      <c r="S46" s="123">
        <f t="shared" si="2"/>
        <v>0.1503832622</v>
      </c>
      <c r="T46" s="100"/>
      <c r="U46" s="100"/>
      <c r="V46" s="100"/>
      <c r="W46" s="100"/>
      <c r="X46" s="100"/>
      <c r="Y46" s="100"/>
      <c r="Z46" s="100"/>
    </row>
    <row r="47" ht="15.75" customHeight="1">
      <c r="A47" s="20"/>
      <c r="B47" s="15" t="s">
        <v>96</v>
      </c>
      <c r="C47" s="16">
        <v>1.0</v>
      </c>
      <c r="D47" s="111" t="s">
        <v>89</v>
      </c>
      <c r="E47" s="118" t="s">
        <v>26</v>
      </c>
      <c r="F47" s="122">
        <v>0.099</v>
      </c>
      <c r="G47" s="118" t="s">
        <v>26</v>
      </c>
      <c r="H47" s="122">
        <v>0.269</v>
      </c>
      <c r="I47" s="118" t="s">
        <v>26</v>
      </c>
      <c r="J47" s="118" t="s">
        <v>26</v>
      </c>
      <c r="K47" s="122">
        <v>0.255</v>
      </c>
      <c r="L47" s="118" t="s">
        <v>26</v>
      </c>
      <c r="M47" s="118" t="s">
        <v>26</v>
      </c>
      <c r="N47" s="118" t="s">
        <v>26</v>
      </c>
      <c r="O47" s="122">
        <v>0.168</v>
      </c>
      <c r="P47" s="118"/>
      <c r="Q47" s="122">
        <v>0.099</v>
      </c>
      <c r="R47" s="17">
        <v>0.5</v>
      </c>
      <c r="S47" s="123">
        <f t="shared" si="2"/>
        <v>0.1069367457</v>
      </c>
      <c r="T47" s="100"/>
      <c r="U47" s="100"/>
      <c r="V47" s="100"/>
      <c r="W47" s="100"/>
      <c r="X47" s="100"/>
      <c r="Y47" s="100"/>
      <c r="Z47" s="100"/>
    </row>
    <row r="48" ht="15.75" customHeight="1">
      <c r="A48" s="20"/>
      <c r="B48" s="21"/>
      <c r="C48" s="22">
        <v>2.0</v>
      </c>
      <c r="D48" s="112" t="s">
        <v>90</v>
      </c>
      <c r="E48" s="120" t="s">
        <v>26</v>
      </c>
      <c r="F48" s="124">
        <v>0.096</v>
      </c>
      <c r="G48" s="120" t="s">
        <v>26</v>
      </c>
      <c r="H48" s="124">
        <v>0.161</v>
      </c>
      <c r="I48" s="120" t="s">
        <v>26</v>
      </c>
      <c r="J48" s="120" t="s">
        <v>26</v>
      </c>
      <c r="K48" s="124">
        <v>0.244</v>
      </c>
      <c r="L48" s="120" t="s">
        <v>26</v>
      </c>
      <c r="M48" s="120" t="s">
        <v>26</v>
      </c>
      <c r="N48" s="120" t="s">
        <v>26</v>
      </c>
      <c r="O48" s="124">
        <v>0.151</v>
      </c>
      <c r="P48" s="120"/>
      <c r="Q48" s="124">
        <v>0.096</v>
      </c>
      <c r="R48" s="23">
        <v>0.5</v>
      </c>
      <c r="S48" s="123">
        <f t="shared" si="2"/>
        <v>0.4037965864</v>
      </c>
      <c r="T48" s="100"/>
      <c r="U48" s="100"/>
      <c r="V48" s="100"/>
      <c r="W48" s="100"/>
      <c r="X48" s="100"/>
      <c r="Y48" s="100"/>
      <c r="Z48" s="100"/>
    </row>
    <row r="49" ht="15.75" customHeight="1">
      <c r="A49" s="20"/>
      <c r="B49" s="21"/>
      <c r="C49" s="22">
        <v>3.0</v>
      </c>
      <c r="D49" s="112" t="s">
        <v>91</v>
      </c>
      <c r="E49" s="120" t="s">
        <v>26</v>
      </c>
      <c r="F49" s="124">
        <v>0.104</v>
      </c>
      <c r="G49" s="120" t="s">
        <v>26</v>
      </c>
      <c r="H49" s="124">
        <v>0.14</v>
      </c>
      <c r="I49" s="120" t="s">
        <v>26</v>
      </c>
      <c r="J49" s="120" t="s">
        <v>26</v>
      </c>
      <c r="K49" s="124">
        <v>0.261</v>
      </c>
      <c r="L49" s="120" t="s">
        <v>26</v>
      </c>
      <c r="M49" s="120" t="s">
        <v>26</v>
      </c>
      <c r="N49" s="120" t="s">
        <v>26</v>
      </c>
      <c r="O49" s="124">
        <v>0.088</v>
      </c>
      <c r="P49" s="120"/>
      <c r="Q49" s="124">
        <v>0.104</v>
      </c>
      <c r="R49" s="23">
        <v>0.5</v>
      </c>
      <c r="S49" s="123">
        <f t="shared" si="2"/>
        <v>1.186184529</v>
      </c>
      <c r="T49" s="100"/>
      <c r="U49" s="100"/>
      <c r="V49" s="100"/>
      <c r="W49" s="100"/>
      <c r="X49" s="100"/>
      <c r="Y49" s="100"/>
      <c r="Z49" s="100"/>
    </row>
    <row r="50" ht="15.75" customHeight="1">
      <c r="A50" s="20"/>
      <c r="B50" s="21"/>
      <c r="C50" s="22">
        <v>4.0</v>
      </c>
      <c r="D50" s="112" t="s">
        <v>92</v>
      </c>
      <c r="E50" s="120" t="s">
        <v>26</v>
      </c>
      <c r="F50" s="124">
        <v>0.131</v>
      </c>
      <c r="G50" s="120" t="s">
        <v>26</v>
      </c>
      <c r="H50" s="124">
        <v>0.124</v>
      </c>
      <c r="I50" s="120" t="s">
        <v>26</v>
      </c>
      <c r="J50" s="120" t="s">
        <v>26</v>
      </c>
      <c r="K50" s="124">
        <v>0.36</v>
      </c>
      <c r="L50" s="120" t="s">
        <v>26</v>
      </c>
      <c r="M50" s="120" t="s">
        <v>26</v>
      </c>
      <c r="N50" s="120" t="s">
        <v>26</v>
      </c>
      <c r="O50" s="124">
        <v>0.116</v>
      </c>
      <c r="P50" s="120"/>
      <c r="Q50" s="124">
        <v>0.131</v>
      </c>
      <c r="R50" s="23">
        <v>0.5</v>
      </c>
      <c r="S50" s="123">
        <f t="shared" si="2"/>
        <v>2.956280152</v>
      </c>
      <c r="T50" s="100"/>
      <c r="U50" s="100"/>
      <c r="V50" s="100"/>
      <c r="W50" s="100"/>
      <c r="X50" s="100"/>
      <c r="Y50" s="100"/>
      <c r="Z50" s="100"/>
    </row>
    <row r="51" ht="15.75" customHeight="1">
      <c r="A51" s="20"/>
      <c r="B51" s="27"/>
      <c r="C51" s="22">
        <v>5.0</v>
      </c>
      <c r="D51" s="112" t="s">
        <v>93</v>
      </c>
      <c r="E51" s="120" t="s">
        <v>26</v>
      </c>
      <c r="F51" s="124">
        <v>0.108</v>
      </c>
      <c r="G51" s="120" t="s">
        <v>26</v>
      </c>
      <c r="H51" s="124">
        <v>0.155</v>
      </c>
      <c r="I51" s="120" t="s">
        <v>26</v>
      </c>
      <c r="J51" s="120" t="s">
        <v>26</v>
      </c>
      <c r="K51" s="124">
        <v>0.397</v>
      </c>
      <c r="L51" s="120" t="s">
        <v>26</v>
      </c>
      <c r="M51" s="120" t="s">
        <v>26</v>
      </c>
      <c r="N51" s="120" t="s">
        <v>26</v>
      </c>
      <c r="O51" s="124">
        <v>0.103</v>
      </c>
      <c r="P51" s="120"/>
      <c r="Q51" s="124">
        <v>0.108</v>
      </c>
      <c r="R51" s="23">
        <v>0.5</v>
      </c>
      <c r="S51" s="123">
        <f t="shared" si="2"/>
        <v>7.170837245</v>
      </c>
      <c r="T51" s="100"/>
      <c r="U51" s="100"/>
      <c r="V51" s="100"/>
      <c r="W51" s="100"/>
      <c r="X51" s="100"/>
      <c r="Y51" s="100"/>
      <c r="Z51" s="100"/>
    </row>
    <row r="52" ht="15.75" customHeight="1">
      <c r="A52" s="20"/>
      <c r="B52" s="15" t="s">
        <v>46</v>
      </c>
      <c r="C52" s="16">
        <v>1.0</v>
      </c>
      <c r="D52" s="111" t="s">
        <v>89</v>
      </c>
      <c r="E52" s="118" t="s">
        <v>26</v>
      </c>
      <c r="F52" s="118">
        <v>76.0</v>
      </c>
      <c r="G52" s="118" t="s">
        <v>26</v>
      </c>
      <c r="H52" s="118">
        <v>4810.0</v>
      </c>
      <c r="I52" s="118" t="s">
        <v>26</v>
      </c>
      <c r="J52" s="118" t="s">
        <v>26</v>
      </c>
      <c r="K52" s="118">
        <v>22.0</v>
      </c>
      <c r="L52" s="118" t="s">
        <v>26</v>
      </c>
      <c r="M52" s="118" t="s">
        <v>26</v>
      </c>
      <c r="N52" s="118" t="s">
        <v>26</v>
      </c>
      <c r="O52" s="118">
        <v>7.0</v>
      </c>
      <c r="P52" s="118"/>
      <c r="Q52" s="118">
        <v>76.0</v>
      </c>
      <c r="R52" s="17">
        <v>350.0</v>
      </c>
      <c r="S52" s="115">
        <f t="shared" si="2"/>
        <v>17.7372021</v>
      </c>
      <c r="T52" s="100"/>
      <c r="U52" s="100"/>
      <c r="V52" s="100"/>
      <c r="W52" s="100"/>
      <c r="X52" s="100"/>
      <c r="Y52" s="100"/>
      <c r="Z52" s="100"/>
    </row>
    <row r="53" ht="15.75" customHeight="1">
      <c r="A53" s="20"/>
      <c r="B53" s="21"/>
      <c r="C53" s="22">
        <v>2.0</v>
      </c>
      <c r="D53" s="112" t="s">
        <v>90</v>
      </c>
      <c r="E53" s="120" t="s">
        <v>26</v>
      </c>
      <c r="F53" s="120">
        <v>21.0</v>
      </c>
      <c r="G53" s="120" t="s">
        <v>26</v>
      </c>
      <c r="H53" s="120">
        <v>5046.0</v>
      </c>
      <c r="I53" s="120" t="s">
        <v>26</v>
      </c>
      <c r="J53" s="120" t="s">
        <v>26</v>
      </c>
      <c r="K53" s="120">
        <v>17.0</v>
      </c>
      <c r="L53" s="120" t="s">
        <v>26</v>
      </c>
      <c r="M53" s="120" t="s">
        <v>26</v>
      </c>
      <c r="N53" s="120" t="s">
        <v>26</v>
      </c>
      <c r="O53" s="120">
        <v>6.0</v>
      </c>
      <c r="P53" s="120"/>
      <c r="Q53" s="120">
        <v>21.0</v>
      </c>
      <c r="R53" s="23">
        <v>350.0</v>
      </c>
      <c r="S53" s="115">
        <f t="shared" si="2"/>
        <v>12.32829435</v>
      </c>
      <c r="T53" s="100"/>
      <c r="U53" s="100"/>
      <c r="V53" s="100"/>
      <c r="W53" s="100"/>
      <c r="X53" s="100"/>
      <c r="Y53" s="100"/>
      <c r="Z53" s="100"/>
    </row>
    <row r="54" ht="15.75" customHeight="1">
      <c r="A54" s="20"/>
      <c r="B54" s="21"/>
      <c r="C54" s="22">
        <v>3.0</v>
      </c>
      <c r="D54" s="112" t="s">
        <v>91</v>
      </c>
      <c r="E54" s="120" t="s">
        <v>26</v>
      </c>
      <c r="F54" s="120">
        <v>10.0</v>
      </c>
      <c r="G54" s="120" t="s">
        <v>26</v>
      </c>
      <c r="H54" s="120">
        <v>5329.0</v>
      </c>
      <c r="I54" s="120" t="s">
        <v>26</v>
      </c>
      <c r="J54" s="120" t="s">
        <v>26</v>
      </c>
      <c r="K54" s="120">
        <v>15.0</v>
      </c>
      <c r="L54" s="120" t="s">
        <v>26</v>
      </c>
      <c r="M54" s="120" t="s">
        <v>26</v>
      </c>
      <c r="N54" s="120" t="s">
        <v>26</v>
      </c>
      <c r="O54" s="120">
        <v>13.0</v>
      </c>
      <c r="P54" s="120"/>
      <c r="Q54" s="120">
        <v>10.0</v>
      </c>
      <c r="R54" s="23">
        <v>350.0</v>
      </c>
      <c r="S54" s="115">
        <f t="shared" si="2"/>
        <v>10.32280115</v>
      </c>
      <c r="T54" s="100"/>
      <c r="U54" s="100"/>
      <c r="V54" s="100"/>
      <c r="W54" s="100"/>
      <c r="X54" s="100"/>
      <c r="Y54" s="100"/>
      <c r="Z54" s="100"/>
    </row>
    <row r="55" ht="15.75" customHeight="1">
      <c r="A55" s="20"/>
      <c r="B55" s="21"/>
      <c r="C55" s="22">
        <v>4.0</v>
      </c>
      <c r="D55" s="112" t="s">
        <v>92</v>
      </c>
      <c r="E55" s="120" t="s">
        <v>26</v>
      </c>
      <c r="F55" s="120">
        <v>11.0</v>
      </c>
      <c r="G55" s="120" t="s">
        <v>26</v>
      </c>
      <c r="H55" s="120">
        <v>1886.0</v>
      </c>
      <c r="I55" s="120" t="s">
        <v>26</v>
      </c>
      <c r="J55" s="120" t="s">
        <v>26</v>
      </c>
      <c r="K55" s="120">
        <v>12.0</v>
      </c>
      <c r="L55" s="120" t="s">
        <v>26</v>
      </c>
      <c r="M55" s="120" t="s">
        <v>26</v>
      </c>
      <c r="N55" s="120" t="s">
        <v>26</v>
      </c>
      <c r="O55" s="120">
        <v>15.0</v>
      </c>
      <c r="P55" s="120"/>
      <c r="Q55" s="120">
        <v>11.0</v>
      </c>
      <c r="R55" s="23">
        <v>350.0</v>
      </c>
      <c r="S55" s="115">
        <f t="shared" si="2"/>
        <v>10.48808848</v>
      </c>
      <c r="T55" s="100"/>
      <c r="U55" s="100"/>
      <c r="V55" s="100"/>
      <c r="W55" s="100"/>
      <c r="X55" s="100"/>
      <c r="Y55" s="100"/>
      <c r="Z55" s="100"/>
    </row>
    <row r="56" ht="15.75" customHeight="1">
      <c r="A56" s="20"/>
      <c r="B56" s="27"/>
      <c r="C56" s="22">
        <v>5.0</v>
      </c>
      <c r="D56" s="112" t="s">
        <v>93</v>
      </c>
      <c r="E56" s="120" t="s">
        <v>26</v>
      </c>
      <c r="F56" s="120">
        <v>10.0</v>
      </c>
      <c r="G56" s="120" t="s">
        <v>26</v>
      </c>
      <c r="H56" s="120">
        <v>896.0</v>
      </c>
      <c r="I56" s="120" t="s">
        <v>26</v>
      </c>
      <c r="J56" s="120" t="s">
        <v>26</v>
      </c>
      <c r="K56" s="120">
        <v>12.0</v>
      </c>
      <c r="L56" s="120" t="s">
        <v>26</v>
      </c>
      <c r="M56" s="120" t="s">
        <v>26</v>
      </c>
      <c r="N56" s="120" t="s">
        <v>26</v>
      </c>
      <c r="O56" s="120">
        <v>13.0</v>
      </c>
      <c r="P56" s="120"/>
      <c r="Q56" s="120">
        <v>10.0</v>
      </c>
      <c r="R56" s="23">
        <v>350.0</v>
      </c>
      <c r="S56" s="115">
        <f t="shared" si="2"/>
        <v>10</v>
      </c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17"/>
      <c r="H57" s="117"/>
      <c r="I57" s="117"/>
      <c r="J57" s="117"/>
      <c r="K57" s="100"/>
      <c r="L57" s="100"/>
      <c r="M57" s="100"/>
      <c r="N57" s="100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97" t="s">
        <v>76</v>
      </c>
      <c r="D58" s="100"/>
      <c r="E58" s="100"/>
      <c r="F58" s="100"/>
      <c r="G58" s="100"/>
      <c r="H58" s="100"/>
      <c r="I58" s="117"/>
      <c r="J58" s="117"/>
      <c r="K58" s="100"/>
      <c r="L58" s="100"/>
      <c r="M58" s="100"/>
      <c r="N58" s="100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D59" s="100"/>
      <c r="E59" s="100"/>
      <c r="F59" s="100"/>
      <c r="G59" s="100"/>
      <c r="H59" s="117"/>
      <c r="I59" s="117"/>
      <c r="J59" s="117"/>
      <c r="K59" s="100"/>
      <c r="L59" s="100"/>
      <c r="M59" s="100"/>
      <c r="N59" s="100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7" t="s">
        <v>87</v>
      </c>
      <c r="D60" s="100"/>
      <c r="E60" s="100"/>
      <c r="F60" s="100"/>
      <c r="G60" s="100"/>
      <c r="H60" s="117"/>
      <c r="I60" s="117"/>
      <c r="J60" s="117"/>
      <c r="K60" s="100"/>
      <c r="L60" s="100"/>
      <c r="M60" s="100"/>
      <c r="N60" s="100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D61" s="100"/>
      <c r="E61" s="100"/>
      <c r="F61" s="100"/>
      <c r="G61" s="100"/>
      <c r="H61" s="117"/>
      <c r="I61" s="117"/>
      <c r="J61" s="117"/>
      <c r="K61" s="100"/>
      <c r="L61" s="100"/>
      <c r="M61" s="100"/>
      <c r="N61" s="100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17"/>
      <c r="H62" s="117"/>
      <c r="I62" s="117"/>
      <c r="J62" s="117"/>
      <c r="K62" s="100"/>
      <c r="L62" s="100"/>
      <c r="M62" s="100"/>
      <c r="N62" s="100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17"/>
      <c r="H63" s="117"/>
      <c r="I63" s="117"/>
      <c r="J63" s="117"/>
      <c r="K63" s="100"/>
      <c r="L63" s="100"/>
      <c r="M63" s="100"/>
      <c r="N63" s="100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17"/>
      <c r="H64" s="117"/>
      <c r="I64" s="117"/>
      <c r="J64" s="117"/>
      <c r="K64" s="100"/>
      <c r="L64" s="100"/>
      <c r="M64" s="100"/>
      <c r="N64" s="100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17"/>
      <c r="H65" s="117"/>
      <c r="I65" s="117"/>
      <c r="J65" s="117"/>
      <c r="K65" s="100"/>
      <c r="L65" s="100"/>
      <c r="M65" s="100"/>
      <c r="N65" s="100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17"/>
      <c r="H66" s="117"/>
      <c r="I66" s="117"/>
      <c r="J66" s="117"/>
      <c r="K66" s="100"/>
      <c r="L66" s="100"/>
      <c r="M66" s="100"/>
      <c r="N66" s="100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17"/>
      <c r="H67" s="117"/>
      <c r="I67" s="117"/>
      <c r="J67" s="117"/>
      <c r="K67" s="100"/>
      <c r="L67" s="100"/>
      <c r="M67" s="100"/>
      <c r="N67" s="100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17"/>
      <c r="H68" s="117"/>
      <c r="I68" s="117"/>
      <c r="J68" s="117"/>
      <c r="K68" s="100"/>
      <c r="L68" s="100"/>
      <c r="M68" s="100"/>
      <c r="N68" s="100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17"/>
      <c r="H69" s="117"/>
      <c r="I69" s="117"/>
      <c r="J69" s="117"/>
      <c r="K69" s="100"/>
      <c r="L69" s="100"/>
      <c r="M69" s="100"/>
      <c r="N69" s="100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17"/>
      <c r="H70" s="117"/>
      <c r="I70" s="117"/>
      <c r="J70" s="117"/>
      <c r="K70" s="100"/>
      <c r="L70" s="100"/>
      <c r="M70" s="100"/>
      <c r="N70" s="100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17"/>
      <c r="H71" s="117"/>
      <c r="I71" s="117"/>
      <c r="J71" s="117"/>
      <c r="K71" s="100"/>
      <c r="L71" s="100"/>
      <c r="M71" s="100"/>
      <c r="N71" s="100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17"/>
      <c r="H72" s="117"/>
      <c r="I72" s="117"/>
      <c r="J72" s="117"/>
      <c r="K72" s="100"/>
      <c r="L72" s="100"/>
      <c r="M72" s="100"/>
      <c r="N72" s="100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17"/>
      <c r="H73" s="117"/>
      <c r="I73" s="117"/>
      <c r="J73" s="117"/>
      <c r="K73" s="100"/>
      <c r="L73" s="100"/>
      <c r="M73" s="100"/>
      <c r="N73" s="100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17"/>
      <c r="H74" s="117"/>
      <c r="I74" s="117"/>
      <c r="J74" s="117"/>
      <c r="K74" s="100"/>
      <c r="L74" s="100"/>
      <c r="M74" s="100"/>
      <c r="N74" s="100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17"/>
      <c r="H75" s="117"/>
      <c r="I75" s="117"/>
      <c r="J75" s="117"/>
      <c r="K75" s="100"/>
      <c r="L75" s="100"/>
      <c r="M75" s="100"/>
      <c r="N75" s="100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17"/>
      <c r="H76" s="117"/>
      <c r="I76" s="117"/>
      <c r="J76" s="117"/>
      <c r="K76" s="100"/>
      <c r="L76" s="100"/>
      <c r="M76" s="100"/>
      <c r="N76" s="100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17"/>
      <c r="H77" s="117"/>
      <c r="I77" s="117"/>
      <c r="J77" s="117"/>
      <c r="K77" s="100"/>
      <c r="L77" s="100"/>
      <c r="M77" s="100"/>
      <c r="N77" s="100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17"/>
      <c r="H78" s="117"/>
      <c r="I78" s="117"/>
      <c r="J78" s="117"/>
      <c r="K78" s="100"/>
      <c r="L78" s="100"/>
      <c r="M78" s="100"/>
      <c r="N78" s="100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17"/>
      <c r="H79" s="117"/>
      <c r="I79" s="117"/>
      <c r="J79" s="117"/>
      <c r="K79" s="100"/>
      <c r="L79" s="100"/>
      <c r="M79" s="100"/>
      <c r="N79" s="100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17"/>
      <c r="H80" s="117"/>
      <c r="I80" s="117"/>
      <c r="J80" s="117"/>
      <c r="K80" s="100"/>
      <c r="L80" s="100"/>
      <c r="M80" s="100"/>
      <c r="N80" s="100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17"/>
      <c r="H81" s="117"/>
      <c r="I81" s="117"/>
      <c r="J81" s="117"/>
      <c r="K81" s="100"/>
      <c r="L81" s="100"/>
      <c r="M81" s="100"/>
      <c r="N81" s="100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17"/>
      <c r="H82" s="117"/>
      <c r="I82" s="117"/>
      <c r="J82" s="117"/>
      <c r="K82" s="100"/>
      <c r="L82" s="100"/>
      <c r="M82" s="100"/>
      <c r="N82" s="100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17"/>
      <c r="H83" s="117"/>
      <c r="I83" s="117"/>
      <c r="J83" s="117"/>
      <c r="K83" s="100"/>
      <c r="L83" s="100"/>
      <c r="M83" s="100"/>
      <c r="N83" s="100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17"/>
      <c r="H84" s="117"/>
      <c r="I84" s="117"/>
      <c r="J84" s="117"/>
      <c r="K84" s="100"/>
      <c r="L84" s="100"/>
      <c r="M84" s="100"/>
      <c r="N84" s="100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17"/>
      <c r="H85" s="117"/>
      <c r="I85" s="117"/>
      <c r="J85" s="117"/>
      <c r="K85" s="100"/>
      <c r="L85" s="100"/>
      <c r="M85" s="100"/>
      <c r="N85" s="100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17"/>
      <c r="H86" s="117"/>
      <c r="I86" s="117"/>
      <c r="J86" s="117"/>
      <c r="K86" s="100"/>
      <c r="L86" s="100"/>
      <c r="M86" s="100"/>
      <c r="N86" s="100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17"/>
      <c r="H87" s="117"/>
      <c r="I87" s="117"/>
      <c r="J87" s="117"/>
      <c r="K87" s="100"/>
      <c r="L87" s="100"/>
      <c r="M87" s="100"/>
      <c r="N87" s="100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17"/>
      <c r="H88" s="117"/>
      <c r="I88" s="117"/>
      <c r="J88" s="117"/>
      <c r="K88" s="100"/>
      <c r="L88" s="100"/>
      <c r="M88" s="100"/>
      <c r="N88" s="100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17"/>
      <c r="H89" s="117"/>
      <c r="I89" s="117"/>
      <c r="J89" s="117"/>
      <c r="K89" s="100"/>
      <c r="L89" s="100"/>
      <c r="M89" s="100"/>
      <c r="N89" s="100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17"/>
      <c r="H90" s="117"/>
      <c r="I90" s="117"/>
      <c r="J90" s="117"/>
      <c r="K90" s="100"/>
      <c r="L90" s="100"/>
      <c r="M90" s="100"/>
      <c r="N90" s="100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17"/>
      <c r="H91" s="117"/>
      <c r="I91" s="117"/>
      <c r="J91" s="117"/>
      <c r="K91" s="100"/>
      <c r="L91" s="100"/>
      <c r="M91" s="100"/>
      <c r="N91" s="100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17"/>
      <c r="H92" s="117"/>
      <c r="I92" s="117"/>
      <c r="J92" s="117"/>
      <c r="K92" s="100"/>
      <c r="L92" s="100"/>
      <c r="M92" s="100"/>
      <c r="N92" s="100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17"/>
      <c r="H93" s="117"/>
      <c r="I93" s="117"/>
      <c r="J93" s="117"/>
      <c r="K93" s="100"/>
      <c r="L93" s="100"/>
      <c r="M93" s="100"/>
      <c r="N93" s="100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17"/>
      <c r="H94" s="117"/>
      <c r="I94" s="117"/>
      <c r="J94" s="117"/>
      <c r="K94" s="100"/>
      <c r="L94" s="100"/>
      <c r="M94" s="100"/>
      <c r="N94" s="100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17"/>
      <c r="H95" s="117"/>
      <c r="I95" s="117"/>
      <c r="J95" s="117"/>
      <c r="K95" s="100"/>
      <c r="L95" s="100"/>
      <c r="M95" s="100"/>
      <c r="N95" s="100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17"/>
      <c r="H96" s="117"/>
      <c r="I96" s="117"/>
      <c r="J96" s="117"/>
      <c r="K96" s="100"/>
      <c r="L96" s="100"/>
      <c r="M96" s="100"/>
      <c r="N96" s="100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17"/>
      <c r="H97" s="117"/>
      <c r="I97" s="117"/>
      <c r="J97" s="117"/>
      <c r="K97" s="100"/>
      <c r="L97" s="100"/>
      <c r="M97" s="100"/>
      <c r="N97" s="100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17"/>
      <c r="H98" s="117"/>
      <c r="I98" s="117"/>
      <c r="J98" s="117"/>
      <c r="K98" s="100"/>
      <c r="L98" s="100"/>
      <c r="M98" s="100"/>
      <c r="N98" s="100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17"/>
      <c r="H99" s="117"/>
      <c r="I99" s="117"/>
      <c r="J99" s="117"/>
      <c r="K99" s="100"/>
      <c r="L99" s="100"/>
      <c r="M99" s="100"/>
      <c r="N99" s="100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17"/>
      <c r="H100" s="117"/>
      <c r="I100" s="117"/>
      <c r="J100" s="117"/>
      <c r="K100" s="100"/>
      <c r="L100" s="100"/>
      <c r="M100" s="100"/>
      <c r="N100" s="100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17"/>
      <c r="H101" s="117"/>
      <c r="I101" s="117"/>
      <c r="J101" s="117"/>
      <c r="K101" s="100"/>
      <c r="L101" s="100"/>
      <c r="M101" s="100"/>
      <c r="N101" s="100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17"/>
      <c r="H102" s="117"/>
      <c r="I102" s="117"/>
      <c r="J102" s="117"/>
      <c r="K102" s="100"/>
      <c r="L102" s="100"/>
      <c r="M102" s="100"/>
      <c r="N102" s="100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17"/>
      <c r="H103" s="117"/>
      <c r="I103" s="117"/>
      <c r="J103" s="117"/>
      <c r="K103" s="100"/>
      <c r="L103" s="100"/>
      <c r="M103" s="100"/>
      <c r="N103" s="100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17"/>
      <c r="H104" s="117"/>
      <c r="I104" s="117"/>
      <c r="J104" s="117"/>
      <c r="K104" s="100"/>
      <c r="L104" s="100"/>
      <c r="M104" s="100"/>
      <c r="N104" s="100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17"/>
      <c r="H105" s="117"/>
      <c r="I105" s="117"/>
      <c r="J105" s="117"/>
      <c r="K105" s="100"/>
      <c r="L105" s="100"/>
      <c r="M105" s="100"/>
      <c r="N105" s="100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17"/>
      <c r="H106" s="117"/>
      <c r="I106" s="117"/>
      <c r="J106" s="117"/>
      <c r="K106" s="100"/>
      <c r="L106" s="100"/>
      <c r="M106" s="100"/>
      <c r="N106" s="100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17"/>
      <c r="H107" s="117"/>
      <c r="I107" s="117"/>
      <c r="J107" s="117"/>
      <c r="K107" s="100"/>
      <c r="L107" s="100"/>
      <c r="M107" s="100"/>
      <c r="N107" s="100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17"/>
      <c r="H108" s="117"/>
      <c r="I108" s="117"/>
      <c r="J108" s="117"/>
      <c r="K108" s="100"/>
      <c r="L108" s="100"/>
      <c r="M108" s="100"/>
      <c r="N108" s="100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17"/>
      <c r="H109" s="117"/>
      <c r="I109" s="117"/>
      <c r="J109" s="117"/>
      <c r="K109" s="100"/>
      <c r="L109" s="100"/>
      <c r="M109" s="100"/>
      <c r="N109" s="100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17"/>
      <c r="H110" s="117"/>
      <c r="I110" s="117"/>
      <c r="J110" s="117"/>
      <c r="K110" s="100"/>
      <c r="L110" s="100"/>
      <c r="M110" s="100"/>
      <c r="N110" s="100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17"/>
      <c r="H111" s="117"/>
      <c r="I111" s="117"/>
      <c r="J111" s="117"/>
      <c r="K111" s="100"/>
      <c r="L111" s="100"/>
      <c r="M111" s="100"/>
      <c r="N111" s="100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17"/>
      <c r="H112" s="117"/>
      <c r="I112" s="117"/>
      <c r="J112" s="117"/>
      <c r="K112" s="100"/>
      <c r="L112" s="100"/>
      <c r="M112" s="100"/>
      <c r="N112" s="100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17"/>
      <c r="H113" s="117"/>
      <c r="I113" s="117"/>
      <c r="J113" s="117"/>
      <c r="K113" s="100"/>
      <c r="L113" s="100"/>
      <c r="M113" s="100"/>
      <c r="N113" s="100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17"/>
      <c r="H114" s="117"/>
      <c r="I114" s="117"/>
      <c r="J114" s="117"/>
      <c r="K114" s="100"/>
      <c r="L114" s="100"/>
      <c r="M114" s="100"/>
      <c r="N114" s="100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17"/>
      <c r="H115" s="117"/>
      <c r="I115" s="117"/>
      <c r="J115" s="117"/>
      <c r="K115" s="100"/>
      <c r="L115" s="100"/>
      <c r="M115" s="100"/>
      <c r="N115" s="100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17"/>
      <c r="H116" s="117"/>
      <c r="I116" s="117"/>
      <c r="J116" s="117"/>
      <c r="K116" s="100"/>
      <c r="L116" s="100"/>
      <c r="M116" s="100"/>
      <c r="N116" s="100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17"/>
      <c r="H117" s="117"/>
      <c r="I117" s="117"/>
      <c r="J117" s="117"/>
      <c r="K117" s="100"/>
      <c r="L117" s="100"/>
      <c r="M117" s="100"/>
      <c r="N117" s="100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17"/>
      <c r="H118" s="117"/>
      <c r="I118" s="117"/>
      <c r="J118" s="117"/>
      <c r="K118" s="100"/>
      <c r="L118" s="100"/>
      <c r="M118" s="100"/>
      <c r="N118" s="100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17"/>
      <c r="H119" s="117"/>
      <c r="I119" s="117"/>
      <c r="J119" s="117"/>
      <c r="K119" s="100"/>
      <c r="L119" s="100"/>
      <c r="M119" s="100"/>
      <c r="N119" s="100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17"/>
      <c r="H120" s="117"/>
      <c r="I120" s="117"/>
      <c r="J120" s="117"/>
      <c r="K120" s="100"/>
      <c r="L120" s="100"/>
      <c r="M120" s="100"/>
      <c r="N120" s="100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17"/>
      <c r="H121" s="117"/>
      <c r="I121" s="117"/>
      <c r="J121" s="117"/>
      <c r="K121" s="100"/>
      <c r="L121" s="100"/>
      <c r="M121" s="100"/>
      <c r="N121" s="100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17"/>
      <c r="H122" s="117"/>
      <c r="I122" s="117"/>
      <c r="J122" s="117"/>
      <c r="K122" s="100"/>
      <c r="L122" s="100"/>
      <c r="M122" s="100"/>
      <c r="N122" s="100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17"/>
      <c r="H123" s="117"/>
      <c r="I123" s="117"/>
      <c r="J123" s="117"/>
      <c r="K123" s="100"/>
      <c r="L123" s="100"/>
      <c r="M123" s="100"/>
      <c r="N123" s="100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17"/>
      <c r="H124" s="117"/>
      <c r="I124" s="117"/>
      <c r="J124" s="117"/>
      <c r="K124" s="100"/>
      <c r="L124" s="100"/>
      <c r="M124" s="100"/>
      <c r="N124" s="100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17"/>
      <c r="H125" s="117"/>
      <c r="I125" s="117"/>
      <c r="J125" s="117"/>
      <c r="K125" s="100"/>
      <c r="L125" s="100"/>
      <c r="M125" s="100"/>
      <c r="N125" s="100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17"/>
      <c r="H126" s="117"/>
      <c r="I126" s="117"/>
      <c r="J126" s="117"/>
      <c r="K126" s="100"/>
      <c r="L126" s="100"/>
      <c r="M126" s="100"/>
      <c r="N126" s="100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17"/>
      <c r="H127" s="117"/>
      <c r="I127" s="117"/>
      <c r="J127" s="117"/>
      <c r="K127" s="100"/>
      <c r="L127" s="100"/>
      <c r="M127" s="100"/>
      <c r="N127" s="100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17"/>
      <c r="H128" s="117"/>
      <c r="I128" s="117"/>
      <c r="J128" s="117"/>
      <c r="K128" s="100"/>
      <c r="L128" s="100"/>
      <c r="M128" s="100"/>
      <c r="N128" s="100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17"/>
      <c r="H129" s="117"/>
      <c r="I129" s="117"/>
      <c r="J129" s="117"/>
      <c r="K129" s="100"/>
      <c r="L129" s="100"/>
      <c r="M129" s="100"/>
      <c r="N129" s="100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17"/>
      <c r="H130" s="117"/>
      <c r="I130" s="117"/>
      <c r="J130" s="117"/>
      <c r="K130" s="100"/>
      <c r="L130" s="100"/>
      <c r="M130" s="100"/>
      <c r="N130" s="100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17"/>
      <c r="H131" s="117"/>
      <c r="I131" s="117"/>
      <c r="J131" s="117"/>
      <c r="K131" s="100"/>
      <c r="L131" s="100"/>
      <c r="M131" s="100"/>
      <c r="N131" s="100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17"/>
      <c r="H132" s="117"/>
      <c r="I132" s="117"/>
      <c r="J132" s="117"/>
      <c r="K132" s="100"/>
      <c r="L132" s="100"/>
      <c r="M132" s="100"/>
      <c r="N132" s="100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17"/>
      <c r="H133" s="117"/>
      <c r="I133" s="117"/>
      <c r="J133" s="117"/>
      <c r="K133" s="100"/>
      <c r="L133" s="100"/>
      <c r="M133" s="100"/>
      <c r="N133" s="100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17"/>
      <c r="H134" s="117"/>
      <c r="I134" s="117"/>
      <c r="J134" s="117"/>
      <c r="K134" s="100"/>
      <c r="L134" s="100"/>
      <c r="M134" s="100"/>
      <c r="N134" s="100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17"/>
      <c r="H135" s="117"/>
      <c r="I135" s="117"/>
      <c r="J135" s="117"/>
      <c r="K135" s="100"/>
      <c r="L135" s="100"/>
      <c r="M135" s="100"/>
      <c r="N135" s="100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17"/>
      <c r="H136" s="117"/>
      <c r="I136" s="117"/>
      <c r="J136" s="117"/>
      <c r="K136" s="100"/>
      <c r="L136" s="100"/>
      <c r="M136" s="100"/>
      <c r="N136" s="100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17"/>
      <c r="H137" s="117"/>
      <c r="I137" s="117"/>
      <c r="J137" s="117"/>
      <c r="K137" s="100"/>
      <c r="L137" s="100"/>
      <c r="M137" s="100"/>
      <c r="N137" s="100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17"/>
      <c r="H138" s="117"/>
      <c r="I138" s="117"/>
      <c r="J138" s="117"/>
      <c r="K138" s="100"/>
      <c r="L138" s="100"/>
      <c r="M138" s="100"/>
      <c r="N138" s="100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17"/>
      <c r="H139" s="117"/>
      <c r="I139" s="117"/>
      <c r="J139" s="117"/>
      <c r="K139" s="100"/>
      <c r="L139" s="100"/>
      <c r="M139" s="100"/>
      <c r="N139" s="100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17"/>
      <c r="H140" s="117"/>
      <c r="I140" s="117"/>
      <c r="J140" s="117"/>
      <c r="K140" s="100"/>
      <c r="L140" s="100"/>
      <c r="M140" s="100"/>
      <c r="N140" s="100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17"/>
      <c r="H141" s="117"/>
      <c r="I141" s="117"/>
      <c r="J141" s="117"/>
      <c r="K141" s="100"/>
      <c r="L141" s="100"/>
      <c r="M141" s="100"/>
      <c r="N141" s="100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17"/>
      <c r="H142" s="117"/>
      <c r="I142" s="117"/>
      <c r="J142" s="117"/>
      <c r="K142" s="100"/>
      <c r="L142" s="100"/>
      <c r="M142" s="100"/>
      <c r="N142" s="100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17"/>
      <c r="H143" s="117"/>
      <c r="I143" s="117"/>
      <c r="J143" s="117"/>
      <c r="K143" s="100"/>
      <c r="L143" s="100"/>
      <c r="M143" s="100"/>
      <c r="N143" s="100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17"/>
      <c r="H144" s="117"/>
      <c r="I144" s="117"/>
      <c r="J144" s="117"/>
      <c r="K144" s="100"/>
      <c r="L144" s="100"/>
      <c r="M144" s="100"/>
      <c r="N144" s="100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17"/>
      <c r="H145" s="117"/>
      <c r="I145" s="117"/>
      <c r="J145" s="117"/>
      <c r="K145" s="100"/>
      <c r="L145" s="100"/>
      <c r="M145" s="100"/>
      <c r="N145" s="100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17"/>
      <c r="H146" s="117"/>
      <c r="I146" s="117"/>
      <c r="J146" s="117"/>
      <c r="K146" s="100"/>
      <c r="L146" s="100"/>
      <c r="M146" s="100"/>
      <c r="N146" s="100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17"/>
      <c r="H147" s="117"/>
      <c r="I147" s="117"/>
      <c r="J147" s="117"/>
      <c r="K147" s="100"/>
      <c r="L147" s="100"/>
      <c r="M147" s="100"/>
      <c r="N147" s="100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17"/>
      <c r="H148" s="117"/>
      <c r="I148" s="117"/>
      <c r="J148" s="117"/>
      <c r="K148" s="100"/>
      <c r="L148" s="100"/>
      <c r="M148" s="100"/>
      <c r="N148" s="100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17"/>
      <c r="H149" s="117"/>
      <c r="I149" s="117"/>
      <c r="J149" s="117"/>
      <c r="K149" s="100"/>
      <c r="L149" s="100"/>
      <c r="M149" s="100"/>
      <c r="N149" s="100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17"/>
      <c r="H150" s="117"/>
      <c r="I150" s="117"/>
      <c r="J150" s="117"/>
      <c r="K150" s="100"/>
      <c r="L150" s="100"/>
      <c r="M150" s="100"/>
      <c r="N150" s="100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17"/>
      <c r="H151" s="117"/>
      <c r="I151" s="117"/>
      <c r="J151" s="117"/>
      <c r="K151" s="100"/>
      <c r="L151" s="100"/>
      <c r="M151" s="100"/>
      <c r="N151" s="100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17"/>
      <c r="H152" s="117"/>
      <c r="I152" s="117"/>
      <c r="J152" s="117"/>
      <c r="K152" s="100"/>
      <c r="L152" s="100"/>
      <c r="M152" s="100"/>
      <c r="N152" s="100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17"/>
      <c r="H153" s="117"/>
      <c r="I153" s="117"/>
      <c r="J153" s="117"/>
      <c r="K153" s="100"/>
      <c r="L153" s="100"/>
      <c r="M153" s="100"/>
      <c r="N153" s="100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17"/>
      <c r="H154" s="117"/>
      <c r="I154" s="117"/>
      <c r="J154" s="117"/>
      <c r="K154" s="100"/>
      <c r="L154" s="100"/>
      <c r="M154" s="100"/>
      <c r="N154" s="100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17"/>
      <c r="H155" s="117"/>
      <c r="I155" s="117"/>
      <c r="J155" s="117"/>
      <c r="K155" s="100"/>
      <c r="L155" s="100"/>
      <c r="M155" s="100"/>
      <c r="N155" s="100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17"/>
      <c r="H156" s="117"/>
      <c r="I156" s="117"/>
      <c r="J156" s="117"/>
      <c r="K156" s="100"/>
      <c r="L156" s="100"/>
      <c r="M156" s="100"/>
      <c r="N156" s="100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17"/>
      <c r="H157" s="117"/>
      <c r="I157" s="117"/>
      <c r="J157" s="117"/>
      <c r="K157" s="100"/>
      <c r="L157" s="100"/>
      <c r="M157" s="100"/>
      <c r="N157" s="100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17"/>
      <c r="H158" s="117"/>
      <c r="I158" s="117"/>
      <c r="J158" s="117"/>
      <c r="K158" s="100"/>
      <c r="L158" s="100"/>
      <c r="M158" s="100"/>
      <c r="N158" s="100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17"/>
      <c r="H159" s="117"/>
      <c r="I159" s="117"/>
      <c r="J159" s="117"/>
      <c r="K159" s="100"/>
      <c r="L159" s="100"/>
      <c r="M159" s="100"/>
      <c r="N159" s="100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17"/>
      <c r="H160" s="117"/>
      <c r="I160" s="117"/>
      <c r="J160" s="117"/>
      <c r="K160" s="100"/>
      <c r="L160" s="100"/>
      <c r="M160" s="100"/>
      <c r="N160" s="100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17"/>
      <c r="H161" s="117"/>
      <c r="I161" s="117"/>
      <c r="J161" s="117"/>
      <c r="K161" s="100"/>
      <c r="L161" s="100"/>
      <c r="M161" s="100"/>
      <c r="N161" s="100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17"/>
      <c r="H162" s="117"/>
      <c r="I162" s="117"/>
      <c r="J162" s="117"/>
      <c r="K162" s="100"/>
      <c r="L162" s="100"/>
      <c r="M162" s="100"/>
      <c r="N162" s="100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17"/>
      <c r="H163" s="117"/>
      <c r="I163" s="117"/>
      <c r="J163" s="117"/>
      <c r="K163" s="100"/>
      <c r="L163" s="100"/>
      <c r="M163" s="100"/>
      <c r="N163" s="100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17"/>
      <c r="H164" s="117"/>
      <c r="I164" s="117"/>
      <c r="J164" s="117"/>
      <c r="K164" s="100"/>
      <c r="L164" s="100"/>
      <c r="M164" s="100"/>
      <c r="N164" s="100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17"/>
      <c r="H165" s="117"/>
      <c r="I165" s="117"/>
      <c r="J165" s="117"/>
      <c r="K165" s="100"/>
      <c r="L165" s="100"/>
      <c r="M165" s="100"/>
      <c r="N165" s="100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17"/>
      <c r="H166" s="117"/>
      <c r="I166" s="117"/>
      <c r="J166" s="117"/>
      <c r="K166" s="100"/>
      <c r="L166" s="100"/>
      <c r="M166" s="100"/>
      <c r="N166" s="100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17"/>
      <c r="H167" s="117"/>
      <c r="I167" s="117"/>
      <c r="J167" s="117"/>
      <c r="K167" s="100"/>
      <c r="L167" s="100"/>
      <c r="M167" s="100"/>
      <c r="N167" s="100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17"/>
      <c r="H168" s="117"/>
      <c r="I168" s="117"/>
      <c r="J168" s="117"/>
      <c r="K168" s="100"/>
      <c r="L168" s="100"/>
      <c r="M168" s="100"/>
      <c r="N168" s="100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17"/>
      <c r="H169" s="117"/>
      <c r="I169" s="117"/>
      <c r="J169" s="117"/>
      <c r="K169" s="100"/>
      <c r="L169" s="100"/>
      <c r="M169" s="100"/>
      <c r="N169" s="100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17"/>
      <c r="H170" s="117"/>
      <c r="I170" s="117"/>
      <c r="J170" s="117"/>
      <c r="K170" s="100"/>
      <c r="L170" s="100"/>
      <c r="M170" s="100"/>
      <c r="N170" s="100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17"/>
      <c r="H171" s="117"/>
      <c r="I171" s="117"/>
      <c r="J171" s="117"/>
      <c r="K171" s="100"/>
      <c r="L171" s="100"/>
      <c r="M171" s="100"/>
      <c r="N171" s="100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17"/>
      <c r="H172" s="117"/>
      <c r="I172" s="117"/>
      <c r="J172" s="117"/>
      <c r="K172" s="100"/>
      <c r="L172" s="100"/>
      <c r="M172" s="100"/>
      <c r="N172" s="100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17"/>
      <c r="H173" s="117"/>
      <c r="I173" s="117"/>
      <c r="J173" s="117"/>
      <c r="K173" s="100"/>
      <c r="L173" s="100"/>
      <c r="M173" s="100"/>
      <c r="N173" s="100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17"/>
      <c r="H174" s="117"/>
      <c r="I174" s="117"/>
      <c r="J174" s="117"/>
      <c r="K174" s="100"/>
      <c r="L174" s="100"/>
      <c r="M174" s="100"/>
      <c r="N174" s="100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17"/>
      <c r="H175" s="117"/>
      <c r="I175" s="117"/>
      <c r="J175" s="117"/>
      <c r="K175" s="100"/>
      <c r="L175" s="100"/>
      <c r="M175" s="100"/>
      <c r="N175" s="100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17"/>
      <c r="H176" s="117"/>
      <c r="I176" s="117"/>
      <c r="J176" s="117"/>
      <c r="K176" s="100"/>
      <c r="L176" s="100"/>
      <c r="M176" s="100"/>
      <c r="N176" s="100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17"/>
      <c r="H177" s="117"/>
      <c r="I177" s="117"/>
      <c r="J177" s="117"/>
      <c r="K177" s="100"/>
      <c r="L177" s="100"/>
      <c r="M177" s="100"/>
      <c r="N177" s="100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17"/>
      <c r="H178" s="117"/>
      <c r="I178" s="117"/>
      <c r="J178" s="117"/>
      <c r="K178" s="100"/>
      <c r="L178" s="100"/>
      <c r="M178" s="100"/>
      <c r="N178" s="100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17"/>
      <c r="H179" s="117"/>
      <c r="I179" s="117"/>
      <c r="J179" s="117"/>
      <c r="K179" s="100"/>
      <c r="L179" s="100"/>
      <c r="M179" s="100"/>
      <c r="N179" s="100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17"/>
      <c r="H180" s="117"/>
      <c r="I180" s="117"/>
      <c r="J180" s="117"/>
      <c r="K180" s="100"/>
      <c r="L180" s="100"/>
      <c r="M180" s="100"/>
      <c r="N180" s="100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17"/>
      <c r="H181" s="117"/>
      <c r="I181" s="117"/>
      <c r="J181" s="117"/>
      <c r="K181" s="100"/>
      <c r="L181" s="100"/>
      <c r="M181" s="100"/>
      <c r="N181" s="100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17"/>
      <c r="H182" s="117"/>
      <c r="I182" s="117"/>
      <c r="J182" s="117"/>
      <c r="K182" s="100"/>
      <c r="L182" s="100"/>
      <c r="M182" s="100"/>
      <c r="N182" s="100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17"/>
      <c r="H183" s="117"/>
      <c r="I183" s="117"/>
      <c r="J183" s="117"/>
      <c r="K183" s="100"/>
      <c r="L183" s="100"/>
      <c r="M183" s="100"/>
      <c r="N183" s="100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17"/>
      <c r="H184" s="117"/>
      <c r="I184" s="117"/>
      <c r="J184" s="117"/>
      <c r="K184" s="100"/>
      <c r="L184" s="100"/>
      <c r="M184" s="100"/>
      <c r="N184" s="100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17"/>
      <c r="H185" s="117"/>
      <c r="I185" s="117"/>
      <c r="J185" s="117"/>
      <c r="K185" s="100"/>
      <c r="L185" s="100"/>
      <c r="M185" s="100"/>
      <c r="N185" s="100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17"/>
      <c r="H186" s="117"/>
      <c r="I186" s="117"/>
      <c r="J186" s="117"/>
      <c r="K186" s="100"/>
      <c r="L186" s="100"/>
      <c r="M186" s="100"/>
      <c r="N186" s="100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17"/>
      <c r="H187" s="117"/>
      <c r="I187" s="117"/>
      <c r="J187" s="117"/>
      <c r="K187" s="100"/>
      <c r="L187" s="100"/>
      <c r="M187" s="100"/>
      <c r="N187" s="100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17"/>
      <c r="H188" s="117"/>
      <c r="I188" s="117"/>
      <c r="J188" s="117"/>
      <c r="K188" s="100"/>
      <c r="L188" s="100"/>
      <c r="M188" s="100"/>
      <c r="N188" s="100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17"/>
      <c r="H189" s="117"/>
      <c r="I189" s="117"/>
      <c r="J189" s="117"/>
      <c r="K189" s="100"/>
      <c r="L189" s="100"/>
      <c r="M189" s="100"/>
      <c r="N189" s="100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17"/>
      <c r="H190" s="117"/>
      <c r="I190" s="117"/>
      <c r="J190" s="117"/>
      <c r="K190" s="100"/>
      <c r="L190" s="100"/>
      <c r="M190" s="100"/>
      <c r="N190" s="100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17"/>
      <c r="H191" s="117"/>
      <c r="I191" s="117"/>
      <c r="J191" s="117"/>
      <c r="K191" s="100"/>
      <c r="L191" s="100"/>
      <c r="M191" s="100"/>
      <c r="N191" s="100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17"/>
      <c r="H192" s="117"/>
      <c r="I192" s="117"/>
      <c r="J192" s="117"/>
      <c r="K192" s="100"/>
      <c r="L192" s="100"/>
      <c r="M192" s="100"/>
      <c r="N192" s="100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17"/>
      <c r="H193" s="117"/>
      <c r="I193" s="117"/>
      <c r="J193" s="117"/>
      <c r="K193" s="100"/>
      <c r="L193" s="100"/>
      <c r="M193" s="100"/>
      <c r="N193" s="100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17"/>
      <c r="H194" s="117"/>
      <c r="I194" s="117"/>
      <c r="J194" s="117"/>
      <c r="K194" s="100"/>
      <c r="L194" s="100"/>
      <c r="M194" s="100"/>
      <c r="N194" s="100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17"/>
      <c r="H195" s="117"/>
      <c r="I195" s="117"/>
      <c r="J195" s="117"/>
      <c r="K195" s="100"/>
      <c r="L195" s="100"/>
      <c r="M195" s="100"/>
      <c r="N195" s="100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17"/>
      <c r="H196" s="117"/>
      <c r="I196" s="117"/>
      <c r="J196" s="117"/>
      <c r="K196" s="100"/>
      <c r="L196" s="100"/>
      <c r="M196" s="100"/>
      <c r="N196" s="100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17"/>
      <c r="H197" s="117"/>
      <c r="I197" s="117"/>
      <c r="J197" s="117"/>
      <c r="K197" s="100"/>
      <c r="L197" s="100"/>
      <c r="M197" s="100"/>
      <c r="N197" s="100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17"/>
      <c r="H198" s="117"/>
      <c r="I198" s="117"/>
      <c r="J198" s="117"/>
      <c r="K198" s="100"/>
      <c r="L198" s="100"/>
      <c r="M198" s="100"/>
      <c r="N198" s="100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17"/>
      <c r="H199" s="117"/>
      <c r="I199" s="117"/>
      <c r="J199" s="117"/>
      <c r="K199" s="100"/>
      <c r="L199" s="100"/>
      <c r="M199" s="100"/>
      <c r="N199" s="100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17"/>
      <c r="H200" s="117"/>
      <c r="I200" s="117"/>
      <c r="J200" s="117"/>
      <c r="K200" s="100"/>
      <c r="L200" s="100"/>
      <c r="M200" s="100"/>
      <c r="N200" s="100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17"/>
      <c r="H201" s="117"/>
      <c r="I201" s="117"/>
      <c r="J201" s="117"/>
      <c r="K201" s="100"/>
      <c r="L201" s="100"/>
      <c r="M201" s="100"/>
      <c r="N201" s="100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17"/>
      <c r="H202" s="117"/>
      <c r="I202" s="117"/>
      <c r="J202" s="117"/>
      <c r="K202" s="100"/>
      <c r="L202" s="100"/>
      <c r="M202" s="100"/>
      <c r="N202" s="100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17"/>
      <c r="H203" s="117"/>
      <c r="I203" s="117"/>
      <c r="J203" s="117"/>
      <c r="K203" s="100"/>
      <c r="L203" s="100"/>
      <c r="M203" s="100"/>
      <c r="N203" s="100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17"/>
      <c r="H204" s="117"/>
      <c r="I204" s="117"/>
      <c r="J204" s="117"/>
      <c r="K204" s="100"/>
      <c r="L204" s="100"/>
      <c r="M204" s="100"/>
      <c r="N204" s="100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17"/>
      <c r="H205" s="117"/>
      <c r="I205" s="117"/>
      <c r="J205" s="117"/>
      <c r="K205" s="100"/>
      <c r="L205" s="100"/>
      <c r="M205" s="100"/>
      <c r="N205" s="100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17"/>
      <c r="H206" s="117"/>
      <c r="I206" s="117"/>
      <c r="J206" s="117"/>
      <c r="K206" s="100"/>
      <c r="L206" s="100"/>
      <c r="M206" s="100"/>
      <c r="N206" s="100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17"/>
      <c r="H207" s="117"/>
      <c r="I207" s="117"/>
      <c r="J207" s="117"/>
      <c r="K207" s="100"/>
      <c r="L207" s="100"/>
      <c r="M207" s="100"/>
      <c r="N207" s="100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17"/>
      <c r="H208" s="117"/>
      <c r="I208" s="117"/>
      <c r="J208" s="117"/>
      <c r="K208" s="100"/>
      <c r="L208" s="100"/>
      <c r="M208" s="100"/>
      <c r="N208" s="100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17"/>
      <c r="H209" s="117"/>
      <c r="I209" s="117"/>
      <c r="J209" s="117"/>
      <c r="K209" s="100"/>
      <c r="L209" s="100"/>
      <c r="M209" s="100"/>
      <c r="N209" s="100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17"/>
      <c r="H210" s="117"/>
      <c r="I210" s="117"/>
      <c r="J210" s="117"/>
      <c r="K210" s="100"/>
      <c r="L210" s="100"/>
      <c r="M210" s="100"/>
      <c r="N210" s="100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17"/>
      <c r="H211" s="117"/>
      <c r="I211" s="117"/>
      <c r="J211" s="117"/>
      <c r="K211" s="100"/>
      <c r="L211" s="100"/>
      <c r="M211" s="100"/>
      <c r="N211" s="100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17"/>
      <c r="H212" s="117"/>
      <c r="I212" s="117"/>
      <c r="J212" s="117"/>
      <c r="K212" s="100"/>
      <c r="L212" s="100"/>
      <c r="M212" s="100"/>
      <c r="N212" s="100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17"/>
      <c r="H213" s="117"/>
      <c r="I213" s="117"/>
      <c r="J213" s="117"/>
      <c r="K213" s="100"/>
      <c r="L213" s="100"/>
      <c r="M213" s="100"/>
      <c r="N213" s="100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17"/>
      <c r="H214" s="117"/>
      <c r="I214" s="117"/>
      <c r="J214" s="117"/>
      <c r="K214" s="100"/>
      <c r="L214" s="100"/>
      <c r="M214" s="100"/>
      <c r="N214" s="100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17"/>
      <c r="H215" s="117"/>
      <c r="I215" s="117"/>
      <c r="J215" s="117"/>
      <c r="K215" s="100"/>
      <c r="L215" s="100"/>
      <c r="M215" s="100"/>
      <c r="N215" s="100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17"/>
      <c r="H216" s="117"/>
      <c r="I216" s="117"/>
      <c r="J216" s="117"/>
      <c r="K216" s="100"/>
      <c r="L216" s="100"/>
      <c r="M216" s="100"/>
      <c r="N216" s="100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17"/>
      <c r="H217" s="117"/>
      <c r="I217" s="117"/>
      <c r="J217" s="117"/>
      <c r="K217" s="100"/>
      <c r="L217" s="100"/>
      <c r="M217" s="100"/>
      <c r="N217" s="100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17"/>
      <c r="H218" s="117"/>
      <c r="I218" s="117"/>
      <c r="J218" s="117"/>
      <c r="K218" s="100"/>
      <c r="L218" s="100"/>
      <c r="M218" s="100"/>
      <c r="N218" s="100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17"/>
      <c r="H219" s="117"/>
      <c r="I219" s="117"/>
      <c r="J219" s="117"/>
      <c r="K219" s="100"/>
      <c r="L219" s="100"/>
      <c r="M219" s="100"/>
      <c r="N219" s="100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17"/>
      <c r="H220" s="117"/>
      <c r="I220" s="117"/>
      <c r="J220" s="117"/>
      <c r="K220" s="100"/>
      <c r="L220" s="100"/>
      <c r="M220" s="100"/>
      <c r="N220" s="100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17"/>
      <c r="H221" s="117"/>
      <c r="I221" s="117"/>
      <c r="J221" s="117"/>
      <c r="K221" s="100"/>
      <c r="L221" s="100"/>
      <c r="M221" s="100"/>
      <c r="N221" s="100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17"/>
      <c r="H222" s="117"/>
      <c r="I222" s="117"/>
      <c r="J222" s="117"/>
      <c r="K222" s="100"/>
      <c r="L222" s="100"/>
      <c r="M222" s="100"/>
      <c r="N222" s="100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17"/>
      <c r="H223" s="117"/>
      <c r="I223" s="117"/>
      <c r="J223" s="117"/>
      <c r="K223" s="100"/>
      <c r="L223" s="100"/>
      <c r="M223" s="100"/>
      <c r="N223" s="100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17"/>
      <c r="H224" s="117"/>
      <c r="I224" s="117"/>
      <c r="J224" s="117"/>
      <c r="K224" s="100"/>
      <c r="L224" s="100"/>
      <c r="M224" s="100"/>
      <c r="N224" s="100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17"/>
      <c r="H225" s="117"/>
      <c r="I225" s="117"/>
      <c r="J225" s="117"/>
      <c r="K225" s="100"/>
      <c r="L225" s="100"/>
      <c r="M225" s="100"/>
      <c r="N225" s="100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17"/>
      <c r="H226" s="117"/>
      <c r="I226" s="117"/>
      <c r="J226" s="117"/>
      <c r="K226" s="100"/>
      <c r="L226" s="100"/>
      <c r="M226" s="100"/>
      <c r="N226" s="100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17"/>
      <c r="H227" s="117"/>
      <c r="I227" s="117"/>
      <c r="J227" s="117"/>
      <c r="K227" s="100"/>
      <c r="L227" s="100"/>
      <c r="M227" s="100"/>
      <c r="N227" s="100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17"/>
      <c r="H228" s="117"/>
      <c r="I228" s="117"/>
      <c r="J228" s="117"/>
      <c r="K228" s="100"/>
      <c r="L228" s="100"/>
      <c r="M228" s="100"/>
      <c r="N228" s="100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17"/>
      <c r="H229" s="117"/>
      <c r="I229" s="117"/>
      <c r="J229" s="117"/>
      <c r="K229" s="100"/>
      <c r="L229" s="100"/>
      <c r="M229" s="100"/>
      <c r="N229" s="100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17"/>
      <c r="H230" s="117"/>
      <c r="I230" s="117"/>
      <c r="J230" s="117"/>
      <c r="K230" s="100"/>
      <c r="L230" s="100"/>
      <c r="M230" s="100"/>
      <c r="N230" s="100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17"/>
      <c r="H231" s="117"/>
      <c r="I231" s="117"/>
      <c r="J231" s="117"/>
      <c r="K231" s="100"/>
      <c r="L231" s="100"/>
      <c r="M231" s="100"/>
      <c r="N231" s="100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17"/>
      <c r="H232" s="117"/>
      <c r="I232" s="117"/>
      <c r="J232" s="117"/>
      <c r="K232" s="100"/>
      <c r="L232" s="100"/>
      <c r="M232" s="100"/>
      <c r="N232" s="100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17"/>
      <c r="H233" s="117"/>
      <c r="I233" s="117"/>
      <c r="J233" s="117"/>
      <c r="K233" s="100"/>
      <c r="L233" s="100"/>
      <c r="M233" s="100"/>
      <c r="N233" s="100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17"/>
      <c r="H234" s="117"/>
      <c r="I234" s="117"/>
      <c r="J234" s="117"/>
      <c r="K234" s="100"/>
      <c r="L234" s="100"/>
      <c r="M234" s="100"/>
      <c r="N234" s="100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17"/>
      <c r="H235" s="117"/>
      <c r="I235" s="117"/>
      <c r="J235" s="117"/>
      <c r="K235" s="100"/>
      <c r="L235" s="100"/>
      <c r="M235" s="100"/>
      <c r="N235" s="100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17"/>
      <c r="H236" s="117"/>
      <c r="I236" s="117"/>
      <c r="J236" s="117"/>
      <c r="K236" s="100"/>
      <c r="L236" s="100"/>
      <c r="M236" s="100"/>
      <c r="N236" s="100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17"/>
      <c r="H237" s="117"/>
      <c r="I237" s="117"/>
      <c r="J237" s="117"/>
      <c r="K237" s="100"/>
      <c r="L237" s="100"/>
      <c r="M237" s="100"/>
      <c r="N237" s="100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17"/>
      <c r="H238" s="117"/>
      <c r="I238" s="117"/>
      <c r="J238" s="117"/>
      <c r="K238" s="100"/>
      <c r="L238" s="100"/>
      <c r="M238" s="100"/>
      <c r="N238" s="100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17"/>
      <c r="H239" s="117"/>
      <c r="I239" s="117"/>
      <c r="J239" s="117"/>
      <c r="K239" s="100"/>
      <c r="L239" s="100"/>
      <c r="M239" s="100"/>
      <c r="N239" s="100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17"/>
      <c r="H240" s="117"/>
      <c r="I240" s="117"/>
      <c r="J240" s="117"/>
      <c r="K240" s="100"/>
      <c r="L240" s="100"/>
      <c r="M240" s="100"/>
      <c r="N240" s="100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17"/>
      <c r="H241" s="117"/>
      <c r="I241" s="117"/>
      <c r="J241" s="117"/>
      <c r="K241" s="100"/>
      <c r="L241" s="100"/>
      <c r="M241" s="100"/>
      <c r="N241" s="100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17"/>
      <c r="H242" s="117"/>
      <c r="I242" s="117"/>
      <c r="J242" s="117"/>
      <c r="K242" s="100"/>
      <c r="L242" s="100"/>
      <c r="M242" s="100"/>
      <c r="N242" s="100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17"/>
      <c r="H243" s="117"/>
      <c r="I243" s="117"/>
      <c r="J243" s="117"/>
      <c r="K243" s="100"/>
      <c r="L243" s="100"/>
      <c r="M243" s="100"/>
      <c r="N243" s="100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17"/>
      <c r="H244" s="117"/>
      <c r="I244" s="117"/>
      <c r="J244" s="117"/>
      <c r="K244" s="100"/>
      <c r="L244" s="100"/>
      <c r="M244" s="100"/>
      <c r="N244" s="100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17"/>
      <c r="H245" s="117"/>
      <c r="I245" s="117"/>
      <c r="J245" s="117"/>
      <c r="K245" s="100"/>
      <c r="L245" s="100"/>
      <c r="M245" s="100"/>
      <c r="N245" s="100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17"/>
      <c r="H246" s="117"/>
      <c r="I246" s="117"/>
      <c r="J246" s="117"/>
      <c r="K246" s="100"/>
      <c r="L246" s="100"/>
      <c r="M246" s="100"/>
      <c r="N246" s="100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17"/>
      <c r="H247" s="117"/>
      <c r="I247" s="117"/>
      <c r="J247" s="117"/>
      <c r="K247" s="100"/>
      <c r="L247" s="100"/>
      <c r="M247" s="100"/>
      <c r="N247" s="100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17"/>
      <c r="H248" s="117"/>
      <c r="I248" s="117"/>
      <c r="J248" s="117"/>
      <c r="K248" s="100"/>
      <c r="L248" s="100"/>
      <c r="M248" s="100"/>
      <c r="N248" s="100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17"/>
      <c r="H249" s="117"/>
      <c r="I249" s="117"/>
      <c r="J249" s="117"/>
      <c r="K249" s="100"/>
      <c r="L249" s="100"/>
      <c r="M249" s="100"/>
      <c r="N249" s="100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17"/>
      <c r="H250" s="117"/>
      <c r="I250" s="117"/>
      <c r="J250" s="117"/>
      <c r="K250" s="100"/>
      <c r="L250" s="100"/>
      <c r="M250" s="100"/>
      <c r="N250" s="100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17"/>
      <c r="H251" s="117"/>
      <c r="I251" s="117"/>
      <c r="J251" s="117"/>
      <c r="K251" s="100"/>
      <c r="L251" s="100"/>
      <c r="M251" s="100"/>
      <c r="N251" s="100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17"/>
      <c r="H252" s="117"/>
      <c r="I252" s="117"/>
      <c r="J252" s="117"/>
      <c r="K252" s="100"/>
      <c r="L252" s="100"/>
      <c r="M252" s="100"/>
      <c r="N252" s="100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17"/>
      <c r="H253" s="117"/>
      <c r="I253" s="117"/>
      <c r="J253" s="117"/>
      <c r="K253" s="100"/>
      <c r="L253" s="100"/>
      <c r="M253" s="100"/>
      <c r="N253" s="100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17"/>
      <c r="H254" s="117"/>
      <c r="I254" s="117"/>
      <c r="J254" s="117"/>
      <c r="K254" s="100"/>
      <c r="L254" s="100"/>
      <c r="M254" s="100"/>
      <c r="N254" s="100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17"/>
      <c r="H255" s="117"/>
      <c r="I255" s="117"/>
      <c r="J255" s="117"/>
      <c r="K255" s="100"/>
      <c r="L255" s="100"/>
      <c r="M255" s="100"/>
      <c r="N255" s="100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17"/>
      <c r="H256" s="117"/>
      <c r="I256" s="117"/>
      <c r="J256" s="117"/>
      <c r="K256" s="100"/>
      <c r="L256" s="100"/>
      <c r="M256" s="100"/>
      <c r="N256" s="100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17"/>
      <c r="H257" s="117"/>
      <c r="I257" s="117"/>
      <c r="J257" s="117"/>
      <c r="K257" s="100"/>
      <c r="L257" s="100"/>
      <c r="M257" s="100"/>
      <c r="N257" s="100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17"/>
      <c r="H258" s="117"/>
      <c r="I258" s="117"/>
      <c r="J258" s="117"/>
      <c r="K258" s="100"/>
      <c r="L258" s="100"/>
      <c r="M258" s="100"/>
      <c r="N258" s="100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17"/>
      <c r="H259" s="117"/>
      <c r="I259" s="117"/>
      <c r="J259" s="117"/>
      <c r="K259" s="100"/>
      <c r="L259" s="100"/>
      <c r="M259" s="100"/>
      <c r="N259" s="100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17"/>
      <c r="H260" s="117"/>
      <c r="I260" s="117"/>
      <c r="J260" s="117"/>
      <c r="K260" s="100"/>
      <c r="L260" s="100"/>
      <c r="M260" s="100"/>
      <c r="N260" s="100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17"/>
      <c r="H261" s="117"/>
      <c r="I261" s="117"/>
      <c r="J261" s="117"/>
      <c r="K261" s="100"/>
      <c r="L261" s="100"/>
      <c r="M261" s="100"/>
      <c r="N261" s="100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17"/>
      <c r="H262" s="117"/>
      <c r="I262" s="117"/>
      <c r="J262" s="117"/>
      <c r="K262" s="100"/>
      <c r="L262" s="100"/>
      <c r="M262" s="100"/>
      <c r="N262" s="100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17"/>
      <c r="H263" s="117"/>
      <c r="I263" s="117"/>
      <c r="J263" s="117"/>
      <c r="K263" s="100"/>
      <c r="L263" s="100"/>
      <c r="M263" s="100"/>
      <c r="N263" s="100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17"/>
      <c r="H264" s="117"/>
      <c r="I264" s="117"/>
      <c r="J264" s="117"/>
      <c r="K264" s="100"/>
      <c r="L264" s="100"/>
      <c r="M264" s="100"/>
      <c r="N264" s="100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17"/>
      <c r="H265" s="117"/>
      <c r="I265" s="117"/>
      <c r="J265" s="117"/>
      <c r="K265" s="100"/>
      <c r="L265" s="100"/>
      <c r="M265" s="100"/>
      <c r="N265" s="100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17"/>
      <c r="H266" s="117"/>
      <c r="I266" s="117"/>
      <c r="J266" s="117"/>
      <c r="K266" s="100"/>
      <c r="L266" s="100"/>
      <c r="M266" s="100"/>
      <c r="N266" s="100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17"/>
      <c r="H267" s="117"/>
      <c r="I267" s="117"/>
      <c r="J267" s="117"/>
      <c r="K267" s="100"/>
      <c r="L267" s="100"/>
      <c r="M267" s="100"/>
      <c r="N267" s="100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17"/>
      <c r="H268" s="117"/>
      <c r="I268" s="117"/>
      <c r="J268" s="117"/>
      <c r="K268" s="100"/>
      <c r="L268" s="100"/>
      <c r="M268" s="100"/>
      <c r="N268" s="100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17"/>
      <c r="H269" s="117"/>
      <c r="I269" s="117"/>
      <c r="J269" s="117"/>
      <c r="K269" s="100"/>
      <c r="L269" s="100"/>
      <c r="M269" s="100"/>
      <c r="N269" s="100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17"/>
      <c r="H270" s="117"/>
      <c r="I270" s="117"/>
      <c r="J270" s="117"/>
      <c r="K270" s="100"/>
      <c r="L270" s="100"/>
      <c r="M270" s="100"/>
      <c r="N270" s="100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17"/>
      <c r="H271" s="117"/>
      <c r="I271" s="117"/>
      <c r="J271" s="117"/>
      <c r="K271" s="100"/>
      <c r="L271" s="100"/>
      <c r="M271" s="100"/>
      <c r="N271" s="100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17"/>
      <c r="H272" s="117"/>
      <c r="I272" s="117"/>
      <c r="J272" s="117"/>
      <c r="K272" s="100"/>
      <c r="L272" s="100"/>
      <c r="M272" s="100"/>
      <c r="N272" s="100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17"/>
      <c r="H273" s="117"/>
      <c r="I273" s="117"/>
      <c r="J273" s="117"/>
      <c r="K273" s="100"/>
      <c r="L273" s="100"/>
      <c r="M273" s="100"/>
      <c r="N273" s="100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17"/>
      <c r="H274" s="117"/>
      <c r="I274" s="117"/>
      <c r="J274" s="117"/>
      <c r="K274" s="100"/>
      <c r="L274" s="100"/>
      <c r="M274" s="100"/>
      <c r="N274" s="100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17"/>
      <c r="H275" s="117"/>
      <c r="I275" s="117"/>
      <c r="J275" s="117"/>
      <c r="K275" s="100"/>
      <c r="L275" s="100"/>
      <c r="M275" s="100"/>
      <c r="N275" s="100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17"/>
      <c r="H276" s="117"/>
      <c r="I276" s="117"/>
      <c r="J276" s="117"/>
      <c r="K276" s="100"/>
      <c r="L276" s="100"/>
      <c r="M276" s="100"/>
      <c r="N276" s="100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17"/>
      <c r="H277" s="117"/>
      <c r="I277" s="117"/>
      <c r="J277" s="117"/>
      <c r="K277" s="100"/>
      <c r="L277" s="100"/>
      <c r="M277" s="100"/>
      <c r="N277" s="100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17"/>
      <c r="H278" s="117"/>
      <c r="I278" s="117"/>
      <c r="J278" s="117"/>
      <c r="K278" s="100"/>
      <c r="L278" s="100"/>
      <c r="M278" s="100"/>
      <c r="N278" s="100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17"/>
      <c r="H279" s="117"/>
      <c r="I279" s="117"/>
      <c r="J279" s="117"/>
      <c r="K279" s="100"/>
      <c r="L279" s="100"/>
      <c r="M279" s="100"/>
      <c r="N279" s="100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17"/>
      <c r="H280" s="117"/>
      <c r="I280" s="117"/>
      <c r="J280" s="117"/>
      <c r="K280" s="100"/>
      <c r="L280" s="100"/>
      <c r="M280" s="100"/>
      <c r="N280" s="100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17"/>
      <c r="H281" s="117"/>
      <c r="I281" s="117"/>
      <c r="J281" s="117"/>
      <c r="K281" s="100"/>
      <c r="L281" s="100"/>
      <c r="M281" s="100"/>
      <c r="N281" s="100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17"/>
      <c r="H282" s="117"/>
      <c r="I282" s="117"/>
      <c r="J282" s="117"/>
      <c r="K282" s="100"/>
      <c r="L282" s="100"/>
      <c r="M282" s="100"/>
      <c r="N282" s="100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17"/>
      <c r="H283" s="117"/>
      <c r="I283" s="117"/>
      <c r="J283" s="117"/>
      <c r="K283" s="100"/>
      <c r="L283" s="100"/>
      <c r="M283" s="100"/>
      <c r="N283" s="100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17"/>
      <c r="H284" s="117"/>
      <c r="I284" s="117"/>
      <c r="J284" s="117"/>
      <c r="K284" s="100"/>
      <c r="L284" s="100"/>
      <c r="M284" s="100"/>
      <c r="N284" s="100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17"/>
      <c r="H285" s="117"/>
      <c r="I285" s="117"/>
      <c r="J285" s="117"/>
      <c r="K285" s="100"/>
      <c r="L285" s="100"/>
      <c r="M285" s="100"/>
      <c r="N285" s="100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17"/>
      <c r="H286" s="117"/>
      <c r="I286" s="117"/>
      <c r="J286" s="117"/>
      <c r="K286" s="100"/>
      <c r="L286" s="100"/>
      <c r="M286" s="100"/>
      <c r="N286" s="100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17"/>
      <c r="H287" s="117"/>
      <c r="I287" s="117"/>
      <c r="J287" s="117"/>
      <c r="K287" s="100"/>
      <c r="L287" s="100"/>
      <c r="M287" s="100"/>
      <c r="N287" s="100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17"/>
      <c r="H288" s="117"/>
      <c r="I288" s="117"/>
      <c r="J288" s="117"/>
      <c r="K288" s="100"/>
      <c r="L288" s="100"/>
      <c r="M288" s="100"/>
      <c r="N288" s="100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17"/>
      <c r="H289" s="117"/>
      <c r="I289" s="117"/>
      <c r="J289" s="117"/>
      <c r="K289" s="100"/>
      <c r="L289" s="100"/>
      <c r="M289" s="100"/>
      <c r="N289" s="100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17"/>
      <c r="H290" s="117"/>
      <c r="I290" s="117"/>
      <c r="J290" s="117"/>
      <c r="K290" s="100"/>
      <c r="L290" s="100"/>
      <c r="M290" s="100"/>
      <c r="N290" s="100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17"/>
      <c r="H291" s="117"/>
      <c r="I291" s="117"/>
      <c r="J291" s="117"/>
      <c r="K291" s="100"/>
      <c r="L291" s="100"/>
      <c r="M291" s="100"/>
      <c r="N291" s="100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17"/>
      <c r="H292" s="117"/>
      <c r="I292" s="117"/>
      <c r="J292" s="117"/>
      <c r="K292" s="100"/>
      <c r="L292" s="100"/>
      <c r="M292" s="100"/>
      <c r="N292" s="100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17"/>
      <c r="H293" s="117"/>
      <c r="I293" s="117"/>
      <c r="J293" s="117"/>
      <c r="K293" s="100"/>
      <c r="L293" s="100"/>
      <c r="M293" s="100"/>
      <c r="N293" s="100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17"/>
      <c r="H294" s="117"/>
      <c r="I294" s="117"/>
      <c r="J294" s="117"/>
      <c r="K294" s="100"/>
      <c r="L294" s="100"/>
      <c r="M294" s="100"/>
      <c r="N294" s="100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17"/>
      <c r="H295" s="117"/>
      <c r="I295" s="117"/>
      <c r="J295" s="117"/>
      <c r="K295" s="100"/>
      <c r="L295" s="100"/>
      <c r="M295" s="100"/>
      <c r="N295" s="100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17"/>
      <c r="H296" s="117"/>
      <c r="I296" s="117"/>
      <c r="J296" s="117"/>
      <c r="K296" s="100"/>
      <c r="L296" s="100"/>
      <c r="M296" s="100"/>
      <c r="N296" s="100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17"/>
      <c r="H297" s="117"/>
      <c r="I297" s="117"/>
      <c r="J297" s="117"/>
      <c r="K297" s="100"/>
      <c r="L297" s="100"/>
      <c r="M297" s="100"/>
      <c r="N297" s="100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17"/>
      <c r="H298" s="117"/>
      <c r="I298" s="117"/>
      <c r="J298" s="117"/>
      <c r="K298" s="100"/>
      <c r="L298" s="100"/>
      <c r="M298" s="100"/>
      <c r="N298" s="100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17"/>
      <c r="H299" s="117"/>
      <c r="I299" s="117"/>
      <c r="J299" s="117"/>
      <c r="K299" s="100"/>
      <c r="L299" s="100"/>
      <c r="M299" s="100"/>
      <c r="N299" s="100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17"/>
      <c r="H300" s="117"/>
      <c r="I300" s="117"/>
      <c r="J300" s="117"/>
      <c r="K300" s="100"/>
      <c r="L300" s="100"/>
      <c r="M300" s="100"/>
      <c r="N300" s="100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17"/>
      <c r="H301" s="117"/>
      <c r="I301" s="117"/>
      <c r="J301" s="117"/>
      <c r="K301" s="100"/>
      <c r="L301" s="100"/>
      <c r="M301" s="100"/>
      <c r="N301" s="100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17"/>
      <c r="H302" s="117"/>
      <c r="I302" s="117"/>
      <c r="J302" s="117"/>
      <c r="K302" s="100"/>
      <c r="L302" s="100"/>
      <c r="M302" s="100"/>
      <c r="N302" s="100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17"/>
      <c r="H303" s="117"/>
      <c r="I303" s="117"/>
      <c r="J303" s="117"/>
      <c r="K303" s="100"/>
      <c r="L303" s="100"/>
      <c r="M303" s="100"/>
      <c r="N303" s="100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17"/>
      <c r="H304" s="117"/>
      <c r="I304" s="117"/>
      <c r="J304" s="117"/>
      <c r="K304" s="100"/>
      <c r="L304" s="100"/>
      <c r="M304" s="100"/>
      <c r="N304" s="100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17"/>
      <c r="H305" s="117"/>
      <c r="I305" s="117"/>
      <c r="J305" s="117"/>
      <c r="K305" s="100"/>
      <c r="L305" s="100"/>
      <c r="M305" s="100"/>
      <c r="N305" s="100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17"/>
      <c r="H306" s="117"/>
      <c r="I306" s="117"/>
      <c r="J306" s="117"/>
      <c r="K306" s="100"/>
      <c r="L306" s="100"/>
      <c r="M306" s="100"/>
      <c r="N306" s="100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17"/>
      <c r="H307" s="117"/>
      <c r="I307" s="117"/>
      <c r="J307" s="117"/>
      <c r="K307" s="100"/>
      <c r="L307" s="100"/>
      <c r="M307" s="100"/>
      <c r="N307" s="100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17"/>
      <c r="H308" s="117"/>
      <c r="I308" s="117"/>
      <c r="J308" s="117"/>
      <c r="K308" s="100"/>
      <c r="L308" s="100"/>
      <c r="M308" s="100"/>
      <c r="N308" s="100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17"/>
      <c r="H309" s="117"/>
      <c r="I309" s="117"/>
      <c r="J309" s="117"/>
      <c r="K309" s="100"/>
      <c r="L309" s="100"/>
      <c r="M309" s="100"/>
      <c r="N309" s="100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17"/>
      <c r="H310" s="117"/>
      <c r="I310" s="117"/>
      <c r="J310" s="117"/>
      <c r="K310" s="100"/>
      <c r="L310" s="100"/>
      <c r="M310" s="100"/>
      <c r="N310" s="100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17"/>
      <c r="H311" s="117"/>
      <c r="I311" s="117"/>
      <c r="J311" s="117"/>
      <c r="K311" s="100"/>
      <c r="L311" s="100"/>
      <c r="M311" s="100"/>
      <c r="N311" s="100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17"/>
      <c r="H312" s="117"/>
      <c r="I312" s="117"/>
      <c r="J312" s="117"/>
      <c r="K312" s="100"/>
      <c r="L312" s="100"/>
      <c r="M312" s="100"/>
      <c r="N312" s="100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17"/>
      <c r="H313" s="117"/>
      <c r="I313" s="117"/>
      <c r="J313" s="117"/>
      <c r="K313" s="100"/>
      <c r="L313" s="100"/>
      <c r="M313" s="100"/>
      <c r="N313" s="100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17"/>
      <c r="H314" s="117"/>
      <c r="I314" s="117"/>
      <c r="J314" s="117"/>
      <c r="K314" s="100"/>
      <c r="L314" s="100"/>
      <c r="M314" s="100"/>
      <c r="N314" s="100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17"/>
      <c r="H315" s="117"/>
      <c r="I315" s="117"/>
      <c r="J315" s="117"/>
      <c r="K315" s="100"/>
      <c r="L315" s="100"/>
      <c r="M315" s="100"/>
      <c r="N315" s="100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17"/>
      <c r="H316" s="117"/>
      <c r="I316" s="117"/>
      <c r="J316" s="117"/>
      <c r="K316" s="100"/>
      <c r="L316" s="100"/>
      <c r="M316" s="100"/>
      <c r="N316" s="100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17"/>
      <c r="H317" s="117"/>
      <c r="I317" s="117"/>
      <c r="J317" s="117"/>
      <c r="K317" s="100"/>
      <c r="L317" s="100"/>
      <c r="M317" s="100"/>
      <c r="N317" s="100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17"/>
      <c r="H318" s="117"/>
      <c r="I318" s="117"/>
      <c r="J318" s="117"/>
      <c r="K318" s="100"/>
      <c r="L318" s="100"/>
      <c r="M318" s="100"/>
      <c r="N318" s="100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17"/>
      <c r="H319" s="117"/>
      <c r="I319" s="117"/>
      <c r="J319" s="117"/>
      <c r="K319" s="100"/>
      <c r="L319" s="100"/>
      <c r="M319" s="100"/>
      <c r="N319" s="100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17"/>
      <c r="H320" s="117"/>
      <c r="I320" s="117"/>
      <c r="J320" s="117"/>
      <c r="K320" s="100"/>
      <c r="L320" s="100"/>
      <c r="M320" s="100"/>
      <c r="N320" s="100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17"/>
      <c r="H321" s="117"/>
      <c r="I321" s="117"/>
      <c r="J321" s="117"/>
      <c r="K321" s="100"/>
      <c r="L321" s="100"/>
      <c r="M321" s="100"/>
      <c r="N321" s="100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17"/>
      <c r="H322" s="117"/>
      <c r="I322" s="117"/>
      <c r="J322" s="117"/>
      <c r="K322" s="100"/>
      <c r="L322" s="100"/>
      <c r="M322" s="100"/>
      <c r="N322" s="100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17"/>
      <c r="H323" s="117"/>
      <c r="I323" s="117"/>
      <c r="J323" s="117"/>
      <c r="K323" s="100"/>
      <c r="L323" s="100"/>
      <c r="M323" s="100"/>
      <c r="N323" s="100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17"/>
      <c r="H324" s="117"/>
      <c r="I324" s="117"/>
      <c r="J324" s="117"/>
      <c r="K324" s="100"/>
      <c r="L324" s="100"/>
      <c r="M324" s="100"/>
      <c r="N324" s="100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17"/>
      <c r="H325" s="117"/>
      <c r="I325" s="117"/>
      <c r="J325" s="117"/>
      <c r="K325" s="100"/>
      <c r="L325" s="100"/>
      <c r="M325" s="100"/>
      <c r="N325" s="100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17"/>
      <c r="H326" s="117"/>
      <c r="I326" s="117"/>
      <c r="J326" s="117"/>
      <c r="K326" s="100"/>
      <c r="L326" s="100"/>
      <c r="M326" s="100"/>
      <c r="N326" s="100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17"/>
      <c r="H327" s="117"/>
      <c r="I327" s="117"/>
      <c r="J327" s="117"/>
      <c r="K327" s="100"/>
      <c r="L327" s="100"/>
      <c r="M327" s="100"/>
      <c r="N327" s="100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17"/>
      <c r="H328" s="117"/>
      <c r="I328" s="117"/>
      <c r="J328" s="117"/>
      <c r="K328" s="100"/>
      <c r="L328" s="100"/>
      <c r="M328" s="100"/>
      <c r="N328" s="100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17"/>
      <c r="H329" s="117"/>
      <c r="I329" s="117"/>
      <c r="J329" s="117"/>
      <c r="K329" s="100"/>
      <c r="L329" s="100"/>
      <c r="M329" s="100"/>
      <c r="N329" s="100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17"/>
      <c r="H330" s="117"/>
      <c r="I330" s="117"/>
      <c r="J330" s="117"/>
      <c r="K330" s="100"/>
      <c r="L330" s="100"/>
      <c r="M330" s="100"/>
      <c r="N330" s="100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17"/>
      <c r="H331" s="117"/>
      <c r="I331" s="117"/>
      <c r="J331" s="117"/>
      <c r="K331" s="100"/>
      <c r="L331" s="100"/>
      <c r="M331" s="100"/>
      <c r="N331" s="100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17"/>
      <c r="H332" s="117"/>
      <c r="I332" s="117"/>
      <c r="J332" s="117"/>
      <c r="K332" s="100"/>
      <c r="L332" s="100"/>
      <c r="M332" s="100"/>
      <c r="N332" s="100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17"/>
      <c r="H333" s="117"/>
      <c r="I333" s="117"/>
      <c r="J333" s="117"/>
      <c r="K333" s="100"/>
      <c r="L333" s="100"/>
      <c r="M333" s="100"/>
      <c r="N333" s="100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17"/>
      <c r="H334" s="117"/>
      <c r="I334" s="117"/>
      <c r="J334" s="117"/>
      <c r="K334" s="100"/>
      <c r="L334" s="100"/>
      <c r="M334" s="100"/>
      <c r="N334" s="100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17"/>
      <c r="H335" s="117"/>
      <c r="I335" s="117"/>
      <c r="J335" s="117"/>
      <c r="K335" s="100"/>
      <c r="L335" s="100"/>
      <c r="M335" s="100"/>
      <c r="N335" s="100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17"/>
      <c r="H336" s="117"/>
      <c r="I336" s="117"/>
      <c r="J336" s="117"/>
      <c r="K336" s="100"/>
      <c r="L336" s="100"/>
      <c r="M336" s="100"/>
      <c r="N336" s="100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17"/>
      <c r="H337" s="117"/>
      <c r="I337" s="117"/>
      <c r="J337" s="117"/>
      <c r="K337" s="100"/>
      <c r="L337" s="100"/>
      <c r="M337" s="100"/>
      <c r="N337" s="100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17"/>
      <c r="H338" s="117"/>
      <c r="I338" s="117"/>
      <c r="J338" s="117"/>
      <c r="K338" s="100"/>
      <c r="L338" s="100"/>
      <c r="M338" s="100"/>
      <c r="N338" s="100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17"/>
      <c r="H339" s="117"/>
      <c r="I339" s="117"/>
      <c r="J339" s="117"/>
      <c r="K339" s="100"/>
      <c r="L339" s="100"/>
      <c r="M339" s="100"/>
      <c r="N339" s="100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17"/>
      <c r="H340" s="117"/>
      <c r="I340" s="117"/>
      <c r="J340" s="117"/>
      <c r="K340" s="100"/>
      <c r="L340" s="100"/>
      <c r="M340" s="100"/>
      <c r="N340" s="100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17"/>
      <c r="H341" s="117"/>
      <c r="I341" s="117"/>
      <c r="J341" s="117"/>
      <c r="K341" s="100"/>
      <c r="L341" s="100"/>
      <c r="M341" s="100"/>
      <c r="N341" s="100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17"/>
      <c r="H342" s="117"/>
      <c r="I342" s="117"/>
      <c r="J342" s="117"/>
      <c r="K342" s="100"/>
      <c r="L342" s="100"/>
      <c r="M342" s="100"/>
      <c r="N342" s="100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17"/>
      <c r="H343" s="117"/>
      <c r="I343" s="117"/>
      <c r="J343" s="117"/>
      <c r="K343" s="100"/>
      <c r="L343" s="100"/>
      <c r="M343" s="100"/>
      <c r="N343" s="100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17"/>
      <c r="H344" s="117"/>
      <c r="I344" s="117"/>
      <c r="J344" s="117"/>
      <c r="K344" s="100"/>
      <c r="L344" s="100"/>
      <c r="M344" s="100"/>
      <c r="N344" s="100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17"/>
      <c r="H345" s="117"/>
      <c r="I345" s="117"/>
      <c r="J345" s="117"/>
      <c r="K345" s="100"/>
      <c r="L345" s="100"/>
      <c r="M345" s="100"/>
      <c r="N345" s="100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17"/>
      <c r="H346" s="117"/>
      <c r="I346" s="117"/>
      <c r="J346" s="117"/>
      <c r="K346" s="100"/>
      <c r="L346" s="100"/>
      <c r="M346" s="100"/>
      <c r="N346" s="100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17"/>
      <c r="H347" s="117"/>
      <c r="I347" s="117"/>
      <c r="J347" s="117"/>
      <c r="K347" s="100"/>
      <c r="L347" s="100"/>
      <c r="M347" s="100"/>
      <c r="N347" s="100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17"/>
      <c r="H348" s="117"/>
      <c r="I348" s="117"/>
      <c r="J348" s="117"/>
      <c r="K348" s="100"/>
      <c r="L348" s="100"/>
      <c r="M348" s="100"/>
      <c r="N348" s="100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17"/>
      <c r="H349" s="117"/>
      <c r="I349" s="117"/>
      <c r="J349" s="117"/>
      <c r="K349" s="100"/>
      <c r="L349" s="100"/>
      <c r="M349" s="100"/>
      <c r="N349" s="100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17"/>
      <c r="H350" s="117"/>
      <c r="I350" s="117"/>
      <c r="J350" s="117"/>
      <c r="K350" s="100"/>
      <c r="L350" s="100"/>
      <c r="M350" s="100"/>
      <c r="N350" s="100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17"/>
      <c r="H351" s="117"/>
      <c r="I351" s="117"/>
      <c r="J351" s="117"/>
      <c r="K351" s="100"/>
      <c r="L351" s="100"/>
      <c r="M351" s="100"/>
      <c r="N351" s="100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17"/>
      <c r="H352" s="117"/>
      <c r="I352" s="117"/>
      <c r="J352" s="117"/>
      <c r="K352" s="100"/>
      <c r="L352" s="100"/>
      <c r="M352" s="100"/>
      <c r="N352" s="100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17"/>
      <c r="H353" s="117"/>
      <c r="I353" s="117"/>
      <c r="J353" s="117"/>
      <c r="K353" s="100"/>
      <c r="L353" s="100"/>
      <c r="M353" s="100"/>
      <c r="N353" s="100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17"/>
      <c r="H354" s="117"/>
      <c r="I354" s="117"/>
      <c r="J354" s="117"/>
      <c r="K354" s="100"/>
      <c r="L354" s="100"/>
      <c r="M354" s="100"/>
      <c r="N354" s="100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17"/>
      <c r="H355" s="117"/>
      <c r="I355" s="117"/>
      <c r="J355" s="117"/>
      <c r="K355" s="100"/>
      <c r="L355" s="100"/>
      <c r="M355" s="100"/>
      <c r="N355" s="100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17"/>
      <c r="H356" s="117"/>
      <c r="I356" s="117"/>
      <c r="J356" s="117"/>
      <c r="K356" s="100"/>
      <c r="L356" s="100"/>
      <c r="M356" s="100"/>
      <c r="N356" s="100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17"/>
      <c r="H357" s="117"/>
      <c r="I357" s="117"/>
      <c r="J357" s="117"/>
      <c r="K357" s="100"/>
      <c r="L357" s="100"/>
      <c r="M357" s="100"/>
      <c r="N357" s="100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17"/>
      <c r="H358" s="117"/>
      <c r="I358" s="117"/>
      <c r="J358" s="117"/>
      <c r="K358" s="100"/>
      <c r="L358" s="100"/>
      <c r="M358" s="100"/>
      <c r="N358" s="100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17"/>
      <c r="H359" s="117"/>
      <c r="I359" s="117"/>
      <c r="J359" s="117"/>
      <c r="K359" s="100"/>
      <c r="L359" s="100"/>
      <c r="M359" s="100"/>
      <c r="N359" s="100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17"/>
      <c r="H360" s="117"/>
      <c r="I360" s="117"/>
      <c r="J360" s="117"/>
      <c r="K360" s="100"/>
      <c r="L360" s="100"/>
      <c r="M360" s="100"/>
      <c r="N360" s="100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17"/>
      <c r="H361" s="117"/>
      <c r="I361" s="117"/>
      <c r="J361" s="117"/>
      <c r="K361" s="100"/>
      <c r="L361" s="100"/>
      <c r="M361" s="100"/>
      <c r="N361" s="100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17"/>
      <c r="H362" s="117"/>
      <c r="I362" s="117"/>
      <c r="J362" s="117"/>
      <c r="K362" s="100"/>
      <c r="L362" s="100"/>
      <c r="M362" s="100"/>
      <c r="N362" s="100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17"/>
      <c r="H363" s="117"/>
      <c r="I363" s="117"/>
      <c r="J363" s="117"/>
      <c r="K363" s="100"/>
      <c r="L363" s="100"/>
      <c r="M363" s="100"/>
      <c r="N363" s="100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17"/>
      <c r="H364" s="117"/>
      <c r="I364" s="117"/>
      <c r="J364" s="117"/>
      <c r="K364" s="100"/>
      <c r="L364" s="100"/>
      <c r="M364" s="100"/>
      <c r="N364" s="100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17"/>
      <c r="H365" s="117"/>
      <c r="I365" s="117"/>
      <c r="J365" s="117"/>
      <c r="K365" s="100"/>
      <c r="L365" s="100"/>
      <c r="M365" s="100"/>
      <c r="N365" s="100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17"/>
      <c r="H366" s="117"/>
      <c r="I366" s="117"/>
      <c r="J366" s="117"/>
      <c r="K366" s="100"/>
      <c r="L366" s="100"/>
      <c r="M366" s="100"/>
      <c r="N366" s="100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17"/>
      <c r="H367" s="117"/>
      <c r="I367" s="117"/>
      <c r="J367" s="117"/>
      <c r="K367" s="100"/>
      <c r="L367" s="100"/>
      <c r="M367" s="100"/>
      <c r="N367" s="100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17"/>
      <c r="H368" s="117"/>
      <c r="I368" s="117"/>
      <c r="J368" s="117"/>
      <c r="K368" s="100"/>
      <c r="L368" s="100"/>
      <c r="M368" s="100"/>
      <c r="N368" s="100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17"/>
      <c r="H369" s="117"/>
      <c r="I369" s="117"/>
      <c r="J369" s="117"/>
      <c r="K369" s="100"/>
      <c r="L369" s="100"/>
      <c r="M369" s="100"/>
      <c r="N369" s="100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17"/>
      <c r="H370" s="117"/>
      <c r="I370" s="117"/>
      <c r="J370" s="117"/>
      <c r="K370" s="100"/>
      <c r="L370" s="100"/>
      <c r="M370" s="100"/>
      <c r="N370" s="100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17"/>
      <c r="H371" s="117"/>
      <c r="I371" s="117"/>
      <c r="J371" s="117"/>
      <c r="K371" s="100"/>
      <c r="L371" s="100"/>
      <c r="M371" s="100"/>
      <c r="N371" s="100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17"/>
      <c r="H372" s="117"/>
      <c r="I372" s="117"/>
      <c r="J372" s="117"/>
      <c r="K372" s="100"/>
      <c r="L372" s="100"/>
      <c r="M372" s="100"/>
      <c r="N372" s="100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17"/>
      <c r="H373" s="117"/>
      <c r="I373" s="117"/>
      <c r="J373" s="117"/>
      <c r="K373" s="100"/>
      <c r="L373" s="100"/>
      <c r="M373" s="100"/>
      <c r="N373" s="100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17"/>
      <c r="H374" s="117"/>
      <c r="I374" s="117"/>
      <c r="J374" s="117"/>
      <c r="K374" s="100"/>
      <c r="L374" s="100"/>
      <c r="M374" s="100"/>
      <c r="N374" s="100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17"/>
      <c r="H375" s="117"/>
      <c r="I375" s="117"/>
      <c r="J375" s="117"/>
      <c r="K375" s="100"/>
      <c r="L375" s="100"/>
      <c r="M375" s="100"/>
      <c r="N375" s="100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17"/>
      <c r="H376" s="117"/>
      <c r="I376" s="117"/>
      <c r="J376" s="117"/>
      <c r="K376" s="100"/>
      <c r="L376" s="100"/>
      <c r="M376" s="100"/>
      <c r="N376" s="100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17"/>
      <c r="H377" s="117"/>
      <c r="I377" s="117"/>
      <c r="J377" s="117"/>
      <c r="K377" s="100"/>
      <c r="L377" s="100"/>
      <c r="M377" s="100"/>
      <c r="N377" s="100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17"/>
      <c r="H378" s="117"/>
      <c r="I378" s="117"/>
      <c r="J378" s="117"/>
      <c r="K378" s="100"/>
      <c r="L378" s="100"/>
      <c r="M378" s="100"/>
      <c r="N378" s="100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17"/>
      <c r="H379" s="117"/>
      <c r="I379" s="117"/>
      <c r="J379" s="117"/>
      <c r="K379" s="100"/>
      <c r="L379" s="100"/>
      <c r="M379" s="100"/>
      <c r="N379" s="100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17"/>
      <c r="H380" s="117"/>
      <c r="I380" s="117"/>
      <c r="J380" s="117"/>
      <c r="K380" s="100"/>
      <c r="L380" s="100"/>
      <c r="M380" s="100"/>
      <c r="N380" s="100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17"/>
      <c r="H381" s="117"/>
      <c r="I381" s="117"/>
      <c r="J381" s="117"/>
      <c r="K381" s="100"/>
      <c r="L381" s="100"/>
      <c r="M381" s="100"/>
      <c r="N381" s="100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17"/>
      <c r="H382" s="117"/>
      <c r="I382" s="117"/>
      <c r="J382" s="117"/>
      <c r="K382" s="100"/>
      <c r="L382" s="100"/>
      <c r="M382" s="100"/>
      <c r="N382" s="100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17"/>
      <c r="H383" s="117"/>
      <c r="I383" s="117"/>
      <c r="J383" s="117"/>
      <c r="K383" s="100"/>
      <c r="L383" s="100"/>
      <c r="M383" s="100"/>
      <c r="N383" s="100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17"/>
      <c r="H384" s="117"/>
      <c r="I384" s="117"/>
      <c r="J384" s="117"/>
      <c r="K384" s="100"/>
      <c r="L384" s="100"/>
      <c r="M384" s="100"/>
      <c r="N384" s="100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17"/>
      <c r="H385" s="117"/>
      <c r="I385" s="117"/>
      <c r="J385" s="117"/>
      <c r="K385" s="100"/>
      <c r="L385" s="100"/>
      <c r="M385" s="100"/>
      <c r="N385" s="100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17"/>
      <c r="H386" s="117"/>
      <c r="I386" s="117"/>
      <c r="J386" s="117"/>
      <c r="K386" s="100"/>
      <c r="L386" s="100"/>
      <c r="M386" s="100"/>
      <c r="N386" s="100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17"/>
      <c r="H387" s="117"/>
      <c r="I387" s="117"/>
      <c r="J387" s="117"/>
      <c r="K387" s="100"/>
      <c r="L387" s="100"/>
      <c r="M387" s="100"/>
      <c r="N387" s="100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17"/>
      <c r="H388" s="117"/>
      <c r="I388" s="117"/>
      <c r="J388" s="117"/>
      <c r="K388" s="100"/>
      <c r="L388" s="100"/>
      <c r="M388" s="100"/>
      <c r="N388" s="100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17"/>
      <c r="H389" s="117"/>
      <c r="I389" s="117"/>
      <c r="J389" s="117"/>
      <c r="K389" s="100"/>
      <c r="L389" s="100"/>
      <c r="M389" s="100"/>
      <c r="N389" s="100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17"/>
      <c r="H390" s="117"/>
      <c r="I390" s="117"/>
      <c r="J390" s="117"/>
      <c r="K390" s="100"/>
      <c r="L390" s="100"/>
      <c r="M390" s="100"/>
      <c r="N390" s="100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17"/>
      <c r="H391" s="117"/>
      <c r="I391" s="117"/>
      <c r="J391" s="117"/>
      <c r="K391" s="100"/>
      <c r="L391" s="100"/>
      <c r="M391" s="100"/>
      <c r="N391" s="100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17"/>
      <c r="H392" s="117"/>
      <c r="I392" s="117"/>
      <c r="J392" s="117"/>
      <c r="K392" s="100"/>
      <c r="L392" s="100"/>
      <c r="M392" s="100"/>
      <c r="N392" s="100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17"/>
      <c r="H393" s="117"/>
      <c r="I393" s="117"/>
      <c r="J393" s="117"/>
      <c r="K393" s="100"/>
      <c r="L393" s="100"/>
      <c r="M393" s="100"/>
      <c r="N393" s="100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17"/>
      <c r="H394" s="117"/>
      <c r="I394" s="117"/>
      <c r="J394" s="117"/>
      <c r="K394" s="100"/>
      <c r="L394" s="100"/>
      <c r="M394" s="100"/>
      <c r="N394" s="100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17"/>
      <c r="H395" s="117"/>
      <c r="I395" s="117"/>
      <c r="J395" s="117"/>
      <c r="K395" s="100"/>
      <c r="L395" s="100"/>
      <c r="M395" s="100"/>
      <c r="N395" s="100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17"/>
      <c r="H396" s="117"/>
      <c r="I396" s="117"/>
      <c r="J396" s="117"/>
      <c r="K396" s="100"/>
      <c r="L396" s="100"/>
      <c r="M396" s="100"/>
      <c r="N396" s="100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17"/>
      <c r="H397" s="117"/>
      <c r="I397" s="117"/>
      <c r="J397" s="117"/>
      <c r="K397" s="100"/>
      <c r="L397" s="100"/>
      <c r="M397" s="100"/>
      <c r="N397" s="100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17"/>
      <c r="H398" s="117"/>
      <c r="I398" s="117"/>
      <c r="J398" s="117"/>
      <c r="K398" s="100"/>
      <c r="L398" s="100"/>
      <c r="M398" s="100"/>
      <c r="N398" s="100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17"/>
      <c r="H399" s="117"/>
      <c r="I399" s="117"/>
      <c r="J399" s="117"/>
      <c r="K399" s="100"/>
      <c r="L399" s="100"/>
      <c r="M399" s="100"/>
      <c r="N399" s="100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17"/>
      <c r="H400" s="117"/>
      <c r="I400" s="117"/>
      <c r="J400" s="117"/>
      <c r="K400" s="100"/>
      <c r="L400" s="100"/>
      <c r="M400" s="100"/>
      <c r="N400" s="100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17"/>
      <c r="H401" s="117"/>
      <c r="I401" s="117"/>
      <c r="J401" s="117"/>
      <c r="K401" s="100"/>
      <c r="L401" s="100"/>
      <c r="M401" s="100"/>
      <c r="N401" s="100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17"/>
      <c r="H402" s="117"/>
      <c r="I402" s="117"/>
      <c r="J402" s="117"/>
      <c r="K402" s="100"/>
      <c r="L402" s="100"/>
      <c r="M402" s="100"/>
      <c r="N402" s="100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17"/>
      <c r="H403" s="117"/>
      <c r="I403" s="117"/>
      <c r="J403" s="117"/>
      <c r="K403" s="100"/>
      <c r="L403" s="100"/>
      <c r="M403" s="100"/>
      <c r="N403" s="100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17"/>
      <c r="H404" s="117"/>
      <c r="I404" s="117"/>
      <c r="J404" s="117"/>
      <c r="K404" s="100"/>
      <c r="L404" s="100"/>
      <c r="M404" s="100"/>
      <c r="N404" s="100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17"/>
      <c r="H405" s="117"/>
      <c r="I405" s="117"/>
      <c r="J405" s="117"/>
      <c r="K405" s="100"/>
      <c r="L405" s="100"/>
      <c r="M405" s="100"/>
      <c r="N405" s="100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17"/>
      <c r="H406" s="117"/>
      <c r="I406" s="117"/>
      <c r="J406" s="117"/>
      <c r="K406" s="100"/>
      <c r="L406" s="100"/>
      <c r="M406" s="100"/>
      <c r="N406" s="100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17"/>
      <c r="H407" s="117"/>
      <c r="I407" s="117"/>
      <c r="J407" s="117"/>
      <c r="K407" s="100"/>
      <c r="L407" s="100"/>
      <c r="M407" s="100"/>
      <c r="N407" s="100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17"/>
      <c r="H408" s="117"/>
      <c r="I408" s="117"/>
      <c r="J408" s="117"/>
      <c r="K408" s="100"/>
      <c r="L408" s="100"/>
      <c r="M408" s="100"/>
      <c r="N408" s="100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17"/>
      <c r="H409" s="117"/>
      <c r="I409" s="117"/>
      <c r="J409" s="117"/>
      <c r="K409" s="100"/>
      <c r="L409" s="100"/>
      <c r="M409" s="100"/>
      <c r="N409" s="100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17"/>
      <c r="H410" s="117"/>
      <c r="I410" s="117"/>
      <c r="J410" s="117"/>
      <c r="K410" s="100"/>
      <c r="L410" s="100"/>
      <c r="M410" s="100"/>
      <c r="N410" s="100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17"/>
      <c r="H411" s="117"/>
      <c r="I411" s="117"/>
      <c r="J411" s="117"/>
      <c r="K411" s="100"/>
      <c r="L411" s="100"/>
      <c r="M411" s="100"/>
      <c r="N411" s="100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17"/>
      <c r="H412" s="117"/>
      <c r="I412" s="117"/>
      <c r="J412" s="117"/>
      <c r="K412" s="100"/>
      <c r="L412" s="100"/>
      <c r="M412" s="100"/>
      <c r="N412" s="100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17"/>
      <c r="H413" s="117"/>
      <c r="I413" s="117"/>
      <c r="J413" s="117"/>
      <c r="K413" s="100"/>
      <c r="L413" s="100"/>
      <c r="M413" s="100"/>
      <c r="N413" s="100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17"/>
      <c r="H414" s="117"/>
      <c r="I414" s="117"/>
      <c r="J414" s="117"/>
      <c r="K414" s="100"/>
      <c r="L414" s="100"/>
      <c r="M414" s="100"/>
      <c r="N414" s="100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17"/>
      <c r="H415" s="117"/>
      <c r="I415" s="117"/>
      <c r="J415" s="117"/>
      <c r="K415" s="100"/>
      <c r="L415" s="100"/>
      <c r="M415" s="100"/>
      <c r="N415" s="100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17"/>
      <c r="H416" s="117"/>
      <c r="I416" s="117"/>
      <c r="J416" s="117"/>
      <c r="K416" s="100"/>
      <c r="L416" s="100"/>
      <c r="M416" s="100"/>
      <c r="N416" s="100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17"/>
      <c r="H417" s="117"/>
      <c r="I417" s="117"/>
      <c r="J417" s="117"/>
      <c r="K417" s="100"/>
      <c r="L417" s="100"/>
      <c r="M417" s="100"/>
      <c r="N417" s="100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17"/>
      <c r="H418" s="117"/>
      <c r="I418" s="117"/>
      <c r="J418" s="117"/>
      <c r="K418" s="100"/>
      <c r="L418" s="100"/>
      <c r="M418" s="100"/>
      <c r="N418" s="100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17"/>
      <c r="H419" s="117"/>
      <c r="I419" s="117"/>
      <c r="J419" s="117"/>
      <c r="K419" s="100"/>
      <c r="L419" s="100"/>
      <c r="M419" s="100"/>
      <c r="N419" s="100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17"/>
      <c r="H420" s="117"/>
      <c r="I420" s="117"/>
      <c r="J420" s="117"/>
      <c r="K420" s="100"/>
      <c r="L420" s="100"/>
      <c r="M420" s="100"/>
      <c r="N420" s="100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17"/>
      <c r="H421" s="117"/>
      <c r="I421" s="117"/>
      <c r="J421" s="117"/>
      <c r="K421" s="100"/>
      <c r="L421" s="100"/>
      <c r="M421" s="100"/>
      <c r="N421" s="100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17"/>
      <c r="H422" s="117"/>
      <c r="I422" s="117"/>
      <c r="J422" s="117"/>
      <c r="K422" s="100"/>
      <c r="L422" s="100"/>
      <c r="M422" s="100"/>
      <c r="N422" s="100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17"/>
      <c r="H423" s="117"/>
      <c r="I423" s="117"/>
      <c r="J423" s="117"/>
      <c r="K423" s="100"/>
      <c r="L423" s="100"/>
      <c r="M423" s="100"/>
      <c r="N423" s="100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17"/>
      <c r="H424" s="117"/>
      <c r="I424" s="117"/>
      <c r="J424" s="117"/>
      <c r="K424" s="100"/>
      <c r="L424" s="100"/>
      <c r="M424" s="100"/>
      <c r="N424" s="100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17"/>
      <c r="H425" s="117"/>
      <c r="I425" s="117"/>
      <c r="J425" s="117"/>
      <c r="K425" s="100"/>
      <c r="L425" s="100"/>
      <c r="M425" s="100"/>
      <c r="N425" s="100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17"/>
      <c r="H426" s="117"/>
      <c r="I426" s="117"/>
      <c r="J426" s="117"/>
      <c r="K426" s="100"/>
      <c r="L426" s="100"/>
      <c r="M426" s="100"/>
      <c r="N426" s="100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17"/>
      <c r="H427" s="117"/>
      <c r="I427" s="117"/>
      <c r="J427" s="117"/>
      <c r="K427" s="100"/>
      <c r="L427" s="100"/>
      <c r="M427" s="100"/>
      <c r="N427" s="100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17"/>
      <c r="H428" s="117"/>
      <c r="I428" s="117"/>
      <c r="J428" s="117"/>
      <c r="K428" s="100"/>
      <c r="L428" s="100"/>
      <c r="M428" s="100"/>
      <c r="N428" s="100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17"/>
      <c r="H429" s="117"/>
      <c r="I429" s="117"/>
      <c r="J429" s="117"/>
      <c r="K429" s="100"/>
      <c r="L429" s="100"/>
      <c r="M429" s="100"/>
      <c r="N429" s="100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17"/>
      <c r="H430" s="117"/>
      <c r="I430" s="117"/>
      <c r="J430" s="117"/>
      <c r="K430" s="100"/>
      <c r="L430" s="100"/>
      <c r="M430" s="100"/>
      <c r="N430" s="100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17"/>
      <c r="H431" s="117"/>
      <c r="I431" s="117"/>
      <c r="J431" s="117"/>
      <c r="K431" s="100"/>
      <c r="L431" s="100"/>
      <c r="M431" s="100"/>
      <c r="N431" s="100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17"/>
      <c r="H432" s="117"/>
      <c r="I432" s="117"/>
      <c r="J432" s="117"/>
      <c r="K432" s="100"/>
      <c r="L432" s="100"/>
      <c r="M432" s="100"/>
      <c r="N432" s="100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17"/>
      <c r="H433" s="117"/>
      <c r="I433" s="117"/>
      <c r="J433" s="117"/>
      <c r="K433" s="100"/>
      <c r="L433" s="100"/>
      <c r="M433" s="100"/>
      <c r="N433" s="100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17"/>
      <c r="H434" s="117"/>
      <c r="I434" s="117"/>
      <c r="J434" s="117"/>
      <c r="K434" s="100"/>
      <c r="L434" s="100"/>
      <c r="M434" s="100"/>
      <c r="N434" s="100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17"/>
      <c r="H435" s="117"/>
      <c r="I435" s="117"/>
      <c r="J435" s="117"/>
      <c r="K435" s="100"/>
      <c r="L435" s="100"/>
      <c r="M435" s="100"/>
      <c r="N435" s="100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17"/>
      <c r="H436" s="117"/>
      <c r="I436" s="117"/>
      <c r="J436" s="117"/>
      <c r="K436" s="100"/>
      <c r="L436" s="100"/>
      <c r="M436" s="100"/>
      <c r="N436" s="100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17"/>
      <c r="H437" s="117"/>
      <c r="I437" s="117"/>
      <c r="J437" s="117"/>
      <c r="K437" s="100"/>
      <c r="L437" s="100"/>
      <c r="M437" s="100"/>
      <c r="N437" s="100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17"/>
      <c r="H438" s="117"/>
      <c r="I438" s="117"/>
      <c r="J438" s="117"/>
      <c r="K438" s="100"/>
      <c r="L438" s="100"/>
      <c r="M438" s="100"/>
      <c r="N438" s="100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17"/>
      <c r="H439" s="117"/>
      <c r="I439" s="117"/>
      <c r="J439" s="117"/>
      <c r="K439" s="100"/>
      <c r="L439" s="100"/>
      <c r="M439" s="100"/>
      <c r="N439" s="100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17"/>
      <c r="H440" s="117"/>
      <c r="I440" s="117"/>
      <c r="J440" s="117"/>
      <c r="K440" s="100"/>
      <c r="L440" s="100"/>
      <c r="M440" s="100"/>
      <c r="N440" s="100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17"/>
      <c r="H441" s="117"/>
      <c r="I441" s="117"/>
      <c r="J441" s="117"/>
      <c r="K441" s="100"/>
      <c r="L441" s="100"/>
      <c r="M441" s="100"/>
      <c r="N441" s="100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17"/>
      <c r="H442" s="117"/>
      <c r="I442" s="117"/>
      <c r="J442" s="117"/>
      <c r="K442" s="100"/>
      <c r="L442" s="100"/>
      <c r="M442" s="100"/>
      <c r="N442" s="100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17"/>
      <c r="H443" s="117"/>
      <c r="I443" s="117"/>
      <c r="J443" s="117"/>
      <c r="K443" s="100"/>
      <c r="L443" s="100"/>
      <c r="M443" s="100"/>
      <c r="N443" s="100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17"/>
      <c r="H444" s="117"/>
      <c r="I444" s="117"/>
      <c r="J444" s="117"/>
      <c r="K444" s="100"/>
      <c r="L444" s="100"/>
      <c r="M444" s="100"/>
      <c r="N444" s="100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17"/>
      <c r="H445" s="117"/>
      <c r="I445" s="117"/>
      <c r="J445" s="117"/>
      <c r="K445" s="100"/>
      <c r="L445" s="100"/>
      <c r="M445" s="100"/>
      <c r="N445" s="100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17"/>
      <c r="H446" s="117"/>
      <c r="I446" s="117"/>
      <c r="J446" s="117"/>
      <c r="K446" s="100"/>
      <c r="L446" s="100"/>
      <c r="M446" s="100"/>
      <c r="N446" s="100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17"/>
      <c r="H447" s="117"/>
      <c r="I447" s="117"/>
      <c r="J447" s="117"/>
      <c r="K447" s="100"/>
      <c r="L447" s="100"/>
      <c r="M447" s="100"/>
      <c r="N447" s="100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17"/>
      <c r="H448" s="117"/>
      <c r="I448" s="117"/>
      <c r="J448" s="117"/>
      <c r="K448" s="100"/>
      <c r="L448" s="100"/>
      <c r="M448" s="100"/>
      <c r="N448" s="100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17"/>
      <c r="H449" s="117"/>
      <c r="I449" s="117"/>
      <c r="J449" s="117"/>
      <c r="K449" s="100"/>
      <c r="L449" s="100"/>
      <c r="M449" s="100"/>
      <c r="N449" s="100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17"/>
      <c r="H450" s="117"/>
      <c r="I450" s="117"/>
      <c r="J450" s="117"/>
      <c r="K450" s="100"/>
      <c r="L450" s="100"/>
      <c r="M450" s="100"/>
      <c r="N450" s="100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17"/>
      <c r="H451" s="117"/>
      <c r="I451" s="117"/>
      <c r="J451" s="117"/>
      <c r="K451" s="100"/>
      <c r="L451" s="100"/>
      <c r="M451" s="100"/>
      <c r="N451" s="100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17"/>
      <c r="H452" s="117"/>
      <c r="I452" s="117"/>
      <c r="J452" s="117"/>
      <c r="K452" s="100"/>
      <c r="L452" s="100"/>
      <c r="M452" s="100"/>
      <c r="N452" s="100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17"/>
      <c r="H453" s="117"/>
      <c r="I453" s="117"/>
      <c r="J453" s="117"/>
      <c r="K453" s="100"/>
      <c r="L453" s="100"/>
      <c r="M453" s="100"/>
      <c r="N453" s="100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17"/>
      <c r="H454" s="117"/>
      <c r="I454" s="117"/>
      <c r="J454" s="117"/>
      <c r="K454" s="100"/>
      <c r="L454" s="100"/>
      <c r="M454" s="100"/>
      <c r="N454" s="100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17"/>
      <c r="H455" s="117"/>
      <c r="I455" s="117"/>
      <c r="J455" s="117"/>
      <c r="K455" s="100"/>
      <c r="L455" s="100"/>
      <c r="M455" s="100"/>
      <c r="N455" s="100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17"/>
      <c r="H456" s="117"/>
      <c r="I456" s="117"/>
      <c r="J456" s="117"/>
      <c r="K456" s="100"/>
      <c r="L456" s="100"/>
      <c r="M456" s="100"/>
      <c r="N456" s="100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17"/>
      <c r="H457" s="117"/>
      <c r="I457" s="117"/>
      <c r="J457" s="117"/>
      <c r="K457" s="100"/>
      <c r="L457" s="100"/>
      <c r="M457" s="100"/>
      <c r="N457" s="100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17"/>
      <c r="H458" s="117"/>
      <c r="I458" s="117"/>
      <c r="J458" s="117"/>
      <c r="K458" s="100"/>
      <c r="L458" s="100"/>
      <c r="M458" s="100"/>
      <c r="N458" s="100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17"/>
      <c r="H459" s="117"/>
      <c r="I459" s="117"/>
      <c r="J459" s="117"/>
      <c r="K459" s="100"/>
      <c r="L459" s="100"/>
      <c r="M459" s="100"/>
      <c r="N459" s="100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17"/>
      <c r="H460" s="117"/>
      <c r="I460" s="117"/>
      <c r="J460" s="117"/>
      <c r="K460" s="100"/>
      <c r="L460" s="100"/>
      <c r="M460" s="100"/>
      <c r="N460" s="100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17"/>
      <c r="H461" s="117"/>
      <c r="I461" s="117"/>
      <c r="J461" s="117"/>
      <c r="K461" s="100"/>
      <c r="L461" s="100"/>
      <c r="M461" s="100"/>
      <c r="N461" s="100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17"/>
      <c r="H462" s="117"/>
      <c r="I462" s="117"/>
      <c r="J462" s="117"/>
      <c r="K462" s="100"/>
      <c r="L462" s="100"/>
      <c r="M462" s="100"/>
      <c r="N462" s="100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17"/>
      <c r="H463" s="117"/>
      <c r="I463" s="117"/>
      <c r="J463" s="117"/>
      <c r="K463" s="100"/>
      <c r="L463" s="100"/>
      <c r="M463" s="100"/>
      <c r="N463" s="100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17"/>
      <c r="H464" s="117"/>
      <c r="I464" s="117"/>
      <c r="J464" s="117"/>
      <c r="K464" s="100"/>
      <c r="L464" s="100"/>
      <c r="M464" s="100"/>
      <c r="N464" s="100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17"/>
      <c r="H465" s="117"/>
      <c r="I465" s="117"/>
      <c r="J465" s="117"/>
      <c r="K465" s="100"/>
      <c r="L465" s="100"/>
      <c r="M465" s="100"/>
      <c r="N465" s="100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17"/>
      <c r="H466" s="117"/>
      <c r="I466" s="117"/>
      <c r="J466" s="117"/>
      <c r="K466" s="100"/>
      <c r="L466" s="100"/>
      <c r="M466" s="100"/>
      <c r="N466" s="100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17"/>
      <c r="H467" s="117"/>
      <c r="I467" s="117"/>
      <c r="J467" s="117"/>
      <c r="K467" s="100"/>
      <c r="L467" s="100"/>
      <c r="M467" s="100"/>
      <c r="N467" s="100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17"/>
      <c r="H468" s="117"/>
      <c r="I468" s="117"/>
      <c r="J468" s="117"/>
      <c r="K468" s="100"/>
      <c r="L468" s="100"/>
      <c r="M468" s="100"/>
      <c r="N468" s="100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17"/>
      <c r="H469" s="117"/>
      <c r="I469" s="117"/>
      <c r="J469" s="117"/>
      <c r="K469" s="100"/>
      <c r="L469" s="100"/>
      <c r="M469" s="100"/>
      <c r="N469" s="100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17"/>
      <c r="H470" s="117"/>
      <c r="I470" s="117"/>
      <c r="J470" s="117"/>
      <c r="K470" s="100"/>
      <c r="L470" s="100"/>
      <c r="M470" s="100"/>
      <c r="N470" s="100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17"/>
      <c r="H471" s="117"/>
      <c r="I471" s="117"/>
      <c r="J471" s="117"/>
      <c r="K471" s="100"/>
      <c r="L471" s="100"/>
      <c r="M471" s="100"/>
      <c r="N471" s="100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17"/>
      <c r="H472" s="117"/>
      <c r="I472" s="117"/>
      <c r="J472" s="117"/>
      <c r="K472" s="100"/>
      <c r="L472" s="100"/>
      <c r="M472" s="100"/>
      <c r="N472" s="100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17"/>
      <c r="H473" s="117"/>
      <c r="I473" s="117"/>
      <c r="J473" s="117"/>
      <c r="K473" s="100"/>
      <c r="L473" s="100"/>
      <c r="M473" s="100"/>
      <c r="N473" s="100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17"/>
      <c r="H474" s="117"/>
      <c r="I474" s="117"/>
      <c r="J474" s="117"/>
      <c r="K474" s="100"/>
      <c r="L474" s="100"/>
      <c r="M474" s="100"/>
      <c r="N474" s="100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17"/>
      <c r="H475" s="117"/>
      <c r="I475" s="117"/>
      <c r="J475" s="117"/>
      <c r="K475" s="100"/>
      <c r="L475" s="100"/>
      <c r="M475" s="100"/>
      <c r="N475" s="100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17"/>
      <c r="H476" s="117"/>
      <c r="I476" s="117"/>
      <c r="J476" s="117"/>
      <c r="K476" s="100"/>
      <c r="L476" s="100"/>
      <c r="M476" s="100"/>
      <c r="N476" s="100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17"/>
      <c r="H477" s="117"/>
      <c r="I477" s="117"/>
      <c r="J477" s="117"/>
      <c r="K477" s="100"/>
      <c r="L477" s="100"/>
      <c r="M477" s="100"/>
      <c r="N477" s="100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17"/>
      <c r="H478" s="117"/>
      <c r="I478" s="117"/>
      <c r="J478" s="117"/>
      <c r="K478" s="100"/>
      <c r="L478" s="100"/>
      <c r="M478" s="100"/>
      <c r="N478" s="100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17"/>
      <c r="H479" s="117"/>
      <c r="I479" s="117"/>
      <c r="J479" s="117"/>
      <c r="K479" s="100"/>
      <c r="L479" s="100"/>
      <c r="M479" s="100"/>
      <c r="N479" s="100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17"/>
      <c r="H480" s="117"/>
      <c r="I480" s="117"/>
      <c r="J480" s="117"/>
      <c r="K480" s="100"/>
      <c r="L480" s="100"/>
      <c r="M480" s="100"/>
      <c r="N480" s="100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17"/>
      <c r="H481" s="117"/>
      <c r="I481" s="117"/>
      <c r="J481" s="117"/>
      <c r="K481" s="100"/>
      <c r="L481" s="100"/>
      <c r="M481" s="100"/>
      <c r="N481" s="100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17"/>
      <c r="H482" s="117"/>
      <c r="I482" s="117"/>
      <c r="J482" s="117"/>
      <c r="K482" s="100"/>
      <c r="L482" s="100"/>
      <c r="M482" s="100"/>
      <c r="N482" s="100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17"/>
      <c r="H483" s="117"/>
      <c r="I483" s="117"/>
      <c r="J483" s="117"/>
      <c r="K483" s="100"/>
      <c r="L483" s="100"/>
      <c r="M483" s="100"/>
      <c r="N483" s="100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17"/>
      <c r="H484" s="117"/>
      <c r="I484" s="117"/>
      <c r="J484" s="117"/>
      <c r="K484" s="100"/>
      <c r="L484" s="100"/>
      <c r="M484" s="100"/>
      <c r="N484" s="100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17"/>
      <c r="H485" s="117"/>
      <c r="I485" s="117"/>
      <c r="J485" s="117"/>
      <c r="K485" s="100"/>
      <c r="L485" s="100"/>
      <c r="M485" s="100"/>
      <c r="N485" s="100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17"/>
      <c r="H486" s="117"/>
      <c r="I486" s="117"/>
      <c r="J486" s="117"/>
      <c r="K486" s="100"/>
      <c r="L486" s="100"/>
      <c r="M486" s="100"/>
      <c r="N486" s="100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17"/>
      <c r="H487" s="117"/>
      <c r="I487" s="117"/>
      <c r="J487" s="117"/>
      <c r="K487" s="100"/>
      <c r="L487" s="100"/>
      <c r="M487" s="100"/>
      <c r="N487" s="100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17"/>
      <c r="H488" s="117"/>
      <c r="I488" s="117"/>
      <c r="J488" s="117"/>
      <c r="K488" s="100"/>
      <c r="L488" s="100"/>
      <c r="M488" s="100"/>
      <c r="N488" s="100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17"/>
      <c r="H489" s="117"/>
      <c r="I489" s="117"/>
      <c r="J489" s="117"/>
      <c r="K489" s="100"/>
      <c r="L489" s="100"/>
      <c r="M489" s="100"/>
      <c r="N489" s="100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17"/>
      <c r="H490" s="117"/>
      <c r="I490" s="117"/>
      <c r="J490" s="117"/>
      <c r="K490" s="100"/>
      <c r="L490" s="100"/>
      <c r="M490" s="100"/>
      <c r="N490" s="100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17"/>
      <c r="H491" s="117"/>
      <c r="I491" s="117"/>
      <c r="J491" s="117"/>
      <c r="K491" s="100"/>
      <c r="L491" s="100"/>
      <c r="M491" s="100"/>
      <c r="N491" s="100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17"/>
      <c r="H492" s="117"/>
      <c r="I492" s="117"/>
      <c r="J492" s="117"/>
      <c r="K492" s="100"/>
      <c r="L492" s="100"/>
      <c r="M492" s="100"/>
      <c r="N492" s="100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17"/>
      <c r="H493" s="117"/>
      <c r="I493" s="117"/>
      <c r="J493" s="117"/>
      <c r="K493" s="100"/>
      <c r="L493" s="100"/>
      <c r="M493" s="100"/>
      <c r="N493" s="100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17"/>
      <c r="H494" s="117"/>
      <c r="I494" s="117"/>
      <c r="J494" s="117"/>
      <c r="K494" s="100"/>
      <c r="L494" s="100"/>
      <c r="M494" s="100"/>
      <c r="N494" s="100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17"/>
      <c r="H495" s="117"/>
      <c r="I495" s="117"/>
      <c r="J495" s="117"/>
      <c r="K495" s="100"/>
      <c r="L495" s="100"/>
      <c r="M495" s="100"/>
      <c r="N495" s="100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17"/>
      <c r="H496" s="117"/>
      <c r="I496" s="117"/>
      <c r="J496" s="117"/>
      <c r="K496" s="100"/>
      <c r="L496" s="100"/>
      <c r="M496" s="100"/>
      <c r="N496" s="100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17"/>
      <c r="H497" s="117"/>
      <c r="I497" s="117"/>
      <c r="J497" s="117"/>
      <c r="K497" s="100"/>
      <c r="L497" s="100"/>
      <c r="M497" s="100"/>
      <c r="N497" s="100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17"/>
      <c r="H498" s="117"/>
      <c r="I498" s="117"/>
      <c r="J498" s="117"/>
      <c r="K498" s="100"/>
      <c r="L498" s="100"/>
      <c r="M498" s="100"/>
      <c r="N498" s="100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17"/>
      <c r="H499" s="117"/>
      <c r="I499" s="117"/>
      <c r="J499" s="117"/>
      <c r="K499" s="100"/>
      <c r="L499" s="100"/>
      <c r="M499" s="100"/>
      <c r="N499" s="100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17"/>
      <c r="H500" s="117"/>
      <c r="I500" s="117"/>
      <c r="J500" s="117"/>
      <c r="K500" s="100"/>
      <c r="L500" s="100"/>
      <c r="M500" s="100"/>
      <c r="N500" s="100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17"/>
      <c r="H501" s="117"/>
      <c r="I501" s="117"/>
      <c r="J501" s="117"/>
      <c r="K501" s="100"/>
      <c r="L501" s="100"/>
      <c r="M501" s="100"/>
      <c r="N501" s="100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17"/>
      <c r="H502" s="117"/>
      <c r="I502" s="117"/>
      <c r="J502" s="117"/>
      <c r="K502" s="100"/>
      <c r="L502" s="100"/>
      <c r="M502" s="100"/>
      <c r="N502" s="100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17"/>
      <c r="H503" s="117"/>
      <c r="I503" s="117"/>
      <c r="J503" s="117"/>
      <c r="K503" s="100"/>
      <c r="L503" s="100"/>
      <c r="M503" s="100"/>
      <c r="N503" s="100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17"/>
      <c r="H504" s="117"/>
      <c r="I504" s="117"/>
      <c r="J504" s="117"/>
      <c r="K504" s="100"/>
      <c r="L504" s="100"/>
      <c r="M504" s="100"/>
      <c r="N504" s="100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17"/>
      <c r="H505" s="117"/>
      <c r="I505" s="117"/>
      <c r="J505" s="117"/>
      <c r="K505" s="100"/>
      <c r="L505" s="100"/>
      <c r="M505" s="100"/>
      <c r="N505" s="100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17"/>
      <c r="H506" s="117"/>
      <c r="I506" s="117"/>
      <c r="J506" s="117"/>
      <c r="K506" s="100"/>
      <c r="L506" s="100"/>
      <c r="M506" s="100"/>
      <c r="N506" s="100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17"/>
      <c r="H507" s="117"/>
      <c r="I507" s="117"/>
      <c r="J507" s="117"/>
      <c r="K507" s="100"/>
      <c r="L507" s="100"/>
      <c r="M507" s="100"/>
      <c r="N507" s="100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17"/>
      <c r="H508" s="117"/>
      <c r="I508" s="117"/>
      <c r="J508" s="117"/>
      <c r="K508" s="100"/>
      <c r="L508" s="100"/>
      <c r="M508" s="100"/>
      <c r="N508" s="100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17"/>
      <c r="H509" s="117"/>
      <c r="I509" s="117"/>
      <c r="J509" s="117"/>
      <c r="K509" s="100"/>
      <c r="L509" s="100"/>
      <c r="M509" s="100"/>
      <c r="N509" s="100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17"/>
      <c r="H510" s="117"/>
      <c r="I510" s="117"/>
      <c r="J510" s="117"/>
      <c r="K510" s="100"/>
      <c r="L510" s="100"/>
      <c r="M510" s="100"/>
      <c r="N510" s="100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17"/>
      <c r="H511" s="117"/>
      <c r="I511" s="117"/>
      <c r="J511" s="117"/>
      <c r="K511" s="100"/>
      <c r="L511" s="100"/>
      <c r="M511" s="100"/>
      <c r="N511" s="100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17"/>
      <c r="H512" s="117"/>
      <c r="I512" s="117"/>
      <c r="J512" s="117"/>
      <c r="K512" s="100"/>
      <c r="L512" s="100"/>
      <c r="M512" s="100"/>
      <c r="N512" s="100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17"/>
      <c r="H513" s="117"/>
      <c r="I513" s="117"/>
      <c r="J513" s="117"/>
      <c r="K513" s="100"/>
      <c r="L513" s="100"/>
      <c r="M513" s="100"/>
      <c r="N513" s="100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17"/>
      <c r="H514" s="117"/>
      <c r="I514" s="117"/>
      <c r="J514" s="117"/>
      <c r="K514" s="100"/>
      <c r="L514" s="100"/>
      <c r="M514" s="100"/>
      <c r="N514" s="100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17"/>
      <c r="H515" s="117"/>
      <c r="I515" s="117"/>
      <c r="J515" s="117"/>
      <c r="K515" s="100"/>
      <c r="L515" s="100"/>
      <c r="M515" s="100"/>
      <c r="N515" s="100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17"/>
      <c r="H516" s="117"/>
      <c r="I516" s="117"/>
      <c r="J516" s="117"/>
      <c r="K516" s="100"/>
      <c r="L516" s="100"/>
      <c r="M516" s="100"/>
      <c r="N516" s="100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17"/>
      <c r="H517" s="117"/>
      <c r="I517" s="117"/>
      <c r="J517" s="117"/>
      <c r="K517" s="100"/>
      <c r="L517" s="100"/>
      <c r="M517" s="100"/>
      <c r="N517" s="100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17"/>
      <c r="H518" s="117"/>
      <c r="I518" s="117"/>
      <c r="J518" s="117"/>
      <c r="K518" s="100"/>
      <c r="L518" s="100"/>
      <c r="M518" s="100"/>
      <c r="N518" s="100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17"/>
      <c r="H519" s="117"/>
      <c r="I519" s="117"/>
      <c r="J519" s="117"/>
      <c r="K519" s="100"/>
      <c r="L519" s="100"/>
      <c r="M519" s="100"/>
      <c r="N519" s="100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17"/>
      <c r="H520" s="117"/>
      <c r="I520" s="117"/>
      <c r="J520" s="117"/>
      <c r="K520" s="100"/>
      <c r="L520" s="100"/>
      <c r="M520" s="100"/>
      <c r="N520" s="100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17"/>
      <c r="H521" s="117"/>
      <c r="I521" s="117"/>
      <c r="J521" s="117"/>
      <c r="K521" s="100"/>
      <c r="L521" s="100"/>
      <c r="M521" s="100"/>
      <c r="N521" s="100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17"/>
      <c r="H522" s="117"/>
      <c r="I522" s="117"/>
      <c r="J522" s="117"/>
      <c r="K522" s="100"/>
      <c r="L522" s="100"/>
      <c r="M522" s="100"/>
      <c r="N522" s="100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17"/>
      <c r="H523" s="117"/>
      <c r="I523" s="117"/>
      <c r="J523" s="117"/>
      <c r="K523" s="100"/>
      <c r="L523" s="100"/>
      <c r="M523" s="100"/>
      <c r="N523" s="100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17"/>
      <c r="H524" s="117"/>
      <c r="I524" s="117"/>
      <c r="J524" s="117"/>
      <c r="K524" s="100"/>
      <c r="L524" s="100"/>
      <c r="M524" s="100"/>
      <c r="N524" s="100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17"/>
      <c r="H525" s="117"/>
      <c r="I525" s="117"/>
      <c r="J525" s="117"/>
      <c r="K525" s="100"/>
      <c r="L525" s="100"/>
      <c r="M525" s="100"/>
      <c r="N525" s="100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17"/>
      <c r="H526" s="117"/>
      <c r="I526" s="117"/>
      <c r="J526" s="117"/>
      <c r="K526" s="100"/>
      <c r="L526" s="100"/>
      <c r="M526" s="100"/>
      <c r="N526" s="100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17"/>
      <c r="H527" s="117"/>
      <c r="I527" s="117"/>
      <c r="J527" s="117"/>
      <c r="K527" s="100"/>
      <c r="L527" s="100"/>
      <c r="M527" s="100"/>
      <c r="N527" s="100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17"/>
      <c r="H528" s="117"/>
      <c r="I528" s="117"/>
      <c r="J528" s="117"/>
      <c r="K528" s="100"/>
      <c r="L528" s="100"/>
      <c r="M528" s="100"/>
      <c r="N528" s="100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17"/>
      <c r="H529" s="117"/>
      <c r="I529" s="117"/>
      <c r="J529" s="117"/>
      <c r="K529" s="100"/>
      <c r="L529" s="100"/>
      <c r="M529" s="100"/>
      <c r="N529" s="100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17"/>
      <c r="H530" s="117"/>
      <c r="I530" s="117"/>
      <c r="J530" s="117"/>
      <c r="K530" s="100"/>
      <c r="L530" s="100"/>
      <c r="M530" s="100"/>
      <c r="N530" s="100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17"/>
      <c r="H531" s="117"/>
      <c r="I531" s="117"/>
      <c r="J531" s="117"/>
      <c r="K531" s="100"/>
      <c r="L531" s="100"/>
      <c r="M531" s="100"/>
      <c r="N531" s="100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17"/>
      <c r="H532" s="117"/>
      <c r="I532" s="117"/>
      <c r="J532" s="117"/>
      <c r="K532" s="100"/>
      <c r="L532" s="100"/>
      <c r="M532" s="100"/>
      <c r="N532" s="100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17"/>
      <c r="H533" s="117"/>
      <c r="I533" s="117"/>
      <c r="J533" s="117"/>
      <c r="K533" s="100"/>
      <c r="L533" s="100"/>
      <c r="M533" s="100"/>
      <c r="N533" s="100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17"/>
      <c r="H534" s="117"/>
      <c r="I534" s="117"/>
      <c r="J534" s="117"/>
      <c r="K534" s="100"/>
      <c r="L534" s="100"/>
      <c r="M534" s="100"/>
      <c r="N534" s="100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17"/>
      <c r="H535" s="117"/>
      <c r="I535" s="117"/>
      <c r="J535" s="117"/>
      <c r="K535" s="100"/>
      <c r="L535" s="100"/>
      <c r="M535" s="100"/>
      <c r="N535" s="100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17"/>
      <c r="H536" s="117"/>
      <c r="I536" s="117"/>
      <c r="J536" s="117"/>
      <c r="K536" s="100"/>
      <c r="L536" s="100"/>
      <c r="M536" s="100"/>
      <c r="N536" s="100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17"/>
      <c r="H537" s="117"/>
      <c r="I537" s="117"/>
      <c r="J537" s="117"/>
      <c r="K537" s="100"/>
      <c r="L537" s="100"/>
      <c r="M537" s="100"/>
      <c r="N537" s="100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17"/>
      <c r="H538" s="117"/>
      <c r="I538" s="117"/>
      <c r="J538" s="117"/>
      <c r="K538" s="100"/>
      <c r="L538" s="100"/>
      <c r="M538" s="100"/>
      <c r="N538" s="100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17"/>
      <c r="H539" s="117"/>
      <c r="I539" s="117"/>
      <c r="J539" s="117"/>
      <c r="K539" s="100"/>
      <c r="L539" s="100"/>
      <c r="M539" s="100"/>
      <c r="N539" s="100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17"/>
      <c r="H540" s="117"/>
      <c r="I540" s="117"/>
      <c r="J540" s="117"/>
      <c r="K540" s="100"/>
      <c r="L540" s="100"/>
      <c r="M540" s="100"/>
      <c r="N540" s="100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17"/>
      <c r="H541" s="117"/>
      <c r="I541" s="117"/>
      <c r="J541" s="117"/>
      <c r="K541" s="100"/>
      <c r="L541" s="100"/>
      <c r="M541" s="100"/>
      <c r="N541" s="100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17"/>
      <c r="H542" s="117"/>
      <c r="I542" s="117"/>
      <c r="J542" s="117"/>
      <c r="K542" s="100"/>
      <c r="L542" s="100"/>
      <c r="M542" s="100"/>
      <c r="N542" s="100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17"/>
      <c r="H543" s="117"/>
      <c r="I543" s="117"/>
      <c r="J543" s="117"/>
      <c r="K543" s="100"/>
      <c r="L543" s="100"/>
      <c r="M543" s="100"/>
      <c r="N543" s="100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17"/>
      <c r="H544" s="117"/>
      <c r="I544" s="117"/>
      <c r="J544" s="117"/>
      <c r="K544" s="100"/>
      <c r="L544" s="100"/>
      <c r="M544" s="100"/>
      <c r="N544" s="100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17"/>
      <c r="H545" s="117"/>
      <c r="I545" s="117"/>
      <c r="J545" s="117"/>
      <c r="K545" s="100"/>
      <c r="L545" s="100"/>
      <c r="M545" s="100"/>
      <c r="N545" s="100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17"/>
      <c r="H546" s="117"/>
      <c r="I546" s="117"/>
      <c r="J546" s="117"/>
      <c r="K546" s="100"/>
      <c r="L546" s="100"/>
      <c r="M546" s="100"/>
      <c r="N546" s="100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17"/>
      <c r="H547" s="117"/>
      <c r="I547" s="117"/>
      <c r="J547" s="117"/>
      <c r="K547" s="100"/>
      <c r="L547" s="100"/>
      <c r="M547" s="100"/>
      <c r="N547" s="100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17"/>
      <c r="H548" s="117"/>
      <c r="I548" s="117"/>
      <c r="J548" s="117"/>
      <c r="K548" s="100"/>
      <c r="L548" s="100"/>
      <c r="M548" s="100"/>
      <c r="N548" s="100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17"/>
      <c r="H549" s="117"/>
      <c r="I549" s="117"/>
      <c r="J549" s="117"/>
      <c r="K549" s="100"/>
      <c r="L549" s="100"/>
      <c r="M549" s="100"/>
      <c r="N549" s="100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17"/>
      <c r="H550" s="117"/>
      <c r="I550" s="117"/>
      <c r="J550" s="117"/>
      <c r="K550" s="100"/>
      <c r="L550" s="100"/>
      <c r="M550" s="100"/>
      <c r="N550" s="100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17"/>
      <c r="H551" s="117"/>
      <c r="I551" s="117"/>
      <c r="J551" s="117"/>
      <c r="K551" s="100"/>
      <c r="L551" s="100"/>
      <c r="M551" s="100"/>
      <c r="N551" s="100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17"/>
      <c r="H552" s="117"/>
      <c r="I552" s="117"/>
      <c r="J552" s="117"/>
      <c r="K552" s="100"/>
      <c r="L552" s="100"/>
      <c r="M552" s="100"/>
      <c r="N552" s="100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17"/>
      <c r="H553" s="117"/>
      <c r="I553" s="117"/>
      <c r="J553" s="117"/>
      <c r="K553" s="100"/>
      <c r="L553" s="100"/>
      <c r="M553" s="100"/>
      <c r="N553" s="100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17"/>
      <c r="H554" s="117"/>
      <c r="I554" s="117"/>
      <c r="J554" s="117"/>
      <c r="K554" s="100"/>
      <c r="L554" s="100"/>
      <c r="M554" s="100"/>
      <c r="N554" s="100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17"/>
      <c r="H555" s="117"/>
      <c r="I555" s="117"/>
      <c r="J555" s="117"/>
      <c r="K555" s="100"/>
      <c r="L555" s="100"/>
      <c r="M555" s="100"/>
      <c r="N555" s="100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17"/>
      <c r="H556" s="117"/>
      <c r="I556" s="117"/>
      <c r="J556" s="117"/>
      <c r="K556" s="100"/>
      <c r="L556" s="100"/>
      <c r="M556" s="100"/>
      <c r="N556" s="100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17"/>
      <c r="H557" s="117"/>
      <c r="I557" s="117"/>
      <c r="J557" s="117"/>
      <c r="K557" s="100"/>
      <c r="L557" s="100"/>
      <c r="M557" s="100"/>
      <c r="N557" s="100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17"/>
      <c r="H558" s="117"/>
      <c r="I558" s="117"/>
      <c r="J558" s="117"/>
      <c r="K558" s="100"/>
      <c r="L558" s="100"/>
      <c r="M558" s="100"/>
      <c r="N558" s="100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17"/>
      <c r="H559" s="117"/>
      <c r="I559" s="117"/>
      <c r="J559" s="117"/>
      <c r="K559" s="100"/>
      <c r="L559" s="100"/>
      <c r="M559" s="100"/>
      <c r="N559" s="100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17"/>
      <c r="H560" s="117"/>
      <c r="I560" s="117"/>
      <c r="J560" s="117"/>
      <c r="K560" s="100"/>
      <c r="L560" s="100"/>
      <c r="M560" s="100"/>
      <c r="N560" s="100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17"/>
      <c r="H561" s="117"/>
      <c r="I561" s="117"/>
      <c r="J561" s="117"/>
      <c r="K561" s="100"/>
      <c r="L561" s="100"/>
      <c r="M561" s="100"/>
      <c r="N561" s="100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17"/>
      <c r="H562" s="117"/>
      <c r="I562" s="117"/>
      <c r="J562" s="117"/>
      <c r="K562" s="100"/>
      <c r="L562" s="100"/>
      <c r="M562" s="100"/>
      <c r="N562" s="100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17"/>
      <c r="H563" s="117"/>
      <c r="I563" s="117"/>
      <c r="J563" s="117"/>
      <c r="K563" s="100"/>
      <c r="L563" s="100"/>
      <c r="M563" s="100"/>
      <c r="N563" s="100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17"/>
      <c r="H564" s="117"/>
      <c r="I564" s="117"/>
      <c r="J564" s="117"/>
      <c r="K564" s="100"/>
      <c r="L564" s="100"/>
      <c r="M564" s="100"/>
      <c r="N564" s="100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17"/>
      <c r="H565" s="117"/>
      <c r="I565" s="117"/>
      <c r="J565" s="117"/>
      <c r="K565" s="100"/>
      <c r="L565" s="100"/>
      <c r="M565" s="100"/>
      <c r="N565" s="100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17"/>
      <c r="H566" s="117"/>
      <c r="I566" s="117"/>
      <c r="J566" s="117"/>
      <c r="K566" s="100"/>
      <c r="L566" s="100"/>
      <c r="M566" s="100"/>
      <c r="N566" s="100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17"/>
      <c r="H567" s="117"/>
      <c r="I567" s="117"/>
      <c r="J567" s="117"/>
      <c r="K567" s="100"/>
      <c r="L567" s="100"/>
      <c r="M567" s="100"/>
      <c r="N567" s="100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17"/>
      <c r="H568" s="117"/>
      <c r="I568" s="117"/>
      <c r="J568" s="117"/>
      <c r="K568" s="100"/>
      <c r="L568" s="100"/>
      <c r="M568" s="100"/>
      <c r="N568" s="100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17"/>
      <c r="H569" s="117"/>
      <c r="I569" s="117"/>
      <c r="J569" s="117"/>
      <c r="K569" s="100"/>
      <c r="L569" s="100"/>
      <c r="M569" s="100"/>
      <c r="N569" s="100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17"/>
      <c r="H570" s="117"/>
      <c r="I570" s="117"/>
      <c r="J570" s="117"/>
      <c r="K570" s="100"/>
      <c r="L570" s="100"/>
      <c r="M570" s="100"/>
      <c r="N570" s="100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17"/>
      <c r="H571" s="117"/>
      <c r="I571" s="117"/>
      <c r="J571" s="117"/>
      <c r="K571" s="100"/>
      <c r="L571" s="100"/>
      <c r="M571" s="100"/>
      <c r="N571" s="100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17"/>
      <c r="H572" s="117"/>
      <c r="I572" s="117"/>
      <c r="J572" s="117"/>
      <c r="K572" s="100"/>
      <c r="L572" s="100"/>
      <c r="M572" s="100"/>
      <c r="N572" s="100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17"/>
      <c r="H573" s="117"/>
      <c r="I573" s="117"/>
      <c r="J573" s="117"/>
      <c r="K573" s="100"/>
      <c r="L573" s="100"/>
      <c r="M573" s="100"/>
      <c r="N573" s="100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17"/>
      <c r="H574" s="117"/>
      <c r="I574" s="117"/>
      <c r="J574" s="117"/>
      <c r="K574" s="100"/>
      <c r="L574" s="100"/>
      <c r="M574" s="100"/>
      <c r="N574" s="100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17"/>
      <c r="H575" s="117"/>
      <c r="I575" s="117"/>
      <c r="J575" s="117"/>
      <c r="K575" s="100"/>
      <c r="L575" s="100"/>
      <c r="M575" s="100"/>
      <c r="N575" s="100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17"/>
      <c r="H576" s="117"/>
      <c r="I576" s="117"/>
      <c r="J576" s="117"/>
      <c r="K576" s="100"/>
      <c r="L576" s="100"/>
      <c r="M576" s="100"/>
      <c r="N576" s="100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17"/>
      <c r="H577" s="117"/>
      <c r="I577" s="117"/>
      <c r="J577" s="117"/>
      <c r="K577" s="100"/>
      <c r="L577" s="100"/>
      <c r="M577" s="100"/>
      <c r="N577" s="100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17"/>
      <c r="H578" s="117"/>
      <c r="I578" s="117"/>
      <c r="J578" s="117"/>
      <c r="K578" s="100"/>
      <c r="L578" s="100"/>
      <c r="M578" s="100"/>
      <c r="N578" s="100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17"/>
      <c r="H579" s="117"/>
      <c r="I579" s="117"/>
      <c r="J579" s="117"/>
      <c r="K579" s="100"/>
      <c r="L579" s="100"/>
      <c r="M579" s="100"/>
      <c r="N579" s="100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17"/>
      <c r="H580" s="117"/>
      <c r="I580" s="117"/>
      <c r="J580" s="117"/>
      <c r="K580" s="100"/>
      <c r="L580" s="100"/>
      <c r="M580" s="100"/>
      <c r="N580" s="100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17"/>
      <c r="H581" s="117"/>
      <c r="I581" s="117"/>
      <c r="J581" s="117"/>
      <c r="K581" s="100"/>
      <c r="L581" s="100"/>
      <c r="M581" s="100"/>
      <c r="N581" s="100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17"/>
      <c r="H582" s="117"/>
      <c r="I582" s="117"/>
      <c r="J582" s="117"/>
      <c r="K582" s="100"/>
      <c r="L582" s="100"/>
      <c r="M582" s="100"/>
      <c r="N582" s="100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17"/>
      <c r="H583" s="117"/>
      <c r="I583" s="117"/>
      <c r="J583" s="117"/>
      <c r="K583" s="100"/>
      <c r="L583" s="100"/>
      <c r="M583" s="100"/>
      <c r="N583" s="100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17"/>
      <c r="H584" s="117"/>
      <c r="I584" s="117"/>
      <c r="J584" s="117"/>
      <c r="K584" s="100"/>
      <c r="L584" s="100"/>
      <c r="M584" s="100"/>
      <c r="N584" s="100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17"/>
      <c r="H585" s="117"/>
      <c r="I585" s="117"/>
      <c r="J585" s="117"/>
      <c r="K585" s="100"/>
      <c r="L585" s="100"/>
      <c r="M585" s="100"/>
      <c r="N585" s="100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17"/>
      <c r="H586" s="117"/>
      <c r="I586" s="117"/>
      <c r="J586" s="117"/>
      <c r="K586" s="100"/>
      <c r="L586" s="100"/>
      <c r="M586" s="100"/>
      <c r="N586" s="100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17"/>
      <c r="H587" s="117"/>
      <c r="I587" s="117"/>
      <c r="J587" s="117"/>
      <c r="K587" s="100"/>
      <c r="L587" s="100"/>
      <c r="M587" s="100"/>
      <c r="N587" s="100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17"/>
      <c r="H588" s="117"/>
      <c r="I588" s="117"/>
      <c r="J588" s="117"/>
      <c r="K588" s="100"/>
      <c r="L588" s="100"/>
      <c r="M588" s="100"/>
      <c r="N588" s="100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17"/>
      <c r="H589" s="117"/>
      <c r="I589" s="117"/>
      <c r="J589" s="117"/>
      <c r="K589" s="100"/>
      <c r="L589" s="100"/>
      <c r="M589" s="100"/>
      <c r="N589" s="100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17"/>
      <c r="H590" s="117"/>
      <c r="I590" s="117"/>
      <c r="J590" s="117"/>
      <c r="K590" s="100"/>
      <c r="L590" s="100"/>
      <c r="M590" s="100"/>
      <c r="N590" s="100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17"/>
      <c r="H591" s="117"/>
      <c r="I591" s="117"/>
      <c r="J591" s="117"/>
      <c r="K591" s="100"/>
      <c r="L591" s="100"/>
      <c r="M591" s="100"/>
      <c r="N591" s="100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17"/>
      <c r="H592" s="117"/>
      <c r="I592" s="117"/>
      <c r="J592" s="117"/>
      <c r="K592" s="100"/>
      <c r="L592" s="100"/>
      <c r="M592" s="100"/>
      <c r="N592" s="100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17"/>
      <c r="H593" s="117"/>
      <c r="I593" s="117"/>
      <c r="J593" s="117"/>
      <c r="K593" s="100"/>
      <c r="L593" s="100"/>
      <c r="M593" s="100"/>
      <c r="N593" s="100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17"/>
      <c r="H594" s="117"/>
      <c r="I594" s="117"/>
      <c r="J594" s="117"/>
      <c r="K594" s="100"/>
      <c r="L594" s="100"/>
      <c r="M594" s="100"/>
      <c r="N594" s="100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17"/>
      <c r="H595" s="117"/>
      <c r="I595" s="117"/>
      <c r="J595" s="117"/>
      <c r="K595" s="100"/>
      <c r="L595" s="100"/>
      <c r="M595" s="100"/>
      <c r="N595" s="100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17"/>
      <c r="H596" s="117"/>
      <c r="I596" s="117"/>
      <c r="J596" s="117"/>
      <c r="K596" s="100"/>
      <c r="L596" s="100"/>
      <c r="M596" s="100"/>
      <c r="N596" s="100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17"/>
      <c r="H597" s="117"/>
      <c r="I597" s="117"/>
      <c r="J597" s="117"/>
      <c r="K597" s="100"/>
      <c r="L597" s="100"/>
      <c r="M597" s="100"/>
      <c r="N597" s="100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17"/>
      <c r="H598" s="117"/>
      <c r="I598" s="117"/>
      <c r="J598" s="117"/>
      <c r="K598" s="100"/>
      <c r="L598" s="100"/>
      <c r="M598" s="100"/>
      <c r="N598" s="100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17"/>
      <c r="H599" s="117"/>
      <c r="I599" s="117"/>
      <c r="J599" s="117"/>
      <c r="K599" s="100"/>
      <c r="L599" s="100"/>
      <c r="M599" s="100"/>
      <c r="N599" s="100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17"/>
      <c r="H600" s="117"/>
      <c r="I600" s="117"/>
      <c r="J600" s="117"/>
      <c r="K600" s="100"/>
      <c r="L600" s="100"/>
      <c r="M600" s="100"/>
      <c r="N600" s="100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17"/>
      <c r="H601" s="117"/>
      <c r="I601" s="117"/>
      <c r="J601" s="117"/>
      <c r="K601" s="100"/>
      <c r="L601" s="100"/>
      <c r="M601" s="100"/>
      <c r="N601" s="100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17"/>
      <c r="H602" s="117"/>
      <c r="I602" s="117"/>
      <c r="J602" s="117"/>
      <c r="K602" s="100"/>
      <c r="L602" s="100"/>
      <c r="M602" s="100"/>
      <c r="N602" s="100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17"/>
      <c r="H603" s="117"/>
      <c r="I603" s="117"/>
      <c r="J603" s="117"/>
      <c r="K603" s="100"/>
      <c r="L603" s="100"/>
      <c r="M603" s="100"/>
      <c r="N603" s="100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17"/>
      <c r="H604" s="117"/>
      <c r="I604" s="117"/>
      <c r="J604" s="117"/>
      <c r="K604" s="100"/>
      <c r="L604" s="100"/>
      <c r="M604" s="100"/>
      <c r="N604" s="100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17"/>
      <c r="H605" s="117"/>
      <c r="I605" s="117"/>
      <c r="J605" s="117"/>
      <c r="K605" s="100"/>
      <c r="L605" s="100"/>
      <c r="M605" s="100"/>
      <c r="N605" s="100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17"/>
      <c r="H606" s="117"/>
      <c r="I606" s="117"/>
      <c r="J606" s="117"/>
      <c r="K606" s="100"/>
      <c r="L606" s="100"/>
      <c r="M606" s="100"/>
      <c r="N606" s="100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17"/>
      <c r="H607" s="117"/>
      <c r="I607" s="117"/>
      <c r="J607" s="117"/>
      <c r="K607" s="100"/>
      <c r="L607" s="100"/>
      <c r="M607" s="100"/>
      <c r="N607" s="100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17"/>
      <c r="H608" s="117"/>
      <c r="I608" s="117"/>
      <c r="J608" s="117"/>
      <c r="K608" s="100"/>
      <c r="L608" s="100"/>
      <c r="M608" s="100"/>
      <c r="N608" s="100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17"/>
      <c r="H609" s="117"/>
      <c r="I609" s="117"/>
      <c r="J609" s="117"/>
      <c r="K609" s="100"/>
      <c r="L609" s="100"/>
      <c r="M609" s="100"/>
      <c r="N609" s="100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17"/>
      <c r="H610" s="117"/>
      <c r="I610" s="117"/>
      <c r="J610" s="117"/>
      <c r="K610" s="100"/>
      <c r="L610" s="100"/>
      <c r="M610" s="100"/>
      <c r="N610" s="100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17"/>
      <c r="H611" s="117"/>
      <c r="I611" s="117"/>
      <c r="J611" s="117"/>
      <c r="K611" s="100"/>
      <c r="L611" s="100"/>
      <c r="M611" s="100"/>
      <c r="N611" s="100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17"/>
      <c r="H612" s="117"/>
      <c r="I612" s="117"/>
      <c r="J612" s="117"/>
      <c r="K612" s="100"/>
      <c r="L612" s="100"/>
      <c r="M612" s="100"/>
      <c r="N612" s="100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17"/>
      <c r="H613" s="117"/>
      <c r="I613" s="117"/>
      <c r="J613" s="117"/>
      <c r="K613" s="100"/>
      <c r="L613" s="100"/>
      <c r="M613" s="100"/>
      <c r="N613" s="100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17"/>
      <c r="H614" s="117"/>
      <c r="I614" s="117"/>
      <c r="J614" s="117"/>
      <c r="K614" s="100"/>
      <c r="L614" s="100"/>
      <c r="M614" s="100"/>
      <c r="N614" s="100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17"/>
      <c r="H615" s="117"/>
      <c r="I615" s="117"/>
      <c r="J615" s="117"/>
      <c r="K615" s="100"/>
      <c r="L615" s="100"/>
      <c r="M615" s="100"/>
      <c r="N615" s="100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17"/>
      <c r="H616" s="117"/>
      <c r="I616" s="117"/>
      <c r="J616" s="117"/>
      <c r="K616" s="100"/>
      <c r="L616" s="100"/>
      <c r="M616" s="100"/>
      <c r="N616" s="100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17"/>
      <c r="H617" s="117"/>
      <c r="I617" s="117"/>
      <c r="J617" s="117"/>
      <c r="K617" s="100"/>
      <c r="L617" s="100"/>
      <c r="M617" s="100"/>
      <c r="N617" s="100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17"/>
      <c r="H618" s="117"/>
      <c r="I618" s="117"/>
      <c r="J618" s="117"/>
      <c r="K618" s="100"/>
      <c r="L618" s="100"/>
      <c r="M618" s="100"/>
      <c r="N618" s="100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17"/>
      <c r="H619" s="117"/>
      <c r="I619" s="117"/>
      <c r="J619" s="117"/>
      <c r="K619" s="100"/>
      <c r="L619" s="100"/>
      <c r="M619" s="100"/>
      <c r="N619" s="100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17"/>
      <c r="H620" s="117"/>
      <c r="I620" s="117"/>
      <c r="J620" s="117"/>
      <c r="K620" s="100"/>
      <c r="L620" s="100"/>
      <c r="M620" s="100"/>
      <c r="N620" s="100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17"/>
      <c r="H621" s="117"/>
      <c r="I621" s="117"/>
      <c r="J621" s="117"/>
      <c r="K621" s="100"/>
      <c r="L621" s="100"/>
      <c r="M621" s="100"/>
      <c r="N621" s="100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17"/>
      <c r="H622" s="117"/>
      <c r="I622" s="117"/>
      <c r="J622" s="117"/>
      <c r="K622" s="100"/>
      <c r="L622" s="100"/>
      <c r="M622" s="100"/>
      <c r="N622" s="100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17"/>
      <c r="H623" s="117"/>
      <c r="I623" s="117"/>
      <c r="J623" s="117"/>
      <c r="K623" s="100"/>
      <c r="L623" s="100"/>
      <c r="M623" s="100"/>
      <c r="N623" s="100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17"/>
      <c r="H624" s="117"/>
      <c r="I624" s="117"/>
      <c r="J624" s="117"/>
      <c r="K624" s="100"/>
      <c r="L624" s="100"/>
      <c r="M624" s="100"/>
      <c r="N624" s="100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17"/>
      <c r="H625" s="117"/>
      <c r="I625" s="117"/>
      <c r="J625" s="117"/>
      <c r="K625" s="100"/>
      <c r="L625" s="100"/>
      <c r="M625" s="100"/>
      <c r="N625" s="100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17"/>
      <c r="H626" s="117"/>
      <c r="I626" s="117"/>
      <c r="J626" s="117"/>
      <c r="K626" s="100"/>
      <c r="L626" s="100"/>
      <c r="M626" s="100"/>
      <c r="N626" s="100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17"/>
      <c r="H627" s="117"/>
      <c r="I627" s="117"/>
      <c r="J627" s="117"/>
      <c r="K627" s="100"/>
      <c r="L627" s="100"/>
      <c r="M627" s="100"/>
      <c r="N627" s="100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17"/>
      <c r="H628" s="117"/>
      <c r="I628" s="117"/>
      <c r="J628" s="117"/>
      <c r="K628" s="100"/>
      <c r="L628" s="100"/>
      <c r="M628" s="100"/>
      <c r="N628" s="100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17"/>
      <c r="H629" s="117"/>
      <c r="I629" s="117"/>
      <c r="J629" s="117"/>
      <c r="K629" s="100"/>
      <c r="L629" s="100"/>
      <c r="M629" s="100"/>
      <c r="N629" s="100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17"/>
      <c r="H630" s="117"/>
      <c r="I630" s="117"/>
      <c r="J630" s="117"/>
      <c r="K630" s="100"/>
      <c r="L630" s="100"/>
      <c r="M630" s="100"/>
      <c r="N630" s="100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17"/>
      <c r="H631" s="117"/>
      <c r="I631" s="117"/>
      <c r="J631" s="117"/>
      <c r="K631" s="100"/>
      <c r="L631" s="100"/>
      <c r="M631" s="100"/>
      <c r="N631" s="100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17"/>
      <c r="H632" s="117"/>
      <c r="I632" s="117"/>
      <c r="J632" s="117"/>
      <c r="K632" s="100"/>
      <c r="L632" s="100"/>
      <c r="M632" s="100"/>
      <c r="N632" s="100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17"/>
      <c r="H633" s="117"/>
      <c r="I633" s="117"/>
      <c r="J633" s="117"/>
      <c r="K633" s="100"/>
      <c r="L633" s="100"/>
      <c r="M633" s="100"/>
      <c r="N633" s="100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17"/>
      <c r="H634" s="117"/>
      <c r="I634" s="117"/>
      <c r="J634" s="117"/>
      <c r="K634" s="100"/>
      <c r="L634" s="100"/>
      <c r="M634" s="100"/>
      <c r="N634" s="100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17"/>
      <c r="H635" s="117"/>
      <c r="I635" s="117"/>
      <c r="J635" s="117"/>
      <c r="K635" s="100"/>
      <c r="L635" s="100"/>
      <c r="M635" s="100"/>
      <c r="N635" s="100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17"/>
      <c r="H636" s="117"/>
      <c r="I636" s="117"/>
      <c r="J636" s="117"/>
      <c r="K636" s="100"/>
      <c r="L636" s="100"/>
      <c r="M636" s="100"/>
      <c r="N636" s="100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17"/>
      <c r="H637" s="117"/>
      <c r="I637" s="117"/>
      <c r="J637" s="117"/>
      <c r="K637" s="100"/>
      <c r="L637" s="100"/>
      <c r="M637" s="100"/>
      <c r="N637" s="100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17"/>
      <c r="H638" s="117"/>
      <c r="I638" s="117"/>
      <c r="J638" s="117"/>
      <c r="K638" s="100"/>
      <c r="L638" s="100"/>
      <c r="M638" s="100"/>
      <c r="N638" s="100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17"/>
      <c r="H639" s="117"/>
      <c r="I639" s="117"/>
      <c r="J639" s="117"/>
      <c r="K639" s="100"/>
      <c r="L639" s="100"/>
      <c r="M639" s="100"/>
      <c r="N639" s="100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17"/>
      <c r="H640" s="117"/>
      <c r="I640" s="117"/>
      <c r="J640" s="117"/>
      <c r="K640" s="100"/>
      <c r="L640" s="100"/>
      <c r="M640" s="100"/>
      <c r="N640" s="100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17"/>
      <c r="H641" s="117"/>
      <c r="I641" s="117"/>
      <c r="J641" s="117"/>
      <c r="K641" s="100"/>
      <c r="L641" s="100"/>
      <c r="M641" s="100"/>
      <c r="N641" s="100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17"/>
      <c r="H642" s="117"/>
      <c r="I642" s="117"/>
      <c r="J642" s="117"/>
      <c r="K642" s="100"/>
      <c r="L642" s="100"/>
      <c r="M642" s="100"/>
      <c r="N642" s="100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17"/>
      <c r="H643" s="117"/>
      <c r="I643" s="117"/>
      <c r="J643" s="117"/>
      <c r="K643" s="100"/>
      <c r="L643" s="100"/>
      <c r="M643" s="100"/>
      <c r="N643" s="100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17"/>
      <c r="H644" s="117"/>
      <c r="I644" s="117"/>
      <c r="J644" s="117"/>
      <c r="K644" s="100"/>
      <c r="L644" s="100"/>
      <c r="M644" s="100"/>
      <c r="N644" s="100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17"/>
      <c r="H645" s="117"/>
      <c r="I645" s="117"/>
      <c r="J645" s="117"/>
      <c r="K645" s="100"/>
      <c r="L645" s="100"/>
      <c r="M645" s="100"/>
      <c r="N645" s="100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17"/>
      <c r="H646" s="117"/>
      <c r="I646" s="117"/>
      <c r="J646" s="117"/>
      <c r="K646" s="100"/>
      <c r="L646" s="100"/>
      <c r="M646" s="100"/>
      <c r="N646" s="100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17"/>
      <c r="H647" s="117"/>
      <c r="I647" s="117"/>
      <c r="J647" s="117"/>
      <c r="K647" s="100"/>
      <c r="L647" s="100"/>
      <c r="M647" s="100"/>
      <c r="N647" s="100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17"/>
      <c r="H648" s="117"/>
      <c r="I648" s="117"/>
      <c r="J648" s="117"/>
      <c r="K648" s="100"/>
      <c r="L648" s="100"/>
      <c r="M648" s="100"/>
      <c r="N648" s="100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17"/>
      <c r="H649" s="117"/>
      <c r="I649" s="117"/>
      <c r="J649" s="117"/>
      <c r="K649" s="100"/>
      <c r="L649" s="100"/>
      <c r="M649" s="100"/>
      <c r="N649" s="100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17"/>
      <c r="H650" s="117"/>
      <c r="I650" s="117"/>
      <c r="J650" s="117"/>
      <c r="K650" s="100"/>
      <c r="L650" s="100"/>
      <c r="M650" s="100"/>
      <c r="N650" s="100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17"/>
      <c r="H651" s="117"/>
      <c r="I651" s="117"/>
      <c r="J651" s="117"/>
      <c r="K651" s="100"/>
      <c r="L651" s="100"/>
      <c r="M651" s="100"/>
      <c r="N651" s="100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17"/>
      <c r="H652" s="117"/>
      <c r="I652" s="117"/>
      <c r="J652" s="117"/>
      <c r="K652" s="100"/>
      <c r="L652" s="100"/>
      <c r="M652" s="100"/>
      <c r="N652" s="100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17"/>
      <c r="H653" s="117"/>
      <c r="I653" s="117"/>
      <c r="J653" s="117"/>
      <c r="K653" s="100"/>
      <c r="L653" s="100"/>
      <c r="M653" s="100"/>
      <c r="N653" s="100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17"/>
      <c r="H654" s="117"/>
      <c r="I654" s="117"/>
      <c r="J654" s="117"/>
      <c r="K654" s="100"/>
      <c r="L654" s="100"/>
      <c r="M654" s="100"/>
      <c r="N654" s="100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17"/>
      <c r="H655" s="117"/>
      <c r="I655" s="117"/>
      <c r="J655" s="117"/>
      <c r="K655" s="100"/>
      <c r="L655" s="100"/>
      <c r="M655" s="100"/>
      <c r="N655" s="100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17"/>
      <c r="H656" s="117"/>
      <c r="I656" s="117"/>
      <c r="J656" s="117"/>
      <c r="K656" s="100"/>
      <c r="L656" s="100"/>
      <c r="M656" s="100"/>
      <c r="N656" s="100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17"/>
      <c r="H657" s="117"/>
      <c r="I657" s="117"/>
      <c r="J657" s="117"/>
      <c r="K657" s="100"/>
      <c r="L657" s="100"/>
      <c r="M657" s="100"/>
      <c r="N657" s="100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17"/>
      <c r="H658" s="117"/>
      <c r="I658" s="117"/>
      <c r="J658" s="117"/>
      <c r="K658" s="100"/>
      <c r="L658" s="100"/>
      <c r="M658" s="100"/>
      <c r="N658" s="100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17"/>
      <c r="H659" s="117"/>
      <c r="I659" s="117"/>
      <c r="J659" s="117"/>
      <c r="K659" s="100"/>
      <c r="L659" s="100"/>
      <c r="M659" s="100"/>
      <c r="N659" s="100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17"/>
      <c r="H660" s="117"/>
      <c r="I660" s="117"/>
      <c r="J660" s="117"/>
      <c r="K660" s="100"/>
      <c r="L660" s="100"/>
      <c r="M660" s="100"/>
      <c r="N660" s="100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17"/>
      <c r="H661" s="117"/>
      <c r="I661" s="117"/>
      <c r="J661" s="117"/>
      <c r="K661" s="100"/>
      <c r="L661" s="100"/>
      <c r="M661" s="100"/>
      <c r="N661" s="100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17"/>
      <c r="H662" s="117"/>
      <c r="I662" s="117"/>
      <c r="J662" s="117"/>
      <c r="K662" s="100"/>
      <c r="L662" s="100"/>
      <c r="M662" s="100"/>
      <c r="N662" s="100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17"/>
      <c r="H663" s="117"/>
      <c r="I663" s="117"/>
      <c r="J663" s="117"/>
      <c r="K663" s="100"/>
      <c r="L663" s="100"/>
      <c r="M663" s="100"/>
      <c r="N663" s="100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17"/>
      <c r="H664" s="117"/>
      <c r="I664" s="117"/>
      <c r="J664" s="117"/>
      <c r="K664" s="100"/>
      <c r="L664" s="100"/>
      <c r="M664" s="100"/>
      <c r="N664" s="100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17"/>
      <c r="H665" s="117"/>
      <c r="I665" s="117"/>
      <c r="J665" s="117"/>
      <c r="K665" s="100"/>
      <c r="L665" s="100"/>
      <c r="M665" s="100"/>
      <c r="N665" s="100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17"/>
      <c r="H666" s="117"/>
      <c r="I666" s="117"/>
      <c r="J666" s="117"/>
      <c r="K666" s="100"/>
      <c r="L666" s="100"/>
      <c r="M666" s="100"/>
      <c r="N666" s="100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17"/>
      <c r="H667" s="117"/>
      <c r="I667" s="117"/>
      <c r="J667" s="117"/>
      <c r="K667" s="100"/>
      <c r="L667" s="100"/>
      <c r="M667" s="100"/>
      <c r="N667" s="100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17"/>
      <c r="H668" s="117"/>
      <c r="I668" s="117"/>
      <c r="J668" s="117"/>
      <c r="K668" s="100"/>
      <c r="L668" s="100"/>
      <c r="M668" s="100"/>
      <c r="N668" s="100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17"/>
      <c r="H669" s="117"/>
      <c r="I669" s="117"/>
      <c r="J669" s="117"/>
      <c r="K669" s="100"/>
      <c r="L669" s="100"/>
      <c r="M669" s="100"/>
      <c r="N669" s="100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17"/>
      <c r="H670" s="117"/>
      <c r="I670" s="117"/>
      <c r="J670" s="117"/>
      <c r="K670" s="100"/>
      <c r="L670" s="100"/>
      <c r="M670" s="100"/>
      <c r="N670" s="100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17"/>
      <c r="H671" s="117"/>
      <c r="I671" s="117"/>
      <c r="J671" s="117"/>
      <c r="K671" s="100"/>
      <c r="L671" s="100"/>
      <c r="M671" s="100"/>
      <c r="N671" s="100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17"/>
      <c r="H672" s="117"/>
      <c r="I672" s="117"/>
      <c r="J672" s="117"/>
      <c r="K672" s="100"/>
      <c r="L672" s="100"/>
      <c r="M672" s="100"/>
      <c r="N672" s="100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17"/>
      <c r="H673" s="117"/>
      <c r="I673" s="117"/>
      <c r="J673" s="117"/>
      <c r="K673" s="100"/>
      <c r="L673" s="100"/>
      <c r="M673" s="100"/>
      <c r="N673" s="100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17"/>
      <c r="H674" s="117"/>
      <c r="I674" s="117"/>
      <c r="J674" s="117"/>
      <c r="K674" s="100"/>
      <c r="L674" s="100"/>
      <c r="M674" s="100"/>
      <c r="N674" s="100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17"/>
      <c r="H675" s="117"/>
      <c r="I675" s="117"/>
      <c r="J675" s="117"/>
      <c r="K675" s="100"/>
      <c r="L675" s="100"/>
      <c r="M675" s="100"/>
      <c r="N675" s="100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17"/>
      <c r="H676" s="117"/>
      <c r="I676" s="117"/>
      <c r="J676" s="117"/>
      <c r="K676" s="100"/>
      <c r="L676" s="100"/>
      <c r="M676" s="100"/>
      <c r="N676" s="100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17"/>
      <c r="H677" s="117"/>
      <c r="I677" s="117"/>
      <c r="J677" s="117"/>
      <c r="K677" s="100"/>
      <c r="L677" s="100"/>
      <c r="M677" s="100"/>
      <c r="N677" s="100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17"/>
      <c r="H678" s="117"/>
      <c r="I678" s="117"/>
      <c r="J678" s="117"/>
      <c r="K678" s="100"/>
      <c r="L678" s="100"/>
      <c r="M678" s="100"/>
      <c r="N678" s="100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17"/>
      <c r="H679" s="117"/>
      <c r="I679" s="117"/>
      <c r="J679" s="117"/>
      <c r="K679" s="100"/>
      <c r="L679" s="100"/>
      <c r="M679" s="100"/>
      <c r="N679" s="100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17"/>
      <c r="H680" s="117"/>
      <c r="I680" s="117"/>
      <c r="J680" s="117"/>
      <c r="K680" s="100"/>
      <c r="L680" s="100"/>
      <c r="M680" s="100"/>
      <c r="N680" s="100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17"/>
      <c r="H681" s="117"/>
      <c r="I681" s="117"/>
      <c r="J681" s="117"/>
      <c r="K681" s="100"/>
      <c r="L681" s="100"/>
      <c r="M681" s="100"/>
      <c r="N681" s="100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17"/>
      <c r="H682" s="117"/>
      <c r="I682" s="117"/>
      <c r="J682" s="117"/>
      <c r="K682" s="100"/>
      <c r="L682" s="100"/>
      <c r="M682" s="100"/>
      <c r="N682" s="100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17"/>
      <c r="H683" s="117"/>
      <c r="I683" s="117"/>
      <c r="J683" s="117"/>
      <c r="K683" s="100"/>
      <c r="L683" s="100"/>
      <c r="M683" s="100"/>
      <c r="N683" s="100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17"/>
      <c r="H684" s="117"/>
      <c r="I684" s="117"/>
      <c r="J684" s="117"/>
      <c r="K684" s="100"/>
      <c r="L684" s="100"/>
      <c r="M684" s="100"/>
      <c r="N684" s="100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17"/>
      <c r="H685" s="117"/>
      <c r="I685" s="117"/>
      <c r="J685" s="117"/>
      <c r="K685" s="100"/>
      <c r="L685" s="100"/>
      <c r="M685" s="100"/>
      <c r="N685" s="100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17"/>
      <c r="H686" s="117"/>
      <c r="I686" s="117"/>
      <c r="J686" s="117"/>
      <c r="K686" s="100"/>
      <c r="L686" s="100"/>
      <c r="M686" s="100"/>
      <c r="N686" s="100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17"/>
      <c r="H687" s="117"/>
      <c r="I687" s="117"/>
      <c r="J687" s="117"/>
      <c r="K687" s="100"/>
      <c r="L687" s="100"/>
      <c r="M687" s="100"/>
      <c r="N687" s="100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17"/>
      <c r="H688" s="117"/>
      <c r="I688" s="117"/>
      <c r="J688" s="117"/>
      <c r="K688" s="100"/>
      <c r="L688" s="100"/>
      <c r="M688" s="100"/>
      <c r="N688" s="100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17"/>
      <c r="H689" s="117"/>
      <c r="I689" s="117"/>
      <c r="J689" s="117"/>
      <c r="K689" s="100"/>
      <c r="L689" s="100"/>
      <c r="M689" s="100"/>
      <c r="N689" s="100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17"/>
      <c r="H690" s="117"/>
      <c r="I690" s="117"/>
      <c r="J690" s="117"/>
      <c r="K690" s="100"/>
      <c r="L690" s="100"/>
      <c r="M690" s="100"/>
      <c r="N690" s="100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17"/>
      <c r="H691" s="117"/>
      <c r="I691" s="117"/>
      <c r="J691" s="117"/>
      <c r="K691" s="100"/>
      <c r="L691" s="100"/>
      <c r="M691" s="100"/>
      <c r="N691" s="100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17"/>
      <c r="H692" s="117"/>
      <c r="I692" s="117"/>
      <c r="J692" s="117"/>
      <c r="K692" s="100"/>
      <c r="L692" s="100"/>
      <c r="M692" s="100"/>
      <c r="N692" s="100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17"/>
      <c r="H693" s="117"/>
      <c r="I693" s="117"/>
      <c r="J693" s="117"/>
      <c r="K693" s="100"/>
      <c r="L693" s="100"/>
      <c r="M693" s="100"/>
      <c r="N693" s="100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17"/>
      <c r="H694" s="117"/>
      <c r="I694" s="117"/>
      <c r="J694" s="117"/>
      <c r="K694" s="100"/>
      <c r="L694" s="100"/>
      <c r="M694" s="100"/>
      <c r="N694" s="100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17"/>
      <c r="H695" s="117"/>
      <c r="I695" s="117"/>
      <c r="J695" s="117"/>
      <c r="K695" s="100"/>
      <c r="L695" s="100"/>
      <c r="M695" s="100"/>
      <c r="N695" s="100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17"/>
      <c r="H696" s="117"/>
      <c r="I696" s="117"/>
      <c r="J696" s="117"/>
      <c r="K696" s="100"/>
      <c r="L696" s="100"/>
      <c r="M696" s="100"/>
      <c r="N696" s="100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17"/>
      <c r="H697" s="117"/>
      <c r="I697" s="117"/>
      <c r="J697" s="117"/>
      <c r="K697" s="100"/>
      <c r="L697" s="100"/>
      <c r="M697" s="100"/>
      <c r="N697" s="100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17"/>
      <c r="H698" s="117"/>
      <c r="I698" s="117"/>
      <c r="J698" s="117"/>
      <c r="K698" s="100"/>
      <c r="L698" s="100"/>
      <c r="M698" s="100"/>
      <c r="N698" s="100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17"/>
      <c r="H699" s="117"/>
      <c r="I699" s="117"/>
      <c r="J699" s="117"/>
      <c r="K699" s="100"/>
      <c r="L699" s="100"/>
      <c r="M699" s="100"/>
      <c r="N699" s="100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17"/>
      <c r="H700" s="117"/>
      <c r="I700" s="117"/>
      <c r="J700" s="117"/>
      <c r="K700" s="100"/>
      <c r="L700" s="100"/>
      <c r="M700" s="100"/>
      <c r="N700" s="100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17"/>
      <c r="H701" s="117"/>
      <c r="I701" s="117"/>
      <c r="J701" s="117"/>
      <c r="K701" s="100"/>
      <c r="L701" s="100"/>
      <c r="M701" s="100"/>
      <c r="N701" s="100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17"/>
      <c r="H702" s="117"/>
      <c r="I702" s="117"/>
      <c r="J702" s="117"/>
      <c r="K702" s="100"/>
      <c r="L702" s="100"/>
      <c r="M702" s="100"/>
      <c r="N702" s="100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17"/>
      <c r="H703" s="117"/>
      <c r="I703" s="117"/>
      <c r="J703" s="117"/>
      <c r="K703" s="100"/>
      <c r="L703" s="100"/>
      <c r="M703" s="100"/>
      <c r="N703" s="100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17"/>
      <c r="H704" s="117"/>
      <c r="I704" s="117"/>
      <c r="J704" s="117"/>
      <c r="K704" s="100"/>
      <c r="L704" s="100"/>
      <c r="M704" s="100"/>
      <c r="N704" s="100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17"/>
      <c r="H705" s="117"/>
      <c r="I705" s="117"/>
      <c r="J705" s="117"/>
      <c r="K705" s="100"/>
      <c r="L705" s="100"/>
      <c r="M705" s="100"/>
      <c r="N705" s="100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17"/>
      <c r="H706" s="117"/>
      <c r="I706" s="117"/>
      <c r="J706" s="117"/>
      <c r="K706" s="100"/>
      <c r="L706" s="100"/>
      <c r="M706" s="100"/>
      <c r="N706" s="100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17"/>
      <c r="H707" s="117"/>
      <c r="I707" s="117"/>
      <c r="J707" s="117"/>
      <c r="K707" s="100"/>
      <c r="L707" s="100"/>
      <c r="M707" s="100"/>
      <c r="N707" s="100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17"/>
      <c r="H708" s="117"/>
      <c r="I708" s="117"/>
      <c r="J708" s="117"/>
      <c r="K708" s="100"/>
      <c r="L708" s="100"/>
      <c r="M708" s="100"/>
      <c r="N708" s="100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17"/>
      <c r="H709" s="117"/>
      <c r="I709" s="117"/>
      <c r="J709" s="117"/>
      <c r="K709" s="100"/>
      <c r="L709" s="100"/>
      <c r="M709" s="100"/>
      <c r="N709" s="100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17"/>
      <c r="H710" s="117"/>
      <c r="I710" s="117"/>
      <c r="J710" s="117"/>
      <c r="K710" s="100"/>
      <c r="L710" s="100"/>
      <c r="M710" s="100"/>
      <c r="N710" s="100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17"/>
      <c r="H711" s="117"/>
      <c r="I711" s="117"/>
      <c r="J711" s="117"/>
      <c r="K711" s="100"/>
      <c r="L711" s="100"/>
      <c r="M711" s="100"/>
      <c r="N711" s="100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17"/>
      <c r="H712" s="117"/>
      <c r="I712" s="117"/>
      <c r="J712" s="117"/>
      <c r="K712" s="100"/>
      <c r="L712" s="100"/>
      <c r="M712" s="100"/>
      <c r="N712" s="100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17"/>
      <c r="H713" s="117"/>
      <c r="I713" s="117"/>
      <c r="J713" s="117"/>
      <c r="K713" s="100"/>
      <c r="L713" s="100"/>
      <c r="M713" s="100"/>
      <c r="N713" s="100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17"/>
      <c r="H714" s="117"/>
      <c r="I714" s="117"/>
      <c r="J714" s="117"/>
      <c r="K714" s="100"/>
      <c r="L714" s="100"/>
      <c r="M714" s="100"/>
      <c r="N714" s="100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17"/>
      <c r="H715" s="117"/>
      <c r="I715" s="117"/>
      <c r="J715" s="117"/>
      <c r="K715" s="100"/>
      <c r="L715" s="100"/>
      <c r="M715" s="100"/>
      <c r="N715" s="100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17"/>
      <c r="H716" s="117"/>
      <c r="I716" s="117"/>
      <c r="J716" s="117"/>
      <c r="K716" s="100"/>
      <c r="L716" s="100"/>
      <c r="M716" s="100"/>
      <c r="N716" s="100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17"/>
      <c r="H717" s="117"/>
      <c r="I717" s="117"/>
      <c r="J717" s="117"/>
      <c r="K717" s="100"/>
      <c r="L717" s="100"/>
      <c r="M717" s="100"/>
      <c r="N717" s="100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17"/>
      <c r="H718" s="117"/>
      <c r="I718" s="117"/>
      <c r="J718" s="117"/>
      <c r="K718" s="100"/>
      <c r="L718" s="100"/>
      <c r="M718" s="100"/>
      <c r="N718" s="100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17"/>
      <c r="H719" s="117"/>
      <c r="I719" s="117"/>
      <c r="J719" s="117"/>
      <c r="K719" s="100"/>
      <c r="L719" s="100"/>
      <c r="M719" s="100"/>
      <c r="N719" s="100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17"/>
      <c r="H720" s="117"/>
      <c r="I720" s="117"/>
      <c r="J720" s="117"/>
      <c r="K720" s="100"/>
      <c r="L720" s="100"/>
      <c r="M720" s="100"/>
      <c r="N720" s="100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17"/>
      <c r="H721" s="117"/>
      <c r="I721" s="117"/>
      <c r="J721" s="117"/>
      <c r="K721" s="100"/>
      <c r="L721" s="100"/>
      <c r="M721" s="100"/>
      <c r="N721" s="100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17"/>
      <c r="H722" s="117"/>
      <c r="I722" s="117"/>
      <c r="J722" s="117"/>
      <c r="K722" s="100"/>
      <c r="L722" s="100"/>
      <c r="M722" s="100"/>
      <c r="N722" s="100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17"/>
      <c r="H723" s="117"/>
      <c r="I723" s="117"/>
      <c r="J723" s="117"/>
      <c r="K723" s="100"/>
      <c r="L723" s="100"/>
      <c r="M723" s="100"/>
      <c r="N723" s="100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17"/>
      <c r="H724" s="117"/>
      <c r="I724" s="117"/>
      <c r="J724" s="117"/>
      <c r="K724" s="100"/>
      <c r="L724" s="100"/>
      <c r="M724" s="100"/>
      <c r="N724" s="100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17"/>
      <c r="H725" s="117"/>
      <c r="I725" s="117"/>
      <c r="J725" s="117"/>
      <c r="K725" s="100"/>
      <c r="L725" s="100"/>
      <c r="M725" s="100"/>
      <c r="N725" s="100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17"/>
      <c r="H726" s="117"/>
      <c r="I726" s="117"/>
      <c r="J726" s="117"/>
      <c r="K726" s="100"/>
      <c r="L726" s="100"/>
      <c r="M726" s="100"/>
      <c r="N726" s="100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17"/>
      <c r="H727" s="117"/>
      <c r="I727" s="117"/>
      <c r="J727" s="117"/>
      <c r="K727" s="100"/>
      <c r="L727" s="100"/>
      <c r="M727" s="100"/>
      <c r="N727" s="100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17"/>
      <c r="H728" s="117"/>
      <c r="I728" s="117"/>
      <c r="J728" s="117"/>
      <c r="K728" s="100"/>
      <c r="L728" s="100"/>
      <c r="M728" s="100"/>
      <c r="N728" s="100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17"/>
      <c r="H729" s="117"/>
      <c r="I729" s="117"/>
      <c r="J729" s="117"/>
      <c r="K729" s="100"/>
      <c r="L729" s="100"/>
      <c r="M729" s="100"/>
      <c r="N729" s="100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17"/>
      <c r="H730" s="117"/>
      <c r="I730" s="117"/>
      <c r="J730" s="117"/>
      <c r="K730" s="100"/>
      <c r="L730" s="100"/>
      <c r="M730" s="100"/>
      <c r="N730" s="100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17"/>
      <c r="H731" s="117"/>
      <c r="I731" s="117"/>
      <c r="J731" s="117"/>
      <c r="K731" s="100"/>
      <c r="L731" s="100"/>
      <c r="M731" s="100"/>
      <c r="N731" s="100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17"/>
      <c r="H732" s="117"/>
      <c r="I732" s="117"/>
      <c r="J732" s="117"/>
      <c r="K732" s="100"/>
      <c r="L732" s="100"/>
      <c r="M732" s="100"/>
      <c r="N732" s="100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17"/>
      <c r="H733" s="117"/>
      <c r="I733" s="117"/>
      <c r="J733" s="117"/>
      <c r="K733" s="100"/>
      <c r="L733" s="100"/>
      <c r="M733" s="100"/>
      <c r="N733" s="100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17"/>
      <c r="H734" s="117"/>
      <c r="I734" s="117"/>
      <c r="J734" s="117"/>
      <c r="K734" s="100"/>
      <c r="L734" s="100"/>
      <c r="M734" s="100"/>
      <c r="N734" s="100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17"/>
      <c r="H735" s="117"/>
      <c r="I735" s="117"/>
      <c r="J735" s="117"/>
      <c r="K735" s="100"/>
      <c r="L735" s="100"/>
      <c r="M735" s="100"/>
      <c r="N735" s="100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17"/>
      <c r="H736" s="117"/>
      <c r="I736" s="117"/>
      <c r="J736" s="117"/>
      <c r="K736" s="100"/>
      <c r="L736" s="100"/>
      <c r="M736" s="100"/>
      <c r="N736" s="100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17"/>
      <c r="H737" s="117"/>
      <c r="I737" s="117"/>
      <c r="J737" s="117"/>
      <c r="K737" s="100"/>
      <c r="L737" s="100"/>
      <c r="M737" s="100"/>
      <c r="N737" s="100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17"/>
      <c r="H738" s="117"/>
      <c r="I738" s="117"/>
      <c r="J738" s="117"/>
      <c r="K738" s="100"/>
      <c r="L738" s="100"/>
      <c r="M738" s="100"/>
      <c r="N738" s="100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17"/>
      <c r="H739" s="117"/>
      <c r="I739" s="117"/>
      <c r="J739" s="117"/>
      <c r="K739" s="100"/>
      <c r="L739" s="100"/>
      <c r="M739" s="100"/>
      <c r="N739" s="100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17"/>
      <c r="H740" s="117"/>
      <c r="I740" s="117"/>
      <c r="J740" s="117"/>
      <c r="K740" s="100"/>
      <c r="L740" s="100"/>
      <c r="M740" s="100"/>
      <c r="N740" s="100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17"/>
      <c r="H741" s="117"/>
      <c r="I741" s="117"/>
      <c r="J741" s="117"/>
      <c r="K741" s="100"/>
      <c r="L741" s="100"/>
      <c r="M741" s="100"/>
      <c r="N741" s="100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17"/>
      <c r="H742" s="117"/>
      <c r="I742" s="117"/>
      <c r="J742" s="117"/>
      <c r="K742" s="100"/>
      <c r="L742" s="100"/>
      <c r="M742" s="100"/>
      <c r="N742" s="100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17"/>
      <c r="H743" s="117"/>
      <c r="I743" s="117"/>
      <c r="J743" s="117"/>
      <c r="K743" s="100"/>
      <c r="L743" s="100"/>
      <c r="M743" s="100"/>
      <c r="N743" s="100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17"/>
      <c r="H744" s="117"/>
      <c r="I744" s="117"/>
      <c r="J744" s="117"/>
      <c r="K744" s="100"/>
      <c r="L744" s="100"/>
      <c r="M744" s="100"/>
      <c r="N744" s="100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17"/>
      <c r="H745" s="117"/>
      <c r="I745" s="117"/>
      <c r="J745" s="117"/>
      <c r="K745" s="100"/>
      <c r="L745" s="100"/>
      <c r="M745" s="100"/>
      <c r="N745" s="100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17"/>
      <c r="H746" s="117"/>
      <c r="I746" s="117"/>
      <c r="J746" s="117"/>
      <c r="K746" s="100"/>
      <c r="L746" s="100"/>
      <c r="M746" s="100"/>
      <c r="N746" s="100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17"/>
      <c r="H747" s="117"/>
      <c r="I747" s="117"/>
      <c r="J747" s="117"/>
      <c r="K747" s="100"/>
      <c r="L747" s="100"/>
      <c r="M747" s="100"/>
      <c r="N747" s="100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17"/>
      <c r="H748" s="117"/>
      <c r="I748" s="117"/>
      <c r="J748" s="117"/>
      <c r="K748" s="100"/>
      <c r="L748" s="100"/>
      <c r="M748" s="100"/>
      <c r="N748" s="100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17"/>
      <c r="H749" s="117"/>
      <c r="I749" s="117"/>
      <c r="J749" s="117"/>
      <c r="K749" s="100"/>
      <c r="L749" s="100"/>
      <c r="M749" s="100"/>
      <c r="N749" s="100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17"/>
      <c r="H750" s="117"/>
      <c r="I750" s="117"/>
      <c r="J750" s="117"/>
      <c r="K750" s="100"/>
      <c r="L750" s="100"/>
      <c r="M750" s="100"/>
      <c r="N750" s="100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17"/>
      <c r="H751" s="117"/>
      <c r="I751" s="117"/>
      <c r="J751" s="117"/>
      <c r="K751" s="100"/>
      <c r="L751" s="100"/>
      <c r="M751" s="100"/>
      <c r="N751" s="100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17"/>
      <c r="H752" s="117"/>
      <c r="I752" s="117"/>
      <c r="J752" s="117"/>
      <c r="K752" s="100"/>
      <c r="L752" s="100"/>
      <c r="M752" s="100"/>
      <c r="N752" s="100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17"/>
      <c r="H753" s="117"/>
      <c r="I753" s="117"/>
      <c r="J753" s="117"/>
      <c r="K753" s="100"/>
      <c r="L753" s="100"/>
      <c r="M753" s="100"/>
      <c r="N753" s="100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17"/>
      <c r="H754" s="117"/>
      <c r="I754" s="117"/>
      <c r="J754" s="117"/>
      <c r="K754" s="100"/>
      <c r="L754" s="100"/>
      <c r="M754" s="100"/>
      <c r="N754" s="100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17"/>
      <c r="H755" s="117"/>
      <c r="I755" s="117"/>
      <c r="J755" s="117"/>
      <c r="K755" s="100"/>
      <c r="L755" s="100"/>
      <c r="M755" s="100"/>
      <c r="N755" s="100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17"/>
      <c r="H756" s="117"/>
      <c r="I756" s="117"/>
      <c r="J756" s="117"/>
      <c r="K756" s="100"/>
      <c r="L756" s="100"/>
      <c r="M756" s="100"/>
      <c r="N756" s="100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17"/>
      <c r="H757" s="117"/>
      <c r="I757" s="117"/>
      <c r="J757" s="117"/>
      <c r="K757" s="100"/>
      <c r="L757" s="100"/>
      <c r="M757" s="100"/>
      <c r="N757" s="100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17"/>
      <c r="H758" s="117"/>
      <c r="I758" s="117"/>
      <c r="J758" s="117"/>
      <c r="K758" s="100"/>
      <c r="L758" s="100"/>
      <c r="M758" s="100"/>
      <c r="N758" s="100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17"/>
      <c r="H759" s="117"/>
      <c r="I759" s="117"/>
      <c r="J759" s="117"/>
      <c r="K759" s="100"/>
      <c r="L759" s="100"/>
      <c r="M759" s="100"/>
      <c r="N759" s="100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17"/>
      <c r="H760" s="117"/>
      <c r="I760" s="117"/>
      <c r="J760" s="117"/>
      <c r="K760" s="100"/>
      <c r="L760" s="100"/>
      <c r="M760" s="100"/>
      <c r="N760" s="100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17"/>
      <c r="H761" s="117"/>
      <c r="I761" s="117"/>
      <c r="J761" s="117"/>
      <c r="K761" s="100"/>
      <c r="L761" s="100"/>
      <c r="M761" s="100"/>
      <c r="N761" s="100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17"/>
      <c r="H762" s="117"/>
      <c r="I762" s="117"/>
      <c r="J762" s="117"/>
      <c r="K762" s="100"/>
      <c r="L762" s="100"/>
      <c r="M762" s="100"/>
      <c r="N762" s="100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17"/>
      <c r="H763" s="117"/>
      <c r="I763" s="117"/>
      <c r="J763" s="117"/>
      <c r="K763" s="100"/>
      <c r="L763" s="100"/>
      <c r="M763" s="100"/>
      <c r="N763" s="100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17"/>
      <c r="H764" s="117"/>
      <c r="I764" s="117"/>
      <c r="J764" s="117"/>
      <c r="K764" s="100"/>
      <c r="L764" s="100"/>
      <c r="M764" s="100"/>
      <c r="N764" s="100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17"/>
      <c r="H765" s="117"/>
      <c r="I765" s="117"/>
      <c r="J765" s="117"/>
      <c r="K765" s="100"/>
      <c r="L765" s="100"/>
      <c r="M765" s="100"/>
      <c r="N765" s="100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17"/>
      <c r="H766" s="117"/>
      <c r="I766" s="117"/>
      <c r="J766" s="117"/>
      <c r="K766" s="100"/>
      <c r="L766" s="100"/>
      <c r="M766" s="100"/>
      <c r="N766" s="100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17"/>
      <c r="H767" s="117"/>
      <c r="I767" s="117"/>
      <c r="J767" s="117"/>
      <c r="K767" s="100"/>
      <c r="L767" s="100"/>
      <c r="M767" s="100"/>
      <c r="N767" s="100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17"/>
      <c r="H768" s="117"/>
      <c r="I768" s="117"/>
      <c r="J768" s="117"/>
      <c r="K768" s="100"/>
      <c r="L768" s="100"/>
      <c r="M768" s="100"/>
      <c r="N768" s="100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17"/>
      <c r="H769" s="117"/>
      <c r="I769" s="117"/>
      <c r="J769" s="117"/>
      <c r="K769" s="100"/>
      <c r="L769" s="100"/>
      <c r="M769" s="100"/>
      <c r="N769" s="100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17"/>
      <c r="H770" s="117"/>
      <c r="I770" s="117"/>
      <c r="J770" s="117"/>
      <c r="K770" s="100"/>
      <c r="L770" s="100"/>
      <c r="M770" s="100"/>
      <c r="N770" s="100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17"/>
      <c r="H771" s="117"/>
      <c r="I771" s="117"/>
      <c r="J771" s="117"/>
      <c r="K771" s="100"/>
      <c r="L771" s="100"/>
      <c r="M771" s="100"/>
      <c r="N771" s="100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17"/>
      <c r="H772" s="117"/>
      <c r="I772" s="117"/>
      <c r="J772" s="117"/>
      <c r="K772" s="100"/>
      <c r="L772" s="100"/>
      <c r="M772" s="100"/>
      <c r="N772" s="100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17"/>
      <c r="H773" s="117"/>
      <c r="I773" s="117"/>
      <c r="J773" s="117"/>
      <c r="K773" s="100"/>
      <c r="L773" s="100"/>
      <c r="M773" s="100"/>
      <c r="N773" s="100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17"/>
      <c r="H774" s="117"/>
      <c r="I774" s="117"/>
      <c r="J774" s="117"/>
      <c r="K774" s="100"/>
      <c r="L774" s="100"/>
      <c r="M774" s="100"/>
      <c r="N774" s="100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17"/>
      <c r="H775" s="117"/>
      <c r="I775" s="117"/>
      <c r="J775" s="117"/>
      <c r="K775" s="100"/>
      <c r="L775" s="100"/>
      <c r="M775" s="100"/>
      <c r="N775" s="100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17"/>
      <c r="H776" s="117"/>
      <c r="I776" s="117"/>
      <c r="J776" s="117"/>
      <c r="K776" s="100"/>
      <c r="L776" s="100"/>
      <c r="M776" s="100"/>
      <c r="N776" s="100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17"/>
      <c r="H777" s="117"/>
      <c r="I777" s="117"/>
      <c r="J777" s="117"/>
      <c r="K777" s="100"/>
      <c r="L777" s="100"/>
      <c r="M777" s="100"/>
      <c r="N777" s="100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17"/>
      <c r="H778" s="117"/>
      <c r="I778" s="117"/>
      <c r="J778" s="117"/>
      <c r="K778" s="100"/>
      <c r="L778" s="100"/>
      <c r="M778" s="100"/>
      <c r="N778" s="100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17"/>
      <c r="H779" s="117"/>
      <c r="I779" s="117"/>
      <c r="J779" s="117"/>
      <c r="K779" s="100"/>
      <c r="L779" s="100"/>
      <c r="M779" s="100"/>
      <c r="N779" s="100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17"/>
      <c r="H780" s="117"/>
      <c r="I780" s="117"/>
      <c r="J780" s="117"/>
      <c r="K780" s="100"/>
      <c r="L780" s="100"/>
      <c r="M780" s="100"/>
      <c r="N780" s="100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17"/>
      <c r="H781" s="117"/>
      <c r="I781" s="117"/>
      <c r="J781" s="117"/>
      <c r="K781" s="100"/>
      <c r="L781" s="100"/>
      <c r="M781" s="100"/>
      <c r="N781" s="100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17"/>
      <c r="H782" s="117"/>
      <c r="I782" s="117"/>
      <c r="J782" s="117"/>
      <c r="K782" s="100"/>
      <c r="L782" s="100"/>
      <c r="M782" s="100"/>
      <c r="N782" s="100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17"/>
      <c r="H783" s="117"/>
      <c r="I783" s="117"/>
      <c r="J783" s="117"/>
      <c r="K783" s="100"/>
      <c r="L783" s="100"/>
      <c r="M783" s="100"/>
      <c r="N783" s="100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17"/>
      <c r="H784" s="117"/>
      <c r="I784" s="117"/>
      <c r="J784" s="117"/>
      <c r="K784" s="100"/>
      <c r="L784" s="100"/>
      <c r="M784" s="100"/>
      <c r="N784" s="100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17"/>
      <c r="H785" s="117"/>
      <c r="I785" s="117"/>
      <c r="J785" s="117"/>
      <c r="K785" s="100"/>
      <c r="L785" s="100"/>
      <c r="M785" s="100"/>
      <c r="N785" s="100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17"/>
      <c r="H786" s="117"/>
      <c r="I786" s="117"/>
      <c r="J786" s="117"/>
      <c r="K786" s="100"/>
      <c r="L786" s="100"/>
      <c r="M786" s="100"/>
      <c r="N786" s="100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17"/>
      <c r="H787" s="117"/>
      <c r="I787" s="117"/>
      <c r="J787" s="117"/>
      <c r="K787" s="100"/>
      <c r="L787" s="100"/>
      <c r="M787" s="100"/>
      <c r="N787" s="100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17"/>
      <c r="H788" s="117"/>
      <c r="I788" s="117"/>
      <c r="J788" s="117"/>
      <c r="K788" s="100"/>
      <c r="L788" s="100"/>
      <c r="M788" s="100"/>
      <c r="N788" s="100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17"/>
      <c r="H789" s="117"/>
      <c r="I789" s="117"/>
      <c r="J789" s="117"/>
      <c r="K789" s="100"/>
      <c r="L789" s="100"/>
      <c r="M789" s="100"/>
      <c r="N789" s="100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17"/>
      <c r="H790" s="117"/>
      <c r="I790" s="117"/>
      <c r="J790" s="117"/>
      <c r="K790" s="100"/>
      <c r="L790" s="100"/>
      <c r="M790" s="100"/>
      <c r="N790" s="100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17"/>
      <c r="H791" s="117"/>
      <c r="I791" s="117"/>
      <c r="J791" s="117"/>
      <c r="K791" s="100"/>
      <c r="L791" s="100"/>
      <c r="M791" s="100"/>
      <c r="N791" s="100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17"/>
      <c r="H792" s="117"/>
      <c r="I792" s="117"/>
      <c r="J792" s="117"/>
      <c r="K792" s="100"/>
      <c r="L792" s="100"/>
      <c r="M792" s="100"/>
      <c r="N792" s="100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17"/>
      <c r="H793" s="117"/>
      <c r="I793" s="117"/>
      <c r="J793" s="117"/>
      <c r="K793" s="100"/>
      <c r="L793" s="100"/>
      <c r="M793" s="100"/>
      <c r="N793" s="100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17"/>
      <c r="H794" s="117"/>
      <c r="I794" s="117"/>
      <c r="J794" s="117"/>
      <c r="K794" s="100"/>
      <c r="L794" s="100"/>
      <c r="M794" s="100"/>
      <c r="N794" s="100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17"/>
      <c r="H795" s="117"/>
      <c r="I795" s="117"/>
      <c r="J795" s="117"/>
      <c r="K795" s="100"/>
      <c r="L795" s="100"/>
      <c r="M795" s="100"/>
      <c r="N795" s="100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17"/>
      <c r="H796" s="117"/>
      <c r="I796" s="117"/>
      <c r="J796" s="117"/>
      <c r="K796" s="100"/>
      <c r="L796" s="100"/>
      <c r="M796" s="100"/>
      <c r="N796" s="100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17"/>
      <c r="H797" s="117"/>
      <c r="I797" s="117"/>
      <c r="J797" s="117"/>
      <c r="K797" s="100"/>
      <c r="L797" s="100"/>
      <c r="M797" s="100"/>
      <c r="N797" s="100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17"/>
      <c r="H798" s="117"/>
      <c r="I798" s="117"/>
      <c r="J798" s="117"/>
      <c r="K798" s="100"/>
      <c r="L798" s="100"/>
      <c r="M798" s="100"/>
      <c r="N798" s="100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17"/>
      <c r="H799" s="117"/>
      <c r="I799" s="117"/>
      <c r="J799" s="117"/>
      <c r="K799" s="100"/>
      <c r="L799" s="100"/>
      <c r="M799" s="100"/>
      <c r="N799" s="100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17"/>
      <c r="H800" s="117"/>
      <c r="I800" s="117"/>
      <c r="J800" s="117"/>
      <c r="K800" s="100"/>
      <c r="L800" s="100"/>
      <c r="M800" s="100"/>
      <c r="N800" s="100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17"/>
      <c r="H801" s="117"/>
      <c r="I801" s="117"/>
      <c r="J801" s="117"/>
      <c r="K801" s="100"/>
      <c r="L801" s="100"/>
      <c r="M801" s="100"/>
      <c r="N801" s="100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17"/>
      <c r="H802" s="117"/>
      <c r="I802" s="117"/>
      <c r="J802" s="117"/>
      <c r="K802" s="100"/>
      <c r="L802" s="100"/>
      <c r="M802" s="100"/>
      <c r="N802" s="100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17"/>
      <c r="H803" s="117"/>
      <c r="I803" s="117"/>
      <c r="J803" s="117"/>
      <c r="K803" s="100"/>
      <c r="L803" s="100"/>
      <c r="M803" s="100"/>
      <c r="N803" s="100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17"/>
      <c r="H804" s="117"/>
      <c r="I804" s="117"/>
      <c r="J804" s="117"/>
      <c r="K804" s="100"/>
      <c r="L804" s="100"/>
      <c r="M804" s="100"/>
      <c r="N804" s="100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17"/>
      <c r="H805" s="117"/>
      <c r="I805" s="117"/>
      <c r="J805" s="117"/>
      <c r="K805" s="100"/>
      <c r="L805" s="100"/>
      <c r="M805" s="100"/>
      <c r="N805" s="100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17"/>
      <c r="H806" s="117"/>
      <c r="I806" s="117"/>
      <c r="J806" s="117"/>
      <c r="K806" s="100"/>
      <c r="L806" s="100"/>
      <c r="M806" s="100"/>
      <c r="N806" s="100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17"/>
      <c r="H807" s="117"/>
      <c r="I807" s="117"/>
      <c r="J807" s="117"/>
      <c r="K807" s="100"/>
      <c r="L807" s="100"/>
      <c r="M807" s="100"/>
      <c r="N807" s="100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17"/>
      <c r="H808" s="117"/>
      <c r="I808" s="117"/>
      <c r="J808" s="117"/>
      <c r="K808" s="100"/>
      <c r="L808" s="100"/>
      <c r="M808" s="100"/>
      <c r="N808" s="100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17"/>
      <c r="H809" s="117"/>
      <c r="I809" s="117"/>
      <c r="J809" s="117"/>
      <c r="K809" s="100"/>
      <c r="L809" s="100"/>
      <c r="M809" s="100"/>
      <c r="N809" s="100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17"/>
      <c r="H810" s="117"/>
      <c r="I810" s="117"/>
      <c r="J810" s="117"/>
      <c r="K810" s="100"/>
      <c r="L810" s="100"/>
      <c r="M810" s="100"/>
      <c r="N810" s="100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17"/>
      <c r="H811" s="117"/>
      <c r="I811" s="117"/>
      <c r="J811" s="117"/>
      <c r="K811" s="100"/>
      <c r="L811" s="100"/>
      <c r="M811" s="100"/>
      <c r="N811" s="100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17"/>
      <c r="H812" s="117"/>
      <c r="I812" s="117"/>
      <c r="J812" s="117"/>
      <c r="K812" s="100"/>
      <c r="L812" s="100"/>
      <c r="M812" s="100"/>
      <c r="N812" s="100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17"/>
      <c r="H813" s="117"/>
      <c r="I813" s="117"/>
      <c r="J813" s="117"/>
      <c r="K813" s="100"/>
      <c r="L813" s="100"/>
      <c r="M813" s="100"/>
      <c r="N813" s="100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17"/>
      <c r="H814" s="117"/>
      <c r="I814" s="117"/>
      <c r="J814" s="117"/>
      <c r="K814" s="100"/>
      <c r="L814" s="100"/>
      <c r="M814" s="100"/>
      <c r="N814" s="100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17"/>
      <c r="H815" s="117"/>
      <c r="I815" s="117"/>
      <c r="J815" s="117"/>
      <c r="K815" s="100"/>
      <c r="L815" s="100"/>
      <c r="M815" s="100"/>
      <c r="N815" s="100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17"/>
      <c r="H816" s="117"/>
      <c r="I816" s="117"/>
      <c r="J816" s="117"/>
      <c r="K816" s="100"/>
      <c r="L816" s="100"/>
      <c r="M816" s="100"/>
      <c r="N816" s="100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17"/>
      <c r="H817" s="117"/>
      <c r="I817" s="117"/>
      <c r="J817" s="117"/>
      <c r="K817" s="100"/>
      <c r="L817" s="100"/>
      <c r="M817" s="100"/>
      <c r="N817" s="100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17"/>
      <c r="H818" s="117"/>
      <c r="I818" s="117"/>
      <c r="J818" s="117"/>
      <c r="K818" s="100"/>
      <c r="L818" s="100"/>
      <c r="M818" s="100"/>
      <c r="N818" s="100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17"/>
      <c r="H819" s="117"/>
      <c r="I819" s="117"/>
      <c r="J819" s="117"/>
      <c r="K819" s="100"/>
      <c r="L819" s="100"/>
      <c r="M819" s="100"/>
      <c r="N819" s="100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17"/>
      <c r="H820" s="117"/>
      <c r="I820" s="117"/>
      <c r="J820" s="117"/>
      <c r="K820" s="100"/>
      <c r="L820" s="100"/>
      <c r="M820" s="100"/>
      <c r="N820" s="100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17"/>
      <c r="H821" s="117"/>
      <c r="I821" s="117"/>
      <c r="J821" s="117"/>
      <c r="K821" s="100"/>
      <c r="L821" s="100"/>
      <c r="M821" s="100"/>
      <c r="N821" s="100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17"/>
      <c r="H822" s="117"/>
      <c r="I822" s="117"/>
      <c r="J822" s="117"/>
      <c r="K822" s="100"/>
      <c r="L822" s="100"/>
      <c r="M822" s="100"/>
      <c r="N822" s="100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17"/>
      <c r="H823" s="117"/>
      <c r="I823" s="117"/>
      <c r="J823" s="117"/>
      <c r="K823" s="100"/>
      <c r="L823" s="100"/>
      <c r="M823" s="100"/>
      <c r="N823" s="100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17"/>
      <c r="H824" s="117"/>
      <c r="I824" s="117"/>
      <c r="J824" s="117"/>
      <c r="K824" s="100"/>
      <c r="L824" s="100"/>
      <c r="M824" s="100"/>
      <c r="N824" s="100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17"/>
      <c r="H825" s="117"/>
      <c r="I825" s="117"/>
      <c r="J825" s="117"/>
      <c r="K825" s="100"/>
      <c r="L825" s="100"/>
      <c r="M825" s="100"/>
      <c r="N825" s="100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17"/>
      <c r="H826" s="117"/>
      <c r="I826" s="117"/>
      <c r="J826" s="117"/>
      <c r="K826" s="100"/>
      <c r="L826" s="100"/>
      <c r="M826" s="100"/>
      <c r="N826" s="100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17"/>
      <c r="H827" s="117"/>
      <c r="I827" s="117"/>
      <c r="J827" s="117"/>
      <c r="K827" s="100"/>
      <c r="L827" s="100"/>
      <c r="M827" s="100"/>
      <c r="N827" s="100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17"/>
      <c r="H828" s="117"/>
      <c r="I828" s="117"/>
      <c r="J828" s="117"/>
      <c r="K828" s="100"/>
      <c r="L828" s="100"/>
      <c r="M828" s="100"/>
      <c r="N828" s="100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17"/>
      <c r="H829" s="117"/>
      <c r="I829" s="117"/>
      <c r="J829" s="117"/>
      <c r="K829" s="100"/>
      <c r="L829" s="100"/>
      <c r="M829" s="100"/>
      <c r="N829" s="100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17"/>
      <c r="H830" s="117"/>
      <c r="I830" s="117"/>
      <c r="J830" s="117"/>
      <c r="K830" s="100"/>
      <c r="L830" s="100"/>
      <c r="M830" s="100"/>
      <c r="N830" s="100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17"/>
      <c r="H831" s="117"/>
      <c r="I831" s="117"/>
      <c r="J831" s="117"/>
      <c r="K831" s="100"/>
      <c r="L831" s="100"/>
      <c r="M831" s="100"/>
      <c r="N831" s="100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17"/>
      <c r="H832" s="117"/>
      <c r="I832" s="117"/>
      <c r="J832" s="117"/>
      <c r="K832" s="100"/>
      <c r="L832" s="100"/>
      <c r="M832" s="100"/>
      <c r="N832" s="100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17"/>
      <c r="H833" s="117"/>
      <c r="I833" s="117"/>
      <c r="J833" s="117"/>
      <c r="K833" s="100"/>
      <c r="L833" s="100"/>
      <c r="M833" s="100"/>
      <c r="N833" s="100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17"/>
      <c r="H834" s="117"/>
      <c r="I834" s="117"/>
      <c r="J834" s="117"/>
      <c r="K834" s="100"/>
      <c r="L834" s="100"/>
      <c r="M834" s="100"/>
      <c r="N834" s="100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17"/>
      <c r="H835" s="117"/>
      <c r="I835" s="117"/>
      <c r="J835" s="117"/>
      <c r="K835" s="100"/>
      <c r="L835" s="100"/>
      <c r="M835" s="100"/>
      <c r="N835" s="100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17"/>
      <c r="H836" s="117"/>
      <c r="I836" s="117"/>
      <c r="J836" s="117"/>
      <c r="K836" s="100"/>
      <c r="L836" s="100"/>
      <c r="M836" s="100"/>
      <c r="N836" s="100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17"/>
      <c r="H837" s="117"/>
      <c r="I837" s="117"/>
      <c r="J837" s="117"/>
      <c r="K837" s="100"/>
      <c r="L837" s="100"/>
      <c r="M837" s="100"/>
      <c r="N837" s="100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17"/>
      <c r="H838" s="117"/>
      <c r="I838" s="117"/>
      <c r="J838" s="117"/>
      <c r="K838" s="100"/>
      <c r="L838" s="100"/>
      <c r="M838" s="100"/>
      <c r="N838" s="100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17"/>
      <c r="H839" s="117"/>
      <c r="I839" s="117"/>
      <c r="J839" s="117"/>
      <c r="K839" s="100"/>
      <c r="L839" s="100"/>
      <c r="M839" s="100"/>
      <c r="N839" s="100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17"/>
      <c r="H840" s="117"/>
      <c r="I840" s="117"/>
      <c r="J840" s="117"/>
      <c r="K840" s="100"/>
      <c r="L840" s="100"/>
      <c r="M840" s="100"/>
      <c r="N840" s="100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17"/>
      <c r="H841" s="117"/>
      <c r="I841" s="117"/>
      <c r="J841" s="117"/>
      <c r="K841" s="100"/>
      <c r="L841" s="100"/>
      <c r="M841" s="100"/>
      <c r="N841" s="100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17"/>
      <c r="H842" s="117"/>
      <c r="I842" s="117"/>
      <c r="J842" s="117"/>
      <c r="K842" s="100"/>
      <c r="L842" s="100"/>
      <c r="M842" s="100"/>
      <c r="N842" s="100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17"/>
      <c r="H843" s="117"/>
      <c r="I843" s="117"/>
      <c r="J843" s="117"/>
      <c r="K843" s="100"/>
      <c r="L843" s="100"/>
      <c r="M843" s="100"/>
      <c r="N843" s="100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17"/>
      <c r="H844" s="117"/>
      <c r="I844" s="117"/>
      <c r="J844" s="117"/>
      <c r="K844" s="100"/>
      <c r="L844" s="100"/>
      <c r="M844" s="100"/>
      <c r="N844" s="100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17"/>
      <c r="H845" s="117"/>
      <c r="I845" s="117"/>
      <c r="J845" s="117"/>
      <c r="K845" s="100"/>
      <c r="L845" s="100"/>
      <c r="M845" s="100"/>
      <c r="N845" s="100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17"/>
      <c r="H846" s="117"/>
      <c r="I846" s="117"/>
      <c r="J846" s="117"/>
      <c r="K846" s="100"/>
      <c r="L846" s="100"/>
      <c r="M846" s="100"/>
      <c r="N846" s="100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17"/>
      <c r="H847" s="117"/>
      <c r="I847" s="117"/>
      <c r="J847" s="117"/>
      <c r="K847" s="100"/>
      <c r="L847" s="100"/>
      <c r="M847" s="100"/>
      <c r="N847" s="100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17"/>
      <c r="H848" s="117"/>
      <c r="I848" s="117"/>
      <c r="J848" s="117"/>
      <c r="K848" s="100"/>
      <c r="L848" s="100"/>
      <c r="M848" s="100"/>
      <c r="N848" s="100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17"/>
      <c r="H849" s="117"/>
      <c r="I849" s="117"/>
      <c r="J849" s="117"/>
      <c r="K849" s="100"/>
      <c r="L849" s="100"/>
      <c r="M849" s="100"/>
      <c r="N849" s="100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17"/>
      <c r="H850" s="117"/>
      <c r="I850" s="117"/>
      <c r="J850" s="117"/>
      <c r="K850" s="100"/>
      <c r="L850" s="100"/>
      <c r="M850" s="100"/>
      <c r="N850" s="100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17"/>
      <c r="H851" s="117"/>
      <c r="I851" s="117"/>
      <c r="J851" s="117"/>
      <c r="K851" s="100"/>
      <c r="L851" s="100"/>
      <c r="M851" s="100"/>
      <c r="N851" s="100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17"/>
      <c r="H852" s="117"/>
      <c r="I852" s="117"/>
      <c r="J852" s="117"/>
      <c r="K852" s="100"/>
      <c r="L852" s="100"/>
      <c r="M852" s="100"/>
      <c r="N852" s="100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17"/>
      <c r="H853" s="117"/>
      <c r="I853" s="117"/>
      <c r="J853" s="117"/>
      <c r="K853" s="100"/>
      <c r="L853" s="100"/>
      <c r="M853" s="100"/>
      <c r="N853" s="100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17"/>
      <c r="H854" s="117"/>
      <c r="I854" s="117"/>
      <c r="J854" s="117"/>
      <c r="K854" s="100"/>
      <c r="L854" s="100"/>
      <c r="M854" s="100"/>
      <c r="N854" s="100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17"/>
      <c r="H855" s="117"/>
      <c r="I855" s="117"/>
      <c r="J855" s="117"/>
      <c r="K855" s="100"/>
      <c r="L855" s="100"/>
      <c r="M855" s="100"/>
      <c r="N855" s="100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17"/>
      <c r="H856" s="117"/>
      <c r="I856" s="117"/>
      <c r="J856" s="117"/>
      <c r="K856" s="100"/>
      <c r="L856" s="100"/>
      <c r="M856" s="100"/>
      <c r="N856" s="100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17"/>
      <c r="H857" s="117"/>
      <c r="I857" s="117"/>
      <c r="J857" s="117"/>
      <c r="K857" s="100"/>
      <c r="L857" s="100"/>
      <c r="M857" s="100"/>
      <c r="N857" s="100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17"/>
      <c r="H858" s="117"/>
      <c r="I858" s="117"/>
      <c r="J858" s="117"/>
      <c r="K858" s="100"/>
      <c r="L858" s="100"/>
      <c r="M858" s="100"/>
      <c r="N858" s="100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17"/>
      <c r="H859" s="117"/>
      <c r="I859" s="117"/>
      <c r="J859" s="117"/>
      <c r="K859" s="100"/>
      <c r="L859" s="100"/>
      <c r="M859" s="100"/>
      <c r="N859" s="100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17"/>
      <c r="H860" s="117"/>
      <c r="I860" s="117"/>
      <c r="J860" s="117"/>
      <c r="K860" s="100"/>
      <c r="L860" s="100"/>
      <c r="M860" s="100"/>
      <c r="N860" s="100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17"/>
      <c r="H861" s="117"/>
      <c r="I861" s="117"/>
      <c r="J861" s="117"/>
      <c r="K861" s="100"/>
      <c r="L861" s="100"/>
      <c r="M861" s="100"/>
      <c r="N861" s="100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17"/>
      <c r="H862" s="117"/>
      <c r="I862" s="117"/>
      <c r="J862" s="117"/>
      <c r="K862" s="100"/>
      <c r="L862" s="100"/>
      <c r="M862" s="100"/>
      <c r="N862" s="100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17"/>
      <c r="H863" s="117"/>
      <c r="I863" s="117"/>
      <c r="J863" s="117"/>
      <c r="K863" s="100"/>
      <c r="L863" s="100"/>
      <c r="M863" s="100"/>
      <c r="N863" s="100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17"/>
      <c r="H864" s="117"/>
      <c r="I864" s="117"/>
      <c r="J864" s="117"/>
      <c r="K864" s="100"/>
      <c r="L864" s="100"/>
      <c r="M864" s="100"/>
      <c r="N864" s="100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17"/>
      <c r="H865" s="117"/>
      <c r="I865" s="117"/>
      <c r="J865" s="117"/>
      <c r="K865" s="100"/>
      <c r="L865" s="100"/>
      <c r="M865" s="100"/>
      <c r="N865" s="100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17"/>
      <c r="H866" s="117"/>
      <c r="I866" s="117"/>
      <c r="J866" s="117"/>
      <c r="K866" s="100"/>
      <c r="L866" s="100"/>
      <c r="M866" s="100"/>
      <c r="N866" s="100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17"/>
      <c r="H867" s="117"/>
      <c r="I867" s="117"/>
      <c r="J867" s="117"/>
      <c r="K867" s="100"/>
      <c r="L867" s="100"/>
      <c r="M867" s="100"/>
      <c r="N867" s="100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17"/>
      <c r="H868" s="117"/>
      <c r="I868" s="117"/>
      <c r="J868" s="117"/>
      <c r="K868" s="100"/>
      <c r="L868" s="100"/>
      <c r="M868" s="100"/>
      <c r="N868" s="100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17"/>
      <c r="H869" s="117"/>
      <c r="I869" s="117"/>
      <c r="J869" s="117"/>
      <c r="K869" s="100"/>
      <c r="L869" s="100"/>
      <c r="M869" s="100"/>
      <c r="N869" s="100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17"/>
      <c r="H870" s="117"/>
      <c r="I870" s="117"/>
      <c r="J870" s="117"/>
      <c r="K870" s="100"/>
      <c r="L870" s="100"/>
      <c r="M870" s="100"/>
      <c r="N870" s="100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17"/>
      <c r="H871" s="117"/>
      <c r="I871" s="117"/>
      <c r="J871" s="117"/>
      <c r="K871" s="100"/>
      <c r="L871" s="100"/>
      <c r="M871" s="100"/>
      <c r="N871" s="100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17"/>
      <c r="H872" s="117"/>
      <c r="I872" s="117"/>
      <c r="J872" s="117"/>
      <c r="K872" s="100"/>
      <c r="L872" s="100"/>
      <c r="M872" s="100"/>
      <c r="N872" s="100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17"/>
      <c r="H873" s="117"/>
      <c r="I873" s="117"/>
      <c r="J873" s="117"/>
      <c r="K873" s="100"/>
      <c r="L873" s="100"/>
      <c r="M873" s="100"/>
      <c r="N873" s="100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17"/>
      <c r="H874" s="117"/>
      <c r="I874" s="117"/>
      <c r="J874" s="117"/>
      <c r="K874" s="100"/>
      <c r="L874" s="100"/>
      <c r="M874" s="100"/>
      <c r="N874" s="100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17"/>
      <c r="H875" s="117"/>
      <c r="I875" s="117"/>
      <c r="J875" s="117"/>
      <c r="K875" s="100"/>
      <c r="L875" s="100"/>
      <c r="M875" s="100"/>
      <c r="N875" s="100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17"/>
      <c r="H876" s="117"/>
      <c r="I876" s="117"/>
      <c r="J876" s="117"/>
      <c r="K876" s="100"/>
      <c r="L876" s="100"/>
      <c r="M876" s="100"/>
      <c r="N876" s="100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17"/>
      <c r="H877" s="117"/>
      <c r="I877" s="117"/>
      <c r="J877" s="117"/>
      <c r="K877" s="100"/>
      <c r="L877" s="100"/>
      <c r="M877" s="100"/>
      <c r="N877" s="100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17"/>
      <c r="H878" s="117"/>
      <c r="I878" s="117"/>
      <c r="J878" s="117"/>
      <c r="K878" s="100"/>
      <c r="L878" s="100"/>
      <c r="M878" s="100"/>
      <c r="N878" s="100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17"/>
      <c r="H879" s="117"/>
      <c r="I879" s="117"/>
      <c r="J879" s="117"/>
      <c r="K879" s="100"/>
      <c r="L879" s="100"/>
      <c r="M879" s="100"/>
      <c r="N879" s="100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17"/>
      <c r="H880" s="117"/>
      <c r="I880" s="117"/>
      <c r="J880" s="117"/>
      <c r="K880" s="100"/>
      <c r="L880" s="100"/>
      <c r="M880" s="100"/>
      <c r="N880" s="100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17"/>
      <c r="H881" s="117"/>
      <c r="I881" s="117"/>
      <c r="J881" s="117"/>
      <c r="K881" s="100"/>
      <c r="L881" s="100"/>
      <c r="M881" s="100"/>
      <c r="N881" s="100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17"/>
      <c r="H882" s="117"/>
      <c r="I882" s="117"/>
      <c r="J882" s="117"/>
      <c r="K882" s="100"/>
      <c r="L882" s="100"/>
      <c r="M882" s="100"/>
      <c r="N882" s="100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17"/>
      <c r="H883" s="117"/>
      <c r="I883" s="117"/>
      <c r="J883" s="117"/>
      <c r="K883" s="100"/>
      <c r="L883" s="100"/>
      <c r="M883" s="100"/>
      <c r="N883" s="100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17"/>
      <c r="H884" s="117"/>
      <c r="I884" s="117"/>
      <c r="J884" s="117"/>
      <c r="K884" s="100"/>
      <c r="L884" s="100"/>
      <c r="M884" s="100"/>
      <c r="N884" s="100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17"/>
      <c r="H885" s="117"/>
      <c r="I885" s="117"/>
      <c r="J885" s="117"/>
      <c r="K885" s="100"/>
      <c r="L885" s="100"/>
      <c r="M885" s="100"/>
      <c r="N885" s="100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17"/>
      <c r="H886" s="117"/>
      <c r="I886" s="117"/>
      <c r="J886" s="117"/>
      <c r="K886" s="100"/>
      <c r="L886" s="100"/>
      <c r="M886" s="100"/>
      <c r="N886" s="100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17"/>
      <c r="H887" s="117"/>
      <c r="I887" s="117"/>
      <c r="J887" s="117"/>
      <c r="K887" s="100"/>
      <c r="L887" s="100"/>
      <c r="M887" s="100"/>
      <c r="N887" s="100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17"/>
      <c r="H888" s="117"/>
      <c r="I888" s="117"/>
      <c r="J888" s="117"/>
      <c r="K888" s="100"/>
      <c r="L888" s="100"/>
      <c r="M888" s="100"/>
      <c r="N888" s="100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17"/>
      <c r="H889" s="117"/>
      <c r="I889" s="117"/>
      <c r="J889" s="117"/>
      <c r="K889" s="100"/>
      <c r="L889" s="100"/>
      <c r="M889" s="100"/>
      <c r="N889" s="100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17"/>
      <c r="H890" s="117"/>
      <c r="I890" s="117"/>
      <c r="J890" s="117"/>
      <c r="K890" s="100"/>
      <c r="L890" s="100"/>
      <c r="M890" s="100"/>
      <c r="N890" s="100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17"/>
      <c r="H891" s="117"/>
      <c r="I891" s="117"/>
      <c r="J891" s="117"/>
      <c r="K891" s="100"/>
      <c r="L891" s="100"/>
      <c r="M891" s="100"/>
      <c r="N891" s="100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17"/>
      <c r="H892" s="117"/>
      <c r="I892" s="117"/>
      <c r="J892" s="117"/>
      <c r="K892" s="100"/>
      <c r="L892" s="100"/>
      <c r="M892" s="100"/>
      <c r="N892" s="100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17"/>
      <c r="H893" s="117"/>
      <c r="I893" s="117"/>
      <c r="J893" s="117"/>
      <c r="K893" s="100"/>
      <c r="L893" s="100"/>
      <c r="M893" s="100"/>
      <c r="N893" s="100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17"/>
      <c r="H894" s="117"/>
      <c r="I894" s="117"/>
      <c r="J894" s="117"/>
      <c r="K894" s="100"/>
      <c r="L894" s="100"/>
      <c r="M894" s="100"/>
      <c r="N894" s="100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17"/>
      <c r="H895" s="117"/>
      <c r="I895" s="117"/>
      <c r="J895" s="117"/>
      <c r="K895" s="100"/>
      <c r="L895" s="100"/>
      <c r="M895" s="100"/>
      <c r="N895" s="100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17"/>
      <c r="H896" s="117"/>
      <c r="I896" s="117"/>
      <c r="J896" s="117"/>
      <c r="K896" s="100"/>
      <c r="L896" s="100"/>
      <c r="M896" s="100"/>
      <c r="N896" s="100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17"/>
      <c r="H897" s="117"/>
      <c r="I897" s="117"/>
      <c r="J897" s="117"/>
      <c r="K897" s="100"/>
      <c r="L897" s="100"/>
      <c r="M897" s="100"/>
      <c r="N897" s="100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17"/>
      <c r="H898" s="117"/>
      <c r="I898" s="117"/>
      <c r="J898" s="117"/>
      <c r="K898" s="100"/>
      <c r="L898" s="100"/>
      <c r="M898" s="100"/>
      <c r="N898" s="100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17"/>
      <c r="H899" s="117"/>
      <c r="I899" s="117"/>
      <c r="J899" s="117"/>
      <c r="K899" s="100"/>
      <c r="L899" s="100"/>
      <c r="M899" s="100"/>
      <c r="N899" s="100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17"/>
      <c r="H900" s="117"/>
      <c r="I900" s="117"/>
      <c r="J900" s="117"/>
      <c r="K900" s="100"/>
      <c r="L900" s="100"/>
      <c r="M900" s="100"/>
      <c r="N900" s="100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17"/>
      <c r="H901" s="117"/>
      <c r="I901" s="117"/>
      <c r="J901" s="117"/>
      <c r="K901" s="100"/>
      <c r="L901" s="100"/>
      <c r="M901" s="100"/>
      <c r="N901" s="100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17"/>
      <c r="H902" s="117"/>
      <c r="I902" s="117"/>
      <c r="J902" s="117"/>
      <c r="K902" s="100"/>
      <c r="L902" s="100"/>
      <c r="M902" s="100"/>
      <c r="N902" s="100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17"/>
      <c r="H903" s="117"/>
      <c r="I903" s="117"/>
      <c r="J903" s="117"/>
      <c r="K903" s="100"/>
      <c r="L903" s="100"/>
      <c r="M903" s="100"/>
      <c r="N903" s="100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17"/>
      <c r="H904" s="117"/>
      <c r="I904" s="117"/>
      <c r="J904" s="117"/>
      <c r="K904" s="100"/>
      <c r="L904" s="100"/>
      <c r="M904" s="100"/>
      <c r="N904" s="100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17"/>
      <c r="H905" s="117"/>
      <c r="I905" s="117"/>
      <c r="J905" s="117"/>
      <c r="K905" s="100"/>
      <c r="L905" s="100"/>
      <c r="M905" s="100"/>
      <c r="N905" s="100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17"/>
      <c r="H906" s="117"/>
      <c r="I906" s="117"/>
      <c r="J906" s="117"/>
      <c r="K906" s="100"/>
      <c r="L906" s="100"/>
      <c r="M906" s="100"/>
      <c r="N906" s="100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17"/>
      <c r="H907" s="117"/>
      <c r="I907" s="117"/>
      <c r="J907" s="117"/>
      <c r="K907" s="100"/>
      <c r="L907" s="100"/>
      <c r="M907" s="100"/>
      <c r="N907" s="100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17"/>
      <c r="H908" s="117"/>
      <c r="I908" s="117"/>
      <c r="J908" s="117"/>
      <c r="K908" s="100"/>
      <c r="L908" s="100"/>
      <c r="M908" s="100"/>
      <c r="N908" s="100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17"/>
      <c r="H909" s="117"/>
      <c r="I909" s="117"/>
      <c r="J909" s="117"/>
      <c r="K909" s="100"/>
      <c r="L909" s="100"/>
      <c r="M909" s="100"/>
      <c r="N909" s="100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17"/>
      <c r="H910" s="117"/>
      <c r="I910" s="117"/>
      <c r="J910" s="117"/>
      <c r="K910" s="100"/>
      <c r="L910" s="100"/>
      <c r="M910" s="100"/>
      <c r="N910" s="100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17"/>
      <c r="H911" s="117"/>
      <c r="I911" s="117"/>
      <c r="J911" s="117"/>
      <c r="K911" s="100"/>
      <c r="L911" s="100"/>
      <c r="M911" s="100"/>
      <c r="N911" s="100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17"/>
      <c r="H912" s="117"/>
      <c r="I912" s="117"/>
      <c r="J912" s="117"/>
      <c r="K912" s="100"/>
      <c r="L912" s="100"/>
      <c r="M912" s="100"/>
      <c r="N912" s="100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17"/>
      <c r="H913" s="117"/>
      <c r="I913" s="117"/>
      <c r="J913" s="117"/>
      <c r="K913" s="100"/>
      <c r="L913" s="100"/>
      <c r="M913" s="100"/>
      <c r="N913" s="100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17"/>
      <c r="H914" s="117"/>
      <c r="I914" s="117"/>
      <c r="J914" s="117"/>
      <c r="K914" s="100"/>
      <c r="L914" s="100"/>
      <c r="M914" s="100"/>
      <c r="N914" s="100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17"/>
      <c r="H915" s="117"/>
      <c r="I915" s="117"/>
      <c r="J915" s="117"/>
      <c r="K915" s="100"/>
      <c r="L915" s="100"/>
      <c r="M915" s="100"/>
      <c r="N915" s="100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17"/>
      <c r="H916" s="117"/>
      <c r="I916" s="117"/>
      <c r="J916" s="117"/>
      <c r="K916" s="100"/>
      <c r="L916" s="100"/>
      <c r="M916" s="100"/>
      <c r="N916" s="100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17"/>
      <c r="H917" s="117"/>
      <c r="I917" s="117"/>
      <c r="J917" s="117"/>
      <c r="K917" s="100"/>
      <c r="L917" s="100"/>
      <c r="M917" s="100"/>
      <c r="N917" s="100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17"/>
      <c r="H918" s="117"/>
      <c r="I918" s="117"/>
      <c r="J918" s="117"/>
      <c r="K918" s="100"/>
      <c r="L918" s="100"/>
      <c r="M918" s="100"/>
      <c r="N918" s="100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17"/>
      <c r="H919" s="117"/>
      <c r="I919" s="117"/>
      <c r="J919" s="117"/>
      <c r="K919" s="100"/>
      <c r="L919" s="100"/>
      <c r="M919" s="100"/>
      <c r="N919" s="100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17"/>
      <c r="H920" s="117"/>
      <c r="I920" s="117"/>
      <c r="J920" s="117"/>
      <c r="K920" s="100"/>
      <c r="L920" s="100"/>
      <c r="M920" s="100"/>
      <c r="N920" s="100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17"/>
      <c r="H921" s="117"/>
      <c r="I921" s="117"/>
      <c r="J921" s="117"/>
      <c r="K921" s="100"/>
      <c r="L921" s="100"/>
      <c r="M921" s="100"/>
      <c r="N921" s="100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17"/>
      <c r="H922" s="117"/>
      <c r="I922" s="117"/>
      <c r="J922" s="117"/>
      <c r="K922" s="100"/>
      <c r="L922" s="100"/>
      <c r="M922" s="100"/>
      <c r="N922" s="100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17"/>
      <c r="H923" s="117"/>
      <c r="I923" s="117"/>
      <c r="J923" s="117"/>
      <c r="K923" s="100"/>
      <c r="L923" s="100"/>
      <c r="M923" s="100"/>
      <c r="N923" s="100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17"/>
      <c r="H924" s="117"/>
      <c r="I924" s="117"/>
      <c r="J924" s="117"/>
      <c r="K924" s="100"/>
      <c r="L924" s="100"/>
      <c r="M924" s="100"/>
      <c r="N924" s="100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17"/>
      <c r="H925" s="117"/>
      <c r="I925" s="117"/>
      <c r="J925" s="117"/>
      <c r="K925" s="100"/>
      <c r="L925" s="100"/>
      <c r="M925" s="100"/>
      <c r="N925" s="100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17"/>
      <c r="H926" s="117"/>
      <c r="I926" s="117"/>
      <c r="J926" s="117"/>
      <c r="K926" s="100"/>
      <c r="L926" s="100"/>
      <c r="M926" s="100"/>
      <c r="N926" s="100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17"/>
      <c r="H927" s="117"/>
      <c r="I927" s="117"/>
      <c r="J927" s="117"/>
      <c r="K927" s="100"/>
      <c r="L927" s="100"/>
      <c r="M927" s="100"/>
      <c r="N927" s="100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17"/>
      <c r="H928" s="117"/>
      <c r="I928" s="117"/>
      <c r="J928" s="117"/>
      <c r="K928" s="100"/>
      <c r="L928" s="100"/>
      <c r="M928" s="100"/>
      <c r="N928" s="100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17"/>
      <c r="H929" s="117"/>
      <c r="I929" s="117"/>
      <c r="J929" s="117"/>
      <c r="K929" s="100"/>
      <c r="L929" s="100"/>
      <c r="M929" s="100"/>
      <c r="N929" s="100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17"/>
      <c r="H930" s="117"/>
      <c r="I930" s="117"/>
      <c r="J930" s="117"/>
      <c r="K930" s="100"/>
      <c r="L930" s="100"/>
      <c r="M930" s="100"/>
      <c r="N930" s="100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17"/>
      <c r="H931" s="117"/>
      <c r="I931" s="117"/>
      <c r="J931" s="117"/>
      <c r="K931" s="100"/>
      <c r="L931" s="100"/>
      <c r="M931" s="100"/>
      <c r="N931" s="100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17"/>
      <c r="H932" s="117"/>
      <c r="I932" s="117"/>
      <c r="J932" s="117"/>
      <c r="K932" s="100"/>
      <c r="L932" s="100"/>
      <c r="M932" s="100"/>
      <c r="N932" s="100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17"/>
      <c r="H933" s="117"/>
      <c r="I933" s="117"/>
      <c r="J933" s="117"/>
      <c r="K933" s="100"/>
      <c r="L933" s="100"/>
      <c r="M933" s="100"/>
      <c r="N933" s="100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17"/>
      <c r="H934" s="117"/>
      <c r="I934" s="117"/>
      <c r="J934" s="117"/>
      <c r="K934" s="100"/>
      <c r="L934" s="100"/>
      <c r="M934" s="100"/>
      <c r="N934" s="100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17"/>
      <c r="H935" s="117"/>
      <c r="I935" s="117"/>
      <c r="J935" s="117"/>
      <c r="K935" s="100"/>
      <c r="L935" s="100"/>
      <c r="M935" s="100"/>
      <c r="N935" s="100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17"/>
      <c r="H936" s="117"/>
      <c r="I936" s="117"/>
      <c r="J936" s="117"/>
      <c r="K936" s="100"/>
      <c r="L936" s="100"/>
      <c r="M936" s="100"/>
      <c r="N936" s="100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17"/>
      <c r="H937" s="117"/>
      <c r="I937" s="117"/>
      <c r="J937" s="117"/>
      <c r="K937" s="100"/>
      <c r="L937" s="100"/>
      <c r="M937" s="100"/>
      <c r="N937" s="100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17"/>
      <c r="H938" s="117"/>
      <c r="I938" s="117"/>
      <c r="J938" s="117"/>
      <c r="K938" s="100"/>
      <c r="L938" s="100"/>
      <c r="M938" s="100"/>
      <c r="N938" s="100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17"/>
      <c r="H939" s="117"/>
      <c r="I939" s="117"/>
      <c r="J939" s="117"/>
      <c r="K939" s="100"/>
      <c r="L939" s="100"/>
      <c r="M939" s="100"/>
      <c r="N939" s="100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17"/>
      <c r="H940" s="117"/>
      <c r="I940" s="117"/>
      <c r="J940" s="117"/>
      <c r="K940" s="100"/>
      <c r="L940" s="100"/>
      <c r="M940" s="100"/>
      <c r="N940" s="100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17"/>
      <c r="H941" s="117"/>
      <c r="I941" s="117"/>
      <c r="J941" s="117"/>
      <c r="K941" s="100"/>
      <c r="L941" s="100"/>
      <c r="M941" s="100"/>
      <c r="N941" s="100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17"/>
      <c r="H942" s="117"/>
      <c r="I942" s="117"/>
      <c r="J942" s="117"/>
      <c r="K942" s="100"/>
      <c r="L942" s="100"/>
      <c r="M942" s="100"/>
      <c r="N942" s="100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17"/>
      <c r="H943" s="117"/>
      <c r="I943" s="117"/>
      <c r="J943" s="117"/>
      <c r="K943" s="100"/>
      <c r="L943" s="100"/>
      <c r="M943" s="100"/>
      <c r="N943" s="100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17"/>
      <c r="H944" s="117"/>
      <c r="I944" s="117"/>
      <c r="J944" s="117"/>
      <c r="K944" s="100"/>
      <c r="L944" s="100"/>
      <c r="M944" s="100"/>
      <c r="N944" s="100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17"/>
      <c r="H945" s="117"/>
      <c r="I945" s="117"/>
      <c r="J945" s="117"/>
      <c r="K945" s="100"/>
      <c r="L945" s="100"/>
      <c r="M945" s="100"/>
      <c r="N945" s="100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17"/>
      <c r="H946" s="117"/>
      <c r="I946" s="117"/>
      <c r="J946" s="117"/>
      <c r="K946" s="100"/>
      <c r="L946" s="100"/>
      <c r="M946" s="100"/>
      <c r="N946" s="100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17"/>
      <c r="H947" s="117"/>
      <c r="I947" s="117"/>
      <c r="J947" s="117"/>
      <c r="K947" s="100"/>
      <c r="L947" s="100"/>
      <c r="M947" s="100"/>
      <c r="N947" s="100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17"/>
      <c r="H948" s="117"/>
      <c r="I948" s="117"/>
      <c r="J948" s="117"/>
      <c r="K948" s="100"/>
      <c r="L948" s="100"/>
      <c r="M948" s="100"/>
      <c r="N948" s="100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17"/>
      <c r="H949" s="117"/>
      <c r="I949" s="117"/>
      <c r="J949" s="117"/>
      <c r="K949" s="100"/>
      <c r="L949" s="100"/>
      <c r="M949" s="100"/>
      <c r="N949" s="100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17"/>
      <c r="H950" s="117"/>
      <c r="I950" s="117"/>
      <c r="J950" s="117"/>
      <c r="K950" s="100"/>
      <c r="L950" s="100"/>
      <c r="M950" s="100"/>
      <c r="N950" s="100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17"/>
      <c r="H951" s="117"/>
      <c r="I951" s="117"/>
      <c r="J951" s="117"/>
      <c r="K951" s="100"/>
      <c r="L951" s="100"/>
      <c r="M951" s="100"/>
      <c r="N951" s="100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17"/>
      <c r="H952" s="117"/>
      <c r="I952" s="117"/>
      <c r="J952" s="117"/>
      <c r="K952" s="100"/>
      <c r="L952" s="100"/>
      <c r="M952" s="100"/>
      <c r="N952" s="100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17"/>
      <c r="H953" s="117"/>
      <c r="I953" s="117"/>
      <c r="J953" s="117"/>
      <c r="K953" s="100"/>
      <c r="L953" s="100"/>
      <c r="M953" s="100"/>
      <c r="N953" s="100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17"/>
      <c r="H954" s="117"/>
      <c r="I954" s="117"/>
      <c r="J954" s="117"/>
      <c r="K954" s="100"/>
      <c r="L954" s="100"/>
      <c r="M954" s="100"/>
      <c r="N954" s="100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17"/>
      <c r="H955" s="117"/>
      <c r="I955" s="117"/>
      <c r="J955" s="117"/>
      <c r="K955" s="100"/>
      <c r="L955" s="100"/>
      <c r="M955" s="100"/>
      <c r="N955" s="100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17"/>
      <c r="H956" s="117"/>
      <c r="I956" s="117"/>
      <c r="J956" s="117"/>
      <c r="K956" s="100"/>
      <c r="L956" s="100"/>
      <c r="M956" s="100"/>
      <c r="N956" s="100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17"/>
      <c r="H957" s="117"/>
      <c r="I957" s="117"/>
      <c r="J957" s="117"/>
      <c r="K957" s="100"/>
      <c r="L957" s="100"/>
      <c r="M957" s="100"/>
      <c r="N957" s="100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17"/>
      <c r="H958" s="117"/>
      <c r="I958" s="117"/>
      <c r="J958" s="117"/>
      <c r="K958" s="100"/>
      <c r="L958" s="100"/>
      <c r="M958" s="100"/>
      <c r="N958" s="100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17"/>
      <c r="H959" s="117"/>
      <c r="I959" s="117"/>
      <c r="J959" s="117"/>
      <c r="K959" s="100"/>
      <c r="L959" s="100"/>
      <c r="M959" s="100"/>
      <c r="N959" s="100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17"/>
      <c r="H960" s="117"/>
      <c r="I960" s="117"/>
      <c r="J960" s="117"/>
      <c r="K960" s="100"/>
      <c r="L960" s="100"/>
      <c r="M960" s="100"/>
      <c r="N960" s="100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17"/>
      <c r="H961" s="117"/>
      <c r="I961" s="117"/>
      <c r="J961" s="117"/>
      <c r="K961" s="100"/>
      <c r="L961" s="100"/>
      <c r="M961" s="100"/>
      <c r="N961" s="100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17"/>
      <c r="H962" s="117"/>
      <c r="I962" s="117"/>
      <c r="J962" s="117"/>
      <c r="K962" s="100"/>
      <c r="L962" s="100"/>
      <c r="M962" s="100"/>
      <c r="N962" s="100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17"/>
      <c r="H963" s="117"/>
      <c r="I963" s="117"/>
      <c r="J963" s="117"/>
      <c r="K963" s="100"/>
      <c r="L963" s="100"/>
      <c r="M963" s="100"/>
      <c r="N963" s="100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17"/>
      <c r="H964" s="117"/>
      <c r="I964" s="117"/>
      <c r="J964" s="117"/>
      <c r="K964" s="100"/>
      <c r="L964" s="100"/>
      <c r="M964" s="100"/>
      <c r="N964" s="100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17"/>
      <c r="H965" s="117"/>
      <c r="I965" s="117"/>
      <c r="J965" s="117"/>
      <c r="K965" s="100"/>
      <c r="L965" s="100"/>
      <c r="M965" s="100"/>
      <c r="N965" s="100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17"/>
      <c r="H966" s="117"/>
      <c r="I966" s="117"/>
      <c r="J966" s="117"/>
      <c r="K966" s="100"/>
      <c r="L966" s="100"/>
      <c r="M966" s="100"/>
      <c r="N966" s="100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17"/>
      <c r="H967" s="117"/>
      <c r="I967" s="117"/>
      <c r="J967" s="117"/>
      <c r="K967" s="100"/>
      <c r="L967" s="100"/>
      <c r="M967" s="100"/>
      <c r="N967" s="100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17"/>
      <c r="H968" s="117"/>
      <c r="I968" s="117"/>
      <c r="J968" s="117"/>
      <c r="K968" s="100"/>
      <c r="L968" s="100"/>
      <c r="M968" s="100"/>
      <c r="N968" s="100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17"/>
      <c r="H969" s="117"/>
      <c r="I969" s="117"/>
      <c r="J969" s="117"/>
      <c r="K969" s="100"/>
      <c r="L969" s="100"/>
      <c r="M969" s="100"/>
      <c r="N969" s="100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17"/>
      <c r="H970" s="117"/>
      <c r="I970" s="117"/>
      <c r="J970" s="117"/>
      <c r="K970" s="100"/>
      <c r="L970" s="100"/>
      <c r="M970" s="100"/>
      <c r="N970" s="100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17"/>
      <c r="H971" s="117"/>
      <c r="I971" s="117"/>
      <c r="J971" s="117"/>
      <c r="K971" s="100"/>
      <c r="L971" s="100"/>
      <c r="M971" s="100"/>
      <c r="N971" s="100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17"/>
      <c r="H972" s="117"/>
      <c r="I972" s="117"/>
      <c r="J972" s="117"/>
      <c r="K972" s="100"/>
      <c r="L972" s="100"/>
      <c r="M972" s="100"/>
      <c r="N972" s="100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17"/>
      <c r="H973" s="117"/>
      <c r="I973" s="117"/>
      <c r="J973" s="117"/>
      <c r="K973" s="100"/>
      <c r="L973" s="100"/>
      <c r="M973" s="100"/>
      <c r="N973" s="100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17"/>
      <c r="H974" s="117"/>
      <c r="I974" s="117"/>
      <c r="J974" s="117"/>
      <c r="K974" s="100"/>
      <c r="L974" s="100"/>
      <c r="M974" s="100"/>
      <c r="N974" s="100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17"/>
      <c r="H975" s="117"/>
      <c r="I975" s="117"/>
      <c r="J975" s="117"/>
      <c r="K975" s="100"/>
      <c r="L975" s="100"/>
      <c r="M975" s="100"/>
      <c r="N975" s="100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17"/>
      <c r="H976" s="117"/>
      <c r="I976" s="117"/>
      <c r="J976" s="117"/>
      <c r="K976" s="100"/>
      <c r="L976" s="100"/>
      <c r="M976" s="100"/>
      <c r="N976" s="100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17"/>
      <c r="H977" s="117"/>
      <c r="I977" s="117"/>
      <c r="J977" s="117"/>
      <c r="K977" s="100"/>
      <c r="L977" s="100"/>
      <c r="M977" s="100"/>
      <c r="N977" s="100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17"/>
      <c r="H978" s="117"/>
      <c r="I978" s="117"/>
      <c r="J978" s="117"/>
      <c r="K978" s="100"/>
      <c r="L978" s="100"/>
      <c r="M978" s="100"/>
      <c r="N978" s="100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17"/>
      <c r="H979" s="117"/>
      <c r="I979" s="117"/>
      <c r="J979" s="117"/>
      <c r="K979" s="100"/>
      <c r="L979" s="100"/>
      <c r="M979" s="100"/>
      <c r="N979" s="100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17"/>
      <c r="H980" s="117"/>
      <c r="I980" s="117"/>
      <c r="J980" s="117"/>
      <c r="K980" s="100"/>
      <c r="L980" s="100"/>
      <c r="M980" s="100"/>
      <c r="N980" s="100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17"/>
      <c r="H981" s="117"/>
      <c r="I981" s="117"/>
      <c r="J981" s="117"/>
      <c r="K981" s="100"/>
      <c r="L981" s="100"/>
      <c r="M981" s="100"/>
      <c r="N981" s="100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17"/>
      <c r="H982" s="117"/>
      <c r="I982" s="117"/>
      <c r="J982" s="117"/>
      <c r="K982" s="100"/>
      <c r="L982" s="100"/>
      <c r="M982" s="100"/>
      <c r="N982" s="100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17"/>
      <c r="H983" s="117"/>
      <c r="I983" s="117"/>
      <c r="J983" s="117"/>
      <c r="K983" s="100"/>
      <c r="L983" s="100"/>
      <c r="M983" s="100"/>
      <c r="N983" s="100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17"/>
      <c r="H984" s="117"/>
      <c r="I984" s="117"/>
      <c r="J984" s="117"/>
      <c r="K984" s="100"/>
      <c r="L984" s="100"/>
      <c r="M984" s="100"/>
      <c r="N984" s="100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17"/>
      <c r="H985" s="117"/>
      <c r="I985" s="117"/>
      <c r="J985" s="117"/>
      <c r="K985" s="100"/>
      <c r="L985" s="100"/>
      <c r="M985" s="100"/>
      <c r="N985" s="100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17"/>
      <c r="H986" s="117"/>
      <c r="I986" s="117"/>
      <c r="J986" s="117"/>
      <c r="K986" s="100"/>
      <c r="L986" s="100"/>
      <c r="M986" s="100"/>
      <c r="N986" s="100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17"/>
      <c r="H987" s="117"/>
      <c r="I987" s="117"/>
      <c r="J987" s="117"/>
      <c r="K987" s="100"/>
      <c r="L987" s="100"/>
      <c r="M987" s="100"/>
      <c r="N987" s="100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17"/>
      <c r="H988" s="117"/>
      <c r="I988" s="117"/>
      <c r="J988" s="117"/>
      <c r="K988" s="100"/>
      <c r="L988" s="100"/>
      <c r="M988" s="100"/>
      <c r="N988" s="100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17"/>
      <c r="H989" s="117"/>
      <c r="I989" s="117"/>
      <c r="J989" s="117"/>
      <c r="K989" s="100"/>
      <c r="L989" s="100"/>
      <c r="M989" s="100"/>
      <c r="N989" s="100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17"/>
      <c r="H990" s="117"/>
      <c r="I990" s="117"/>
      <c r="J990" s="117"/>
      <c r="K990" s="100"/>
      <c r="L990" s="100"/>
      <c r="M990" s="100"/>
      <c r="N990" s="100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17"/>
      <c r="H991" s="117"/>
      <c r="I991" s="117"/>
      <c r="J991" s="117"/>
      <c r="K991" s="100"/>
      <c r="L991" s="100"/>
      <c r="M991" s="100"/>
      <c r="N991" s="100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17"/>
      <c r="H992" s="117"/>
      <c r="I992" s="117"/>
      <c r="J992" s="117"/>
      <c r="K992" s="100"/>
      <c r="L992" s="100"/>
      <c r="M992" s="100"/>
      <c r="N992" s="100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17"/>
      <c r="H993" s="117"/>
      <c r="I993" s="117"/>
      <c r="J993" s="117"/>
      <c r="K993" s="100"/>
      <c r="L993" s="100"/>
      <c r="M993" s="100"/>
      <c r="N993" s="100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17"/>
      <c r="H994" s="117"/>
      <c r="I994" s="117"/>
      <c r="J994" s="117"/>
      <c r="K994" s="100"/>
      <c r="L994" s="100"/>
      <c r="M994" s="100"/>
      <c r="N994" s="100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17"/>
      <c r="H995" s="117"/>
      <c r="I995" s="117"/>
      <c r="J995" s="117"/>
      <c r="K995" s="100"/>
      <c r="L995" s="100"/>
      <c r="M995" s="100"/>
      <c r="N995" s="100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17"/>
      <c r="H996" s="117"/>
      <c r="I996" s="117"/>
      <c r="J996" s="117"/>
      <c r="K996" s="100"/>
      <c r="L996" s="100"/>
      <c r="M996" s="100"/>
      <c r="N996" s="100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17"/>
      <c r="H997" s="117"/>
      <c r="I997" s="117"/>
      <c r="J997" s="117"/>
      <c r="K997" s="100"/>
      <c r="L997" s="100"/>
      <c r="M997" s="100"/>
      <c r="N997" s="100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17"/>
      <c r="H998" s="117"/>
      <c r="I998" s="117"/>
      <c r="J998" s="117"/>
      <c r="K998" s="100"/>
      <c r="L998" s="100"/>
      <c r="M998" s="100"/>
      <c r="N998" s="100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17"/>
      <c r="H999" s="117"/>
      <c r="I999" s="117"/>
      <c r="J999" s="117"/>
      <c r="K999" s="100"/>
      <c r="L999" s="100"/>
      <c r="M999" s="100"/>
      <c r="N999" s="100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17"/>
      <c r="H1000" s="117"/>
      <c r="I1000" s="117"/>
      <c r="J1000" s="117"/>
      <c r="K1000" s="100"/>
      <c r="L1000" s="100"/>
      <c r="M1000" s="100"/>
      <c r="N1000" s="100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3.43"/>
    <col customWidth="1" min="5" max="10" width="10.71"/>
    <col customWidth="1" min="11" max="11" width="13.57"/>
    <col customWidth="1" min="12" max="12" width="11.29"/>
    <col customWidth="1" min="13" max="13" width="15.86"/>
    <col customWidth="1" min="14" max="14" width="12.29"/>
    <col customWidth="1" min="15" max="15" width="13.71"/>
    <col customWidth="1" hidden="1" min="16" max="16" width="1.29"/>
    <col customWidth="1" min="17" max="17" width="23.57"/>
    <col customWidth="1" min="18" max="18" width="12.43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126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97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49" t="s">
        <v>98</v>
      </c>
      <c r="E7" s="18" t="s">
        <v>26</v>
      </c>
      <c r="F7" s="18" t="s">
        <v>26</v>
      </c>
      <c r="G7" s="18">
        <v>3.64</v>
      </c>
      <c r="H7" s="18">
        <v>1.38</v>
      </c>
      <c r="I7" s="18" t="s">
        <v>26</v>
      </c>
      <c r="J7" s="18" t="s">
        <v>26</v>
      </c>
      <c r="K7" s="18">
        <v>2.15</v>
      </c>
      <c r="L7" s="18" t="s">
        <v>26</v>
      </c>
      <c r="M7" s="18" t="s">
        <v>26</v>
      </c>
      <c r="N7" s="18">
        <v>2.22</v>
      </c>
      <c r="O7" s="18" t="s">
        <v>26</v>
      </c>
      <c r="P7" s="18" t="s">
        <v>26</v>
      </c>
      <c r="Q7" s="18">
        <f t="shared" ref="Q7:Q24" si="1">AVERAGE(G7:H7)</f>
        <v>2.51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53" t="s">
        <v>99</v>
      </c>
      <c r="E8" s="24" t="s">
        <v>26</v>
      </c>
      <c r="F8" s="24" t="s">
        <v>26</v>
      </c>
      <c r="G8" s="24">
        <v>3.58</v>
      </c>
      <c r="H8" s="24">
        <v>1.81</v>
      </c>
      <c r="I8" s="24" t="s">
        <v>26</v>
      </c>
      <c r="J8" s="24" t="s">
        <v>26</v>
      </c>
      <c r="K8" s="24">
        <v>2.26</v>
      </c>
      <c r="L8" s="24" t="s">
        <v>26</v>
      </c>
      <c r="M8" s="24" t="s">
        <v>26</v>
      </c>
      <c r="N8" s="24">
        <v>1.27</v>
      </c>
      <c r="O8" s="24" t="s">
        <v>26</v>
      </c>
      <c r="P8" s="24" t="s">
        <v>26</v>
      </c>
      <c r="Q8" s="24">
        <f t="shared" si="1"/>
        <v>2.695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53" t="s">
        <v>100</v>
      </c>
      <c r="E9" s="24" t="s">
        <v>26</v>
      </c>
      <c r="F9" s="24" t="s">
        <v>26</v>
      </c>
      <c r="G9" s="24">
        <v>3.55</v>
      </c>
      <c r="H9" s="24">
        <v>2.06</v>
      </c>
      <c r="I9" s="24" t="s">
        <v>26</v>
      </c>
      <c r="J9" s="24" t="s">
        <v>26</v>
      </c>
      <c r="K9" s="24">
        <v>2.65</v>
      </c>
      <c r="L9" s="24" t="s">
        <v>26</v>
      </c>
      <c r="M9" s="24" t="s">
        <v>26</v>
      </c>
      <c r="N9" s="24">
        <v>2.26</v>
      </c>
      <c r="O9" s="24" t="s">
        <v>26</v>
      </c>
      <c r="P9" s="24" t="s">
        <v>26</v>
      </c>
      <c r="Q9" s="24">
        <f t="shared" si="1"/>
        <v>2.805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49" t="s">
        <v>98</v>
      </c>
      <c r="E10" s="18" t="s">
        <v>26</v>
      </c>
      <c r="F10" s="18" t="s">
        <v>26</v>
      </c>
      <c r="G10" s="28">
        <v>35.0</v>
      </c>
      <c r="H10" s="28">
        <v>12.0</v>
      </c>
      <c r="I10" s="18" t="s">
        <v>26</v>
      </c>
      <c r="J10" s="18" t="s">
        <v>26</v>
      </c>
      <c r="K10" s="28">
        <v>27.0</v>
      </c>
      <c r="L10" s="18" t="s">
        <v>26</v>
      </c>
      <c r="M10" s="18" t="s">
        <v>26</v>
      </c>
      <c r="N10" s="28">
        <v>8.0</v>
      </c>
      <c r="O10" s="18" t="s">
        <v>26</v>
      </c>
      <c r="P10" s="18" t="s">
        <v>26</v>
      </c>
      <c r="Q10" s="18">
        <f t="shared" si="1"/>
        <v>23.5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53" t="s">
        <v>99</v>
      </c>
      <c r="E11" s="24" t="s">
        <v>26</v>
      </c>
      <c r="F11" s="24" t="s">
        <v>26</v>
      </c>
      <c r="G11" s="30">
        <v>19.0</v>
      </c>
      <c r="H11" s="30">
        <v>20.0</v>
      </c>
      <c r="I11" s="24" t="s">
        <v>26</v>
      </c>
      <c r="J11" s="24" t="s">
        <v>26</v>
      </c>
      <c r="K11" s="30">
        <v>28.0</v>
      </c>
      <c r="L11" s="24" t="s">
        <v>26</v>
      </c>
      <c r="M11" s="24" t="s">
        <v>26</v>
      </c>
      <c r="N11" s="30">
        <v>12.0</v>
      </c>
      <c r="O11" s="24" t="s">
        <v>26</v>
      </c>
      <c r="P11" s="24" t="s">
        <v>26</v>
      </c>
      <c r="Q11" s="24">
        <f t="shared" si="1"/>
        <v>19.5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53" t="s">
        <v>100</v>
      </c>
      <c r="E12" s="24" t="s">
        <v>26</v>
      </c>
      <c r="F12" s="24" t="s">
        <v>26</v>
      </c>
      <c r="G12" s="30">
        <v>20.0</v>
      </c>
      <c r="H12" s="30">
        <v>24.0</v>
      </c>
      <c r="I12" s="24" t="s">
        <v>26</v>
      </c>
      <c r="J12" s="24" t="s">
        <v>26</v>
      </c>
      <c r="K12" s="30">
        <v>32.0</v>
      </c>
      <c r="L12" s="24" t="s">
        <v>26</v>
      </c>
      <c r="M12" s="24" t="s">
        <v>26</v>
      </c>
      <c r="N12" s="30">
        <v>21.0</v>
      </c>
      <c r="O12" s="24" t="s">
        <v>26</v>
      </c>
      <c r="P12" s="24" t="s">
        <v>26</v>
      </c>
      <c r="Q12" s="24">
        <f t="shared" si="1"/>
        <v>22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49" t="s">
        <v>98</v>
      </c>
      <c r="E13" s="18" t="s">
        <v>26</v>
      </c>
      <c r="F13" s="18" t="s">
        <v>26</v>
      </c>
      <c r="G13" s="28">
        <v>20.0</v>
      </c>
      <c r="H13" s="28">
        <v>33.0</v>
      </c>
      <c r="I13" s="18" t="s">
        <v>26</v>
      </c>
      <c r="J13" s="18" t="s">
        <v>26</v>
      </c>
      <c r="K13" s="28">
        <v>37.0</v>
      </c>
      <c r="L13" s="18" t="s">
        <v>26</v>
      </c>
      <c r="M13" s="18" t="s">
        <v>26</v>
      </c>
      <c r="N13" s="28">
        <v>5.0</v>
      </c>
      <c r="O13" s="18" t="s">
        <v>26</v>
      </c>
      <c r="P13" s="18" t="s">
        <v>26</v>
      </c>
      <c r="Q13" s="18">
        <f t="shared" si="1"/>
        <v>26.5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53" t="s">
        <v>99</v>
      </c>
      <c r="E14" s="24" t="s">
        <v>26</v>
      </c>
      <c r="F14" s="24" t="s">
        <v>26</v>
      </c>
      <c r="G14" s="30">
        <v>23.0</v>
      </c>
      <c r="H14" s="30">
        <v>35.0</v>
      </c>
      <c r="I14" s="24" t="s">
        <v>26</v>
      </c>
      <c r="J14" s="24" t="s">
        <v>26</v>
      </c>
      <c r="K14" s="30">
        <v>34.0</v>
      </c>
      <c r="L14" s="24" t="s">
        <v>26</v>
      </c>
      <c r="M14" s="24" t="s">
        <v>26</v>
      </c>
      <c r="N14" s="30">
        <v>3.0</v>
      </c>
      <c r="O14" s="24" t="s">
        <v>26</v>
      </c>
      <c r="P14" s="24" t="s">
        <v>26</v>
      </c>
      <c r="Q14" s="24">
        <f t="shared" si="1"/>
        <v>29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53" t="s">
        <v>100</v>
      </c>
      <c r="E15" s="24" t="s">
        <v>26</v>
      </c>
      <c r="F15" s="24" t="s">
        <v>26</v>
      </c>
      <c r="G15" s="30">
        <v>20.0</v>
      </c>
      <c r="H15" s="30">
        <v>89.0</v>
      </c>
      <c r="I15" s="24" t="s">
        <v>26</v>
      </c>
      <c r="J15" s="24" t="s">
        <v>26</v>
      </c>
      <c r="K15" s="30">
        <v>37.0</v>
      </c>
      <c r="L15" s="24" t="s">
        <v>26</v>
      </c>
      <c r="M15" s="24" t="s">
        <v>26</v>
      </c>
      <c r="N15" s="30">
        <v>16.0</v>
      </c>
      <c r="O15" s="24" t="s">
        <v>26</v>
      </c>
      <c r="P15" s="24" t="s">
        <v>26</v>
      </c>
      <c r="Q15" s="24">
        <f t="shared" si="1"/>
        <v>54.5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49" t="s">
        <v>98</v>
      </c>
      <c r="E16" s="18" t="s">
        <v>26</v>
      </c>
      <c r="F16" s="18" t="s">
        <v>26</v>
      </c>
      <c r="G16" s="18">
        <v>7.68</v>
      </c>
      <c r="H16" s="18">
        <v>6.67</v>
      </c>
      <c r="I16" s="18" t="s">
        <v>26</v>
      </c>
      <c r="J16" s="18" t="s">
        <v>26</v>
      </c>
      <c r="K16" s="18">
        <v>6.98</v>
      </c>
      <c r="L16" s="18" t="s">
        <v>26</v>
      </c>
      <c r="M16" s="18" t="s">
        <v>26</v>
      </c>
      <c r="N16" s="18">
        <v>7.13</v>
      </c>
      <c r="O16" s="18" t="s">
        <v>26</v>
      </c>
      <c r="P16" s="18" t="s">
        <v>26</v>
      </c>
      <c r="Q16" s="18">
        <f t="shared" si="1"/>
        <v>7.175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53" t="s">
        <v>99</v>
      </c>
      <c r="E17" s="24" t="s">
        <v>26</v>
      </c>
      <c r="F17" s="24" t="s">
        <v>26</v>
      </c>
      <c r="G17" s="24">
        <v>7.71</v>
      </c>
      <c r="H17" s="24">
        <v>6.69</v>
      </c>
      <c r="I17" s="24" t="s">
        <v>26</v>
      </c>
      <c r="J17" s="24" t="s">
        <v>26</v>
      </c>
      <c r="K17" s="24">
        <v>6.95</v>
      </c>
      <c r="L17" s="24" t="s">
        <v>26</v>
      </c>
      <c r="M17" s="24" t="s">
        <v>26</v>
      </c>
      <c r="N17" s="24">
        <v>7.1</v>
      </c>
      <c r="O17" s="24" t="s">
        <v>26</v>
      </c>
      <c r="P17" s="24" t="s">
        <v>26</v>
      </c>
      <c r="Q17" s="24">
        <f t="shared" si="1"/>
        <v>7.2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53" t="s">
        <v>100</v>
      </c>
      <c r="E18" s="24" t="s">
        <v>26</v>
      </c>
      <c r="F18" s="24" t="s">
        <v>26</v>
      </c>
      <c r="G18" s="24">
        <v>7.76</v>
      </c>
      <c r="H18" s="24">
        <v>6.7</v>
      </c>
      <c r="I18" s="24" t="s">
        <v>26</v>
      </c>
      <c r="J18" s="24" t="s">
        <v>26</v>
      </c>
      <c r="K18" s="24">
        <v>7.0</v>
      </c>
      <c r="L18" s="24" t="s">
        <v>26</v>
      </c>
      <c r="M18" s="24" t="s">
        <v>26</v>
      </c>
      <c r="N18" s="24">
        <v>7.08</v>
      </c>
      <c r="O18" s="24" t="s">
        <v>26</v>
      </c>
      <c r="P18" s="24" t="s">
        <v>26</v>
      </c>
      <c r="Q18" s="24">
        <f t="shared" si="1"/>
        <v>7.23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101</v>
      </c>
      <c r="C19" s="16">
        <v>1.0</v>
      </c>
      <c r="D19" s="49" t="s">
        <v>98</v>
      </c>
      <c r="E19" s="18" t="s">
        <v>26</v>
      </c>
      <c r="F19" s="18" t="s">
        <v>26</v>
      </c>
      <c r="G19" s="18">
        <v>29.0</v>
      </c>
      <c r="H19" s="18">
        <v>29.2</v>
      </c>
      <c r="I19" s="18" t="s">
        <v>26</v>
      </c>
      <c r="J19" s="18" t="s">
        <v>26</v>
      </c>
      <c r="K19" s="18">
        <v>29.6</v>
      </c>
      <c r="L19" s="18" t="s">
        <v>26</v>
      </c>
      <c r="M19" s="18" t="s">
        <v>26</v>
      </c>
      <c r="N19" s="18">
        <v>28.0</v>
      </c>
      <c r="O19" s="18" t="s">
        <v>26</v>
      </c>
      <c r="P19" s="18" t="s">
        <v>26</v>
      </c>
      <c r="Q19" s="18">
        <f t="shared" si="1"/>
        <v>29.1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53" t="s">
        <v>99</v>
      </c>
      <c r="E20" s="24" t="s">
        <v>26</v>
      </c>
      <c r="F20" s="24" t="s">
        <v>26</v>
      </c>
      <c r="G20" s="24">
        <v>29.05</v>
      </c>
      <c r="H20" s="24">
        <v>28.9</v>
      </c>
      <c r="I20" s="24" t="s">
        <v>26</v>
      </c>
      <c r="J20" s="24" t="s">
        <v>26</v>
      </c>
      <c r="K20" s="24">
        <v>29.87</v>
      </c>
      <c r="L20" s="24" t="s">
        <v>26</v>
      </c>
      <c r="M20" s="24" t="s">
        <v>26</v>
      </c>
      <c r="N20" s="24">
        <v>28.02</v>
      </c>
      <c r="O20" s="24" t="s">
        <v>26</v>
      </c>
      <c r="P20" s="24" t="s">
        <v>26</v>
      </c>
      <c r="Q20" s="24">
        <f t="shared" si="1"/>
        <v>28.975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53" t="s">
        <v>100</v>
      </c>
      <c r="E21" s="24" t="s">
        <v>26</v>
      </c>
      <c r="F21" s="24" t="s">
        <v>26</v>
      </c>
      <c r="G21" s="24">
        <v>29.15</v>
      </c>
      <c r="H21" s="24">
        <v>30.38</v>
      </c>
      <c r="I21" s="24" t="s">
        <v>26</v>
      </c>
      <c r="J21" s="24" t="s">
        <v>26</v>
      </c>
      <c r="K21" s="24">
        <v>30.0</v>
      </c>
      <c r="L21" s="24" t="s">
        <v>26</v>
      </c>
      <c r="M21" s="24" t="s">
        <v>26</v>
      </c>
      <c r="N21" s="24">
        <v>28.3</v>
      </c>
      <c r="O21" s="24" t="s">
        <v>26</v>
      </c>
      <c r="P21" s="24" t="s">
        <v>26</v>
      </c>
      <c r="Q21" s="24">
        <f t="shared" si="1"/>
        <v>29.765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49" t="s">
        <v>98</v>
      </c>
      <c r="E22" s="18" t="s">
        <v>26</v>
      </c>
      <c r="F22" s="18" t="s">
        <v>26</v>
      </c>
      <c r="G22" s="28">
        <v>60.0</v>
      </c>
      <c r="H22" s="28">
        <v>80.0</v>
      </c>
      <c r="I22" s="18" t="s">
        <v>26</v>
      </c>
      <c r="J22" s="18" t="s">
        <v>26</v>
      </c>
      <c r="K22" s="28">
        <v>70.0</v>
      </c>
      <c r="L22" s="18" t="s">
        <v>26</v>
      </c>
      <c r="M22" s="18" t="s">
        <v>26</v>
      </c>
      <c r="N22" s="28">
        <v>40.0</v>
      </c>
      <c r="O22" s="18" t="s">
        <v>26</v>
      </c>
      <c r="P22" s="18" t="s">
        <v>26</v>
      </c>
      <c r="Q22" s="18">
        <f t="shared" si="1"/>
        <v>70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53" t="s">
        <v>99</v>
      </c>
      <c r="E23" s="24" t="s">
        <v>26</v>
      </c>
      <c r="F23" s="24" t="s">
        <v>26</v>
      </c>
      <c r="G23" s="30">
        <v>50.0</v>
      </c>
      <c r="H23" s="30">
        <v>70.0</v>
      </c>
      <c r="I23" s="24" t="s">
        <v>26</v>
      </c>
      <c r="J23" s="24" t="s">
        <v>26</v>
      </c>
      <c r="K23" s="30">
        <v>70.0</v>
      </c>
      <c r="L23" s="24" t="s">
        <v>26</v>
      </c>
      <c r="M23" s="24" t="s">
        <v>26</v>
      </c>
      <c r="N23" s="30">
        <v>25.0</v>
      </c>
      <c r="O23" s="24" t="s">
        <v>26</v>
      </c>
      <c r="P23" s="24" t="s">
        <v>26</v>
      </c>
      <c r="Q23" s="24">
        <f t="shared" si="1"/>
        <v>60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53" t="s">
        <v>100</v>
      </c>
      <c r="E24" s="24" t="s">
        <v>26</v>
      </c>
      <c r="F24" s="24" t="s">
        <v>26</v>
      </c>
      <c r="G24" s="30">
        <v>50.0</v>
      </c>
      <c r="H24" s="30">
        <v>50.0</v>
      </c>
      <c r="I24" s="24" t="s">
        <v>26</v>
      </c>
      <c r="J24" s="24" t="s">
        <v>26</v>
      </c>
      <c r="K24" s="30">
        <v>70.0</v>
      </c>
      <c r="L24" s="24" t="s">
        <v>26</v>
      </c>
      <c r="M24" s="24" t="s">
        <v>26</v>
      </c>
      <c r="N24" s="30">
        <v>30.0</v>
      </c>
      <c r="O24" s="24" t="s">
        <v>26</v>
      </c>
      <c r="P24" s="24" t="s">
        <v>26</v>
      </c>
      <c r="Q24" s="24">
        <f t="shared" si="1"/>
        <v>50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49" t="s">
        <v>98</v>
      </c>
      <c r="E25" s="18" t="s">
        <v>26</v>
      </c>
      <c r="F25" s="18" t="s">
        <v>26</v>
      </c>
      <c r="G25" s="33">
        <v>1600000.0</v>
      </c>
      <c r="H25" s="33">
        <v>170000.0</v>
      </c>
      <c r="I25" s="18" t="s">
        <v>26</v>
      </c>
      <c r="J25" s="18" t="s">
        <v>26</v>
      </c>
      <c r="K25" s="33">
        <v>1300000.0</v>
      </c>
      <c r="L25" s="18" t="s">
        <v>26</v>
      </c>
      <c r="M25" s="18" t="s">
        <v>26</v>
      </c>
      <c r="N25" s="28">
        <v>160000.0</v>
      </c>
      <c r="O25" s="18" t="s">
        <v>26</v>
      </c>
      <c r="P25" s="18" t="s">
        <v>26</v>
      </c>
      <c r="Q25" s="33">
        <f>AVERAGE(G25:H26)+GEOMEAN(G25:H25)</f>
        <v>1051536.192</v>
      </c>
      <c r="R25" s="17">
        <v>200.0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53" t="s">
        <v>99</v>
      </c>
      <c r="E26" s="24" t="s">
        <v>26</v>
      </c>
      <c r="F26" s="24" t="s">
        <v>26</v>
      </c>
      <c r="G26" s="34">
        <v>240000.0</v>
      </c>
      <c r="H26" s="34">
        <v>110000.0</v>
      </c>
      <c r="I26" s="24" t="s">
        <v>26</v>
      </c>
      <c r="J26" s="24" t="s">
        <v>26</v>
      </c>
      <c r="K26" s="34">
        <v>3500000.0</v>
      </c>
      <c r="L26" s="24" t="s">
        <v>26</v>
      </c>
      <c r="M26" s="24" t="s">
        <v>26</v>
      </c>
      <c r="N26" s="30">
        <v>70000.0</v>
      </c>
      <c r="O26" s="24" t="s">
        <v>26</v>
      </c>
      <c r="P26" s="24" t="s">
        <v>26</v>
      </c>
      <c r="Q26" s="34">
        <f t="shared" ref="Q26:Q27" si="2">GEOMEAN(G26:H26)</f>
        <v>162480.7681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53" t="s">
        <v>100</v>
      </c>
      <c r="E27" s="24" t="s">
        <v>26</v>
      </c>
      <c r="F27" s="24" t="s">
        <v>26</v>
      </c>
      <c r="G27" s="34">
        <v>540000.0</v>
      </c>
      <c r="H27" s="34">
        <v>160000.0</v>
      </c>
      <c r="I27" s="24" t="s">
        <v>26</v>
      </c>
      <c r="J27" s="24" t="s">
        <v>26</v>
      </c>
      <c r="K27" s="34">
        <v>2400000.0</v>
      </c>
      <c r="L27" s="24" t="s">
        <v>26</v>
      </c>
      <c r="M27" s="24" t="s">
        <v>26</v>
      </c>
      <c r="N27" s="30">
        <v>22000.0</v>
      </c>
      <c r="O27" s="24" t="s">
        <v>26</v>
      </c>
      <c r="P27" s="24" t="s">
        <v>26</v>
      </c>
      <c r="Q27" s="34">
        <f t="shared" si="2"/>
        <v>293938.7691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102</v>
      </c>
      <c r="C28" s="16">
        <v>1.0</v>
      </c>
      <c r="D28" s="49" t="s">
        <v>98</v>
      </c>
      <c r="E28" s="18" t="s">
        <v>26</v>
      </c>
      <c r="F28" s="18" t="s">
        <v>26</v>
      </c>
      <c r="G28" s="40">
        <v>0.048</v>
      </c>
      <c r="H28" s="40">
        <v>0.861</v>
      </c>
      <c r="I28" s="18" t="s">
        <v>26</v>
      </c>
      <c r="J28" s="18" t="s">
        <v>26</v>
      </c>
      <c r="K28" s="18" t="s">
        <v>42</v>
      </c>
      <c r="L28" s="18" t="s">
        <v>26</v>
      </c>
      <c r="M28" s="18" t="s">
        <v>26</v>
      </c>
      <c r="N28" s="40">
        <v>0.845</v>
      </c>
      <c r="O28" s="18" t="s">
        <v>26</v>
      </c>
      <c r="P28" s="18" t="s">
        <v>26</v>
      </c>
      <c r="Q28" s="18">
        <f t="shared" ref="Q28:Q36" si="3">AVERAGE(G28:H28)</f>
        <v>0.4545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53" t="s">
        <v>99</v>
      </c>
      <c r="E29" s="24" t="s">
        <v>26</v>
      </c>
      <c r="F29" s="24" t="s">
        <v>26</v>
      </c>
      <c r="G29" s="43">
        <v>0.048</v>
      </c>
      <c r="H29" s="43">
        <v>0.665</v>
      </c>
      <c r="I29" s="24" t="s">
        <v>26</v>
      </c>
      <c r="J29" s="24" t="s">
        <v>26</v>
      </c>
      <c r="K29" s="24" t="s">
        <v>42</v>
      </c>
      <c r="L29" s="24" t="s">
        <v>26</v>
      </c>
      <c r="M29" s="24" t="s">
        <v>26</v>
      </c>
      <c r="N29" s="43" t="s">
        <v>42</v>
      </c>
      <c r="O29" s="24" t="s">
        <v>26</v>
      </c>
      <c r="P29" s="24" t="s">
        <v>26</v>
      </c>
      <c r="Q29" s="24">
        <f t="shared" si="3"/>
        <v>0.3565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53" t="s">
        <v>100</v>
      </c>
      <c r="E30" s="24" t="s">
        <v>26</v>
      </c>
      <c r="F30" s="24" t="s">
        <v>26</v>
      </c>
      <c r="G30" s="43">
        <v>0.048</v>
      </c>
      <c r="H30" s="43">
        <v>0.687</v>
      </c>
      <c r="I30" s="24" t="s">
        <v>26</v>
      </c>
      <c r="J30" s="24" t="s">
        <v>26</v>
      </c>
      <c r="K30" s="24" t="s">
        <v>42</v>
      </c>
      <c r="L30" s="24" t="s">
        <v>26</v>
      </c>
      <c r="M30" s="24" t="s">
        <v>26</v>
      </c>
      <c r="N30" s="43">
        <v>0.069</v>
      </c>
      <c r="O30" s="24" t="s">
        <v>26</v>
      </c>
      <c r="P30" s="24" t="s">
        <v>26</v>
      </c>
      <c r="Q30" s="24">
        <f t="shared" si="3"/>
        <v>0.3675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103</v>
      </c>
      <c r="C31" s="16">
        <v>1.0</v>
      </c>
      <c r="D31" s="49" t="s">
        <v>98</v>
      </c>
      <c r="E31" s="18" t="s">
        <v>26</v>
      </c>
      <c r="F31" s="18" t="s">
        <v>26</v>
      </c>
      <c r="G31" s="40">
        <v>3.295</v>
      </c>
      <c r="H31" s="40">
        <v>1.74</v>
      </c>
      <c r="I31" s="18" t="s">
        <v>26</v>
      </c>
      <c r="J31" s="18" t="s">
        <v>26</v>
      </c>
      <c r="K31" s="40">
        <v>1.711</v>
      </c>
      <c r="L31" s="18" t="s">
        <v>26</v>
      </c>
      <c r="M31" s="18" t="s">
        <v>26</v>
      </c>
      <c r="N31" s="40">
        <v>0.647</v>
      </c>
      <c r="O31" s="18" t="s">
        <v>26</v>
      </c>
      <c r="P31" s="18" t="s">
        <v>26</v>
      </c>
      <c r="Q31" s="18">
        <f t="shared" si="3"/>
        <v>2.5175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53" t="s">
        <v>99</v>
      </c>
      <c r="E32" s="24" t="s">
        <v>26</v>
      </c>
      <c r="F32" s="24" t="s">
        <v>26</v>
      </c>
      <c r="G32" s="43">
        <v>1.04</v>
      </c>
      <c r="H32" s="43">
        <v>1.297</v>
      </c>
      <c r="I32" s="24" t="s">
        <v>26</v>
      </c>
      <c r="J32" s="24" t="s">
        <v>26</v>
      </c>
      <c r="K32" s="43">
        <v>1.739</v>
      </c>
      <c r="L32" s="24" t="s">
        <v>26</v>
      </c>
      <c r="M32" s="24" t="s">
        <v>26</v>
      </c>
      <c r="N32" s="43">
        <v>0.681</v>
      </c>
      <c r="O32" s="24" t="s">
        <v>26</v>
      </c>
      <c r="P32" s="24" t="s">
        <v>26</v>
      </c>
      <c r="Q32" s="24">
        <f t="shared" si="3"/>
        <v>1.1685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53" t="s">
        <v>100</v>
      </c>
      <c r="E33" s="24" t="s">
        <v>26</v>
      </c>
      <c r="F33" s="24" t="s">
        <v>26</v>
      </c>
      <c r="G33" s="43">
        <v>1.21</v>
      </c>
      <c r="H33" s="43">
        <v>0.988</v>
      </c>
      <c r="I33" s="24" t="s">
        <v>26</v>
      </c>
      <c r="J33" s="24" t="s">
        <v>26</v>
      </c>
      <c r="K33" s="43">
        <v>1.743</v>
      </c>
      <c r="L33" s="24" t="s">
        <v>26</v>
      </c>
      <c r="M33" s="24" t="s">
        <v>26</v>
      </c>
      <c r="N33" s="43">
        <v>0.694</v>
      </c>
      <c r="O33" s="24" t="s">
        <v>26</v>
      </c>
      <c r="P33" s="24" t="s">
        <v>26</v>
      </c>
      <c r="Q33" s="24">
        <f t="shared" si="3"/>
        <v>1.099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49" t="s">
        <v>98</v>
      </c>
      <c r="E34" s="18" t="s">
        <v>26</v>
      </c>
      <c r="F34" s="18" t="s">
        <v>26</v>
      </c>
      <c r="G34" s="28">
        <v>156.0</v>
      </c>
      <c r="H34" s="33">
        <v>3372.0</v>
      </c>
      <c r="I34" s="18" t="s">
        <v>26</v>
      </c>
      <c r="J34" s="18" t="s">
        <v>26</v>
      </c>
      <c r="K34" s="33">
        <v>1509.0</v>
      </c>
      <c r="L34" s="18" t="s">
        <v>26</v>
      </c>
      <c r="M34" s="18" t="s">
        <v>26</v>
      </c>
      <c r="N34" s="28">
        <v>25.0</v>
      </c>
      <c r="O34" s="18" t="s">
        <v>26</v>
      </c>
      <c r="P34" s="18" t="s">
        <v>26</v>
      </c>
      <c r="Q34" s="33">
        <f t="shared" si="3"/>
        <v>1764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53" t="s">
        <v>99</v>
      </c>
      <c r="E35" s="24" t="s">
        <v>26</v>
      </c>
      <c r="F35" s="24" t="s">
        <v>26</v>
      </c>
      <c r="G35" s="30">
        <v>764.0</v>
      </c>
      <c r="H35" s="34">
        <v>4362.0</v>
      </c>
      <c r="I35" s="24" t="s">
        <v>26</v>
      </c>
      <c r="J35" s="24" t="s">
        <v>26</v>
      </c>
      <c r="K35" s="34">
        <v>1273.0</v>
      </c>
      <c r="L35" s="24" t="s">
        <v>26</v>
      </c>
      <c r="M35" s="24" t="s">
        <v>26</v>
      </c>
      <c r="N35" s="30">
        <v>952.0</v>
      </c>
      <c r="O35" s="24" t="s">
        <v>26</v>
      </c>
      <c r="P35" s="24" t="s">
        <v>26</v>
      </c>
      <c r="Q35" s="34">
        <f t="shared" si="3"/>
        <v>2563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53" t="s">
        <v>100</v>
      </c>
      <c r="E36" s="24" t="s">
        <v>26</v>
      </c>
      <c r="F36" s="24" t="s">
        <v>26</v>
      </c>
      <c r="G36" s="30">
        <v>754.0</v>
      </c>
      <c r="H36" s="34">
        <v>5258.0</v>
      </c>
      <c r="I36" s="24" t="s">
        <v>26</v>
      </c>
      <c r="J36" s="24" t="s">
        <v>26</v>
      </c>
      <c r="K36" s="34">
        <v>1273.0</v>
      </c>
      <c r="L36" s="24" t="s">
        <v>26</v>
      </c>
      <c r="M36" s="24" t="s">
        <v>26</v>
      </c>
      <c r="N36" s="30">
        <v>952.0</v>
      </c>
      <c r="O36" s="24" t="s">
        <v>26</v>
      </c>
      <c r="P36" s="24" t="s">
        <v>26</v>
      </c>
      <c r="Q36" s="34">
        <f t="shared" si="3"/>
        <v>3006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17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7" t="s">
        <v>76</v>
      </c>
      <c r="D38" s="97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17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17"/>
      <c r="P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7" t="s">
        <v>87</v>
      </c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17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17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17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17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17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17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17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17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17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17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17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17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17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17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17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17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17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17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17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17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17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17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17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17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17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17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17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17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17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17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17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17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17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17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17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17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17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17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17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17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17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17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17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17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17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17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17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17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17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17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17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17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17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17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17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17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17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17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17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17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17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17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17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17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17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17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17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17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17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17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17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17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17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17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17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17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17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17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17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17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17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17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17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17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17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17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17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17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17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17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17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17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17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17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17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17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17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17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17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17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17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17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17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17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17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17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17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17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17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17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17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17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17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17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17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17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17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17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17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17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17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17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17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17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17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17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17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17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17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17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17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17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17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17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17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17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17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17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17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17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17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17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17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17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17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17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17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17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17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17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17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17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17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17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17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17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17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17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17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17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17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17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17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17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17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17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17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17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17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17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17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17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17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17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17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17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17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17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17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17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17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17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17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17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17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17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17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17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17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17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17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17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17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17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17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17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17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17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17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17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17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17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17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17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17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17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17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17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17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17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17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17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17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17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17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17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17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17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17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17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17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17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17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17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17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17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17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17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17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17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17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17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17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17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17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17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17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17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17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17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17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17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17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17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17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17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17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17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17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17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17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17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17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17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17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17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17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17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17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17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17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17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17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17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17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17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17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17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17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17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17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17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17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17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17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17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17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17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17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17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17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17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17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17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17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17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17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17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17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17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17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17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17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17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17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17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17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17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17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17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17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17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17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17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17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17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17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17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17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17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17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17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17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17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17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17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17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17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17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17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17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17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17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17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17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17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17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17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17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17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17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17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17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17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17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17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17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17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17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17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17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17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17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17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17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17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17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17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17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17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17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17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17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17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17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17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17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17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17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17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17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17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17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17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17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17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17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17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17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17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17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17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17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17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17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17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17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17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17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17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17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17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17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17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17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17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17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17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17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17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17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17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17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17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17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17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17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17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17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17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17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17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17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17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17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17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17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17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17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17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17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17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17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17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17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17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17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17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17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17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17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17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17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17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17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17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17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17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17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17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17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17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17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17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17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17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17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17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17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17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17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17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17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17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17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17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17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17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17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17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17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17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17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17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17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17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17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17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17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17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17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17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17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17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17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17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17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17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17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17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17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17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17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17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17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17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17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17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17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17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17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17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17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17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17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17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17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17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17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17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17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17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17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17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17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17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17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17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17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17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17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17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17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17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17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17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17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17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17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17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17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17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17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17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17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17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17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17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17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17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17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17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17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17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17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17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17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17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17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17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17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17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17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17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17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17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17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17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17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17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17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17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17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17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17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17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17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17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17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17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17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17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17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17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17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17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17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17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17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17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17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17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17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17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17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17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17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17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17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17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17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17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17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17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17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17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17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17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17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17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17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17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17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17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17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17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17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17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17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17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17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17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17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17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17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17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17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17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17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17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17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17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17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17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17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17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17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17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17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17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17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17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17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17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17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17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17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17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17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17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17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17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17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17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17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17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17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17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17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17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17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17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17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17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17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17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17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17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17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17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17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17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17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17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17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17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17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17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17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17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17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17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17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17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17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17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17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17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17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17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17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17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17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17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17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17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17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17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17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17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17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17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17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17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17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17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17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17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17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17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17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17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17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17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17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17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17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17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17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17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17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17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17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17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17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17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17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17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17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17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17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17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17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17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17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17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17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17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17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17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17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17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17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17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17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17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17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17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17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17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17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17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17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17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17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17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17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17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17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17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17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17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17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17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17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17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17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17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17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17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17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17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17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17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17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17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17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17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17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17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17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17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17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17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17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17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17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17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17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17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17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17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17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17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17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17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17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17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17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17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17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17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17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17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17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17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17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17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17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17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17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17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17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17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17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17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17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17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17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17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17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17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17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17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17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17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17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17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17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17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17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17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17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17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17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17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17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17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17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17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17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17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17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17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17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17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17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17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17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17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17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17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17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17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17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17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17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17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17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17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17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17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17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17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17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17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17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17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17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17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17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17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17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17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17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17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17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17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17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17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17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17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17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17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17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17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17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17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17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17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17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17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17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17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17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17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17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17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17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17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17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17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17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17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17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17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17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17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17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17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17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17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17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17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17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17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17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17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17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17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17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17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17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17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17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17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17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17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17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17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17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17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17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17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17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17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17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17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17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17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17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17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17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17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17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17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17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17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17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17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17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17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17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17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17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17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17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17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17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17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17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17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17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17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17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17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17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17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17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17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17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17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17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17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17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17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17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17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17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17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17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17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17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17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17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17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17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17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17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17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17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47.43"/>
    <col customWidth="1" min="5" max="11" width="10.71"/>
    <col customWidth="1" min="12" max="12" width="10.14"/>
    <col customWidth="1" min="13" max="13" width="11.14"/>
    <col customWidth="1" min="14" max="14" width="8.71"/>
    <col customWidth="1" min="15" max="15" width="10.14"/>
    <col customWidth="1" hidden="1" min="16" max="16" width="10.29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104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27" t="s">
        <v>105</v>
      </c>
      <c r="E7" s="18" t="s">
        <v>26</v>
      </c>
      <c r="F7" s="18">
        <v>3.333</v>
      </c>
      <c r="G7" s="18" t="s">
        <v>26</v>
      </c>
      <c r="H7" s="18" t="s">
        <v>26</v>
      </c>
      <c r="I7" s="18">
        <v>5.22</v>
      </c>
      <c r="J7" s="18" t="s">
        <v>26</v>
      </c>
      <c r="K7" s="18" t="s">
        <v>26</v>
      </c>
      <c r="L7" s="18" t="s">
        <v>26</v>
      </c>
      <c r="M7" s="18" t="s">
        <v>26</v>
      </c>
      <c r="N7" s="18" t="s">
        <v>26</v>
      </c>
      <c r="O7" s="18">
        <v>2.15</v>
      </c>
      <c r="P7" s="18" t="s">
        <v>26</v>
      </c>
      <c r="Q7" s="18">
        <f t="shared" ref="Q7:Q24" si="1">AVERAGE(E7:L7)</f>
        <v>4.2765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28" t="s">
        <v>106</v>
      </c>
      <c r="E8" s="91" t="s">
        <v>26</v>
      </c>
      <c r="F8" s="91">
        <v>4.2</v>
      </c>
      <c r="G8" s="91" t="s">
        <v>26</v>
      </c>
      <c r="H8" s="91" t="s">
        <v>26</v>
      </c>
      <c r="I8" s="91">
        <v>5.11</v>
      </c>
      <c r="J8" s="91" t="s">
        <v>26</v>
      </c>
      <c r="K8" s="91" t="s">
        <v>26</v>
      </c>
      <c r="L8" s="91" t="s">
        <v>26</v>
      </c>
      <c r="M8" s="91" t="s">
        <v>26</v>
      </c>
      <c r="N8" s="91" t="s">
        <v>26</v>
      </c>
      <c r="O8" s="91">
        <v>2.31</v>
      </c>
      <c r="P8" s="91" t="s">
        <v>26</v>
      </c>
      <c r="Q8" s="25">
        <f t="shared" si="1"/>
        <v>4.655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28" t="s">
        <v>107</v>
      </c>
      <c r="E9" s="91" t="s">
        <v>26</v>
      </c>
      <c r="F9" s="91">
        <v>4.5</v>
      </c>
      <c r="G9" s="91" t="s">
        <v>26</v>
      </c>
      <c r="H9" s="91" t="s">
        <v>26</v>
      </c>
      <c r="I9" s="91">
        <v>5.44</v>
      </c>
      <c r="J9" s="91" t="s">
        <v>26</v>
      </c>
      <c r="K9" s="91" t="s">
        <v>26</v>
      </c>
      <c r="L9" s="91" t="s">
        <v>26</v>
      </c>
      <c r="M9" s="91" t="s">
        <v>26</v>
      </c>
      <c r="N9" s="91" t="s">
        <v>26</v>
      </c>
      <c r="O9" s="91">
        <v>3.67</v>
      </c>
      <c r="P9" s="91" t="s">
        <v>26</v>
      </c>
      <c r="Q9" s="25">
        <f t="shared" si="1"/>
        <v>4.97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27" t="s">
        <v>105</v>
      </c>
      <c r="E10" s="18" t="s">
        <v>26</v>
      </c>
      <c r="F10" s="28">
        <v>4.0</v>
      </c>
      <c r="G10" s="18" t="s">
        <v>26</v>
      </c>
      <c r="H10" s="18" t="s">
        <v>26</v>
      </c>
      <c r="I10" s="28">
        <v>5.0</v>
      </c>
      <c r="J10" s="18" t="s">
        <v>26</v>
      </c>
      <c r="K10" s="18" t="s">
        <v>26</v>
      </c>
      <c r="L10" s="28">
        <v>28.0</v>
      </c>
      <c r="M10" s="18" t="s">
        <v>26</v>
      </c>
      <c r="N10" s="18" t="s">
        <v>26</v>
      </c>
      <c r="O10" s="28">
        <v>14.0</v>
      </c>
      <c r="P10" s="18" t="s">
        <v>26</v>
      </c>
      <c r="Q10" s="28">
        <f t="shared" si="1"/>
        <v>12.33333333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28" t="s">
        <v>106</v>
      </c>
      <c r="E11" s="91" t="s">
        <v>26</v>
      </c>
      <c r="F11" s="91">
        <v>4.0</v>
      </c>
      <c r="G11" s="91" t="s">
        <v>26</v>
      </c>
      <c r="H11" s="91" t="s">
        <v>26</v>
      </c>
      <c r="I11" s="91">
        <v>3.0</v>
      </c>
      <c r="J11" s="91" t="s">
        <v>26</v>
      </c>
      <c r="K11" s="91" t="s">
        <v>26</v>
      </c>
      <c r="L11" s="91">
        <v>11.0</v>
      </c>
      <c r="M11" s="91" t="s">
        <v>26</v>
      </c>
      <c r="N11" s="91" t="s">
        <v>26</v>
      </c>
      <c r="O11" s="91">
        <v>14.0</v>
      </c>
      <c r="P11" s="91" t="s">
        <v>26</v>
      </c>
      <c r="Q11" s="105">
        <f t="shared" si="1"/>
        <v>6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28" t="s">
        <v>107</v>
      </c>
      <c r="E12" s="91" t="s">
        <v>26</v>
      </c>
      <c r="F12" s="91">
        <v>3.0</v>
      </c>
      <c r="G12" s="91" t="s">
        <v>26</v>
      </c>
      <c r="H12" s="91" t="s">
        <v>26</v>
      </c>
      <c r="I12" s="91">
        <v>2.0</v>
      </c>
      <c r="J12" s="91" t="s">
        <v>26</v>
      </c>
      <c r="K12" s="91" t="s">
        <v>26</v>
      </c>
      <c r="L12" s="91">
        <v>17.0</v>
      </c>
      <c r="M12" s="91" t="s">
        <v>26</v>
      </c>
      <c r="N12" s="91" t="s">
        <v>26</v>
      </c>
      <c r="O12" s="91">
        <v>8.0</v>
      </c>
      <c r="P12" s="91" t="s">
        <v>26</v>
      </c>
      <c r="Q12" s="105">
        <f t="shared" si="1"/>
        <v>7.333333333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27" t="s">
        <v>105</v>
      </c>
      <c r="E13" s="18" t="s">
        <v>26</v>
      </c>
      <c r="F13" s="28">
        <v>5.0</v>
      </c>
      <c r="G13" s="18" t="s">
        <v>26</v>
      </c>
      <c r="H13" s="18" t="s">
        <v>26</v>
      </c>
      <c r="I13" s="28">
        <v>20.0</v>
      </c>
      <c r="J13" s="18" t="s">
        <v>26</v>
      </c>
      <c r="K13" s="18" t="s">
        <v>26</v>
      </c>
      <c r="L13" s="28">
        <v>19.0</v>
      </c>
      <c r="M13" s="18" t="s">
        <v>26</v>
      </c>
      <c r="N13" s="18" t="s">
        <v>26</v>
      </c>
      <c r="O13" s="28">
        <v>9.0</v>
      </c>
      <c r="P13" s="18" t="s">
        <v>26</v>
      </c>
      <c r="Q13" s="28">
        <f t="shared" si="1"/>
        <v>14.66666667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28" t="s">
        <v>106</v>
      </c>
      <c r="E14" s="91" t="s">
        <v>26</v>
      </c>
      <c r="F14" s="91">
        <v>19.0</v>
      </c>
      <c r="G14" s="91" t="s">
        <v>26</v>
      </c>
      <c r="H14" s="91" t="s">
        <v>26</v>
      </c>
      <c r="I14" s="91">
        <v>15.0</v>
      </c>
      <c r="J14" s="91" t="s">
        <v>26</v>
      </c>
      <c r="K14" s="91" t="s">
        <v>26</v>
      </c>
      <c r="L14" s="91">
        <v>13.0</v>
      </c>
      <c r="M14" s="91" t="s">
        <v>26</v>
      </c>
      <c r="N14" s="91" t="s">
        <v>26</v>
      </c>
      <c r="O14" s="91">
        <v>19.0</v>
      </c>
      <c r="P14" s="91" t="s">
        <v>26</v>
      </c>
      <c r="Q14" s="105">
        <f t="shared" si="1"/>
        <v>15.66666667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28" t="s">
        <v>107</v>
      </c>
      <c r="E15" s="91" t="s">
        <v>26</v>
      </c>
      <c r="F15" s="91">
        <v>30.0</v>
      </c>
      <c r="G15" s="91" t="s">
        <v>26</v>
      </c>
      <c r="H15" s="91" t="s">
        <v>26</v>
      </c>
      <c r="I15" s="91">
        <v>9.0</v>
      </c>
      <c r="J15" s="91" t="s">
        <v>26</v>
      </c>
      <c r="K15" s="91" t="s">
        <v>26</v>
      </c>
      <c r="L15" s="91">
        <v>13.0</v>
      </c>
      <c r="M15" s="91" t="s">
        <v>26</v>
      </c>
      <c r="N15" s="91" t="s">
        <v>26</v>
      </c>
      <c r="O15" s="91">
        <v>14.0</v>
      </c>
      <c r="P15" s="91" t="s">
        <v>26</v>
      </c>
      <c r="Q15" s="105">
        <f t="shared" si="1"/>
        <v>17.33333333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27" t="s">
        <v>105</v>
      </c>
      <c r="E16" s="18" t="s">
        <v>26</v>
      </c>
      <c r="F16" s="18">
        <v>7.85</v>
      </c>
      <c r="G16" s="18" t="s">
        <v>26</v>
      </c>
      <c r="H16" s="18" t="s">
        <v>26</v>
      </c>
      <c r="I16" s="18">
        <v>7.52</v>
      </c>
      <c r="J16" s="18" t="s">
        <v>26</v>
      </c>
      <c r="K16" s="18" t="s">
        <v>26</v>
      </c>
      <c r="L16" s="18" t="s">
        <v>26</v>
      </c>
      <c r="M16" s="18" t="s">
        <v>26</v>
      </c>
      <c r="N16" s="18" t="s">
        <v>26</v>
      </c>
      <c r="O16" s="18">
        <v>7.06</v>
      </c>
      <c r="P16" s="18" t="s">
        <v>26</v>
      </c>
      <c r="Q16" s="28">
        <f t="shared" si="1"/>
        <v>7.685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28" t="s">
        <v>106</v>
      </c>
      <c r="E17" s="91" t="s">
        <v>26</v>
      </c>
      <c r="F17" s="91">
        <v>7.95</v>
      </c>
      <c r="G17" s="91" t="s">
        <v>26</v>
      </c>
      <c r="H17" s="91" t="s">
        <v>26</v>
      </c>
      <c r="I17" s="91">
        <v>7.41</v>
      </c>
      <c r="J17" s="91" t="s">
        <v>26</v>
      </c>
      <c r="K17" s="91" t="s">
        <v>26</v>
      </c>
      <c r="L17" s="91" t="s">
        <v>26</v>
      </c>
      <c r="M17" s="91" t="s">
        <v>26</v>
      </c>
      <c r="N17" s="91" t="s">
        <v>26</v>
      </c>
      <c r="O17" s="91">
        <v>7.05</v>
      </c>
      <c r="P17" s="91" t="s">
        <v>26</v>
      </c>
      <c r="Q17" s="105">
        <f t="shared" si="1"/>
        <v>7.68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28" t="s">
        <v>107</v>
      </c>
      <c r="E18" s="91" t="s">
        <v>26</v>
      </c>
      <c r="F18" s="91">
        <v>7.89</v>
      </c>
      <c r="G18" s="91" t="s">
        <v>26</v>
      </c>
      <c r="H18" s="91" t="s">
        <v>26</v>
      </c>
      <c r="I18" s="91">
        <v>7.35</v>
      </c>
      <c r="J18" s="91" t="s">
        <v>26</v>
      </c>
      <c r="K18" s="91" t="s">
        <v>26</v>
      </c>
      <c r="L18" s="91" t="s">
        <v>26</v>
      </c>
      <c r="M18" s="91" t="s">
        <v>26</v>
      </c>
      <c r="N18" s="91" t="s">
        <v>26</v>
      </c>
      <c r="O18" s="91">
        <v>7.01</v>
      </c>
      <c r="P18" s="91" t="s">
        <v>26</v>
      </c>
      <c r="Q18" s="105">
        <f t="shared" si="1"/>
        <v>7.62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108</v>
      </c>
      <c r="C19" s="16">
        <v>1.0</v>
      </c>
      <c r="D19" s="127" t="s">
        <v>105</v>
      </c>
      <c r="E19" s="18" t="s">
        <v>26</v>
      </c>
      <c r="F19" s="18">
        <v>29.5</v>
      </c>
      <c r="G19" s="18" t="s">
        <v>26</v>
      </c>
      <c r="H19" s="18" t="s">
        <v>26</v>
      </c>
      <c r="I19" s="18">
        <v>31.6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>
        <v>28.4</v>
      </c>
      <c r="P19" s="18" t="s">
        <v>26</v>
      </c>
      <c r="Q19" s="28">
        <f t="shared" si="1"/>
        <v>30.55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28" t="s">
        <v>106</v>
      </c>
      <c r="E20" s="91" t="s">
        <v>26</v>
      </c>
      <c r="F20" s="24">
        <v>28.9</v>
      </c>
      <c r="G20" s="91" t="s">
        <v>26</v>
      </c>
      <c r="H20" s="91" t="s">
        <v>26</v>
      </c>
      <c r="I20" s="91">
        <v>31.18</v>
      </c>
      <c r="J20" s="91" t="s">
        <v>26</v>
      </c>
      <c r="K20" s="91" t="s">
        <v>26</v>
      </c>
      <c r="L20" s="91" t="s">
        <v>26</v>
      </c>
      <c r="M20" s="91" t="s">
        <v>26</v>
      </c>
      <c r="N20" s="91" t="s">
        <v>26</v>
      </c>
      <c r="O20" s="91">
        <v>27.63</v>
      </c>
      <c r="P20" s="91" t="s">
        <v>26</v>
      </c>
      <c r="Q20" s="105">
        <f t="shared" si="1"/>
        <v>30.04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28" t="s">
        <v>107</v>
      </c>
      <c r="E21" s="91" t="s">
        <v>26</v>
      </c>
      <c r="F21" s="24">
        <v>29.1</v>
      </c>
      <c r="G21" s="91" t="s">
        <v>26</v>
      </c>
      <c r="H21" s="91" t="s">
        <v>26</v>
      </c>
      <c r="I21" s="24">
        <v>32.2</v>
      </c>
      <c r="J21" s="91" t="s">
        <v>26</v>
      </c>
      <c r="K21" s="91" t="s">
        <v>26</v>
      </c>
      <c r="L21" s="91" t="s">
        <v>26</v>
      </c>
      <c r="M21" s="91" t="s">
        <v>26</v>
      </c>
      <c r="N21" s="91" t="s">
        <v>26</v>
      </c>
      <c r="O21" s="91">
        <v>28.28</v>
      </c>
      <c r="P21" s="91" t="s">
        <v>26</v>
      </c>
      <c r="Q21" s="105">
        <f t="shared" si="1"/>
        <v>30.65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127" t="s">
        <v>105</v>
      </c>
      <c r="E22" s="18" t="s">
        <v>26</v>
      </c>
      <c r="F22" s="28">
        <v>5.0</v>
      </c>
      <c r="G22" s="18" t="s">
        <v>26</v>
      </c>
      <c r="H22" s="18" t="s">
        <v>26</v>
      </c>
      <c r="I22" s="28">
        <v>20.0</v>
      </c>
      <c r="J22" s="18" t="s">
        <v>26</v>
      </c>
      <c r="K22" s="18" t="s">
        <v>26</v>
      </c>
      <c r="L22" s="28">
        <v>10.0</v>
      </c>
      <c r="M22" s="18" t="s">
        <v>26</v>
      </c>
      <c r="N22" s="18" t="s">
        <v>26</v>
      </c>
      <c r="O22" s="28">
        <v>10.0</v>
      </c>
      <c r="P22" s="18" t="s">
        <v>26</v>
      </c>
      <c r="Q22" s="28">
        <f t="shared" si="1"/>
        <v>11.66666667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0" customHeight="1">
      <c r="A23" s="20"/>
      <c r="B23" s="21"/>
      <c r="C23" s="22">
        <v>2.0</v>
      </c>
      <c r="D23" s="128" t="s">
        <v>106</v>
      </c>
      <c r="E23" s="91" t="s">
        <v>26</v>
      </c>
      <c r="F23" s="91">
        <v>5.0</v>
      </c>
      <c r="G23" s="91" t="s">
        <v>26</v>
      </c>
      <c r="H23" s="91" t="s">
        <v>26</v>
      </c>
      <c r="I23" s="91">
        <v>15.0</v>
      </c>
      <c r="J23" s="91" t="s">
        <v>26</v>
      </c>
      <c r="K23" s="91" t="s">
        <v>26</v>
      </c>
      <c r="L23" s="91">
        <v>10.0</v>
      </c>
      <c r="M23" s="91" t="s">
        <v>26</v>
      </c>
      <c r="N23" s="91" t="s">
        <v>26</v>
      </c>
      <c r="O23" s="91">
        <v>15.0</v>
      </c>
      <c r="P23" s="91" t="s">
        <v>26</v>
      </c>
      <c r="Q23" s="105">
        <f t="shared" si="1"/>
        <v>10</v>
      </c>
      <c r="R23" s="129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28" t="s">
        <v>107</v>
      </c>
      <c r="E24" s="91" t="s">
        <v>26</v>
      </c>
      <c r="F24" s="91">
        <v>5.0</v>
      </c>
      <c r="G24" s="91" t="s">
        <v>26</v>
      </c>
      <c r="H24" s="91" t="s">
        <v>26</v>
      </c>
      <c r="I24" s="91">
        <v>10.0</v>
      </c>
      <c r="J24" s="91" t="s">
        <v>26</v>
      </c>
      <c r="K24" s="91" t="s">
        <v>26</v>
      </c>
      <c r="L24" s="91">
        <v>15.0</v>
      </c>
      <c r="M24" s="91" t="s">
        <v>26</v>
      </c>
      <c r="N24" s="91" t="s">
        <v>26</v>
      </c>
      <c r="O24" s="91">
        <v>15.0</v>
      </c>
      <c r="P24" s="91" t="s">
        <v>26</v>
      </c>
      <c r="Q24" s="105">
        <f t="shared" si="1"/>
        <v>10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27" t="s">
        <v>105</v>
      </c>
      <c r="E25" s="18" t="s">
        <v>26</v>
      </c>
      <c r="F25" s="33">
        <v>54000.0</v>
      </c>
      <c r="G25" s="18" t="s">
        <v>26</v>
      </c>
      <c r="H25" s="18" t="s">
        <v>26</v>
      </c>
      <c r="I25" s="18" t="s">
        <v>70</v>
      </c>
      <c r="J25" s="18" t="s">
        <v>26</v>
      </c>
      <c r="K25" s="18" t="s">
        <v>26</v>
      </c>
      <c r="L25" s="33">
        <v>54000.0</v>
      </c>
      <c r="M25" s="18" t="s">
        <v>26</v>
      </c>
      <c r="N25" s="18" t="s">
        <v>26</v>
      </c>
      <c r="O25" s="33">
        <v>24000.0</v>
      </c>
      <c r="P25" s="18" t="s">
        <v>26</v>
      </c>
      <c r="Q25" s="33">
        <f t="shared" ref="Q25:Q27" si="2">GEOMEAN(E25:L25)</f>
        <v>54000</v>
      </c>
      <c r="R25" s="17">
        <v>200.0</v>
      </c>
      <c r="S25" s="130">
        <f>geomean(Q25:Q27)</f>
        <v>41067.65801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28" t="s">
        <v>106</v>
      </c>
      <c r="E26" s="91" t="s">
        <v>26</v>
      </c>
      <c r="F26" s="37">
        <v>17000.0</v>
      </c>
      <c r="G26" s="91" t="s">
        <v>26</v>
      </c>
      <c r="H26" s="91" t="s">
        <v>26</v>
      </c>
      <c r="I26" s="91" t="s">
        <v>70</v>
      </c>
      <c r="J26" s="91" t="s">
        <v>26</v>
      </c>
      <c r="K26" s="91" t="s">
        <v>26</v>
      </c>
      <c r="L26" s="34">
        <v>35000.0</v>
      </c>
      <c r="M26" s="91" t="s">
        <v>26</v>
      </c>
      <c r="N26" s="91" t="s">
        <v>26</v>
      </c>
      <c r="O26" s="34">
        <v>24000.0</v>
      </c>
      <c r="P26" s="91" t="s">
        <v>26</v>
      </c>
      <c r="Q26" s="37">
        <f t="shared" si="2"/>
        <v>24392.62184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28" t="s">
        <v>107</v>
      </c>
      <c r="E27" s="91" t="s">
        <v>26</v>
      </c>
      <c r="F27" s="37">
        <v>350000.0</v>
      </c>
      <c r="G27" s="91" t="s">
        <v>26</v>
      </c>
      <c r="H27" s="91" t="s">
        <v>26</v>
      </c>
      <c r="I27" s="91" t="s">
        <v>70</v>
      </c>
      <c r="J27" s="91" t="s">
        <v>26</v>
      </c>
      <c r="K27" s="91" t="s">
        <v>26</v>
      </c>
      <c r="L27" s="34">
        <v>7900.0</v>
      </c>
      <c r="M27" s="91" t="s">
        <v>26</v>
      </c>
      <c r="N27" s="91" t="s">
        <v>26</v>
      </c>
      <c r="O27" s="34">
        <v>7000.0</v>
      </c>
      <c r="P27" s="91" t="s">
        <v>26</v>
      </c>
      <c r="Q27" s="37">
        <f t="shared" si="2"/>
        <v>52583.2673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109</v>
      </c>
      <c r="C28" s="16">
        <v>1.0</v>
      </c>
      <c r="D28" s="127" t="s">
        <v>105</v>
      </c>
      <c r="E28" s="18" t="s">
        <v>26</v>
      </c>
      <c r="F28" s="18" t="s">
        <v>42</v>
      </c>
      <c r="G28" s="18" t="s">
        <v>26</v>
      </c>
      <c r="H28" s="18" t="s">
        <v>26</v>
      </c>
      <c r="I28" s="18" t="s">
        <v>42</v>
      </c>
      <c r="J28" s="18" t="s">
        <v>26</v>
      </c>
      <c r="K28" s="18" t="s">
        <v>26</v>
      </c>
      <c r="L28" s="40">
        <v>0.726</v>
      </c>
      <c r="M28" s="18" t="s">
        <v>26</v>
      </c>
      <c r="N28" s="18" t="s">
        <v>26</v>
      </c>
      <c r="O28" s="40">
        <v>1.826</v>
      </c>
      <c r="P28" s="18" t="s">
        <v>26</v>
      </c>
      <c r="Q28" s="18" t="s">
        <v>42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28" t="s">
        <v>106</v>
      </c>
      <c r="E29" s="91" t="s">
        <v>26</v>
      </c>
      <c r="F29" s="91" t="s">
        <v>42</v>
      </c>
      <c r="G29" s="91" t="s">
        <v>26</v>
      </c>
      <c r="H29" s="91" t="s">
        <v>26</v>
      </c>
      <c r="I29" s="91">
        <v>0.094</v>
      </c>
      <c r="J29" s="91" t="s">
        <v>26</v>
      </c>
      <c r="K29" s="91" t="s">
        <v>26</v>
      </c>
      <c r="L29" s="91">
        <v>0.386</v>
      </c>
      <c r="M29" s="91" t="s">
        <v>26</v>
      </c>
      <c r="N29" s="91" t="s">
        <v>26</v>
      </c>
      <c r="O29" s="91">
        <v>2.503</v>
      </c>
      <c r="P29" s="91" t="s">
        <v>26</v>
      </c>
      <c r="Q29" s="91" t="s">
        <v>42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28" t="s">
        <v>107</v>
      </c>
      <c r="E30" s="91" t="s">
        <v>26</v>
      </c>
      <c r="F30" s="91" t="s">
        <v>42</v>
      </c>
      <c r="G30" s="91" t="s">
        <v>26</v>
      </c>
      <c r="H30" s="91" t="s">
        <v>26</v>
      </c>
      <c r="I30" s="91">
        <v>0.074</v>
      </c>
      <c r="J30" s="91" t="s">
        <v>26</v>
      </c>
      <c r="K30" s="91" t="s">
        <v>26</v>
      </c>
      <c r="L30" s="91" t="s">
        <v>42</v>
      </c>
      <c r="M30" s="91" t="s">
        <v>26</v>
      </c>
      <c r="N30" s="91" t="s">
        <v>26</v>
      </c>
      <c r="O30" s="91">
        <v>2.488</v>
      </c>
      <c r="P30" s="91" t="s">
        <v>26</v>
      </c>
      <c r="Q30" s="91" t="s">
        <v>42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110</v>
      </c>
      <c r="C31" s="16">
        <v>1.0</v>
      </c>
      <c r="D31" s="127" t="s">
        <v>105</v>
      </c>
      <c r="E31" s="18" t="s">
        <v>26</v>
      </c>
      <c r="F31" s="40">
        <v>0.039</v>
      </c>
      <c r="G31" s="18" t="s">
        <v>26</v>
      </c>
      <c r="H31" s="18" t="s">
        <v>26</v>
      </c>
      <c r="I31" s="40">
        <v>0.232</v>
      </c>
      <c r="J31" s="18" t="s">
        <v>26</v>
      </c>
      <c r="K31" s="18" t="s">
        <v>26</v>
      </c>
      <c r="L31" s="40">
        <v>0.15</v>
      </c>
      <c r="M31" s="18" t="s">
        <v>26</v>
      </c>
      <c r="N31" s="18" t="s">
        <v>26</v>
      </c>
      <c r="O31" s="40">
        <v>0.087</v>
      </c>
      <c r="P31" s="18" t="s">
        <v>26</v>
      </c>
      <c r="Q31" s="40">
        <v>0.039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28" t="s">
        <v>106</v>
      </c>
      <c r="E32" s="91" t="s">
        <v>26</v>
      </c>
      <c r="F32" s="91">
        <v>0.112</v>
      </c>
      <c r="G32" s="91" t="s">
        <v>26</v>
      </c>
      <c r="H32" s="91" t="s">
        <v>26</v>
      </c>
      <c r="I32" s="91">
        <v>0.103</v>
      </c>
      <c r="J32" s="91" t="s">
        <v>26</v>
      </c>
      <c r="K32" s="91" t="s">
        <v>26</v>
      </c>
      <c r="L32" s="43">
        <v>0.111</v>
      </c>
      <c r="M32" s="91" t="s">
        <v>26</v>
      </c>
      <c r="N32" s="91" t="s">
        <v>26</v>
      </c>
      <c r="O32" s="91">
        <v>0.153</v>
      </c>
      <c r="P32" s="91" t="s">
        <v>26</v>
      </c>
      <c r="Q32" s="91">
        <v>0.112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28" t="s">
        <v>107</v>
      </c>
      <c r="E33" s="91" t="s">
        <v>26</v>
      </c>
      <c r="F33" s="91">
        <v>0.131</v>
      </c>
      <c r="G33" s="91" t="s">
        <v>26</v>
      </c>
      <c r="H33" s="91" t="s">
        <v>26</v>
      </c>
      <c r="I33" s="91">
        <v>0.103</v>
      </c>
      <c r="J33" s="91" t="s">
        <v>26</v>
      </c>
      <c r="K33" s="91" t="s">
        <v>26</v>
      </c>
      <c r="L33" s="43">
        <v>0.09</v>
      </c>
      <c r="M33" s="91" t="s">
        <v>26</v>
      </c>
      <c r="N33" s="91" t="s">
        <v>26</v>
      </c>
      <c r="O33" s="43">
        <v>0.19</v>
      </c>
      <c r="P33" s="91" t="s">
        <v>26</v>
      </c>
      <c r="Q33" s="91">
        <v>0.131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127" t="s">
        <v>105</v>
      </c>
      <c r="E34" s="18" t="s">
        <v>26</v>
      </c>
      <c r="F34" s="28">
        <v>448.0</v>
      </c>
      <c r="G34" s="18" t="s">
        <v>26</v>
      </c>
      <c r="H34" s="18" t="s">
        <v>26</v>
      </c>
      <c r="I34" s="33">
        <v>6932.0</v>
      </c>
      <c r="J34" s="18" t="s">
        <v>26</v>
      </c>
      <c r="K34" s="18" t="s">
        <v>26</v>
      </c>
      <c r="L34" s="28">
        <v>19.0</v>
      </c>
      <c r="M34" s="18" t="s">
        <v>26</v>
      </c>
      <c r="N34" s="18" t="s">
        <v>26</v>
      </c>
      <c r="O34" s="33">
        <v>1190.0</v>
      </c>
      <c r="P34" s="18" t="s">
        <v>26</v>
      </c>
      <c r="Q34" s="28">
        <v>448.0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128" t="s">
        <v>106</v>
      </c>
      <c r="E35" s="91" t="s">
        <v>26</v>
      </c>
      <c r="F35" s="91">
        <v>8.0</v>
      </c>
      <c r="G35" s="91" t="s">
        <v>26</v>
      </c>
      <c r="H35" s="91" t="s">
        <v>26</v>
      </c>
      <c r="I35" s="34">
        <v>1108.0</v>
      </c>
      <c r="J35" s="91" t="s">
        <v>26</v>
      </c>
      <c r="K35" s="91" t="s">
        <v>26</v>
      </c>
      <c r="L35" s="91">
        <v>8.0</v>
      </c>
      <c r="M35" s="91" t="s">
        <v>26</v>
      </c>
      <c r="N35" s="91" t="s">
        <v>26</v>
      </c>
      <c r="O35" s="91">
        <v>15.0</v>
      </c>
      <c r="P35" s="91" t="s">
        <v>26</v>
      </c>
      <c r="Q35" s="91">
        <v>8.0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128" t="s">
        <v>107</v>
      </c>
      <c r="E36" s="91" t="s">
        <v>26</v>
      </c>
      <c r="F36" s="91">
        <v>6.0</v>
      </c>
      <c r="G36" s="91" t="s">
        <v>26</v>
      </c>
      <c r="H36" s="91" t="s">
        <v>26</v>
      </c>
      <c r="I36" s="91">
        <v>27.0</v>
      </c>
      <c r="J36" s="91" t="s">
        <v>26</v>
      </c>
      <c r="K36" s="91" t="s">
        <v>26</v>
      </c>
      <c r="L36" s="91">
        <v>6.0</v>
      </c>
      <c r="M36" s="91" t="s">
        <v>26</v>
      </c>
      <c r="N36" s="91" t="s">
        <v>26</v>
      </c>
      <c r="O36" s="91">
        <v>8.0</v>
      </c>
      <c r="P36" s="91" t="s">
        <v>26</v>
      </c>
      <c r="Q36" s="91">
        <v>6.0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17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0" customHeight="1">
      <c r="A38" s="97" t="s">
        <v>76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17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0" customHeight="1"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17"/>
      <c r="P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97" t="s">
        <v>111</v>
      </c>
      <c r="C40" s="99"/>
      <c r="D40" s="99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17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C41" s="99"/>
      <c r="D41" s="99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17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97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17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17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17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17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17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17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17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17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17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17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17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17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17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17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17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17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17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17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17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17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17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17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17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17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17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17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17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17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17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17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17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17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17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17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17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17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17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17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17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17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17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17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17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17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17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17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17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17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17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17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17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17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17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17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17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17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17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17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17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17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17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17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17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17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17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17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17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17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17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17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17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17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17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17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17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17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17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17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17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17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17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17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17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17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17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17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17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17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17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17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17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17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17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17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17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17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17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17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17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17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17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17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17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17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17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17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17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17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17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17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17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17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17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17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17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17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17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17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17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17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17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17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17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17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17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17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17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17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17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17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17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17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17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17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17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17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17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17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17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17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17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17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17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17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17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17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17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17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17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17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17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17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17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17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17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17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17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17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17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17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17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17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17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17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17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17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17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17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17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17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17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17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17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17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17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17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17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17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17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17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17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17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17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17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17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17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17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17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17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17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17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17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17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17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17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17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17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17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17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17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17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17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17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17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17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17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17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17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17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17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17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17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17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17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17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17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17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17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17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17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17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17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17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17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17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17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17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17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17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17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17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17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17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17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17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17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17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17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17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17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17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17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17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17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17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17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17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17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17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17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17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17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17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17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17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17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17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17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17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17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17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17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17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17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17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17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17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17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17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17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17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17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17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17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17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17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17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17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17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17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17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17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17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17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17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17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17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17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17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17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17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17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17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17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17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17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17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17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17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17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17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17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17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17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17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17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17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17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17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17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17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17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17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17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17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17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17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17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17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17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17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17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17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17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17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17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17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17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17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17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17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17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17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17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17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17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17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17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17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17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17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17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17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17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17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17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17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17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17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17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17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17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17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17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17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17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17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17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17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17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17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17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17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17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17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17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17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17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17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17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17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17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17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17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17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17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17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17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17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17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17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17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17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17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17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17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17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17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17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17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17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17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17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17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17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17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17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17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17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17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17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17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17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17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17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17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17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17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17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17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17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17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17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17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17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17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17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17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17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17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17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17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17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17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17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17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17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17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17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17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17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17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17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17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17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17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17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17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17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17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17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17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17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17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17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17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17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17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17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17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17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17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17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17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17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17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17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17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17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17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17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17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17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17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17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17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17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17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17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17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17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17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17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17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17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17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17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17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17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17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17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17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17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17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17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17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17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17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17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17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17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17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17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17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17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17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17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17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17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17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17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17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17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17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17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17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17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17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17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17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17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17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17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17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17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17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17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17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17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17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17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17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17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17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17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17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17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17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17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17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17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17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17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17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17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17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17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17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17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17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17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17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17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17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17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17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17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17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17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17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17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17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17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17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17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17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17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17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17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17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17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17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17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17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17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17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17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17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17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17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17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17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17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17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17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17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17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17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17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17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17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17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17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17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17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17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17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17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17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17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17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17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17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17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17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17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17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17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17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17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17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17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17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17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17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17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17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17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17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17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17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17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17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17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17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17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17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17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17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17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17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17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17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17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17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17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17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17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17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17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17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17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17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17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17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17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17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17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17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17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17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17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17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17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17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17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17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17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17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17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17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17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17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17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17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17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17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17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17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17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17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17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17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17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17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17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17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17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17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17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17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17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17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17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17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17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17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17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17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17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17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17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17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17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17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17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17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17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17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17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17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17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17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17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17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17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17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17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17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17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17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17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17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17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17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17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17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17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17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17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17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17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17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17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17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17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17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17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17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17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17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17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17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17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17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17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17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17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17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17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17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17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17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17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17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17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17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17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17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17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17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17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17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17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17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17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17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17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17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17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17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17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17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17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17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17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17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17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17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17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17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17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17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17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17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17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17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17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17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17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17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17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17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17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17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17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17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17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17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17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17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17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17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17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17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17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17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17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17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17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17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17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17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17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17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17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17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17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17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17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17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17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17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17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17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17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17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17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17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17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17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17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17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17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17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17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17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17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17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17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17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17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17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17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17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17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17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17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17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17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17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17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17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17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17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17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17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17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17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17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17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17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17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17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17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17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17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17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17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17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17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17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17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17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17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17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17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17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17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17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17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17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17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17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17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17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17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17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17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17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17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17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17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17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17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17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17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17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17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17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17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17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17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17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17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17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17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17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17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17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17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17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17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17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17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17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17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17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17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17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17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17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17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17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17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17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17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17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17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17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17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17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17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17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17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17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17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17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17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17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17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17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17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17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17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17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17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17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17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17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17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17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17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17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17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17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17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17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17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17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17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17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17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17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17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17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17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17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17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17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17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17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17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17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17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17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17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17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17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40:B41"/>
    <mergeCell ref="B42:D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3.43"/>
    <col customWidth="1" min="5" max="11" width="10.71"/>
    <col customWidth="1" min="12" max="12" width="8.57"/>
    <col customWidth="1" min="13" max="13" width="12.57"/>
    <col customWidth="1" hidden="1" min="14" max="14" width="8.71"/>
    <col customWidth="1" hidden="1" min="15" max="15" width="10.86"/>
    <col customWidth="1" hidden="1" min="16" max="16" width="10.71"/>
    <col customWidth="1" min="17" max="17" width="22.57"/>
    <col customWidth="1" min="18" max="18" width="11.57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112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31" t="s">
        <v>113</v>
      </c>
      <c r="E7" s="18" t="s">
        <v>26</v>
      </c>
      <c r="F7" s="18" t="s">
        <v>26</v>
      </c>
      <c r="G7" s="18" t="s">
        <v>26</v>
      </c>
      <c r="H7" s="18" t="s">
        <v>26</v>
      </c>
      <c r="I7" s="18" t="s">
        <v>26</v>
      </c>
      <c r="J7" s="18" t="s">
        <v>26</v>
      </c>
      <c r="K7" s="18" t="s">
        <v>26</v>
      </c>
      <c r="L7" s="18" t="s">
        <v>26</v>
      </c>
      <c r="M7" s="18" t="s">
        <v>26</v>
      </c>
      <c r="N7" s="18" t="s">
        <v>26</v>
      </c>
      <c r="O7" s="18" t="s">
        <v>26</v>
      </c>
      <c r="P7" s="18" t="s">
        <v>26</v>
      </c>
      <c r="Q7" s="18" t="s">
        <v>26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32" t="s">
        <v>114</v>
      </c>
      <c r="E8" s="24" t="s">
        <v>26</v>
      </c>
      <c r="F8" s="24" t="s">
        <v>26</v>
      </c>
      <c r="G8" s="24" t="s">
        <v>26</v>
      </c>
      <c r="H8" s="24" t="s">
        <v>26</v>
      </c>
      <c r="I8" s="24" t="s">
        <v>26</v>
      </c>
      <c r="J8" s="24" t="s">
        <v>26</v>
      </c>
      <c r="K8" s="24" t="s">
        <v>26</v>
      </c>
      <c r="L8" s="24" t="s">
        <v>26</v>
      </c>
      <c r="M8" s="24" t="s">
        <v>26</v>
      </c>
      <c r="N8" s="24" t="s">
        <v>26</v>
      </c>
      <c r="O8" s="24" t="s">
        <v>26</v>
      </c>
      <c r="P8" s="24" t="s">
        <v>26</v>
      </c>
      <c r="Q8" s="24" t="s">
        <v>26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32" t="s">
        <v>115</v>
      </c>
      <c r="E9" s="24" t="s">
        <v>26</v>
      </c>
      <c r="F9" s="24" t="s">
        <v>26</v>
      </c>
      <c r="G9" s="24" t="s">
        <v>26</v>
      </c>
      <c r="H9" s="24" t="s">
        <v>26</v>
      </c>
      <c r="I9" s="24" t="s">
        <v>26</v>
      </c>
      <c r="J9" s="24" t="s">
        <v>26</v>
      </c>
      <c r="K9" s="24" t="s">
        <v>26</v>
      </c>
      <c r="L9" s="24" t="s">
        <v>26</v>
      </c>
      <c r="M9" s="24" t="s">
        <v>26</v>
      </c>
      <c r="N9" s="24" t="s">
        <v>26</v>
      </c>
      <c r="O9" s="24" t="s">
        <v>26</v>
      </c>
      <c r="P9" s="24" t="s">
        <v>26</v>
      </c>
      <c r="Q9" s="24" t="s">
        <v>26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31" t="s">
        <v>113</v>
      </c>
      <c r="E10" s="18" t="s">
        <v>26</v>
      </c>
      <c r="F10" s="18" t="s">
        <v>26</v>
      </c>
      <c r="G10" s="18" t="s">
        <v>26</v>
      </c>
      <c r="H10" s="18" t="s">
        <v>26</v>
      </c>
      <c r="I10" s="18" t="s">
        <v>26</v>
      </c>
      <c r="J10" s="18" t="s">
        <v>26</v>
      </c>
      <c r="K10" s="18" t="s">
        <v>26</v>
      </c>
      <c r="L10" s="18" t="s">
        <v>26</v>
      </c>
      <c r="M10" s="18" t="s">
        <v>26</v>
      </c>
      <c r="N10" s="18" t="s">
        <v>26</v>
      </c>
      <c r="O10" s="18" t="s">
        <v>26</v>
      </c>
      <c r="P10" s="18" t="s">
        <v>26</v>
      </c>
      <c r="Q10" s="18" t="s">
        <v>26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32" t="s">
        <v>114</v>
      </c>
      <c r="E11" s="24" t="s">
        <v>26</v>
      </c>
      <c r="F11" s="24" t="s">
        <v>26</v>
      </c>
      <c r="G11" s="24" t="s">
        <v>26</v>
      </c>
      <c r="H11" s="24" t="s">
        <v>26</v>
      </c>
      <c r="I11" s="24" t="s">
        <v>26</v>
      </c>
      <c r="J11" s="24" t="s">
        <v>26</v>
      </c>
      <c r="K11" s="24" t="s">
        <v>26</v>
      </c>
      <c r="L11" s="24" t="s">
        <v>26</v>
      </c>
      <c r="M11" s="24" t="s">
        <v>26</v>
      </c>
      <c r="N11" s="24" t="s">
        <v>26</v>
      </c>
      <c r="O11" s="24" t="s">
        <v>26</v>
      </c>
      <c r="P11" s="24" t="s">
        <v>26</v>
      </c>
      <c r="Q11" s="24" t="s">
        <v>26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32" t="s">
        <v>115</v>
      </c>
      <c r="E12" s="24" t="s">
        <v>26</v>
      </c>
      <c r="F12" s="24" t="s">
        <v>26</v>
      </c>
      <c r="G12" s="24" t="s">
        <v>26</v>
      </c>
      <c r="H12" s="24" t="s">
        <v>26</v>
      </c>
      <c r="I12" s="24" t="s">
        <v>26</v>
      </c>
      <c r="J12" s="24" t="s">
        <v>26</v>
      </c>
      <c r="K12" s="24" t="s">
        <v>26</v>
      </c>
      <c r="L12" s="24" t="s">
        <v>26</v>
      </c>
      <c r="M12" s="24" t="s">
        <v>26</v>
      </c>
      <c r="N12" s="24" t="s">
        <v>26</v>
      </c>
      <c r="O12" s="24" t="s">
        <v>26</v>
      </c>
      <c r="P12" s="24" t="s">
        <v>26</v>
      </c>
      <c r="Q12" s="24" t="s">
        <v>26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31" t="s">
        <v>113</v>
      </c>
      <c r="E13" s="18" t="s">
        <v>26</v>
      </c>
      <c r="F13" s="18" t="s">
        <v>26</v>
      </c>
      <c r="G13" s="18" t="s">
        <v>26</v>
      </c>
      <c r="H13" s="18" t="s">
        <v>26</v>
      </c>
      <c r="I13" s="18" t="s">
        <v>26</v>
      </c>
      <c r="J13" s="18" t="s">
        <v>26</v>
      </c>
      <c r="K13" s="18" t="s">
        <v>26</v>
      </c>
      <c r="L13" s="18" t="s">
        <v>26</v>
      </c>
      <c r="M13" s="18" t="s">
        <v>26</v>
      </c>
      <c r="N13" s="18" t="s">
        <v>26</v>
      </c>
      <c r="O13" s="18" t="s">
        <v>26</v>
      </c>
      <c r="P13" s="18" t="s">
        <v>26</v>
      </c>
      <c r="Q13" s="18" t="s">
        <v>26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32" t="s">
        <v>114</v>
      </c>
      <c r="E14" s="24" t="s">
        <v>26</v>
      </c>
      <c r="F14" s="24" t="s">
        <v>26</v>
      </c>
      <c r="G14" s="24" t="s">
        <v>26</v>
      </c>
      <c r="H14" s="24" t="s">
        <v>26</v>
      </c>
      <c r="I14" s="24" t="s">
        <v>26</v>
      </c>
      <c r="J14" s="24" t="s">
        <v>26</v>
      </c>
      <c r="K14" s="24" t="s">
        <v>26</v>
      </c>
      <c r="L14" s="24" t="s">
        <v>26</v>
      </c>
      <c r="M14" s="24" t="s">
        <v>26</v>
      </c>
      <c r="N14" s="24" t="s">
        <v>26</v>
      </c>
      <c r="O14" s="24" t="s">
        <v>26</v>
      </c>
      <c r="P14" s="24" t="s">
        <v>26</v>
      </c>
      <c r="Q14" s="24" t="s">
        <v>26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32" t="s">
        <v>115</v>
      </c>
      <c r="E15" s="24" t="s">
        <v>26</v>
      </c>
      <c r="F15" s="24" t="s">
        <v>26</v>
      </c>
      <c r="G15" s="24" t="s">
        <v>26</v>
      </c>
      <c r="H15" s="24" t="s">
        <v>26</v>
      </c>
      <c r="I15" s="24" t="s">
        <v>26</v>
      </c>
      <c r="J15" s="24" t="s">
        <v>26</v>
      </c>
      <c r="K15" s="24" t="s">
        <v>26</v>
      </c>
      <c r="L15" s="24" t="s">
        <v>26</v>
      </c>
      <c r="M15" s="24" t="s">
        <v>26</v>
      </c>
      <c r="N15" s="24" t="s">
        <v>26</v>
      </c>
      <c r="O15" s="24" t="s">
        <v>26</v>
      </c>
      <c r="P15" s="24" t="s">
        <v>26</v>
      </c>
      <c r="Q15" s="24" t="s">
        <v>26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31" t="s">
        <v>113</v>
      </c>
      <c r="E16" s="18" t="s">
        <v>26</v>
      </c>
      <c r="F16" s="18" t="s">
        <v>26</v>
      </c>
      <c r="G16" s="18" t="s">
        <v>26</v>
      </c>
      <c r="H16" s="18" t="s">
        <v>26</v>
      </c>
      <c r="I16" s="18" t="s">
        <v>26</v>
      </c>
      <c r="J16" s="18" t="s">
        <v>26</v>
      </c>
      <c r="K16" s="18" t="s">
        <v>26</v>
      </c>
      <c r="L16" s="18" t="s">
        <v>26</v>
      </c>
      <c r="M16" s="18" t="s">
        <v>26</v>
      </c>
      <c r="N16" s="18" t="s">
        <v>26</v>
      </c>
      <c r="O16" s="18" t="s">
        <v>26</v>
      </c>
      <c r="P16" s="18" t="s">
        <v>26</v>
      </c>
      <c r="Q16" s="18" t="s">
        <v>26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32" t="s">
        <v>114</v>
      </c>
      <c r="E17" s="24" t="s">
        <v>26</v>
      </c>
      <c r="F17" s="24" t="s">
        <v>26</v>
      </c>
      <c r="G17" s="24" t="s">
        <v>26</v>
      </c>
      <c r="H17" s="24" t="s">
        <v>26</v>
      </c>
      <c r="I17" s="24" t="s">
        <v>26</v>
      </c>
      <c r="J17" s="24" t="s">
        <v>26</v>
      </c>
      <c r="K17" s="24" t="s">
        <v>26</v>
      </c>
      <c r="L17" s="24" t="s">
        <v>26</v>
      </c>
      <c r="M17" s="24" t="s">
        <v>26</v>
      </c>
      <c r="N17" s="24" t="s">
        <v>26</v>
      </c>
      <c r="O17" s="24" t="s">
        <v>26</v>
      </c>
      <c r="P17" s="24" t="s">
        <v>26</v>
      </c>
      <c r="Q17" s="24" t="s">
        <v>26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32" t="s">
        <v>115</v>
      </c>
      <c r="E18" s="24" t="s">
        <v>26</v>
      </c>
      <c r="F18" s="24" t="s">
        <v>26</v>
      </c>
      <c r="G18" s="24" t="s">
        <v>26</v>
      </c>
      <c r="H18" s="24" t="s">
        <v>26</v>
      </c>
      <c r="I18" s="24" t="s">
        <v>26</v>
      </c>
      <c r="J18" s="24" t="s">
        <v>26</v>
      </c>
      <c r="K18" s="24" t="s">
        <v>26</v>
      </c>
      <c r="L18" s="24" t="s">
        <v>26</v>
      </c>
      <c r="M18" s="24" t="s">
        <v>26</v>
      </c>
      <c r="N18" s="24" t="s">
        <v>26</v>
      </c>
      <c r="O18" s="24" t="s">
        <v>26</v>
      </c>
      <c r="P18" s="24" t="s">
        <v>26</v>
      </c>
      <c r="Q18" s="24" t="s">
        <v>26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116</v>
      </c>
      <c r="C19" s="16">
        <v>1.0</v>
      </c>
      <c r="D19" s="131" t="s">
        <v>113</v>
      </c>
      <c r="E19" s="18" t="s">
        <v>26</v>
      </c>
      <c r="F19" s="18" t="s">
        <v>26</v>
      </c>
      <c r="G19" s="18" t="s">
        <v>26</v>
      </c>
      <c r="H19" s="18" t="s">
        <v>26</v>
      </c>
      <c r="I19" s="18" t="s">
        <v>26</v>
      </c>
      <c r="J19" s="18" t="s">
        <v>26</v>
      </c>
      <c r="K19" s="18" t="s">
        <v>26</v>
      </c>
      <c r="L19" s="18" t="s">
        <v>26</v>
      </c>
      <c r="M19" s="18" t="s">
        <v>26</v>
      </c>
      <c r="N19" s="18" t="s">
        <v>26</v>
      </c>
      <c r="O19" s="18" t="s">
        <v>26</v>
      </c>
      <c r="P19" s="18" t="s">
        <v>26</v>
      </c>
      <c r="Q19" s="18" t="s">
        <v>26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32" t="s">
        <v>114</v>
      </c>
      <c r="E20" s="24" t="s">
        <v>26</v>
      </c>
      <c r="F20" s="24" t="s">
        <v>26</v>
      </c>
      <c r="G20" s="24" t="s">
        <v>26</v>
      </c>
      <c r="H20" s="24" t="s">
        <v>26</v>
      </c>
      <c r="I20" s="24" t="s">
        <v>26</v>
      </c>
      <c r="J20" s="24" t="s">
        <v>26</v>
      </c>
      <c r="K20" s="24" t="s">
        <v>26</v>
      </c>
      <c r="L20" s="24" t="s">
        <v>26</v>
      </c>
      <c r="M20" s="24" t="s">
        <v>26</v>
      </c>
      <c r="N20" s="24" t="s">
        <v>26</v>
      </c>
      <c r="O20" s="24" t="s">
        <v>26</v>
      </c>
      <c r="P20" s="24" t="s">
        <v>26</v>
      </c>
      <c r="Q20" s="24" t="s">
        <v>26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32" t="s">
        <v>115</v>
      </c>
      <c r="E21" s="24" t="s">
        <v>26</v>
      </c>
      <c r="F21" s="24" t="s">
        <v>26</v>
      </c>
      <c r="G21" s="24" t="s">
        <v>26</v>
      </c>
      <c r="H21" s="24" t="s">
        <v>26</v>
      </c>
      <c r="I21" s="24" t="s">
        <v>26</v>
      </c>
      <c r="J21" s="24" t="s">
        <v>26</v>
      </c>
      <c r="K21" s="24" t="s">
        <v>26</v>
      </c>
      <c r="L21" s="24" t="s">
        <v>26</v>
      </c>
      <c r="M21" s="24" t="s">
        <v>26</v>
      </c>
      <c r="N21" s="24" t="s">
        <v>26</v>
      </c>
      <c r="O21" s="24" t="s">
        <v>26</v>
      </c>
      <c r="P21" s="24" t="s">
        <v>26</v>
      </c>
      <c r="Q21" s="24" t="s">
        <v>26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131" t="s">
        <v>113</v>
      </c>
      <c r="E22" s="18" t="s">
        <v>26</v>
      </c>
      <c r="F22" s="18" t="s">
        <v>26</v>
      </c>
      <c r="G22" s="18" t="s">
        <v>26</v>
      </c>
      <c r="H22" s="18" t="s">
        <v>26</v>
      </c>
      <c r="I22" s="18" t="s">
        <v>26</v>
      </c>
      <c r="J22" s="18" t="s">
        <v>26</v>
      </c>
      <c r="K22" s="18" t="s">
        <v>26</v>
      </c>
      <c r="L22" s="18" t="s">
        <v>26</v>
      </c>
      <c r="M22" s="18" t="s">
        <v>26</v>
      </c>
      <c r="N22" s="18" t="s">
        <v>26</v>
      </c>
      <c r="O22" s="18" t="s">
        <v>26</v>
      </c>
      <c r="P22" s="18" t="s">
        <v>26</v>
      </c>
      <c r="Q22" s="18" t="s">
        <v>26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32" t="s">
        <v>114</v>
      </c>
      <c r="E23" s="24" t="s">
        <v>26</v>
      </c>
      <c r="F23" s="24" t="s">
        <v>26</v>
      </c>
      <c r="G23" s="24" t="s">
        <v>26</v>
      </c>
      <c r="H23" s="24" t="s">
        <v>26</v>
      </c>
      <c r="I23" s="24" t="s">
        <v>26</v>
      </c>
      <c r="J23" s="24" t="s">
        <v>26</v>
      </c>
      <c r="K23" s="24" t="s">
        <v>26</v>
      </c>
      <c r="L23" s="24" t="s">
        <v>26</v>
      </c>
      <c r="M23" s="24" t="s">
        <v>26</v>
      </c>
      <c r="N23" s="24" t="s">
        <v>26</v>
      </c>
      <c r="O23" s="24" t="s">
        <v>26</v>
      </c>
      <c r="P23" s="24" t="s">
        <v>26</v>
      </c>
      <c r="Q23" s="24" t="s">
        <v>26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32" t="s">
        <v>115</v>
      </c>
      <c r="E24" s="24" t="s">
        <v>26</v>
      </c>
      <c r="F24" s="24" t="s">
        <v>26</v>
      </c>
      <c r="G24" s="24" t="s">
        <v>26</v>
      </c>
      <c r="H24" s="24" t="s">
        <v>26</v>
      </c>
      <c r="I24" s="24" t="s">
        <v>26</v>
      </c>
      <c r="J24" s="24" t="s">
        <v>26</v>
      </c>
      <c r="K24" s="24" t="s">
        <v>26</v>
      </c>
      <c r="L24" s="24" t="s">
        <v>26</v>
      </c>
      <c r="M24" s="24" t="s">
        <v>26</v>
      </c>
      <c r="N24" s="24" t="s">
        <v>26</v>
      </c>
      <c r="O24" s="24" t="s">
        <v>26</v>
      </c>
      <c r="P24" s="24" t="s">
        <v>26</v>
      </c>
      <c r="Q24" s="24" t="s">
        <v>26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31" t="s">
        <v>113</v>
      </c>
      <c r="E25" s="18" t="s">
        <v>26</v>
      </c>
      <c r="F25" s="18" t="s">
        <v>26</v>
      </c>
      <c r="G25" s="18" t="s">
        <v>26</v>
      </c>
      <c r="H25" s="18" t="s">
        <v>26</v>
      </c>
      <c r="I25" s="18" t="s">
        <v>26</v>
      </c>
      <c r="J25" s="18" t="s">
        <v>26</v>
      </c>
      <c r="K25" s="18" t="s">
        <v>26</v>
      </c>
      <c r="L25" s="18" t="s">
        <v>26</v>
      </c>
      <c r="M25" s="18" t="s">
        <v>26</v>
      </c>
      <c r="N25" s="18" t="s">
        <v>26</v>
      </c>
      <c r="O25" s="18" t="s">
        <v>26</v>
      </c>
      <c r="P25" s="18" t="s">
        <v>26</v>
      </c>
      <c r="Q25" s="18" t="s">
        <v>26</v>
      </c>
      <c r="R25" s="17">
        <v>200.0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32" t="s">
        <v>114</v>
      </c>
      <c r="E26" s="24" t="s">
        <v>26</v>
      </c>
      <c r="F26" s="24" t="s">
        <v>26</v>
      </c>
      <c r="G26" s="24" t="s">
        <v>26</v>
      </c>
      <c r="H26" s="24" t="s">
        <v>26</v>
      </c>
      <c r="I26" s="24" t="s">
        <v>26</v>
      </c>
      <c r="J26" s="24" t="s">
        <v>26</v>
      </c>
      <c r="K26" s="24" t="s">
        <v>26</v>
      </c>
      <c r="L26" s="24" t="s">
        <v>26</v>
      </c>
      <c r="M26" s="24" t="s">
        <v>26</v>
      </c>
      <c r="N26" s="24" t="s">
        <v>26</v>
      </c>
      <c r="O26" s="24" t="s">
        <v>26</v>
      </c>
      <c r="P26" s="24" t="s">
        <v>26</v>
      </c>
      <c r="Q26" s="24" t="s">
        <v>26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32" t="s">
        <v>115</v>
      </c>
      <c r="E27" s="24" t="s">
        <v>26</v>
      </c>
      <c r="F27" s="24" t="s">
        <v>26</v>
      </c>
      <c r="G27" s="24" t="s">
        <v>26</v>
      </c>
      <c r="H27" s="24" t="s">
        <v>26</v>
      </c>
      <c r="I27" s="24" t="s">
        <v>26</v>
      </c>
      <c r="J27" s="24" t="s">
        <v>26</v>
      </c>
      <c r="K27" s="24" t="s">
        <v>26</v>
      </c>
      <c r="L27" s="24" t="s">
        <v>26</v>
      </c>
      <c r="M27" s="24" t="s">
        <v>26</v>
      </c>
      <c r="N27" s="24" t="s">
        <v>26</v>
      </c>
      <c r="O27" s="24" t="s">
        <v>26</v>
      </c>
      <c r="P27" s="24" t="s">
        <v>26</v>
      </c>
      <c r="Q27" s="24" t="s">
        <v>26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117</v>
      </c>
      <c r="C28" s="16">
        <v>1.0</v>
      </c>
      <c r="D28" s="131" t="s">
        <v>113</v>
      </c>
      <c r="E28" s="18" t="s">
        <v>26</v>
      </c>
      <c r="F28" s="18" t="s">
        <v>26</v>
      </c>
      <c r="G28" s="18" t="s">
        <v>26</v>
      </c>
      <c r="H28" s="18" t="s">
        <v>26</v>
      </c>
      <c r="I28" s="18" t="s">
        <v>26</v>
      </c>
      <c r="J28" s="18" t="s">
        <v>26</v>
      </c>
      <c r="K28" s="18" t="s">
        <v>26</v>
      </c>
      <c r="L28" s="18" t="s">
        <v>26</v>
      </c>
      <c r="M28" s="18" t="s">
        <v>26</v>
      </c>
      <c r="N28" s="18" t="s">
        <v>26</v>
      </c>
      <c r="O28" s="18" t="s">
        <v>26</v>
      </c>
      <c r="P28" s="18" t="s">
        <v>26</v>
      </c>
      <c r="Q28" s="18" t="s">
        <v>26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32" t="s">
        <v>114</v>
      </c>
      <c r="E29" s="24" t="s">
        <v>26</v>
      </c>
      <c r="F29" s="24" t="s">
        <v>26</v>
      </c>
      <c r="G29" s="24" t="s">
        <v>26</v>
      </c>
      <c r="H29" s="24" t="s">
        <v>26</v>
      </c>
      <c r="I29" s="24" t="s">
        <v>26</v>
      </c>
      <c r="J29" s="24" t="s">
        <v>26</v>
      </c>
      <c r="K29" s="24" t="s">
        <v>26</v>
      </c>
      <c r="L29" s="24" t="s">
        <v>26</v>
      </c>
      <c r="M29" s="24" t="s">
        <v>26</v>
      </c>
      <c r="N29" s="24" t="s">
        <v>26</v>
      </c>
      <c r="O29" s="24" t="s">
        <v>26</v>
      </c>
      <c r="P29" s="24" t="s">
        <v>26</v>
      </c>
      <c r="Q29" s="24" t="s">
        <v>26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32" t="s">
        <v>115</v>
      </c>
      <c r="E30" s="24" t="s">
        <v>26</v>
      </c>
      <c r="F30" s="24" t="s">
        <v>26</v>
      </c>
      <c r="G30" s="24" t="s">
        <v>26</v>
      </c>
      <c r="H30" s="24" t="s">
        <v>26</v>
      </c>
      <c r="I30" s="24" t="s">
        <v>26</v>
      </c>
      <c r="J30" s="24" t="s">
        <v>26</v>
      </c>
      <c r="K30" s="24" t="s">
        <v>26</v>
      </c>
      <c r="L30" s="24" t="s">
        <v>26</v>
      </c>
      <c r="M30" s="24" t="s">
        <v>26</v>
      </c>
      <c r="N30" s="24" t="s">
        <v>26</v>
      </c>
      <c r="O30" s="24" t="s">
        <v>26</v>
      </c>
      <c r="P30" s="24" t="s">
        <v>26</v>
      </c>
      <c r="Q30" s="24" t="s">
        <v>26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118</v>
      </c>
      <c r="C31" s="16">
        <v>1.0</v>
      </c>
      <c r="D31" s="131" t="s">
        <v>113</v>
      </c>
      <c r="E31" s="18" t="s">
        <v>26</v>
      </c>
      <c r="F31" s="18" t="s">
        <v>26</v>
      </c>
      <c r="G31" s="18" t="s">
        <v>26</v>
      </c>
      <c r="H31" s="18" t="s">
        <v>26</v>
      </c>
      <c r="I31" s="18" t="s">
        <v>26</v>
      </c>
      <c r="J31" s="18" t="s">
        <v>26</v>
      </c>
      <c r="K31" s="18" t="s">
        <v>26</v>
      </c>
      <c r="L31" s="18" t="s">
        <v>26</v>
      </c>
      <c r="M31" s="18" t="s">
        <v>26</v>
      </c>
      <c r="N31" s="18" t="s">
        <v>26</v>
      </c>
      <c r="O31" s="18" t="s">
        <v>26</v>
      </c>
      <c r="P31" s="18" t="s">
        <v>26</v>
      </c>
      <c r="Q31" s="18" t="s">
        <v>26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32" t="s">
        <v>114</v>
      </c>
      <c r="E32" s="24" t="s">
        <v>26</v>
      </c>
      <c r="F32" s="24" t="s">
        <v>26</v>
      </c>
      <c r="G32" s="24" t="s">
        <v>26</v>
      </c>
      <c r="H32" s="24" t="s">
        <v>26</v>
      </c>
      <c r="I32" s="24" t="s">
        <v>26</v>
      </c>
      <c r="J32" s="24" t="s">
        <v>26</v>
      </c>
      <c r="K32" s="24" t="s">
        <v>26</v>
      </c>
      <c r="L32" s="24" t="s">
        <v>26</v>
      </c>
      <c r="M32" s="24" t="s">
        <v>26</v>
      </c>
      <c r="N32" s="24" t="s">
        <v>26</v>
      </c>
      <c r="O32" s="24" t="s">
        <v>26</v>
      </c>
      <c r="P32" s="24" t="s">
        <v>26</v>
      </c>
      <c r="Q32" s="24" t="s">
        <v>26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32" t="s">
        <v>115</v>
      </c>
      <c r="E33" s="24" t="s">
        <v>26</v>
      </c>
      <c r="F33" s="24" t="s">
        <v>26</v>
      </c>
      <c r="G33" s="24" t="s">
        <v>26</v>
      </c>
      <c r="H33" s="24" t="s">
        <v>26</v>
      </c>
      <c r="I33" s="24" t="s">
        <v>26</v>
      </c>
      <c r="J33" s="24" t="s">
        <v>26</v>
      </c>
      <c r="K33" s="24" t="s">
        <v>26</v>
      </c>
      <c r="L33" s="24" t="s">
        <v>26</v>
      </c>
      <c r="M33" s="24" t="s">
        <v>26</v>
      </c>
      <c r="N33" s="24" t="s">
        <v>26</v>
      </c>
      <c r="O33" s="24" t="s">
        <v>26</v>
      </c>
      <c r="P33" s="24" t="s">
        <v>26</v>
      </c>
      <c r="Q33" s="24" t="s">
        <v>26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131" t="s">
        <v>113</v>
      </c>
      <c r="E34" s="18" t="s">
        <v>26</v>
      </c>
      <c r="F34" s="18" t="s">
        <v>26</v>
      </c>
      <c r="G34" s="18" t="s">
        <v>26</v>
      </c>
      <c r="H34" s="18" t="s">
        <v>26</v>
      </c>
      <c r="I34" s="18" t="s">
        <v>26</v>
      </c>
      <c r="J34" s="18" t="s">
        <v>26</v>
      </c>
      <c r="K34" s="18" t="s">
        <v>26</v>
      </c>
      <c r="L34" s="18" t="s">
        <v>26</v>
      </c>
      <c r="M34" s="18" t="s">
        <v>26</v>
      </c>
      <c r="N34" s="18" t="s">
        <v>26</v>
      </c>
      <c r="O34" s="18" t="s">
        <v>26</v>
      </c>
      <c r="P34" s="18" t="s">
        <v>26</v>
      </c>
      <c r="Q34" s="18" t="s">
        <v>26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132" t="s">
        <v>114</v>
      </c>
      <c r="E35" s="24" t="s">
        <v>26</v>
      </c>
      <c r="F35" s="24" t="s">
        <v>26</v>
      </c>
      <c r="G35" s="24" t="s">
        <v>26</v>
      </c>
      <c r="H35" s="24" t="s">
        <v>26</v>
      </c>
      <c r="I35" s="24" t="s">
        <v>26</v>
      </c>
      <c r="J35" s="24" t="s">
        <v>26</v>
      </c>
      <c r="K35" s="24" t="s">
        <v>26</v>
      </c>
      <c r="L35" s="24" t="s">
        <v>26</v>
      </c>
      <c r="M35" s="24" t="s">
        <v>26</v>
      </c>
      <c r="N35" s="24" t="s">
        <v>26</v>
      </c>
      <c r="O35" s="24" t="s">
        <v>26</v>
      </c>
      <c r="P35" s="24" t="s">
        <v>26</v>
      </c>
      <c r="Q35" s="24" t="s">
        <v>26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132" t="s">
        <v>115</v>
      </c>
      <c r="E36" s="24" t="s">
        <v>26</v>
      </c>
      <c r="F36" s="24" t="s">
        <v>26</v>
      </c>
      <c r="G36" s="24" t="s">
        <v>26</v>
      </c>
      <c r="H36" s="24" t="s">
        <v>26</v>
      </c>
      <c r="I36" s="24" t="s">
        <v>26</v>
      </c>
      <c r="J36" s="24" t="s">
        <v>26</v>
      </c>
      <c r="K36" s="24" t="s">
        <v>26</v>
      </c>
      <c r="L36" s="24" t="s">
        <v>26</v>
      </c>
      <c r="M36" s="24" t="s">
        <v>26</v>
      </c>
      <c r="N36" s="24" t="s">
        <v>26</v>
      </c>
      <c r="O36" s="24" t="s">
        <v>26</v>
      </c>
      <c r="P36" s="24" t="s">
        <v>26</v>
      </c>
      <c r="Q36" s="24" t="s">
        <v>26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17"/>
      <c r="O37" s="117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7" t="s">
        <v>76</v>
      </c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17"/>
      <c r="O38" s="117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17"/>
      <c r="O39" s="117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17"/>
      <c r="N40" s="117"/>
      <c r="O40" s="117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17"/>
      <c r="N41" s="117"/>
      <c r="O41" s="117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17"/>
      <c r="N42" s="117"/>
      <c r="O42" s="117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17"/>
      <c r="O43" s="117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17"/>
      <c r="O44" s="117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17"/>
      <c r="O45" s="117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17"/>
      <c r="O46" s="117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17"/>
      <c r="O47" s="117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17"/>
      <c r="O48" s="117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17"/>
      <c r="O49" s="117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17"/>
      <c r="O50" s="117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17"/>
      <c r="O51" s="117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17"/>
      <c r="O52" s="117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17"/>
      <c r="O53" s="117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17"/>
      <c r="O54" s="117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17"/>
      <c r="O55" s="117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17"/>
      <c r="O56" s="117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17"/>
      <c r="O57" s="117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17"/>
      <c r="O58" s="117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17"/>
      <c r="O59" s="117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17"/>
      <c r="O60" s="117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17"/>
      <c r="O61" s="117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17"/>
      <c r="O62" s="117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17"/>
      <c r="O63" s="117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17"/>
      <c r="O64" s="117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17"/>
      <c r="O65" s="117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17"/>
      <c r="O66" s="117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17"/>
      <c r="O67" s="117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17"/>
      <c r="O68" s="117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17"/>
      <c r="O69" s="117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17"/>
      <c r="O70" s="117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17"/>
      <c r="O71" s="117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17"/>
      <c r="O72" s="117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17"/>
      <c r="O73" s="117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17"/>
      <c r="O74" s="117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17"/>
      <c r="O75" s="117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17"/>
      <c r="O76" s="117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17"/>
      <c r="O77" s="117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17"/>
      <c r="O78" s="117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17"/>
      <c r="O79" s="117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17"/>
      <c r="O80" s="117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17"/>
      <c r="O81" s="117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17"/>
      <c r="O82" s="117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17"/>
      <c r="O83" s="117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17"/>
      <c r="O84" s="117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17"/>
      <c r="O85" s="117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17"/>
      <c r="O86" s="117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17"/>
      <c r="O87" s="117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17"/>
      <c r="O88" s="117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17"/>
      <c r="O89" s="117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17"/>
      <c r="O90" s="117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17"/>
      <c r="O91" s="117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17"/>
      <c r="O92" s="117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17"/>
      <c r="O93" s="117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17"/>
      <c r="O94" s="117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17"/>
      <c r="O95" s="117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17"/>
      <c r="O96" s="117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17"/>
      <c r="O97" s="117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17"/>
      <c r="O98" s="117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17"/>
      <c r="O99" s="117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17"/>
      <c r="O100" s="117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17"/>
      <c r="O101" s="117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17"/>
      <c r="O102" s="117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17"/>
      <c r="O103" s="117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17"/>
      <c r="O104" s="117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17"/>
      <c r="O105" s="117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17"/>
      <c r="O106" s="117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17"/>
      <c r="O107" s="117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17"/>
      <c r="O108" s="117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17"/>
      <c r="O109" s="117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17"/>
      <c r="O110" s="117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17"/>
      <c r="O111" s="117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17"/>
      <c r="O112" s="117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17"/>
      <c r="O113" s="117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17"/>
      <c r="O114" s="117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17"/>
      <c r="O115" s="117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17"/>
      <c r="O116" s="117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17"/>
      <c r="O117" s="117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17"/>
      <c r="O118" s="117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17"/>
      <c r="O119" s="117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17"/>
      <c r="O120" s="117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17"/>
      <c r="O121" s="117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17"/>
      <c r="O122" s="117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17"/>
      <c r="O123" s="117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17"/>
      <c r="O124" s="117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17"/>
      <c r="O125" s="117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17"/>
      <c r="O126" s="117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17"/>
      <c r="O127" s="117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17"/>
      <c r="O128" s="117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17"/>
      <c r="O129" s="117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17"/>
      <c r="O130" s="117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17"/>
      <c r="O131" s="117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17"/>
      <c r="O132" s="117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17"/>
      <c r="O133" s="117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17"/>
      <c r="O134" s="117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17"/>
      <c r="O135" s="117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17"/>
      <c r="O136" s="117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17"/>
      <c r="O137" s="117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17"/>
      <c r="O138" s="117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17"/>
      <c r="O139" s="117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17"/>
      <c r="O140" s="117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17"/>
      <c r="O141" s="117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17"/>
      <c r="O142" s="117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17"/>
      <c r="O143" s="117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17"/>
      <c r="O144" s="117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17"/>
      <c r="O145" s="117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17"/>
      <c r="O146" s="117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17"/>
      <c r="O147" s="117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17"/>
      <c r="O148" s="117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17"/>
      <c r="O149" s="117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17"/>
      <c r="O150" s="117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17"/>
      <c r="O151" s="117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17"/>
      <c r="O152" s="117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17"/>
      <c r="O153" s="117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17"/>
      <c r="O154" s="117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17"/>
      <c r="O155" s="117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17"/>
      <c r="O156" s="117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17"/>
      <c r="O157" s="117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17"/>
      <c r="O158" s="117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17"/>
      <c r="O159" s="117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17"/>
      <c r="O160" s="117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17"/>
      <c r="O161" s="117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17"/>
      <c r="O162" s="117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17"/>
      <c r="O163" s="117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17"/>
      <c r="O164" s="117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17"/>
      <c r="O165" s="117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17"/>
      <c r="O166" s="117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17"/>
      <c r="O167" s="117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17"/>
      <c r="O168" s="117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17"/>
      <c r="O169" s="117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17"/>
      <c r="O170" s="117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17"/>
      <c r="O171" s="117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17"/>
      <c r="O172" s="117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17"/>
      <c r="O173" s="117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17"/>
      <c r="O174" s="117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17"/>
      <c r="O175" s="117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17"/>
      <c r="O176" s="117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17"/>
      <c r="O177" s="117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17"/>
      <c r="O178" s="117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17"/>
      <c r="O179" s="117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17"/>
      <c r="O180" s="117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17"/>
      <c r="O181" s="117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17"/>
      <c r="O182" s="117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17"/>
      <c r="O183" s="117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17"/>
      <c r="O184" s="117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17"/>
      <c r="O185" s="117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17"/>
      <c r="O186" s="117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17"/>
      <c r="O187" s="117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17"/>
      <c r="O188" s="117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17"/>
      <c r="O189" s="117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17"/>
      <c r="O190" s="117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17"/>
      <c r="O191" s="117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17"/>
      <c r="O192" s="117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17"/>
      <c r="O193" s="117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17"/>
      <c r="O194" s="117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17"/>
      <c r="O195" s="117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17"/>
      <c r="O196" s="117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17"/>
      <c r="O197" s="117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17"/>
      <c r="O198" s="117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17"/>
      <c r="O199" s="117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17"/>
      <c r="O200" s="117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17"/>
      <c r="O201" s="117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17"/>
      <c r="O202" s="117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17"/>
      <c r="O203" s="117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17"/>
      <c r="O204" s="117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17"/>
      <c r="O205" s="117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17"/>
      <c r="O206" s="117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17"/>
      <c r="O207" s="117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17"/>
      <c r="O208" s="117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17"/>
      <c r="O209" s="117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17"/>
      <c r="O210" s="117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17"/>
      <c r="O211" s="117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17"/>
      <c r="O212" s="117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17"/>
      <c r="O213" s="117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17"/>
      <c r="O214" s="117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17"/>
      <c r="O215" s="117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17"/>
      <c r="O216" s="117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17"/>
      <c r="O217" s="117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17"/>
      <c r="O218" s="117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17"/>
      <c r="O219" s="117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17"/>
      <c r="O220" s="117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17"/>
      <c r="O221" s="117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17"/>
      <c r="O222" s="117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17"/>
      <c r="O223" s="117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17"/>
      <c r="O224" s="117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17"/>
      <c r="O225" s="117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17"/>
      <c r="O226" s="117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17"/>
      <c r="O227" s="117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17"/>
      <c r="O228" s="117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17"/>
      <c r="O229" s="117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17"/>
      <c r="O230" s="117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17"/>
      <c r="O231" s="117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17"/>
      <c r="O232" s="117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17"/>
      <c r="O233" s="117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17"/>
      <c r="O234" s="117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17"/>
      <c r="O235" s="117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17"/>
      <c r="O236" s="117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17"/>
      <c r="O237" s="117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17"/>
      <c r="O238" s="117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17"/>
      <c r="O239" s="117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17"/>
      <c r="O240" s="117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17"/>
      <c r="O241" s="117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17"/>
      <c r="O242" s="117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17"/>
      <c r="O243" s="117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17"/>
      <c r="O244" s="117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17"/>
      <c r="O245" s="117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17"/>
      <c r="O246" s="117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17"/>
      <c r="O247" s="117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17"/>
      <c r="O248" s="117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17"/>
      <c r="O249" s="117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17"/>
      <c r="O250" s="117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17"/>
      <c r="O251" s="117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17"/>
      <c r="O252" s="117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17"/>
      <c r="O253" s="117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17"/>
      <c r="O254" s="117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17"/>
      <c r="O255" s="117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17"/>
      <c r="O256" s="117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17"/>
      <c r="O257" s="117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17"/>
      <c r="O258" s="117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17"/>
      <c r="O259" s="117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17"/>
      <c r="O260" s="117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17"/>
      <c r="O261" s="117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17"/>
      <c r="O262" s="117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17"/>
      <c r="O263" s="117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17"/>
      <c r="O264" s="117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17"/>
      <c r="O265" s="117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17"/>
      <c r="O266" s="117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17"/>
      <c r="O267" s="117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17"/>
      <c r="O268" s="117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17"/>
      <c r="O269" s="117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17"/>
      <c r="O270" s="117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17"/>
      <c r="O271" s="117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17"/>
      <c r="O272" s="117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17"/>
      <c r="O273" s="117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17"/>
      <c r="O274" s="117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17"/>
      <c r="O275" s="117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17"/>
      <c r="O276" s="117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17"/>
      <c r="O277" s="117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17"/>
      <c r="O278" s="117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17"/>
      <c r="O279" s="117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17"/>
      <c r="O280" s="117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17"/>
      <c r="O281" s="117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17"/>
      <c r="O282" s="117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17"/>
      <c r="O283" s="117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17"/>
      <c r="O284" s="117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17"/>
      <c r="O285" s="117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17"/>
      <c r="O286" s="117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17"/>
      <c r="O287" s="117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17"/>
      <c r="O288" s="117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17"/>
      <c r="O289" s="117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17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17"/>
      <c r="O291" s="117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17"/>
      <c r="O292" s="117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17"/>
      <c r="O293" s="117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17"/>
      <c r="O294" s="117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17"/>
      <c r="O295" s="117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17"/>
      <c r="O296" s="117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17"/>
      <c r="O297" s="117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17"/>
      <c r="O298" s="117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17"/>
      <c r="O299" s="117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17"/>
      <c r="O300" s="117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17"/>
      <c r="O301" s="117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17"/>
      <c r="O302" s="117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17"/>
      <c r="O303" s="117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17"/>
      <c r="O304" s="117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17"/>
      <c r="O305" s="117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17"/>
      <c r="O306" s="117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17"/>
      <c r="O307" s="117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17"/>
      <c r="O308" s="117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17"/>
      <c r="O309" s="117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17"/>
      <c r="O310" s="117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17"/>
      <c r="O311" s="117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17"/>
      <c r="O312" s="117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17"/>
      <c r="O313" s="117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17"/>
      <c r="O314" s="117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17"/>
      <c r="O315" s="117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17"/>
      <c r="O316" s="117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17"/>
      <c r="O317" s="117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17"/>
      <c r="O318" s="117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17"/>
      <c r="O319" s="117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17"/>
      <c r="O320" s="117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17"/>
      <c r="O321" s="117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17"/>
      <c r="O322" s="117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17"/>
      <c r="O323" s="117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17"/>
      <c r="O324" s="117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17"/>
      <c r="O325" s="117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17"/>
      <c r="O326" s="117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17"/>
      <c r="O327" s="117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17"/>
      <c r="O328" s="117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17"/>
      <c r="O329" s="117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17"/>
      <c r="O330" s="117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17"/>
      <c r="O331" s="117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17"/>
      <c r="O332" s="117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17"/>
      <c r="O333" s="117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17"/>
      <c r="O334" s="117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17"/>
      <c r="O335" s="117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17"/>
      <c r="O336" s="117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17"/>
      <c r="O337" s="117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17"/>
      <c r="O338" s="117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17"/>
      <c r="O339" s="117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17"/>
      <c r="O340" s="117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17"/>
      <c r="O341" s="117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17"/>
      <c r="O342" s="117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17"/>
      <c r="O343" s="117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17"/>
      <c r="O344" s="117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17"/>
      <c r="O345" s="117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17"/>
      <c r="O346" s="117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17"/>
      <c r="O347" s="117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17"/>
      <c r="O348" s="117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17"/>
      <c r="O349" s="117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17"/>
      <c r="O350" s="117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17"/>
      <c r="O351" s="117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17"/>
      <c r="O352" s="117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17"/>
      <c r="O353" s="117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17"/>
      <c r="O354" s="117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17"/>
      <c r="O355" s="117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17"/>
      <c r="O356" s="117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17"/>
      <c r="O357" s="117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17"/>
      <c r="O358" s="117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17"/>
      <c r="O359" s="117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17"/>
      <c r="O360" s="117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17"/>
      <c r="O361" s="117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17"/>
      <c r="O362" s="117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17"/>
      <c r="O363" s="117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17"/>
      <c r="O364" s="117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17"/>
      <c r="O365" s="117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17"/>
      <c r="O366" s="117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17"/>
      <c r="O367" s="117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17"/>
      <c r="O368" s="117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17"/>
      <c r="O369" s="117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17"/>
      <c r="O370" s="117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17"/>
      <c r="O371" s="117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17"/>
      <c r="O372" s="117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17"/>
      <c r="O373" s="117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17"/>
      <c r="O374" s="117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17"/>
      <c r="O375" s="117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17"/>
      <c r="O376" s="117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17"/>
      <c r="O377" s="117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17"/>
      <c r="O378" s="117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17"/>
      <c r="O379" s="117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17"/>
      <c r="O380" s="117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17"/>
      <c r="O381" s="117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17"/>
      <c r="O382" s="117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17"/>
      <c r="O383" s="117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17"/>
      <c r="O384" s="117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17"/>
      <c r="O385" s="117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17"/>
      <c r="O386" s="117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17"/>
      <c r="O387" s="117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17"/>
      <c r="O388" s="117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17"/>
      <c r="O389" s="117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17"/>
      <c r="O390" s="117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17"/>
      <c r="O391" s="117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17"/>
      <c r="O392" s="117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17"/>
      <c r="O393" s="117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17"/>
      <c r="O394" s="117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17"/>
      <c r="O395" s="117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17"/>
      <c r="O396" s="117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17"/>
      <c r="O397" s="117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17"/>
      <c r="O398" s="117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17"/>
      <c r="O399" s="117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17"/>
      <c r="O400" s="117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17"/>
      <c r="O401" s="117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17"/>
      <c r="O402" s="117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17"/>
      <c r="O403" s="117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17"/>
      <c r="O404" s="117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17"/>
      <c r="O405" s="117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17"/>
      <c r="O406" s="117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17"/>
      <c r="O407" s="117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17"/>
      <c r="O408" s="117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17"/>
      <c r="O409" s="117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17"/>
      <c r="O410" s="117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17"/>
      <c r="O411" s="117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17"/>
      <c r="O412" s="117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17"/>
      <c r="O413" s="117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17"/>
      <c r="O414" s="117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17"/>
      <c r="O415" s="117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17"/>
      <c r="O416" s="117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17"/>
      <c r="O417" s="117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17"/>
      <c r="O418" s="117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17"/>
      <c r="O419" s="117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17"/>
      <c r="O420" s="117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17"/>
      <c r="O421" s="117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17"/>
      <c r="O422" s="117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17"/>
      <c r="O423" s="117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17"/>
      <c r="O424" s="117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17"/>
      <c r="O425" s="117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17"/>
      <c r="O426" s="117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17"/>
      <c r="O427" s="117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17"/>
      <c r="O428" s="117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17"/>
      <c r="O429" s="117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17"/>
      <c r="O430" s="117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17"/>
      <c r="O431" s="117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17"/>
      <c r="O432" s="117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17"/>
      <c r="O433" s="117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17"/>
      <c r="O434" s="117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17"/>
      <c r="O435" s="117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17"/>
      <c r="O436" s="117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17"/>
      <c r="O437" s="117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17"/>
      <c r="O438" s="117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17"/>
      <c r="O439" s="117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17"/>
      <c r="O440" s="117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17"/>
      <c r="O441" s="117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17"/>
      <c r="O442" s="117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17"/>
      <c r="O443" s="117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17"/>
      <c r="O444" s="117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17"/>
      <c r="O445" s="117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17"/>
      <c r="O446" s="117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17"/>
      <c r="O447" s="117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17"/>
      <c r="O448" s="117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17"/>
      <c r="O449" s="117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17"/>
      <c r="O450" s="117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17"/>
      <c r="O451" s="117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17"/>
      <c r="O452" s="117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17"/>
      <c r="O453" s="117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17"/>
      <c r="O454" s="117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17"/>
      <c r="O455" s="117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17"/>
      <c r="O456" s="117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17"/>
      <c r="O457" s="117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17"/>
      <c r="O458" s="117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17"/>
      <c r="O459" s="117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17"/>
      <c r="O460" s="117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17"/>
      <c r="O461" s="117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17"/>
      <c r="O462" s="117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17"/>
      <c r="O463" s="117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17"/>
      <c r="O464" s="117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17"/>
      <c r="O465" s="117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17"/>
      <c r="O466" s="117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17"/>
      <c r="O467" s="117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17"/>
      <c r="O468" s="117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17"/>
      <c r="O469" s="117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17"/>
      <c r="O470" s="117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17"/>
      <c r="O471" s="117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17"/>
      <c r="O472" s="117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17"/>
      <c r="O473" s="117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17"/>
      <c r="O474" s="117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17"/>
      <c r="O475" s="117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17"/>
      <c r="O476" s="117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17"/>
      <c r="O477" s="117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17"/>
      <c r="O478" s="117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17"/>
      <c r="O479" s="117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17"/>
      <c r="O480" s="117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17"/>
      <c r="O481" s="117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17"/>
      <c r="O482" s="117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17"/>
      <c r="O483" s="117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17"/>
      <c r="O484" s="117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17"/>
      <c r="O485" s="117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17"/>
      <c r="O486" s="117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17"/>
      <c r="O487" s="117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17"/>
      <c r="O488" s="117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17"/>
      <c r="O489" s="117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17"/>
      <c r="O490" s="117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17"/>
      <c r="O491" s="117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17"/>
      <c r="O492" s="117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17"/>
      <c r="O493" s="117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17"/>
      <c r="O494" s="117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17"/>
      <c r="O495" s="117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17"/>
      <c r="O496" s="117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17"/>
      <c r="O497" s="117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17"/>
      <c r="O498" s="117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17"/>
      <c r="O499" s="117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17"/>
      <c r="O500" s="117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17"/>
      <c r="O501" s="117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17"/>
      <c r="O502" s="117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17"/>
      <c r="O503" s="117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17"/>
      <c r="O504" s="117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17"/>
      <c r="O505" s="117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17"/>
      <c r="O506" s="117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17"/>
      <c r="O507" s="117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17"/>
      <c r="O508" s="117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17"/>
      <c r="O509" s="117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17"/>
      <c r="O510" s="117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17"/>
      <c r="O511" s="117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17"/>
      <c r="O512" s="117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17"/>
      <c r="O513" s="117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17"/>
      <c r="O514" s="117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17"/>
      <c r="O515" s="117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17"/>
      <c r="O516" s="117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17"/>
      <c r="O517" s="117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17"/>
      <c r="O518" s="117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17"/>
      <c r="O519" s="117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17"/>
      <c r="O520" s="117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17"/>
      <c r="O521" s="117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17"/>
      <c r="O522" s="117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17"/>
      <c r="O523" s="117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17"/>
      <c r="O524" s="117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17"/>
      <c r="O525" s="117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17"/>
      <c r="O526" s="117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17"/>
      <c r="O527" s="117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17"/>
      <c r="O528" s="117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17"/>
      <c r="O529" s="117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17"/>
      <c r="O530" s="117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17"/>
      <c r="O531" s="117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17"/>
      <c r="O532" s="117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17"/>
      <c r="O533" s="117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17"/>
      <c r="O534" s="117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17"/>
      <c r="O535" s="117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17"/>
      <c r="O536" s="117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17"/>
      <c r="O537" s="117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17"/>
      <c r="O538" s="117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17"/>
      <c r="O539" s="117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17"/>
      <c r="O540" s="117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17"/>
      <c r="O541" s="117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17"/>
      <c r="O542" s="117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17"/>
      <c r="O543" s="117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17"/>
      <c r="O544" s="117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17"/>
      <c r="O545" s="117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17"/>
      <c r="O546" s="117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17"/>
      <c r="O547" s="117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17"/>
      <c r="O548" s="117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17"/>
      <c r="O549" s="117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17"/>
      <c r="O550" s="117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17"/>
      <c r="O551" s="117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17"/>
      <c r="O552" s="117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17"/>
      <c r="O553" s="117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17"/>
      <c r="O554" s="117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17"/>
      <c r="O555" s="117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17"/>
      <c r="O556" s="117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17"/>
      <c r="O557" s="117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17"/>
      <c r="O558" s="117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17"/>
      <c r="O559" s="117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17"/>
      <c r="O560" s="117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17"/>
      <c r="O561" s="117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17"/>
      <c r="O562" s="117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17"/>
      <c r="O563" s="117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17"/>
      <c r="O564" s="117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17"/>
      <c r="O565" s="117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17"/>
      <c r="O566" s="117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17"/>
      <c r="O567" s="117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17"/>
      <c r="O568" s="117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17"/>
      <c r="O569" s="117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17"/>
      <c r="O570" s="117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17"/>
      <c r="O571" s="117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17"/>
      <c r="O572" s="117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17"/>
      <c r="O573" s="117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17"/>
      <c r="O574" s="117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17"/>
      <c r="O575" s="117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17"/>
      <c r="O576" s="117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17"/>
      <c r="O577" s="117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17"/>
      <c r="O578" s="117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17"/>
      <c r="O579" s="117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17"/>
      <c r="O580" s="117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17"/>
      <c r="O581" s="117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17"/>
      <c r="O582" s="117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17"/>
      <c r="O583" s="117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17"/>
      <c r="O584" s="117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17"/>
      <c r="O585" s="117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17"/>
      <c r="O586" s="117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17"/>
      <c r="O587" s="117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17"/>
      <c r="O588" s="117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17"/>
      <c r="O589" s="117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17"/>
      <c r="O590" s="117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17"/>
      <c r="O591" s="117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17"/>
      <c r="O592" s="117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17"/>
      <c r="O593" s="117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17"/>
      <c r="O594" s="117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17"/>
      <c r="O595" s="117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17"/>
      <c r="O596" s="117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17"/>
      <c r="O597" s="117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17"/>
      <c r="O598" s="117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17"/>
      <c r="O599" s="117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17"/>
      <c r="O600" s="117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17"/>
      <c r="O601" s="117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17"/>
      <c r="O602" s="117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17"/>
      <c r="O603" s="117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17"/>
      <c r="O604" s="117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17"/>
      <c r="O605" s="117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17"/>
      <c r="O606" s="117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17"/>
      <c r="O607" s="117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17"/>
      <c r="O608" s="117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17"/>
      <c r="O609" s="117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17"/>
      <c r="O610" s="117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17"/>
      <c r="O611" s="117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17"/>
      <c r="O612" s="117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17"/>
      <c r="O613" s="117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17"/>
      <c r="O614" s="117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17"/>
      <c r="O615" s="117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17"/>
      <c r="O616" s="117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17"/>
      <c r="O617" s="117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17"/>
      <c r="O618" s="117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17"/>
      <c r="O619" s="117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17"/>
      <c r="O620" s="117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17"/>
      <c r="O621" s="117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17"/>
      <c r="O622" s="117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17"/>
      <c r="O623" s="117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17"/>
      <c r="O624" s="117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17"/>
      <c r="O625" s="117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17"/>
      <c r="O626" s="117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17"/>
      <c r="O627" s="117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17"/>
      <c r="O628" s="117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17"/>
      <c r="O629" s="117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17"/>
      <c r="O630" s="117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17"/>
      <c r="O631" s="117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17"/>
      <c r="O632" s="117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17"/>
      <c r="O633" s="117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17"/>
      <c r="O634" s="117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17"/>
      <c r="O635" s="117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17"/>
      <c r="O636" s="117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17"/>
      <c r="O637" s="117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17"/>
      <c r="O638" s="117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17"/>
      <c r="O639" s="117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17"/>
      <c r="O640" s="117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17"/>
      <c r="O641" s="117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17"/>
      <c r="O642" s="117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17"/>
      <c r="O643" s="117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17"/>
      <c r="O644" s="117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17"/>
      <c r="O645" s="117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17"/>
      <c r="O646" s="117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17"/>
      <c r="O647" s="117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17"/>
      <c r="O648" s="117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17"/>
      <c r="O649" s="117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17"/>
      <c r="O650" s="117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17"/>
      <c r="O651" s="117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17"/>
      <c r="O652" s="117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17"/>
      <c r="O653" s="117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17"/>
      <c r="O654" s="117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17"/>
      <c r="O655" s="117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17"/>
      <c r="O656" s="117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17"/>
      <c r="O657" s="117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17"/>
      <c r="O658" s="117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17"/>
      <c r="O659" s="117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17"/>
      <c r="O660" s="117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17"/>
      <c r="O661" s="117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17"/>
      <c r="O662" s="117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17"/>
      <c r="O663" s="117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17"/>
      <c r="O664" s="117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17"/>
      <c r="O665" s="117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17"/>
      <c r="O666" s="117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17"/>
      <c r="O667" s="117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17"/>
      <c r="O668" s="117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17"/>
      <c r="O669" s="117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17"/>
      <c r="O670" s="117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17"/>
      <c r="O671" s="117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17"/>
      <c r="O672" s="117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17"/>
      <c r="O673" s="117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17"/>
      <c r="O674" s="117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17"/>
      <c r="O675" s="117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17"/>
      <c r="O676" s="117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17"/>
      <c r="O677" s="117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17"/>
      <c r="O678" s="117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17"/>
      <c r="O679" s="117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17"/>
      <c r="O680" s="117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17"/>
      <c r="O681" s="117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17"/>
      <c r="O682" s="117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17"/>
      <c r="O683" s="117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17"/>
      <c r="O684" s="117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17"/>
      <c r="O685" s="117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17"/>
      <c r="O686" s="117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17"/>
      <c r="O687" s="117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17"/>
      <c r="O688" s="117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17"/>
      <c r="O689" s="117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17"/>
      <c r="O690" s="117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17"/>
      <c r="O691" s="117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17"/>
      <c r="O692" s="117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17"/>
      <c r="O693" s="117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17"/>
      <c r="O694" s="117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17"/>
      <c r="O695" s="117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17"/>
      <c r="O696" s="117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17"/>
      <c r="O697" s="117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17"/>
      <c r="O698" s="117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17"/>
      <c r="O699" s="117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17"/>
      <c r="O700" s="117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17"/>
      <c r="O701" s="117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17"/>
      <c r="O702" s="117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17"/>
      <c r="O703" s="117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17"/>
      <c r="O704" s="117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17"/>
      <c r="O705" s="117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17"/>
      <c r="O706" s="117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17"/>
      <c r="O707" s="117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17"/>
      <c r="O708" s="117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17"/>
      <c r="O709" s="117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17"/>
      <c r="O710" s="117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17"/>
      <c r="O711" s="117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17"/>
      <c r="O712" s="117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17"/>
      <c r="O713" s="117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17"/>
      <c r="O714" s="117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17"/>
      <c r="O715" s="117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17"/>
      <c r="O716" s="117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17"/>
      <c r="O717" s="117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17"/>
      <c r="O718" s="117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17"/>
      <c r="O719" s="117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17"/>
      <c r="O720" s="117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17"/>
      <c r="O721" s="117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17"/>
      <c r="O722" s="117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17"/>
      <c r="O723" s="117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17"/>
      <c r="O724" s="117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17"/>
      <c r="O725" s="117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17"/>
      <c r="O726" s="117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17"/>
      <c r="O727" s="117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17"/>
      <c r="O728" s="117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17"/>
      <c r="O729" s="117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17"/>
      <c r="O730" s="117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17"/>
      <c r="O731" s="117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17"/>
      <c r="O732" s="117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17"/>
      <c r="O733" s="117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17"/>
      <c r="O734" s="117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17"/>
      <c r="O735" s="117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17"/>
      <c r="O736" s="117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17"/>
      <c r="O737" s="117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17"/>
      <c r="O738" s="117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17"/>
      <c r="O739" s="117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17"/>
      <c r="O740" s="117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17"/>
      <c r="O741" s="117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17"/>
      <c r="O742" s="117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17"/>
      <c r="O743" s="117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17"/>
      <c r="O744" s="117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17"/>
      <c r="O745" s="117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17"/>
      <c r="O746" s="117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17"/>
      <c r="O747" s="117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17"/>
      <c r="O748" s="117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17"/>
      <c r="O749" s="117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17"/>
      <c r="O750" s="117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17"/>
      <c r="O751" s="117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17"/>
      <c r="O752" s="117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17"/>
      <c r="O753" s="117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17"/>
      <c r="O754" s="117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17"/>
      <c r="O755" s="117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17"/>
      <c r="O756" s="117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17"/>
      <c r="O757" s="117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17"/>
      <c r="O758" s="117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17"/>
      <c r="O759" s="117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17"/>
      <c r="O760" s="117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17"/>
      <c r="O761" s="117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17"/>
      <c r="O762" s="117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17"/>
      <c r="O763" s="117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17"/>
      <c r="O764" s="117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17"/>
      <c r="O765" s="117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17"/>
      <c r="O766" s="117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17"/>
      <c r="O767" s="117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17"/>
      <c r="O768" s="117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17"/>
      <c r="O769" s="117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17"/>
      <c r="O770" s="117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17"/>
      <c r="O771" s="117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17"/>
      <c r="O772" s="117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17"/>
      <c r="O773" s="117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17"/>
      <c r="O774" s="117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17"/>
      <c r="O775" s="117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17"/>
      <c r="O776" s="117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17"/>
      <c r="O777" s="117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17"/>
      <c r="O778" s="117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17"/>
      <c r="O779" s="117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17"/>
      <c r="O780" s="117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17"/>
      <c r="O781" s="117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17"/>
      <c r="O782" s="117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17"/>
      <c r="O783" s="117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17"/>
      <c r="O784" s="117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17"/>
      <c r="O785" s="117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17"/>
      <c r="O786" s="117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17"/>
      <c r="O787" s="117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17"/>
      <c r="O788" s="117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17"/>
      <c r="O789" s="117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17"/>
      <c r="O790" s="117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17"/>
      <c r="O791" s="117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17"/>
      <c r="O792" s="117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17"/>
      <c r="O793" s="117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17"/>
      <c r="O794" s="117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17"/>
      <c r="O795" s="117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17"/>
      <c r="O796" s="117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17"/>
      <c r="O797" s="117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17"/>
      <c r="O798" s="117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17"/>
      <c r="O799" s="117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17"/>
      <c r="O800" s="117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17"/>
      <c r="O801" s="117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17"/>
      <c r="O802" s="117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17"/>
      <c r="O803" s="117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17"/>
      <c r="O804" s="117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17"/>
      <c r="O805" s="117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17"/>
      <c r="O806" s="117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17"/>
      <c r="O807" s="117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17"/>
      <c r="O808" s="117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17"/>
      <c r="O809" s="117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17"/>
      <c r="O810" s="117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17"/>
      <c r="O811" s="117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17"/>
      <c r="O812" s="117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17"/>
      <c r="O813" s="117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17"/>
      <c r="O814" s="117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17"/>
      <c r="O815" s="117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17"/>
      <c r="O816" s="117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17"/>
      <c r="O817" s="117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17"/>
      <c r="O818" s="117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17"/>
      <c r="O819" s="117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17"/>
      <c r="O820" s="117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17"/>
      <c r="O821" s="117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17"/>
      <c r="O822" s="117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17"/>
      <c r="O823" s="117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17"/>
      <c r="O824" s="117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17"/>
      <c r="O825" s="117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17"/>
      <c r="O826" s="117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17"/>
      <c r="O827" s="117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17"/>
      <c r="O828" s="117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17"/>
      <c r="O829" s="117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17"/>
      <c r="O830" s="117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17"/>
      <c r="O831" s="117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17"/>
      <c r="O832" s="117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17"/>
      <c r="O833" s="117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17"/>
      <c r="O834" s="117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17"/>
      <c r="O835" s="117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17"/>
      <c r="O836" s="117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17"/>
      <c r="O837" s="117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17"/>
      <c r="O838" s="117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17"/>
      <c r="O839" s="117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17"/>
      <c r="O840" s="117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17"/>
      <c r="O841" s="117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17"/>
      <c r="O842" s="117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17"/>
      <c r="O843" s="117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17"/>
      <c r="O844" s="117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17"/>
      <c r="O845" s="117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17"/>
      <c r="O846" s="117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17"/>
      <c r="O847" s="117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17"/>
      <c r="O848" s="117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17"/>
      <c r="O849" s="117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17"/>
      <c r="O850" s="117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17"/>
      <c r="O851" s="117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17"/>
      <c r="O852" s="117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17"/>
      <c r="O853" s="117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17"/>
      <c r="O854" s="117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17"/>
      <c r="O855" s="117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17"/>
      <c r="O856" s="117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17"/>
      <c r="O857" s="117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17"/>
      <c r="O858" s="117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17"/>
      <c r="O859" s="117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17"/>
      <c r="O860" s="117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17"/>
      <c r="O861" s="117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17"/>
      <c r="O862" s="117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17"/>
      <c r="O863" s="117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17"/>
      <c r="O864" s="117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17"/>
      <c r="O865" s="117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17"/>
      <c r="O866" s="117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17"/>
      <c r="O867" s="117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17"/>
      <c r="O868" s="117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17"/>
      <c r="O869" s="117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17"/>
      <c r="O870" s="117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17"/>
      <c r="O871" s="117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17"/>
      <c r="O872" s="117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17"/>
      <c r="O873" s="117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17"/>
      <c r="O874" s="117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17"/>
      <c r="O875" s="117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17"/>
      <c r="O876" s="117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17"/>
      <c r="O877" s="117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17"/>
      <c r="O878" s="117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17"/>
      <c r="O879" s="117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17"/>
      <c r="O880" s="117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17"/>
      <c r="O881" s="117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17"/>
      <c r="O882" s="117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17"/>
      <c r="O883" s="117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17"/>
      <c r="O884" s="117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17"/>
      <c r="O885" s="117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17"/>
      <c r="O886" s="117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17"/>
      <c r="O887" s="117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17"/>
      <c r="O888" s="117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17"/>
      <c r="O889" s="117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17"/>
      <c r="O890" s="117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17"/>
      <c r="O891" s="117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17"/>
      <c r="O892" s="117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17"/>
      <c r="O893" s="117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17"/>
      <c r="O894" s="117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17"/>
      <c r="O895" s="117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17"/>
      <c r="O896" s="117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17"/>
      <c r="O897" s="117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17"/>
      <c r="O898" s="117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17"/>
      <c r="O899" s="117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17"/>
      <c r="O900" s="117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17"/>
      <c r="O901" s="117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17"/>
      <c r="O902" s="117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17"/>
      <c r="O903" s="117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17"/>
      <c r="O904" s="117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17"/>
      <c r="O905" s="117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17"/>
      <c r="O906" s="117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17"/>
      <c r="O907" s="117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17"/>
      <c r="O908" s="117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17"/>
      <c r="O909" s="117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17"/>
      <c r="O910" s="117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17"/>
      <c r="O911" s="117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17"/>
      <c r="O912" s="117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17"/>
      <c r="O913" s="117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17"/>
      <c r="O914" s="117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17"/>
      <c r="O915" s="117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17"/>
      <c r="O916" s="117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17"/>
      <c r="O917" s="117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17"/>
      <c r="O918" s="117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17"/>
      <c r="O919" s="117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17"/>
      <c r="O920" s="117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17"/>
      <c r="O921" s="117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17"/>
      <c r="O922" s="117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17"/>
      <c r="O923" s="117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17"/>
      <c r="O924" s="117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17"/>
      <c r="O925" s="117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17"/>
      <c r="O926" s="117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17"/>
      <c r="O927" s="117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17"/>
      <c r="O928" s="117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17"/>
      <c r="O929" s="117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17"/>
      <c r="O930" s="117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17"/>
      <c r="O931" s="117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17"/>
      <c r="O932" s="117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17"/>
      <c r="O933" s="117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17"/>
      <c r="O934" s="117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17"/>
      <c r="O935" s="117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17"/>
      <c r="O936" s="117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17"/>
      <c r="O937" s="117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17"/>
      <c r="O938" s="117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17"/>
      <c r="O939" s="117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17"/>
      <c r="O940" s="117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17"/>
      <c r="O941" s="117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17"/>
      <c r="O942" s="117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17"/>
      <c r="O943" s="117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17"/>
      <c r="O944" s="117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17"/>
      <c r="O945" s="117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17"/>
      <c r="O946" s="117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17"/>
      <c r="O947" s="117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17"/>
      <c r="O948" s="117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17"/>
      <c r="O949" s="117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17"/>
      <c r="O950" s="117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17"/>
      <c r="O951" s="117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17"/>
      <c r="O952" s="117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17"/>
      <c r="O953" s="117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17"/>
      <c r="O954" s="117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17"/>
      <c r="O955" s="117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17"/>
      <c r="O956" s="117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17"/>
      <c r="O957" s="117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17"/>
      <c r="O958" s="117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17"/>
      <c r="O959" s="117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17"/>
      <c r="O960" s="117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17"/>
      <c r="O961" s="117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17"/>
      <c r="O962" s="117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17"/>
      <c r="O963" s="117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17"/>
      <c r="O964" s="117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17"/>
      <c r="O965" s="117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17"/>
      <c r="O966" s="117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17"/>
      <c r="O967" s="117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17"/>
      <c r="O968" s="117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17"/>
      <c r="O969" s="117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17"/>
      <c r="O970" s="117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17"/>
      <c r="O971" s="117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17"/>
      <c r="O972" s="117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17"/>
      <c r="O973" s="117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17"/>
      <c r="O974" s="117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17"/>
      <c r="O975" s="117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17"/>
      <c r="O976" s="117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17"/>
      <c r="O977" s="117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17"/>
      <c r="O978" s="117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17"/>
      <c r="O979" s="117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17"/>
      <c r="O980" s="117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17"/>
      <c r="O981" s="117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17"/>
      <c r="O982" s="117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17"/>
      <c r="O983" s="117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17"/>
      <c r="O984" s="117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17"/>
      <c r="O985" s="117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17"/>
      <c r="O986" s="117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17"/>
      <c r="O987" s="117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17"/>
      <c r="O988" s="117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17"/>
      <c r="O989" s="117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17"/>
      <c r="O990" s="117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17"/>
      <c r="O991" s="117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17"/>
      <c r="O992" s="117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17"/>
      <c r="O993" s="117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17"/>
      <c r="O994" s="117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17"/>
      <c r="O995" s="117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17"/>
      <c r="O996" s="117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17"/>
      <c r="O997" s="117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17"/>
      <c r="O998" s="117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17"/>
      <c r="O999" s="117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17"/>
      <c r="O1000" s="117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4.71"/>
    <col customWidth="1" min="5" max="6" width="10.71"/>
    <col customWidth="1" min="7" max="7" width="13.86"/>
    <col customWidth="1" min="8" max="8" width="14.14"/>
    <col customWidth="1" min="9" max="9" width="10.43"/>
    <col customWidth="1" min="10" max="10" width="12.43"/>
    <col customWidth="1" min="11" max="11" width="10.71"/>
    <col customWidth="1" min="12" max="12" width="13.57"/>
    <col customWidth="1" min="13" max="13" width="19.43"/>
    <col customWidth="1" min="14" max="14" width="14.0"/>
    <col customWidth="1" min="15" max="15" width="10.86"/>
    <col customWidth="1" min="16" max="16" width="10.71"/>
    <col customWidth="1" min="17" max="17" width="22.29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6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119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33" t="s">
        <v>120</v>
      </c>
      <c r="E7" s="18">
        <v>5.3</v>
      </c>
      <c r="F7" s="18">
        <v>3.63</v>
      </c>
      <c r="G7" s="18">
        <v>3.58</v>
      </c>
      <c r="H7" s="114">
        <v>3.28</v>
      </c>
      <c r="I7" s="114">
        <v>4.17</v>
      </c>
      <c r="J7" s="18">
        <v>4.93</v>
      </c>
      <c r="K7" s="114">
        <v>4.85</v>
      </c>
      <c r="L7" s="18">
        <v>4.44</v>
      </c>
      <c r="M7" s="18">
        <v>1.25</v>
      </c>
      <c r="N7" s="18">
        <v>3.34</v>
      </c>
      <c r="O7" s="18">
        <v>2.08</v>
      </c>
      <c r="P7" s="18">
        <v>1.18</v>
      </c>
      <c r="Q7" s="19">
        <f t="shared" ref="Q7:Q8" si="1">AVERAGE(E7,F7,G7,H7,I7,J7,K7,L7,M7,N7,O7,P7)</f>
        <v>3.5025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34" t="s">
        <v>121</v>
      </c>
      <c r="E8" s="24">
        <v>4.34</v>
      </c>
      <c r="F8" s="25">
        <v>3.18</v>
      </c>
      <c r="G8" s="25">
        <v>3.72</v>
      </c>
      <c r="H8" s="24">
        <v>4.01</v>
      </c>
      <c r="I8" s="24">
        <v>3.58</v>
      </c>
      <c r="J8" s="25">
        <v>3.28</v>
      </c>
      <c r="K8" s="24">
        <v>4.03</v>
      </c>
      <c r="L8" s="25">
        <v>4.81</v>
      </c>
      <c r="M8" s="25">
        <v>1.54</v>
      </c>
      <c r="N8" s="25">
        <v>4.14</v>
      </c>
      <c r="O8" s="24">
        <v>1.35</v>
      </c>
      <c r="P8" s="24">
        <v>1.24</v>
      </c>
      <c r="Q8" s="26">
        <f t="shared" si="1"/>
        <v>3.268333333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34" t="s">
        <v>122</v>
      </c>
      <c r="E9" s="91">
        <v>4.45</v>
      </c>
      <c r="F9" s="135">
        <v>3.36</v>
      </c>
      <c r="G9" s="24">
        <v>4.49</v>
      </c>
      <c r="H9" s="91">
        <v>4.74</v>
      </c>
      <c r="I9" s="91">
        <v>3.62</v>
      </c>
      <c r="J9" s="25">
        <v>3.85</v>
      </c>
      <c r="K9" s="91">
        <v>4.14</v>
      </c>
      <c r="L9" s="135">
        <v>4.47</v>
      </c>
      <c r="M9" s="135">
        <v>2.01</v>
      </c>
      <c r="N9" s="135">
        <v>3.65</v>
      </c>
      <c r="O9" s="91">
        <v>1.13</v>
      </c>
      <c r="P9" s="91">
        <v>0.63</v>
      </c>
      <c r="Q9" s="55">
        <f t="shared" ref="Q9:Q10" si="2">AVERAGE(E9)</f>
        <v>4.45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33" t="s">
        <v>120</v>
      </c>
      <c r="E10" s="114">
        <v>15.0</v>
      </c>
      <c r="F10" s="28">
        <v>10.0</v>
      </c>
      <c r="G10" s="114">
        <v>11.0</v>
      </c>
      <c r="H10" s="28">
        <v>2.0</v>
      </c>
      <c r="I10" s="114">
        <v>31.0</v>
      </c>
      <c r="J10" s="28">
        <v>15.0</v>
      </c>
      <c r="K10" s="114">
        <v>7.0</v>
      </c>
      <c r="L10" s="28">
        <v>2.0</v>
      </c>
      <c r="M10" s="28">
        <v>21.0</v>
      </c>
      <c r="N10" s="28">
        <v>32.0</v>
      </c>
      <c r="O10" s="28">
        <v>20.0</v>
      </c>
      <c r="P10" s="28">
        <v>9.0</v>
      </c>
      <c r="Q10" s="29">
        <f t="shared" si="2"/>
        <v>15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34" t="s">
        <v>121</v>
      </c>
      <c r="E11" s="30">
        <v>3.0</v>
      </c>
      <c r="F11" s="105">
        <v>12.0</v>
      </c>
      <c r="G11" s="30">
        <v>11.0</v>
      </c>
      <c r="H11" s="30">
        <v>8.0</v>
      </c>
      <c r="I11" s="30">
        <v>24.0</v>
      </c>
      <c r="J11" s="105">
        <v>7.0</v>
      </c>
      <c r="K11" s="30">
        <v>4.0</v>
      </c>
      <c r="L11" s="30" t="s">
        <v>32</v>
      </c>
      <c r="M11" s="105">
        <v>12.0</v>
      </c>
      <c r="N11" s="106">
        <v>29.0</v>
      </c>
      <c r="O11" s="30">
        <v>14.0</v>
      </c>
      <c r="P11" s="30">
        <v>10.0</v>
      </c>
      <c r="Q11" s="31">
        <f>AVERAGE(E11,F11,G11,H11,I11,J11,K11,L11,2,N11,O11,P11)</f>
        <v>11.27272727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34" t="s">
        <v>122</v>
      </c>
      <c r="E12" s="91">
        <v>6.0</v>
      </c>
      <c r="F12" s="135" t="s">
        <v>64</v>
      </c>
      <c r="G12" s="91">
        <v>17.0</v>
      </c>
      <c r="H12" s="30">
        <v>15.0</v>
      </c>
      <c r="I12" s="91">
        <v>2.0</v>
      </c>
      <c r="J12" s="105">
        <v>12.0</v>
      </c>
      <c r="K12" s="91">
        <v>5.0</v>
      </c>
      <c r="L12" s="30">
        <v>4.0</v>
      </c>
      <c r="M12" s="135">
        <v>10.0</v>
      </c>
      <c r="N12" s="135">
        <v>22.0</v>
      </c>
      <c r="O12" s="30">
        <v>5.0</v>
      </c>
      <c r="P12" s="30">
        <v>13.0</v>
      </c>
      <c r="Q12" s="31">
        <f t="shared" ref="Q12:Q17" si="3">AVERAGE(E12,F12,G12,H12,I12,J12,K12,L12,M12,N12,O12,P12)</f>
        <v>10.09090909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33" t="s">
        <v>120</v>
      </c>
      <c r="E13" s="114">
        <v>6.0</v>
      </c>
      <c r="F13" s="28">
        <v>20.0</v>
      </c>
      <c r="G13" s="114">
        <v>82.0</v>
      </c>
      <c r="H13" s="114">
        <v>97.0</v>
      </c>
      <c r="I13" s="114">
        <v>35.0</v>
      </c>
      <c r="J13" s="28">
        <v>102.0</v>
      </c>
      <c r="K13" s="114">
        <v>16.0</v>
      </c>
      <c r="L13" s="28">
        <v>105.0</v>
      </c>
      <c r="M13" s="28">
        <v>29.0</v>
      </c>
      <c r="N13" s="33">
        <v>71.0</v>
      </c>
      <c r="O13" s="28">
        <v>12.0</v>
      </c>
      <c r="P13" s="114">
        <v>18.0</v>
      </c>
      <c r="Q13" s="29">
        <f t="shared" si="3"/>
        <v>49.41666667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34" t="s">
        <v>121</v>
      </c>
      <c r="E14" s="30">
        <v>22.0</v>
      </c>
      <c r="F14" s="105">
        <v>4.0</v>
      </c>
      <c r="G14" s="30">
        <v>17.0</v>
      </c>
      <c r="H14" s="30">
        <v>18.0</v>
      </c>
      <c r="I14" s="30">
        <v>32.0</v>
      </c>
      <c r="J14" s="105">
        <v>10.0</v>
      </c>
      <c r="K14" s="30">
        <v>13.0</v>
      </c>
      <c r="L14" s="30">
        <v>70.0</v>
      </c>
      <c r="M14" s="105">
        <v>31.0</v>
      </c>
      <c r="N14" s="106">
        <v>37.0</v>
      </c>
      <c r="O14" s="30">
        <v>9.0</v>
      </c>
      <c r="P14" s="30">
        <v>7.0</v>
      </c>
      <c r="Q14" s="31">
        <f t="shared" si="3"/>
        <v>22.5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34" t="s">
        <v>122</v>
      </c>
      <c r="E15" s="91">
        <v>9.0</v>
      </c>
      <c r="F15" s="135">
        <v>12.0</v>
      </c>
      <c r="G15" s="91">
        <v>17.0</v>
      </c>
      <c r="H15" s="91">
        <v>34.0</v>
      </c>
      <c r="I15" s="91">
        <v>19.0</v>
      </c>
      <c r="J15" s="105">
        <v>37.0</v>
      </c>
      <c r="K15" s="91">
        <v>41.0</v>
      </c>
      <c r="L15" s="30">
        <v>43.0</v>
      </c>
      <c r="M15" s="135">
        <v>32.0</v>
      </c>
      <c r="N15" s="135">
        <v>45.0</v>
      </c>
      <c r="O15" s="91">
        <v>10.0</v>
      </c>
      <c r="P15" s="91">
        <v>16.0</v>
      </c>
      <c r="Q15" s="31">
        <f t="shared" si="3"/>
        <v>26.25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33" t="s">
        <v>120</v>
      </c>
      <c r="E16" s="18">
        <v>8.4</v>
      </c>
      <c r="F16" s="18">
        <v>8.2</v>
      </c>
      <c r="G16" s="18">
        <v>7.36</v>
      </c>
      <c r="H16" s="114">
        <v>6.92</v>
      </c>
      <c r="I16" s="114">
        <v>7.11</v>
      </c>
      <c r="J16" s="52">
        <v>6.96</v>
      </c>
      <c r="K16" s="114">
        <v>6.82</v>
      </c>
      <c r="L16" s="18">
        <v>6.81</v>
      </c>
      <c r="M16" s="18">
        <v>7.24</v>
      </c>
      <c r="N16" s="18">
        <v>7.05</v>
      </c>
      <c r="O16" s="18">
        <v>7.32</v>
      </c>
      <c r="P16" s="18">
        <v>7.11</v>
      </c>
      <c r="Q16" s="19">
        <f t="shared" si="3"/>
        <v>7.275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34" t="s">
        <v>121</v>
      </c>
      <c r="E17" s="24">
        <v>8.2</v>
      </c>
      <c r="F17" s="25">
        <v>8.19</v>
      </c>
      <c r="G17" s="25">
        <v>7.35</v>
      </c>
      <c r="H17" s="24">
        <v>6.95</v>
      </c>
      <c r="I17" s="24">
        <v>7.05</v>
      </c>
      <c r="J17" s="136">
        <v>6.83</v>
      </c>
      <c r="K17" s="24">
        <v>6.92</v>
      </c>
      <c r="L17" s="25">
        <v>6.93</v>
      </c>
      <c r="M17" s="25">
        <v>6.7</v>
      </c>
      <c r="N17" s="24">
        <v>7.12</v>
      </c>
      <c r="O17" s="24">
        <v>7.23</v>
      </c>
      <c r="P17" s="24">
        <v>6.94</v>
      </c>
      <c r="Q17" s="26">
        <f t="shared" si="3"/>
        <v>7.200833333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34" t="s">
        <v>122</v>
      </c>
      <c r="E18" s="91">
        <v>8.19</v>
      </c>
      <c r="F18" s="135">
        <v>8.19</v>
      </c>
      <c r="G18" s="24">
        <v>7.37</v>
      </c>
      <c r="H18" s="91">
        <v>6.97</v>
      </c>
      <c r="I18" s="24">
        <v>7.1</v>
      </c>
      <c r="J18" s="25">
        <v>6.89</v>
      </c>
      <c r="K18" s="91">
        <v>6.83</v>
      </c>
      <c r="L18" s="135">
        <v>6.88</v>
      </c>
      <c r="M18" s="135">
        <v>7.11</v>
      </c>
      <c r="N18" s="24">
        <v>6.98</v>
      </c>
      <c r="O18" s="91">
        <v>7.27</v>
      </c>
      <c r="P18" s="91">
        <v>6.97</v>
      </c>
      <c r="Q18" s="55">
        <v>8.05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123</v>
      </c>
      <c r="C19" s="16">
        <v>1.0</v>
      </c>
      <c r="D19" s="133" t="s">
        <v>120</v>
      </c>
      <c r="E19" s="114">
        <v>28.55</v>
      </c>
      <c r="F19" s="18">
        <v>28.2</v>
      </c>
      <c r="G19" s="18">
        <v>30.5</v>
      </c>
      <c r="H19" s="18">
        <v>30.3</v>
      </c>
      <c r="I19" s="18">
        <v>30.1</v>
      </c>
      <c r="J19" s="52">
        <v>28.45</v>
      </c>
      <c r="K19" s="18">
        <v>30.9</v>
      </c>
      <c r="L19" s="18">
        <v>27.03</v>
      </c>
      <c r="M19" s="18">
        <v>29.0</v>
      </c>
      <c r="N19" s="18">
        <v>28.18</v>
      </c>
      <c r="O19" s="18">
        <v>30.23</v>
      </c>
      <c r="P19" s="18">
        <v>28.21</v>
      </c>
      <c r="Q19" s="19">
        <f t="shared" ref="Q19:Q20" si="4">AVERAGE(E19,F19,G19,H19,I19,J19,K19,L19,M19,N19,O19,P19)</f>
        <v>29.1375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34" t="s">
        <v>121</v>
      </c>
      <c r="E20" s="91">
        <v>29.45</v>
      </c>
      <c r="F20" s="25">
        <v>28.2</v>
      </c>
      <c r="G20" s="25">
        <v>30.6</v>
      </c>
      <c r="H20" s="24">
        <v>30.88</v>
      </c>
      <c r="I20" s="24">
        <v>30.0</v>
      </c>
      <c r="J20" s="136">
        <v>29.18</v>
      </c>
      <c r="K20" s="24">
        <v>31.1</v>
      </c>
      <c r="L20" s="25">
        <v>26.8</v>
      </c>
      <c r="M20" s="25">
        <v>28.13</v>
      </c>
      <c r="N20" s="25">
        <v>25.55</v>
      </c>
      <c r="O20" s="24">
        <v>29.8</v>
      </c>
      <c r="P20" s="24">
        <v>26.15</v>
      </c>
      <c r="Q20" s="26">
        <f t="shared" si="4"/>
        <v>28.82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34" t="s">
        <v>122</v>
      </c>
      <c r="E21" s="24">
        <v>29.8</v>
      </c>
      <c r="F21" s="25">
        <v>27.9</v>
      </c>
      <c r="G21" s="24">
        <v>29.63</v>
      </c>
      <c r="H21" s="24">
        <v>31.08</v>
      </c>
      <c r="I21" s="24">
        <v>29.9</v>
      </c>
      <c r="J21" s="25">
        <v>29.48</v>
      </c>
      <c r="K21" s="24">
        <v>30.9</v>
      </c>
      <c r="L21" s="25">
        <v>26.1</v>
      </c>
      <c r="M21" s="25">
        <v>28.64</v>
      </c>
      <c r="N21" s="25">
        <v>26.2</v>
      </c>
      <c r="O21" s="91">
        <v>29.93</v>
      </c>
      <c r="P21" s="24">
        <v>28.0</v>
      </c>
      <c r="Q21" s="55">
        <v>28.1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133" t="s">
        <v>120</v>
      </c>
      <c r="E22" s="114">
        <v>10.0</v>
      </c>
      <c r="F22" s="28">
        <v>5.0</v>
      </c>
      <c r="G22" s="32">
        <v>10.0</v>
      </c>
      <c r="H22" s="28">
        <v>5.0</v>
      </c>
      <c r="I22" s="114">
        <v>10.0</v>
      </c>
      <c r="J22" s="28">
        <v>10.0</v>
      </c>
      <c r="K22" s="114">
        <v>3.0</v>
      </c>
      <c r="L22" s="28">
        <v>10.0</v>
      </c>
      <c r="M22" s="28">
        <v>5.0</v>
      </c>
      <c r="N22" s="33">
        <v>10.0</v>
      </c>
      <c r="O22" s="28">
        <v>20.0</v>
      </c>
      <c r="P22" s="114">
        <v>15.0</v>
      </c>
      <c r="Q22" s="29">
        <f t="shared" ref="Q22:Q24" si="5">AVERAGE(E22,F22,G22,H22,I22,J22,K22,L22,M22,N22,O22,P22)</f>
        <v>9.416666667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7.25" customHeight="1">
      <c r="A23" s="20"/>
      <c r="B23" s="21"/>
      <c r="C23" s="22">
        <v>2.0</v>
      </c>
      <c r="D23" s="134" t="s">
        <v>124</v>
      </c>
      <c r="E23" s="30">
        <v>10.0</v>
      </c>
      <c r="F23" s="105">
        <v>10.0</v>
      </c>
      <c r="G23" s="39">
        <v>10.0</v>
      </c>
      <c r="H23" s="30">
        <v>10.0</v>
      </c>
      <c r="I23" s="30">
        <v>10.0</v>
      </c>
      <c r="J23" s="105">
        <v>10.0</v>
      </c>
      <c r="K23" s="30">
        <v>3.0</v>
      </c>
      <c r="L23" s="30">
        <v>10.0</v>
      </c>
      <c r="M23" s="100">
        <v>5.0</v>
      </c>
      <c r="N23" s="106">
        <v>10.0</v>
      </c>
      <c r="O23" s="30">
        <v>20.0</v>
      </c>
      <c r="P23" s="30">
        <v>15.0</v>
      </c>
      <c r="Q23" s="137">
        <f t="shared" si="5"/>
        <v>10.25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34" t="s">
        <v>122</v>
      </c>
      <c r="E24" s="91">
        <v>20.0</v>
      </c>
      <c r="F24" s="135">
        <v>10.0</v>
      </c>
      <c r="G24" s="30">
        <v>10.0</v>
      </c>
      <c r="H24" s="30">
        <v>10.0</v>
      </c>
      <c r="I24" s="91">
        <v>5.0</v>
      </c>
      <c r="J24" s="105">
        <v>10.0</v>
      </c>
      <c r="K24" s="91">
        <v>3.0</v>
      </c>
      <c r="L24" s="30">
        <v>10.0</v>
      </c>
      <c r="M24" s="135">
        <v>5.0</v>
      </c>
      <c r="N24" s="135">
        <v>10.0</v>
      </c>
      <c r="O24" s="91">
        <v>15.0</v>
      </c>
      <c r="P24" s="91">
        <v>10.0</v>
      </c>
      <c r="Q24" s="31">
        <f t="shared" si="5"/>
        <v>9.833333333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33" t="s">
        <v>120</v>
      </c>
      <c r="E25" s="32">
        <v>7000.0</v>
      </c>
      <c r="F25" s="33">
        <v>16000.0</v>
      </c>
      <c r="G25" s="32">
        <v>240000.0</v>
      </c>
      <c r="H25" s="33">
        <v>16000.0</v>
      </c>
      <c r="I25" s="32">
        <v>540000.0</v>
      </c>
      <c r="J25" s="32">
        <v>7900.0</v>
      </c>
      <c r="K25" s="32">
        <v>350000.0</v>
      </c>
      <c r="L25" s="33">
        <v>24000.0</v>
      </c>
      <c r="M25" s="33">
        <v>110000.0</v>
      </c>
      <c r="N25" s="33">
        <v>540000.0</v>
      </c>
      <c r="O25" s="33">
        <v>24000.0</v>
      </c>
      <c r="P25" s="32">
        <v>54000.0</v>
      </c>
      <c r="Q25" s="138">
        <f>GEOMEAN(E25,F25,G25,H25,I25,J25,K25,L25,M25,N25,Y22,P25)</f>
        <v>61711.53176</v>
      </c>
      <c r="R25" s="17">
        <v>200.0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34" t="s">
        <v>121</v>
      </c>
      <c r="E26" s="37">
        <v>54000.0</v>
      </c>
      <c r="F26" s="106">
        <v>170000.0</v>
      </c>
      <c r="G26" s="39">
        <v>92000.0</v>
      </c>
      <c r="H26" s="34">
        <v>2400000.0</v>
      </c>
      <c r="I26" s="34">
        <v>11000.0</v>
      </c>
      <c r="J26" s="39">
        <v>110000.0</v>
      </c>
      <c r="K26" s="34">
        <v>35000.0</v>
      </c>
      <c r="L26" s="34">
        <v>160000.0</v>
      </c>
      <c r="M26" s="106">
        <v>920000.0</v>
      </c>
      <c r="N26" s="106">
        <v>92000.0</v>
      </c>
      <c r="O26" s="34">
        <v>110000.0</v>
      </c>
      <c r="P26" s="37">
        <v>92000.0</v>
      </c>
      <c r="Q26" s="139">
        <f t="shared" ref="Q26:Q27" si="6">GEOMEAN(E26,F26,G26,H26,I26,J26,K26,L26,M26,N26,O26,P26)</f>
        <v>122804.4986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34" t="s">
        <v>122</v>
      </c>
      <c r="E27" s="37">
        <v>130000.0</v>
      </c>
      <c r="F27" s="39">
        <v>240000.0</v>
      </c>
      <c r="G27" s="37">
        <v>3500.0</v>
      </c>
      <c r="H27" s="34">
        <v>3.5E7</v>
      </c>
      <c r="I27" s="34">
        <v>7900.0</v>
      </c>
      <c r="J27" s="105">
        <v>170000.0</v>
      </c>
      <c r="K27" s="37">
        <v>17000.0</v>
      </c>
      <c r="L27" s="34">
        <v>350000.0</v>
      </c>
      <c r="M27" s="106">
        <v>920000.0</v>
      </c>
      <c r="N27" s="106">
        <v>24000.0</v>
      </c>
      <c r="O27" s="37">
        <v>35000.0</v>
      </c>
      <c r="P27" s="37">
        <v>92000.0</v>
      </c>
      <c r="Q27" s="139">
        <f t="shared" si="6"/>
        <v>106674.7295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125</v>
      </c>
      <c r="C28" s="16">
        <v>1.0</v>
      </c>
      <c r="D28" s="133" t="s">
        <v>120</v>
      </c>
      <c r="E28" s="40">
        <v>0.71</v>
      </c>
      <c r="F28" s="40" t="s">
        <v>42</v>
      </c>
      <c r="G28" s="140">
        <v>0.133</v>
      </c>
      <c r="H28" s="40">
        <v>0.887</v>
      </c>
      <c r="I28" s="114" t="s">
        <v>42</v>
      </c>
      <c r="J28" s="40">
        <v>0.758</v>
      </c>
      <c r="K28" s="114" t="s">
        <v>42</v>
      </c>
      <c r="L28" s="40">
        <v>0.476</v>
      </c>
      <c r="M28" s="40">
        <v>1.433</v>
      </c>
      <c r="N28" s="40">
        <v>0.249</v>
      </c>
      <c r="O28" s="40">
        <v>0.211</v>
      </c>
      <c r="P28" s="114">
        <v>0.294</v>
      </c>
      <c r="Q28" s="41">
        <f t="shared" ref="Q28:Q30" si="7">AVERAGE(E28)</f>
        <v>0.71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34" t="s">
        <v>121</v>
      </c>
      <c r="E29" s="43">
        <v>0.726</v>
      </c>
      <c r="F29" s="42" t="s">
        <v>42</v>
      </c>
      <c r="G29" s="141">
        <v>0.263</v>
      </c>
      <c r="H29" s="43">
        <v>0.444</v>
      </c>
      <c r="I29" s="24" t="s">
        <v>42</v>
      </c>
      <c r="J29" s="42">
        <v>0.296</v>
      </c>
      <c r="K29" s="43">
        <v>0.629</v>
      </c>
      <c r="L29" s="43">
        <v>0.403</v>
      </c>
      <c r="M29" s="42">
        <v>1.511</v>
      </c>
      <c r="N29" s="42">
        <v>0.346</v>
      </c>
      <c r="O29" s="43">
        <v>0.608</v>
      </c>
      <c r="P29" s="43">
        <v>0.339</v>
      </c>
      <c r="Q29" s="44">
        <f t="shared" si="7"/>
        <v>0.726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34" t="s">
        <v>122</v>
      </c>
      <c r="E30" s="43">
        <v>0.325</v>
      </c>
      <c r="F30" s="135" t="s">
        <v>42</v>
      </c>
      <c r="G30" s="142">
        <v>0.693</v>
      </c>
      <c r="H30" s="43">
        <v>0.32</v>
      </c>
      <c r="I30" s="91">
        <v>0.377</v>
      </c>
      <c r="J30" s="91">
        <v>0.251</v>
      </c>
      <c r="K30" s="91">
        <v>1.232</v>
      </c>
      <c r="L30" s="43">
        <v>0.507</v>
      </c>
      <c r="M30" s="135">
        <v>1.354</v>
      </c>
      <c r="N30" s="42">
        <v>0.272</v>
      </c>
      <c r="O30" s="91">
        <v>0.342</v>
      </c>
      <c r="P30" s="91">
        <v>0.381</v>
      </c>
      <c r="Q30" s="44">
        <f t="shared" si="7"/>
        <v>0.325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126</v>
      </c>
      <c r="C31" s="16">
        <v>1.0</v>
      </c>
      <c r="D31" s="133" t="s">
        <v>120</v>
      </c>
      <c r="E31" s="40">
        <v>0.149</v>
      </c>
      <c r="F31" s="40">
        <v>0.119</v>
      </c>
      <c r="G31" s="40">
        <v>0.244</v>
      </c>
      <c r="H31" s="40">
        <v>0.281</v>
      </c>
      <c r="I31" s="114">
        <v>0.057</v>
      </c>
      <c r="J31" s="40">
        <v>0.261</v>
      </c>
      <c r="K31" s="114">
        <v>0.076</v>
      </c>
      <c r="L31" s="40">
        <v>0.246</v>
      </c>
      <c r="M31" s="40">
        <v>0.098</v>
      </c>
      <c r="N31" s="40">
        <v>0.101</v>
      </c>
      <c r="O31" s="40">
        <v>0.056</v>
      </c>
      <c r="P31" s="114">
        <v>0.104</v>
      </c>
      <c r="Q31" s="41">
        <f t="shared" ref="Q31:Q36" si="8">AVERAGE(E31,F31,G31,H31,I31,J31,K31,L31,M31,N31,O31,P31)</f>
        <v>0.1493333333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34" t="s">
        <v>121</v>
      </c>
      <c r="E32" s="43">
        <v>0.089</v>
      </c>
      <c r="F32" s="42">
        <v>0.112</v>
      </c>
      <c r="G32" s="42">
        <v>0.109</v>
      </c>
      <c r="H32" s="43">
        <v>0.074</v>
      </c>
      <c r="I32" s="43">
        <v>0.031</v>
      </c>
      <c r="J32" s="42">
        <v>0.094</v>
      </c>
      <c r="K32" s="43">
        <v>0.074</v>
      </c>
      <c r="L32" s="43">
        <v>0.208</v>
      </c>
      <c r="M32" s="42">
        <v>0.083</v>
      </c>
      <c r="N32" s="42">
        <v>0.144</v>
      </c>
      <c r="O32" s="43">
        <v>0.058</v>
      </c>
      <c r="P32" s="43">
        <v>0.094</v>
      </c>
      <c r="Q32" s="44">
        <f t="shared" si="8"/>
        <v>0.0975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34" t="s">
        <v>122</v>
      </c>
      <c r="E33" s="43">
        <v>0.108</v>
      </c>
      <c r="F33" s="135">
        <v>0.137</v>
      </c>
      <c r="G33" s="135">
        <v>0.149</v>
      </c>
      <c r="H33" s="43">
        <v>0.097</v>
      </c>
      <c r="I33" s="91">
        <v>0.067</v>
      </c>
      <c r="J33" s="42">
        <v>0.132</v>
      </c>
      <c r="K33" s="91">
        <v>0.102</v>
      </c>
      <c r="L33" s="43">
        <v>0.162</v>
      </c>
      <c r="M33" s="135">
        <v>0.097</v>
      </c>
      <c r="N33" s="42">
        <v>0.098</v>
      </c>
      <c r="O33" s="91">
        <v>0.058</v>
      </c>
      <c r="P33" s="91">
        <v>0.109</v>
      </c>
      <c r="Q33" s="44">
        <f t="shared" si="8"/>
        <v>0.1096666667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43"/>
      <c r="B34" s="15" t="s">
        <v>46</v>
      </c>
      <c r="C34" s="144">
        <v>1.0</v>
      </c>
      <c r="D34" s="133" t="s">
        <v>120</v>
      </c>
      <c r="E34" s="114">
        <v>10.0</v>
      </c>
      <c r="F34" s="33">
        <v>5979.0</v>
      </c>
      <c r="G34" s="28">
        <v>24.0</v>
      </c>
      <c r="H34" s="33">
        <v>13.0</v>
      </c>
      <c r="I34" s="33">
        <v>15603.0</v>
      </c>
      <c r="J34" s="28">
        <v>13.0</v>
      </c>
      <c r="K34" s="33">
        <v>11223.0</v>
      </c>
      <c r="L34" s="145">
        <v>4.0</v>
      </c>
      <c r="M34" s="28">
        <v>1143.0</v>
      </c>
      <c r="N34" s="33">
        <v>1476.0</v>
      </c>
      <c r="O34" s="33">
        <v>7523.0</v>
      </c>
      <c r="P34" s="32">
        <v>6284.0</v>
      </c>
      <c r="Q34" s="35">
        <f t="shared" si="8"/>
        <v>4107.916667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143"/>
      <c r="B35" s="21"/>
      <c r="C35" s="146">
        <v>2.0</v>
      </c>
      <c r="D35" s="134" t="s">
        <v>121</v>
      </c>
      <c r="E35" s="30">
        <v>1745.0</v>
      </c>
      <c r="F35" s="106">
        <v>1822.0</v>
      </c>
      <c r="G35" s="39">
        <v>3820.0</v>
      </c>
      <c r="H35" s="34">
        <v>6908.0</v>
      </c>
      <c r="I35" s="34">
        <v>9203.0</v>
      </c>
      <c r="J35" s="39">
        <v>1261.0</v>
      </c>
      <c r="K35" s="34">
        <v>2735.0</v>
      </c>
      <c r="L35" s="147">
        <v>5.0</v>
      </c>
      <c r="M35" s="106">
        <v>666.0</v>
      </c>
      <c r="N35" s="106">
        <v>27.0</v>
      </c>
      <c r="O35" s="34">
        <v>2827.0</v>
      </c>
      <c r="P35" s="37">
        <v>6236.0</v>
      </c>
      <c r="Q35" s="38">
        <f t="shared" si="8"/>
        <v>3104.583333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143"/>
      <c r="B36" s="27"/>
      <c r="C36" s="146">
        <v>3.0</v>
      </c>
      <c r="D36" s="134" t="s">
        <v>122</v>
      </c>
      <c r="E36" s="37">
        <v>5517.0</v>
      </c>
      <c r="F36" s="135">
        <v>18.0</v>
      </c>
      <c r="G36" s="106">
        <v>10186.0</v>
      </c>
      <c r="H36" s="34">
        <v>14090.0</v>
      </c>
      <c r="I36" s="91">
        <v>93.0</v>
      </c>
      <c r="J36" s="106">
        <v>6447.0</v>
      </c>
      <c r="K36" s="91">
        <v>566.0</v>
      </c>
      <c r="L36" s="30">
        <v>22.0</v>
      </c>
      <c r="M36" s="106">
        <v>857.0</v>
      </c>
      <c r="N36" s="135">
        <v>6.0</v>
      </c>
      <c r="O36" s="34">
        <v>2878.0</v>
      </c>
      <c r="P36" s="37">
        <v>6189.0</v>
      </c>
      <c r="Q36" s="38">
        <f t="shared" si="8"/>
        <v>3905.75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48"/>
      <c r="C37" s="100"/>
      <c r="D37" s="100"/>
      <c r="E37" s="100"/>
      <c r="F37" s="100"/>
      <c r="G37" s="100"/>
      <c r="H37" s="100"/>
      <c r="I37" s="100"/>
      <c r="J37" s="100"/>
      <c r="K37" s="117"/>
      <c r="L37" s="117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7" t="s">
        <v>47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17"/>
      <c r="L40" s="117"/>
      <c r="M40" s="100"/>
      <c r="N40" s="100"/>
      <c r="O40" s="100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17"/>
      <c r="L41" s="117"/>
      <c r="M41" s="100"/>
      <c r="N41" s="100"/>
      <c r="O41" s="100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17"/>
      <c r="L42" s="117"/>
      <c r="M42" s="100"/>
      <c r="N42" s="100"/>
      <c r="O42" s="100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17"/>
      <c r="L43" s="117"/>
      <c r="M43" s="100"/>
      <c r="N43" s="100"/>
      <c r="O43" s="100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17"/>
      <c r="L44" s="117"/>
      <c r="M44" s="100"/>
      <c r="N44" s="100"/>
      <c r="O44" s="100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17"/>
      <c r="L45" s="117"/>
      <c r="M45" s="100"/>
      <c r="N45" s="100"/>
      <c r="O45" s="100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17"/>
      <c r="L46" s="117"/>
      <c r="M46" s="100"/>
      <c r="N46" s="100"/>
      <c r="O46" s="100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17"/>
      <c r="L47" s="117"/>
      <c r="M47" s="100"/>
      <c r="N47" s="100"/>
      <c r="O47" s="100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17"/>
      <c r="L48" s="117"/>
      <c r="M48" s="100"/>
      <c r="N48" s="100"/>
      <c r="O48" s="100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17"/>
      <c r="L49" s="117"/>
      <c r="M49" s="100"/>
      <c r="N49" s="100"/>
      <c r="O49" s="100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17"/>
      <c r="L50" s="117"/>
      <c r="M50" s="100"/>
      <c r="N50" s="100"/>
      <c r="O50" s="100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17"/>
      <c r="L51" s="117"/>
      <c r="M51" s="100"/>
      <c r="N51" s="100"/>
      <c r="O51" s="100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17"/>
      <c r="L52" s="117"/>
      <c r="M52" s="100"/>
      <c r="N52" s="100"/>
      <c r="O52" s="100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17"/>
      <c r="L53" s="117"/>
      <c r="M53" s="100"/>
      <c r="N53" s="100"/>
      <c r="O53" s="100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17"/>
      <c r="L54" s="117"/>
      <c r="M54" s="100"/>
      <c r="N54" s="100"/>
      <c r="O54" s="100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17"/>
      <c r="L55" s="117"/>
      <c r="M55" s="100"/>
      <c r="N55" s="100"/>
      <c r="O55" s="100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17"/>
      <c r="L56" s="117"/>
      <c r="M56" s="100"/>
      <c r="N56" s="100"/>
      <c r="O56" s="100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17"/>
      <c r="L57" s="117"/>
      <c r="M57" s="100"/>
      <c r="N57" s="100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17"/>
      <c r="L58" s="117"/>
      <c r="M58" s="100"/>
      <c r="N58" s="100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17"/>
      <c r="L59" s="117"/>
      <c r="M59" s="100"/>
      <c r="N59" s="100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17"/>
      <c r="L60" s="117"/>
      <c r="M60" s="100"/>
      <c r="N60" s="100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17"/>
      <c r="L61" s="117"/>
      <c r="M61" s="100"/>
      <c r="N61" s="100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17"/>
      <c r="L62" s="117"/>
      <c r="M62" s="100"/>
      <c r="N62" s="100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17"/>
      <c r="L63" s="117"/>
      <c r="M63" s="100"/>
      <c r="N63" s="100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17"/>
      <c r="L64" s="117"/>
      <c r="M64" s="100"/>
      <c r="N64" s="100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17"/>
      <c r="L65" s="117"/>
      <c r="M65" s="100"/>
      <c r="N65" s="100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17"/>
      <c r="L66" s="117"/>
      <c r="M66" s="100"/>
      <c r="N66" s="100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17"/>
      <c r="L67" s="117"/>
      <c r="M67" s="100"/>
      <c r="N67" s="100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17"/>
      <c r="L68" s="117"/>
      <c r="M68" s="100"/>
      <c r="N68" s="100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17"/>
      <c r="L69" s="117"/>
      <c r="M69" s="100"/>
      <c r="N69" s="100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17"/>
      <c r="L70" s="117"/>
      <c r="M70" s="100"/>
      <c r="N70" s="100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17"/>
      <c r="L71" s="117"/>
      <c r="M71" s="100"/>
      <c r="N71" s="100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17"/>
      <c r="L72" s="117"/>
      <c r="M72" s="100"/>
      <c r="N72" s="100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17"/>
      <c r="L73" s="117"/>
      <c r="M73" s="100"/>
      <c r="N73" s="100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17"/>
      <c r="L74" s="117"/>
      <c r="M74" s="100"/>
      <c r="N74" s="100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17"/>
      <c r="L75" s="117"/>
      <c r="M75" s="100"/>
      <c r="N75" s="100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17"/>
      <c r="L76" s="117"/>
      <c r="M76" s="100"/>
      <c r="N76" s="100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17"/>
      <c r="L77" s="117"/>
      <c r="M77" s="100"/>
      <c r="N77" s="100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17"/>
      <c r="L78" s="117"/>
      <c r="M78" s="100"/>
      <c r="N78" s="100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17"/>
      <c r="L79" s="117"/>
      <c r="M79" s="100"/>
      <c r="N79" s="100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17"/>
      <c r="L80" s="117"/>
      <c r="M80" s="100"/>
      <c r="N80" s="100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17"/>
      <c r="L81" s="117"/>
      <c r="M81" s="100"/>
      <c r="N81" s="100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17"/>
      <c r="L82" s="117"/>
      <c r="M82" s="100"/>
      <c r="N82" s="100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17"/>
      <c r="L83" s="117"/>
      <c r="M83" s="100"/>
      <c r="N83" s="100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17"/>
      <c r="L84" s="117"/>
      <c r="M84" s="100"/>
      <c r="N84" s="100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17"/>
      <c r="L85" s="117"/>
      <c r="M85" s="100"/>
      <c r="N85" s="100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17"/>
      <c r="L86" s="117"/>
      <c r="M86" s="100"/>
      <c r="N86" s="100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17"/>
      <c r="L87" s="117"/>
      <c r="M87" s="100"/>
      <c r="N87" s="100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17"/>
      <c r="L88" s="117"/>
      <c r="M88" s="100"/>
      <c r="N88" s="100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17"/>
      <c r="L89" s="117"/>
      <c r="M89" s="100"/>
      <c r="N89" s="100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17"/>
      <c r="L90" s="117"/>
      <c r="M90" s="100"/>
      <c r="N90" s="100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17"/>
      <c r="L91" s="117"/>
      <c r="M91" s="100"/>
      <c r="N91" s="100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17"/>
      <c r="L92" s="117"/>
      <c r="M92" s="100"/>
      <c r="N92" s="100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17"/>
      <c r="L93" s="117"/>
      <c r="M93" s="100"/>
      <c r="N93" s="100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17"/>
      <c r="L94" s="117"/>
      <c r="M94" s="100"/>
      <c r="N94" s="100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17"/>
      <c r="L95" s="117"/>
      <c r="M95" s="100"/>
      <c r="N95" s="100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17"/>
      <c r="L96" s="117"/>
      <c r="M96" s="100"/>
      <c r="N96" s="100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17"/>
      <c r="L97" s="117"/>
      <c r="M97" s="100"/>
      <c r="N97" s="100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17"/>
      <c r="L98" s="117"/>
      <c r="M98" s="100"/>
      <c r="N98" s="100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17"/>
      <c r="L99" s="117"/>
      <c r="M99" s="100"/>
      <c r="N99" s="100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17"/>
      <c r="L100" s="117"/>
      <c r="M100" s="100"/>
      <c r="N100" s="100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17"/>
      <c r="L101" s="117"/>
      <c r="M101" s="100"/>
      <c r="N101" s="100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17"/>
      <c r="L102" s="117"/>
      <c r="M102" s="100"/>
      <c r="N102" s="100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17"/>
      <c r="L103" s="117"/>
      <c r="M103" s="100"/>
      <c r="N103" s="100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17"/>
      <c r="L104" s="117"/>
      <c r="M104" s="100"/>
      <c r="N104" s="100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17"/>
      <c r="L105" s="117"/>
      <c r="M105" s="100"/>
      <c r="N105" s="100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17"/>
      <c r="L106" s="117"/>
      <c r="M106" s="100"/>
      <c r="N106" s="100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17"/>
      <c r="L107" s="117"/>
      <c r="M107" s="100"/>
      <c r="N107" s="100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17"/>
      <c r="L108" s="117"/>
      <c r="M108" s="100"/>
      <c r="N108" s="100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17"/>
      <c r="L109" s="117"/>
      <c r="M109" s="100"/>
      <c r="N109" s="100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17"/>
      <c r="L110" s="117"/>
      <c r="M110" s="100"/>
      <c r="N110" s="100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17"/>
      <c r="L111" s="117"/>
      <c r="M111" s="100"/>
      <c r="N111" s="100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17"/>
      <c r="L112" s="117"/>
      <c r="M112" s="100"/>
      <c r="N112" s="100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17"/>
      <c r="L113" s="117"/>
      <c r="M113" s="100"/>
      <c r="N113" s="100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17"/>
      <c r="L114" s="117"/>
      <c r="M114" s="100"/>
      <c r="N114" s="100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17"/>
      <c r="L115" s="117"/>
      <c r="M115" s="100"/>
      <c r="N115" s="100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17"/>
      <c r="L116" s="117"/>
      <c r="M116" s="100"/>
      <c r="N116" s="100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17"/>
      <c r="L117" s="117"/>
      <c r="M117" s="100"/>
      <c r="N117" s="100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17"/>
      <c r="L118" s="117"/>
      <c r="M118" s="100"/>
      <c r="N118" s="100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17"/>
      <c r="L119" s="117"/>
      <c r="M119" s="100"/>
      <c r="N119" s="100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17"/>
      <c r="L120" s="117"/>
      <c r="M120" s="100"/>
      <c r="N120" s="100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17"/>
      <c r="L121" s="117"/>
      <c r="M121" s="100"/>
      <c r="N121" s="100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17"/>
      <c r="L122" s="117"/>
      <c r="M122" s="100"/>
      <c r="N122" s="100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17"/>
      <c r="L123" s="117"/>
      <c r="M123" s="100"/>
      <c r="N123" s="100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17"/>
      <c r="L124" s="117"/>
      <c r="M124" s="100"/>
      <c r="N124" s="100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17"/>
      <c r="L125" s="117"/>
      <c r="M125" s="100"/>
      <c r="N125" s="100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17"/>
      <c r="L126" s="117"/>
      <c r="M126" s="100"/>
      <c r="N126" s="100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17"/>
      <c r="L127" s="117"/>
      <c r="M127" s="100"/>
      <c r="N127" s="100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17"/>
      <c r="L128" s="117"/>
      <c r="M128" s="100"/>
      <c r="N128" s="100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17"/>
      <c r="L129" s="117"/>
      <c r="M129" s="100"/>
      <c r="N129" s="100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17"/>
      <c r="L130" s="117"/>
      <c r="M130" s="100"/>
      <c r="N130" s="100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17"/>
      <c r="L131" s="117"/>
      <c r="M131" s="100"/>
      <c r="N131" s="100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17"/>
      <c r="L132" s="117"/>
      <c r="M132" s="100"/>
      <c r="N132" s="100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17"/>
      <c r="L133" s="117"/>
      <c r="M133" s="100"/>
      <c r="N133" s="100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17"/>
      <c r="L134" s="117"/>
      <c r="M134" s="100"/>
      <c r="N134" s="100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17"/>
      <c r="L135" s="117"/>
      <c r="M135" s="100"/>
      <c r="N135" s="100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17"/>
      <c r="L136" s="117"/>
      <c r="M136" s="100"/>
      <c r="N136" s="100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17"/>
      <c r="L137" s="117"/>
      <c r="M137" s="100"/>
      <c r="N137" s="100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17"/>
      <c r="L138" s="117"/>
      <c r="M138" s="100"/>
      <c r="N138" s="100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17"/>
      <c r="L139" s="117"/>
      <c r="M139" s="100"/>
      <c r="N139" s="100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17"/>
      <c r="L140" s="117"/>
      <c r="M140" s="100"/>
      <c r="N140" s="100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17"/>
      <c r="L141" s="117"/>
      <c r="M141" s="100"/>
      <c r="N141" s="100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17"/>
      <c r="L142" s="117"/>
      <c r="M142" s="100"/>
      <c r="N142" s="100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17"/>
      <c r="L143" s="117"/>
      <c r="M143" s="100"/>
      <c r="N143" s="100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17"/>
      <c r="L144" s="117"/>
      <c r="M144" s="100"/>
      <c r="N144" s="100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17"/>
      <c r="L145" s="117"/>
      <c r="M145" s="100"/>
      <c r="N145" s="100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17"/>
      <c r="L146" s="117"/>
      <c r="M146" s="100"/>
      <c r="N146" s="100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17"/>
      <c r="L147" s="117"/>
      <c r="M147" s="100"/>
      <c r="N147" s="100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17"/>
      <c r="L148" s="117"/>
      <c r="M148" s="100"/>
      <c r="N148" s="100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17"/>
      <c r="L149" s="117"/>
      <c r="M149" s="100"/>
      <c r="N149" s="100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17"/>
      <c r="L150" s="117"/>
      <c r="M150" s="100"/>
      <c r="N150" s="100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17"/>
      <c r="L151" s="117"/>
      <c r="M151" s="100"/>
      <c r="N151" s="100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17"/>
      <c r="L152" s="117"/>
      <c r="M152" s="100"/>
      <c r="N152" s="100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17"/>
      <c r="L153" s="117"/>
      <c r="M153" s="100"/>
      <c r="N153" s="100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17"/>
      <c r="L154" s="117"/>
      <c r="M154" s="100"/>
      <c r="N154" s="100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17"/>
      <c r="L155" s="117"/>
      <c r="M155" s="100"/>
      <c r="N155" s="100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17"/>
      <c r="L156" s="117"/>
      <c r="M156" s="100"/>
      <c r="N156" s="100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17"/>
      <c r="L157" s="117"/>
      <c r="M157" s="100"/>
      <c r="N157" s="100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17"/>
      <c r="L158" s="117"/>
      <c r="M158" s="100"/>
      <c r="N158" s="100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17"/>
      <c r="L159" s="117"/>
      <c r="M159" s="100"/>
      <c r="N159" s="100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17"/>
      <c r="L160" s="117"/>
      <c r="M160" s="100"/>
      <c r="N160" s="100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17"/>
      <c r="L161" s="117"/>
      <c r="M161" s="100"/>
      <c r="N161" s="100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17"/>
      <c r="L162" s="117"/>
      <c r="M162" s="100"/>
      <c r="N162" s="100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17"/>
      <c r="L163" s="117"/>
      <c r="M163" s="100"/>
      <c r="N163" s="100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17"/>
      <c r="L164" s="117"/>
      <c r="M164" s="100"/>
      <c r="N164" s="100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17"/>
      <c r="L165" s="117"/>
      <c r="M165" s="100"/>
      <c r="N165" s="100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17"/>
      <c r="L166" s="117"/>
      <c r="M166" s="100"/>
      <c r="N166" s="100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17"/>
      <c r="L167" s="117"/>
      <c r="M167" s="100"/>
      <c r="N167" s="100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17"/>
      <c r="L168" s="117"/>
      <c r="M168" s="100"/>
      <c r="N168" s="100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17"/>
      <c r="L169" s="117"/>
      <c r="M169" s="100"/>
      <c r="N169" s="100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17"/>
      <c r="L170" s="117"/>
      <c r="M170" s="100"/>
      <c r="N170" s="100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17"/>
      <c r="L171" s="117"/>
      <c r="M171" s="100"/>
      <c r="N171" s="100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17"/>
      <c r="L172" s="117"/>
      <c r="M172" s="100"/>
      <c r="N172" s="100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17"/>
      <c r="L173" s="117"/>
      <c r="M173" s="100"/>
      <c r="N173" s="100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17"/>
      <c r="L174" s="117"/>
      <c r="M174" s="100"/>
      <c r="N174" s="100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17"/>
      <c r="L175" s="117"/>
      <c r="M175" s="100"/>
      <c r="N175" s="100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17"/>
      <c r="L176" s="117"/>
      <c r="M176" s="100"/>
      <c r="N176" s="100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17"/>
      <c r="L177" s="117"/>
      <c r="M177" s="100"/>
      <c r="N177" s="100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17"/>
      <c r="L178" s="117"/>
      <c r="M178" s="100"/>
      <c r="N178" s="100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17"/>
      <c r="L179" s="117"/>
      <c r="M179" s="100"/>
      <c r="N179" s="100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17"/>
      <c r="L180" s="117"/>
      <c r="M180" s="100"/>
      <c r="N180" s="100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17"/>
      <c r="L181" s="117"/>
      <c r="M181" s="100"/>
      <c r="N181" s="100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17"/>
      <c r="L182" s="117"/>
      <c r="M182" s="100"/>
      <c r="N182" s="100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17"/>
      <c r="L183" s="117"/>
      <c r="M183" s="100"/>
      <c r="N183" s="100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17"/>
      <c r="L184" s="117"/>
      <c r="M184" s="100"/>
      <c r="N184" s="100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17"/>
      <c r="L185" s="117"/>
      <c r="M185" s="100"/>
      <c r="N185" s="100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17"/>
      <c r="L186" s="117"/>
      <c r="M186" s="100"/>
      <c r="N186" s="100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17"/>
      <c r="L187" s="117"/>
      <c r="M187" s="100"/>
      <c r="N187" s="100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17"/>
      <c r="L188" s="117"/>
      <c r="M188" s="100"/>
      <c r="N188" s="100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17"/>
      <c r="L189" s="117"/>
      <c r="M189" s="100"/>
      <c r="N189" s="100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17"/>
      <c r="L190" s="117"/>
      <c r="M190" s="100"/>
      <c r="N190" s="100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17"/>
      <c r="L191" s="117"/>
      <c r="M191" s="100"/>
      <c r="N191" s="100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17"/>
      <c r="L192" s="117"/>
      <c r="M192" s="100"/>
      <c r="N192" s="100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17"/>
      <c r="L193" s="117"/>
      <c r="M193" s="100"/>
      <c r="N193" s="100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17"/>
      <c r="L194" s="117"/>
      <c r="M194" s="100"/>
      <c r="N194" s="100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17"/>
      <c r="L195" s="117"/>
      <c r="M195" s="100"/>
      <c r="N195" s="100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17"/>
      <c r="L196" s="117"/>
      <c r="M196" s="100"/>
      <c r="N196" s="100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17"/>
      <c r="L197" s="117"/>
      <c r="M197" s="100"/>
      <c r="N197" s="100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17"/>
      <c r="L198" s="117"/>
      <c r="M198" s="100"/>
      <c r="N198" s="100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17"/>
      <c r="L199" s="117"/>
      <c r="M199" s="100"/>
      <c r="N199" s="100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17"/>
      <c r="L200" s="117"/>
      <c r="M200" s="100"/>
      <c r="N200" s="100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17"/>
      <c r="L201" s="117"/>
      <c r="M201" s="100"/>
      <c r="N201" s="100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17"/>
      <c r="L202" s="117"/>
      <c r="M202" s="100"/>
      <c r="N202" s="100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17"/>
      <c r="L203" s="117"/>
      <c r="M203" s="100"/>
      <c r="N203" s="100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17"/>
      <c r="L204" s="117"/>
      <c r="M204" s="100"/>
      <c r="N204" s="100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17"/>
      <c r="L205" s="117"/>
      <c r="M205" s="100"/>
      <c r="N205" s="100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17"/>
      <c r="L206" s="117"/>
      <c r="M206" s="100"/>
      <c r="N206" s="100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17"/>
      <c r="L207" s="117"/>
      <c r="M207" s="100"/>
      <c r="N207" s="100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17"/>
      <c r="L208" s="117"/>
      <c r="M208" s="100"/>
      <c r="N208" s="100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17"/>
      <c r="L209" s="117"/>
      <c r="M209" s="100"/>
      <c r="N209" s="100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17"/>
      <c r="L210" s="117"/>
      <c r="M210" s="100"/>
      <c r="N210" s="100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17"/>
      <c r="L211" s="117"/>
      <c r="M211" s="100"/>
      <c r="N211" s="100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17"/>
      <c r="L212" s="117"/>
      <c r="M212" s="100"/>
      <c r="N212" s="100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17"/>
      <c r="L213" s="117"/>
      <c r="M213" s="100"/>
      <c r="N213" s="100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17"/>
      <c r="L214" s="117"/>
      <c r="M214" s="100"/>
      <c r="N214" s="100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17"/>
      <c r="L215" s="117"/>
      <c r="M215" s="100"/>
      <c r="N215" s="100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17"/>
      <c r="L216" s="117"/>
      <c r="M216" s="100"/>
      <c r="N216" s="100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17"/>
      <c r="L217" s="117"/>
      <c r="M217" s="100"/>
      <c r="N217" s="100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17"/>
      <c r="L218" s="117"/>
      <c r="M218" s="100"/>
      <c r="N218" s="100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17"/>
      <c r="L219" s="117"/>
      <c r="M219" s="100"/>
      <c r="N219" s="100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17"/>
      <c r="L220" s="117"/>
      <c r="M220" s="100"/>
      <c r="N220" s="100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17"/>
      <c r="L221" s="117"/>
      <c r="M221" s="100"/>
      <c r="N221" s="100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17"/>
      <c r="L222" s="117"/>
      <c r="M222" s="100"/>
      <c r="N222" s="100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17"/>
      <c r="L223" s="117"/>
      <c r="M223" s="100"/>
      <c r="N223" s="100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17"/>
      <c r="L224" s="117"/>
      <c r="M224" s="100"/>
      <c r="N224" s="100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17"/>
      <c r="L225" s="117"/>
      <c r="M225" s="100"/>
      <c r="N225" s="100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17"/>
      <c r="L226" s="117"/>
      <c r="M226" s="100"/>
      <c r="N226" s="100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17"/>
      <c r="L227" s="117"/>
      <c r="M227" s="100"/>
      <c r="N227" s="100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17"/>
      <c r="L228" s="117"/>
      <c r="M228" s="100"/>
      <c r="N228" s="100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17"/>
      <c r="L229" s="117"/>
      <c r="M229" s="100"/>
      <c r="N229" s="100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17"/>
      <c r="L230" s="117"/>
      <c r="M230" s="100"/>
      <c r="N230" s="100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17"/>
      <c r="L231" s="117"/>
      <c r="M231" s="100"/>
      <c r="N231" s="100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17"/>
      <c r="L232" s="117"/>
      <c r="M232" s="100"/>
      <c r="N232" s="100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17"/>
      <c r="L233" s="117"/>
      <c r="M233" s="100"/>
      <c r="N233" s="100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17"/>
      <c r="L234" s="117"/>
      <c r="M234" s="100"/>
      <c r="N234" s="100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17"/>
      <c r="L235" s="117"/>
      <c r="M235" s="100"/>
      <c r="N235" s="100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17"/>
      <c r="L236" s="117"/>
      <c r="M236" s="100"/>
      <c r="N236" s="100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17"/>
      <c r="L237" s="117"/>
      <c r="M237" s="100"/>
      <c r="N237" s="100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17"/>
      <c r="L238" s="117"/>
      <c r="M238" s="100"/>
      <c r="N238" s="100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17"/>
      <c r="L239" s="117"/>
      <c r="M239" s="100"/>
      <c r="N239" s="100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17"/>
      <c r="L240" s="117"/>
      <c r="M240" s="100"/>
      <c r="N240" s="100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17"/>
      <c r="L241" s="117"/>
      <c r="M241" s="100"/>
      <c r="N241" s="100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17"/>
      <c r="L242" s="117"/>
      <c r="M242" s="100"/>
      <c r="N242" s="100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17"/>
      <c r="L243" s="117"/>
      <c r="M243" s="100"/>
      <c r="N243" s="100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17"/>
      <c r="L244" s="117"/>
      <c r="M244" s="100"/>
      <c r="N244" s="100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17"/>
      <c r="L245" s="117"/>
      <c r="M245" s="100"/>
      <c r="N245" s="100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17"/>
      <c r="L246" s="117"/>
      <c r="M246" s="100"/>
      <c r="N246" s="100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17"/>
      <c r="L247" s="117"/>
      <c r="M247" s="100"/>
      <c r="N247" s="100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17"/>
      <c r="L248" s="117"/>
      <c r="M248" s="100"/>
      <c r="N248" s="100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17"/>
      <c r="L249" s="117"/>
      <c r="M249" s="100"/>
      <c r="N249" s="100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17"/>
      <c r="L250" s="117"/>
      <c r="M250" s="100"/>
      <c r="N250" s="100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17"/>
      <c r="L251" s="117"/>
      <c r="M251" s="100"/>
      <c r="N251" s="100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17"/>
      <c r="L252" s="117"/>
      <c r="M252" s="100"/>
      <c r="N252" s="100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17"/>
      <c r="L253" s="117"/>
      <c r="M253" s="100"/>
      <c r="N253" s="100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17"/>
      <c r="L254" s="117"/>
      <c r="M254" s="100"/>
      <c r="N254" s="100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17"/>
      <c r="L255" s="117"/>
      <c r="M255" s="100"/>
      <c r="N255" s="100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17"/>
      <c r="L256" s="117"/>
      <c r="M256" s="100"/>
      <c r="N256" s="100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17"/>
      <c r="L257" s="117"/>
      <c r="M257" s="100"/>
      <c r="N257" s="100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17"/>
      <c r="L258" s="117"/>
      <c r="M258" s="100"/>
      <c r="N258" s="100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17"/>
      <c r="L259" s="117"/>
      <c r="M259" s="100"/>
      <c r="N259" s="100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17"/>
      <c r="L260" s="117"/>
      <c r="M260" s="100"/>
      <c r="N260" s="100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17"/>
      <c r="L261" s="117"/>
      <c r="M261" s="100"/>
      <c r="N261" s="100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17"/>
      <c r="L262" s="117"/>
      <c r="M262" s="100"/>
      <c r="N262" s="100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17"/>
      <c r="L263" s="117"/>
      <c r="M263" s="100"/>
      <c r="N263" s="100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17"/>
      <c r="L264" s="117"/>
      <c r="M264" s="100"/>
      <c r="N264" s="100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17"/>
      <c r="L265" s="117"/>
      <c r="M265" s="100"/>
      <c r="N265" s="100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17"/>
      <c r="L266" s="117"/>
      <c r="M266" s="100"/>
      <c r="N266" s="100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17"/>
      <c r="L267" s="117"/>
      <c r="M267" s="100"/>
      <c r="N267" s="100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17"/>
      <c r="L268" s="117"/>
      <c r="M268" s="100"/>
      <c r="N268" s="100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17"/>
      <c r="L269" s="117"/>
      <c r="M269" s="100"/>
      <c r="N269" s="100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17"/>
      <c r="L270" s="117"/>
      <c r="M270" s="100"/>
      <c r="N270" s="100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17"/>
      <c r="L271" s="117"/>
      <c r="M271" s="100"/>
      <c r="N271" s="100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17"/>
      <c r="L272" s="117"/>
      <c r="M272" s="100"/>
      <c r="N272" s="100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17"/>
      <c r="L273" s="117"/>
      <c r="M273" s="100"/>
      <c r="N273" s="100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17"/>
      <c r="L274" s="117"/>
      <c r="M274" s="100"/>
      <c r="N274" s="100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17"/>
      <c r="L275" s="117"/>
      <c r="M275" s="100"/>
      <c r="N275" s="100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17"/>
      <c r="L276" s="117"/>
      <c r="M276" s="100"/>
      <c r="N276" s="100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17"/>
      <c r="L277" s="117"/>
      <c r="M277" s="100"/>
      <c r="N277" s="100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17"/>
      <c r="L278" s="117"/>
      <c r="M278" s="100"/>
      <c r="N278" s="100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17"/>
      <c r="L279" s="117"/>
      <c r="M279" s="100"/>
      <c r="N279" s="100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17"/>
      <c r="L280" s="117"/>
      <c r="M280" s="100"/>
      <c r="N280" s="100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17"/>
      <c r="L281" s="117"/>
      <c r="M281" s="100"/>
      <c r="N281" s="100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17"/>
      <c r="L282" s="117"/>
      <c r="M282" s="100"/>
      <c r="N282" s="100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17"/>
      <c r="L283" s="117"/>
      <c r="M283" s="100"/>
      <c r="N283" s="100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17"/>
      <c r="L284" s="117"/>
      <c r="M284" s="100"/>
      <c r="N284" s="100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17"/>
      <c r="L285" s="117"/>
      <c r="M285" s="100"/>
      <c r="N285" s="100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17"/>
      <c r="L286" s="117"/>
      <c r="M286" s="100"/>
      <c r="N286" s="100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17"/>
      <c r="L287" s="117"/>
      <c r="M287" s="100"/>
      <c r="N287" s="100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17"/>
      <c r="L288" s="117"/>
      <c r="M288" s="100"/>
      <c r="N288" s="100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17"/>
      <c r="L289" s="117"/>
      <c r="M289" s="100"/>
      <c r="N289" s="100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17"/>
      <c r="L290" s="117"/>
      <c r="M290" s="100"/>
      <c r="N290" s="100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17"/>
      <c r="L291" s="117"/>
      <c r="M291" s="100"/>
      <c r="N291" s="100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17"/>
      <c r="L292" s="117"/>
      <c r="M292" s="100"/>
      <c r="N292" s="100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17"/>
      <c r="L293" s="117"/>
      <c r="M293" s="100"/>
      <c r="N293" s="100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17"/>
      <c r="L294" s="117"/>
      <c r="M294" s="100"/>
      <c r="N294" s="100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17"/>
      <c r="L295" s="117"/>
      <c r="M295" s="100"/>
      <c r="N295" s="100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17"/>
      <c r="L296" s="117"/>
      <c r="M296" s="100"/>
      <c r="N296" s="100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17"/>
      <c r="L297" s="117"/>
      <c r="M297" s="100"/>
      <c r="N297" s="100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17"/>
      <c r="L298" s="117"/>
      <c r="M298" s="100"/>
      <c r="N298" s="100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17"/>
      <c r="L299" s="117"/>
      <c r="M299" s="100"/>
      <c r="N299" s="100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17"/>
      <c r="L300" s="117"/>
      <c r="M300" s="100"/>
      <c r="N300" s="100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17"/>
      <c r="L301" s="117"/>
      <c r="M301" s="100"/>
      <c r="N301" s="100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17"/>
      <c r="L302" s="117"/>
      <c r="M302" s="100"/>
      <c r="N302" s="100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17"/>
      <c r="L303" s="117"/>
      <c r="M303" s="100"/>
      <c r="N303" s="100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17"/>
      <c r="L304" s="117"/>
      <c r="M304" s="100"/>
      <c r="N304" s="100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17"/>
      <c r="L305" s="117"/>
      <c r="M305" s="100"/>
      <c r="N305" s="100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17"/>
      <c r="L306" s="117"/>
      <c r="M306" s="100"/>
      <c r="N306" s="100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17"/>
      <c r="L307" s="117"/>
      <c r="M307" s="100"/>
      <c r="N307" s="100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17"/>
      <c r="L308" s="117"/>
      <c r="M308" s="100"/>
      <c r="N308" s="100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17"/>
      <c r="L309" s="117"/>
      <c r="M309" s="100"/>
      <c r="N309" s="100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17"/>
      <c r="L310" s="117"/>
      <c r="M310" s="100"/>
      <c r="N310" s="100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17"/>
      <c r="L311" s="117"/>
      <c r="M311" s="100"/>
      <c r="N311" s="100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17"/>
      <c r="L312" s="117"/>
      <c r="M312" s="100"/>
      <c r="N312" s="100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17"/>
      <c r="L313" s="117"/>
      <c r="M313" s="100"/>
      <c r="N313" s="100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17"/>
      <c r="L314" s="117"/>
      <c r="M314" s="100"/>
      <c r="N314" s="100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17"/>
      <c r="L315" s="117"/>
      <c r="M315" s="100"/>
      <c r="N315" s="100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17"/>
      <c r="L316" s="117"/>
      <c r="M316" s="100"/>
      <c r="N316" s="100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17"/>
      <c r="L317" s="117"/>
      <c r="M317" s="100"/>
      <c r="N317" s="100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17"/>
      <c r="L318" s="117"/>
      <c r="M318" s="100"/>
      <c r="N318" s="100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17"/>
      <c r="L319" s="117"/>
      <c r="M319" s="100"/>
      <c r="N319" s="100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17"/>
      <c r="L320" s="117"/>
      <c r="M320" s="100"/>
      <c r="N320" s="100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17"/>
      <c r="L321" s="117"/>
      <c r="M321" s="100"/>
      <c r="N321" s="100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17"/>
      <c r="L322" s="117"/>
      <c r="M322" s="100"/>
      <c r="N322" s="100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17"/>
      <c r="L323" s="117"/>
      <c r="M323" s="100"/>
      <c r="N323" s="100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17"/>
      <c r="L324" s="117"/>
      <c r="M324" s="100"/>
      <c r="N324" s="100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17"/>
      <c r="L325" s="117"/>
      <c r="M325" s="100"/>
      <c r="N325" s="100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17"/>
      <c r="L326" s="117"/>
      <c r="M326" s="100"/>
      <c r="N326" s="100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17"/>
      <c r="L327" s="117"/>
      <c r="M327" s="100"/>
      <c r="N327" s="100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17"/>
      <c r="L328" s="117"/>
      <c r="M328" s="100"/>
      <c r="N328" s="100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17"/>
      <c r="L329" s="117"/>
      <c r="M329" s="100"/>
      <c r="N329" s="100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17"/>
      <c r="L330" s="117"/>
      <c r="M330" s="100"/>
      <c r="N330" s="100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17"/>
      <c r="L331" s="117"/>
      <c r="M331" s="100"/>
      <c r="N331" s="100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17"/>
      <c r="L332" s="117"/>
      <c r="M332" s="100"/>
      <c r="N332" s="100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17"/>
      <c r="L333" s="117"/>
      <c r="M333" s="100"/>
      <c r="N333" s="100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17"/>
      <c r="L334" s="117"/>
      <c r="M334" s="100"/>
      <c r="N334" s="100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17"/>
      <c r="L335" s="117"/>
      <c r="M335" s="100"/>
      <c r="N335" s="100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17"/>
      <c r="L336" s="117"/>
      <c r="M336" s="100"/>
      <c r="N336" s="100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17"/>
      <c r="L337" s="117"/>
      <c r="M337" s="100"/>
      <c r="N337" s="100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17"/>
      <c r="L338" s="117"/>
      <c r="M338" s="100"/>
      <c r="N338" s="100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17"/>
      <c r="L339" s="117"/>
      <c r="M339" s="100"/>
      <c r="N339" s="100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17"/>
      <c r="L340" s="117"/>
      <c r="M340" s="100"/>
      <c r="N340" s="100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17"/>
      <c r="L341" s="117"/>
      <c r="M341" s="100"/>
      <c r="N341" s="100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17"/>
      <c r="L342" s="117"/>
      <c r="M342" s="100"/>
      <c r="N342" s="100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17"/>
      <c r="L343" s="117"/>
      <c r="M343" s="100"/>
      <c r="N343" s="100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17"/>
      <c r="L344" s="117"/>
      <c r="M344" s="100"/>
      <c r="N344" s="100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17"/>
      <c r="L345" s="117"/>
      <c r="M345" s="100"/>
      <c r="N345" s="100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17"/>
      <c r="L346" s="117"/>
      <c r="M346" s="100"/>
      <c r="N346" s="100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17"/>
      <c r="L347" s="117"/>
      <c r="M347" s="100"/>
      <c r="N347" s="100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17"/>
      <c r="L348" s="117"/>
      <c r="M348" s="100"/>
      <c r="N348" s="100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17"/>
      <c r="L349" s="117"/>
      <c r="M349" s="100"/>
      <c r="N349" s="100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17"/>
      <c r="L350" s="117"/>
      <c r="M350" s="100"/>
      <c r="N350" s="100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17"/>
      <c r="L351" s="117"/>
      <c r="M351" s="100"/>
      <c r="N351" s="100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17"/>
      <c r="L352" s="117"/>
      <c r="M352" s="100"/>
      <c r="N352" s="100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17"/>
      <c r="L353" s="117"/>
      <c r="M353" s="100"/>
      <c r="N353" s="100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17"/>
      <c r="L354" s="117"/>
      <c r="M354" s="100"/>
      <c r="N354" s="100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17"/>
      <c r="L355" s="117"/>
      <c r="M355" s="100"/>
      <c r="N355" s="100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17"/>
      <c r="L356" s="117"/>
      <c r="M356" s="100"/>
      <c r="N356" s="100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17"/>
      <c r="L357" s="117"/>
      <c r="M357" s="100"/>
      <c r="N357" s="100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17"/>
      <c r="L358" s="117"/>
      <c r="M358" s="100"/>
      <c r="N358" s="100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17"/>
      <c r="L359" s="117"/>
      <c r="M359" s="100"/>
      <c r="N359" s="100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17"/>
      <c r="L360" s="117"/>
      <c r="M360" s="100"/>
      <c r="N360" s="100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17"/>
      <c r="L361" s="117"/>
      <c r="M361" s="100"/>
      <c r="N361" s="100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17"/>
      <c r="L362" s="117"/>
      <c r="M362" s="100"/>
      <c r="N362" s="100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17"/>
      <c r="L363" s="117"/>
      <c r="M363" s="100"/>
      <c r="N363" s="100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17"/>
      <c r="L364" s="117"/>
      <c r="M364" s="100"/>
      <c r="N364" s="100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17"/>
      <c r="L365" s="117"/>
      <c r="M365" s="100"/>
      <c r="N365" s="100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17"/>
      <c r="L366" s="117"/>
      <c r="M366" s="100"/>
      <c r="N366" s="100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17"/>
      <c r="L367" s="117"/>
      <c r="M367" s="100"/>
      <c r="N367" s="100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17"/>
      <c r="L368" s="117"/>
      <c r="M368" s="100"/>
      <c r="N368" s="100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17"/>
      <c r="L369" s="117"/>
      <c r="M369" s="100"/>
      <c r="N369" s="100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17"/>
      <c r="L370" s="117"/>
      <c r="M370" s="100"/>
      <c r="N370" s="100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17"/>
      <c r="L371" s="117"/>
      <c r="M371" s="100"/>
      <c r="N371" s="100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17"/>
      <c r="L372" s="117"/>
      <c r="M372" s="100"/>
      <c r="N372" s="100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17"/>
      <c r="L373" s="117"/>
      <c r="M373" s="100"/>
      <c r="N373" s="100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17"/>
      <c r="L374" s="117"/>
      <c r="M374" s="100"/>
      <c r="N374" s="100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17"/>
      <c r="L375" s="117"/>
      <c r="M375" s="100"/>
      <c r="N375" s="100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17"/>
      <c r="L376" s="117"/>
      <c r="M376" s="100"/>
      <c r="N376" s="100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17"/>
      <c r="L377" s="117"/>
      <c r="M377" s="100"/>
      <c r="N377" s="100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17"/>
      <c r="L378" s="117"/>
      <c r="M378" s="100"/>
      <c r="N378" s="100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17"/>
      <c r="L379" s="117"/>
      <c r="M379" s="100"/>
      <c r="N379" s="100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17"/>
      <c r="L380" s="117"/>
      <c r="M380" s="100"/>
      <c r="N380" s="100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17"/>
      <c r="L381" s="117"/>
      <c r="M381" s="100"/>
      <c r="N381" s="100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17"/>
      <c r="L382" s="117"/>
      <c r="M382" s="100"/>
      <c r="N382" s="100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17"/>
      <c r="L383" s="117"/>
      <c r="M383" s="100"/>
      <c r="N383" s="100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17"/>
      <c r="L384" s="117"/>
      <c r="M384" s="100"/>
      <c r="N384" s="100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17"/>
      <c r="L385" s="117"/>
      <c r="M385" s="100"/>
      <c r="N385" s="100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17"/>
      <c r="L386" s="117"/>
      <c r="M386" s="100"/>
      <c r="N386" s="100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17"/>
      <c r="L387" s="117"/>
      <c r="M387" s="100"/>
      <c r="N387" s="100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17"/>
      <c r="L388" s="117"/>
      <c r="M388" s="100"/>
      <c r="N388" s="100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17"/>
      <c r="L389" s="117"/>
      <c r="M389" s="100"/>
      <c r="N389" s="100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17"/>
      <c r="L390" s="117"/>
      <c r="M390" s="100"/>
      <c r="N390" s="100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17"/>
      <c r="L391" s="117"/>
      <c r="M391" s="100"/>
      <c r="N391" s="100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17"/>
      <c r="L392" s="117"/>
      <c r="M392" s="100"/>
      <c r="N392" s="100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17"/>
      <c r="L393" s="117"/>
      <c r="M393" s="100"/>
      <c r="N393" s="100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17"/>
      <c r="L394" s="117"/>
      <c r="M394" s="100"/>
      <c r="N394" s="100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17"/>
      <c r="L395" s="117"/>
      <c r="M395" s="100"/>
      <c r="N395" s="100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17"/>
      <c r="L396" s="117"/>
      <c r="M396" s="100"/>
      <c r="N396" s="100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17"/>
      <c r="L397" s="117"/>
      <c r="M397" s="100"/>
      <c r="N397" s="100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17"/>
      <c r="L398" s="117"/>
      <c r="M398" s="100"/>
      <c r="N398" s="100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17"/>
      <c r="L399" s="117"/>
      <c r="M399" s="100"/>
      <c r="N399" s="100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17"/>
      <c r="L400" s="117"/>
      <c r="M400" s="100"/>
      <c r="N400" s="100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17"/>
      <c r="L401" s="117"/>
      <c r="M401" s="100"/>
      <c r="N401" s="100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17"/>
      <c r="L402" s="117"/>
      <c r="M402" s="100"/>
      <c r="N402" s="100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17"/>
      <c r="L403" s="117"/>
      <c r="M403" s="100"/>
      <c r="N403" s="100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17"/>
      <c r="L404" s="117"/>
      <c r="M404" s="100"/>
      <c r="N404" s="100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17"/>
      <c r="L405" s="117"/>
      <c r="M405" s="100"/>
      <c r="N405" s="100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17"/>
      <c r="L406" s="117"/>
      <c r="M406" s="100"/>
      <c r="N406" s="100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17"/>
      <c r="L407" s="117"/>
      <c r="M407" s="100"/>
      <c r="N407" s="100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17"/>
      <c r="L408" s="117"/>
      <c r="M408" s="100"/>
      <c r="N408" s="100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17"/>
      <c r="L409" s="117"/>
      <c r="M409" s="100"/>
      <c r="N409" s="100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17"/>
      <c r="L410" s="117"/>
      <c r="M410" s="100"/>
      <c r="N410" s="100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17"/>
      <c r="L411" s="117"/>
      <c r="M411" s="100"/>
      <c r="N411" s="100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17"/>
      <c r="L412" s="117"/>
      <c r="M412" s="100"/>
      <c r="N412" s="100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17"/>
      <c r="L413" s="117"/>
      <c r="M413" s="100"/>
      <c r="N413" s="100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17"/>
      <c r="L414" s="117"/>
      <c r="M414" s="100"/>
      <c r="N414" s="100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17"/>
      <c r="L415" s="117"/>
      <c r="M415" s="100"/>
      <c r="N415" s="100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17"/>
      <c r="L416" s="117"/>
      <c r="M416" s="100"/>
      <c r="N416" s="100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17"/>
      <c r="L417" s="117"/>
      <c r="M417" s="100"/>
      <c r="N417" s="100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17"/>
      <c r="L418" s="117"/>
      <c r="M418" s="100"/>
      <c r="N418" s="100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17"/>
      <c r="L419" s="117"/>
      <c r="M419" s="100"/>
      <c r="N419" s="100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17"/>
      <c r="L420" s="117"/>
      <c r="M420" s="100"/>
      <c r="N420" s="100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17"/>
      <c r="L421" s="117"/>
      <c r="M421" s="100"/>
      <c r="N421" s="100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17"/>
      <c r="L422" s="117"/>
      <c r="M422" s="100"/>
      <c r="N422" s="100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17"/>
      <c r="L423" s="117"/>
      <c r="M423" s="100"/>
      <c r="N423" s="100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17"/>
      <c r="L424" s="117"/>
      <c r="M424" s="100"/>
      <c r="N424" s="100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17"/>
      <c r="L425" s="117"/>
      <c r="M425" s="100"/>
      <c r="N425" s="100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17"/>
      <c r="L426" s="117"/>
      <c r="M426" s="100"/>
      <c r="N426" s="100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17"/>
      <c r="L427" s="117"/>
      <c r="M427" s="100"/>
      <c r="N427" s="100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17"/>
      <c r="L428" s="117"/>
      <c r="M428" s="100"/>
      <c r="N428" s="100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17"/>
      <c r="L429" s="117"/>
      <c r="M429" s="100"/>
      <c r="N429" s="100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17"/>
      <c r="L430" s="117"/>
      <c r="M430" s="100"/>
      <c r="N430" s="100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17"/>
      <c r="L431" s="117"/>
      <c r="M431" s="100"/>
      <c r="N431" s="100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17"/>
      <c r="L432" s="117"/>
      <c r="M432" s="100"/>
      <c r="N432" s="100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17"/>
      <c r="L433" s="117"/>
      <c r="M433" s="100"/>
      <c r="N433" s="100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17"/>
      <c r="L434" s="117"/>
      <c r="M434" s="100"/>
      <c r="N434" s="100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17"/>
      <c r="L435" s="117"/>
      <c r="M435" s="100"/>
      <c r="N435" s="100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17"/>
      <c r="L436" s="117"/>
      <c r="M436" s="100"/>
      <c r="N436" s="100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17"/>
      <c r="L437" s="117"/>
      <c r="M437" s="100"/>
      <c r="N437" s="100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17"/>
      <c r="L438" s="117"/>
      <c r="M438" s="100"/>
      <c r="N438" s="100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17"/>
      <c r="L439" s="117"/>
      <c r="M439" s="100"/>
      <c r="N439" s="100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17"/>
      <c r="L440" s="117"/>
      <c r="M440" s="100"/>
      <c r="N440" s="100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17"/>
      <c r="L441" s="117"/>
      <c r="M441" s="100"/>
      <c r="N441" s="100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17"/>
      <c r="L442" s="117"/>
      <c r="M442" s="100"/>
      <c r="N442" s="100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17"/>
      <c r="L443" s="117"/>
      <c r="M443" s="100"/>
      <c r="N443" s="100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17"/>
      <c r="L444" s="117"/>
      <c r="M444" s="100"/>
      <c r="N444" s="100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17"/>
      <c r="L445" s="117"/>
      <c r="M445" s="100"/>
      <c r="N445" s="100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17"/>
      <c r="L446" s="117"/>
      <c r="M446" s="100"/>
      <c r="N446" s="100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17"/>
      <c r="L447" s="117"/>
      <c r="M447" s="100"/>
      <c r="N447" s="100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17"/>
      <c r="L448" s="117"/>
      <c r="M448" s="100"/>
      <c r="N448" s="100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17"/>
      <c r="L449" s="117"/>
      <c r="M449" s="100"/>
      <c r="N449" s="100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17"/>
      <c r="L450" s="117"/>
      <c r="M450" s="100"/>
      <c r="N450" s="100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17"/>
      <c r="L451" s="117"/>
      <c r="M451" s="100"/>
      <c r="N451" s="100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17"/>
      <c r="L452" s="117"/>
      <c r="M452" s="100"/>
      <c r="N452" s="100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17"/>
      <c r="L453" s="117"/>
      <c r="M453" s="100"/>
      <c r="N453" s="100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17"/>
      <c r="L454" s="117"/>
      <c r="M454" s="100"/>
      <c r="N454" s="100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17"/>
      <c r="L455" s="117"/>
      <c r="M455" s="100"/>
      <c r="N455" s="100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17"/>
      <c r="L456" s="117"/>
      <c r="M456" s="100"/>
      <c r="N456" s="100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17"/>
      <c r="L457" s="117"/>
      <c r="M457" s="100"/>
      <c r="N457" s="100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17"/>
      <c r="L458" s="117"/>
      <c r="M458" s="100"/>
      <c r="N458" s="100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17"/>
      <c r="L459" s="117"/>
      <c r="M459" s="100"/>
      <c r="N459" s="100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17"/>
      <c r="L460" s="117"/>
      <c r="M460" s="100"/>
      <c r="N460" s="100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17"/>
      <c r="L461" s="117"/>
      <c r="M461" s="100"/>
      <c r="N461" s="100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17"/>
      <c r="L462" s="117"/>
      <c r="M462" s="100"/>
      <c r="N462" s="100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17"/>
      <c r="L463" s="117"/>
      <c r="M463" s="100"/>
      <c r="N463" s="100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17"/>
      <c r="L464" s="117"/>
      <c r="M464" s="100"/>
      <c r="N464" s="100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17"/>
      <c r="L465" s="117"/>
      <c r="M465" s="100"/>
      <c r="N465" s="100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17"/>
      <c r="L466" s="117"/>
      <c r="M466" s="100"/>
      <c r="N466" s="100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17"/>
      <c r="L467" s="117"/>
      <c r="M467" s="100"/>
      <c r="N467" s="100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17"/>
      <c r="L468" s="117"/>
      <c r="M468" s="100"/>
      <c r="N468" s="100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17"/>
      <c r="L469" s="117"/>
      <c r="M469" s="100"/>
      <c r="N469" s="100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17"/>
      <c r="L470" s="117"/>
      <c r="M470" s="100"/>
      <c r="N470" s="100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17"/>
      <c r="L471" s="117"/>
      <c r="M471" s="100"/>
      <c r="N471" s="100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17"/>
      <c r="L472" s="117"/>
      <c r="M472" s="100"/>
      <c r="N472" s="100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17"/>
      <c r="L473" s="117"/>
      <c r="M473" s="100"/>
      <c r="N473" s="100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17"/>
      <c r="L474" s="117"/>
      <c r="M474" s="100"/>
      <c r="N474" s="100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17"/>
      <c r="L475" s="117"/>
      <c r="M475" s="100"/>
      <c r="N475" s="100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17"/>
      <c r="L476" s="117"/>
      <c r="M476" s="100"/>
      <c r="N476" s="100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17"/>
      <c r="L477" s="117"/>
      <c r="M477" s="100"/>
      <c r="N477" s="100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17"/>
      <c r="L478" s="117"/>
      <c r="M478" s="100"/>
      <c r="N478" s="100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17"/>
      <c r="L479" s="117"/>
      <c r="M479" s="100"/>
      <c r="N479" s="100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17"/>
      <c r="L480" s="117"/>
      <c r="M480" s="100"/>
      <c r="N480" s="100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17"/>
      <c r="L481" s="117"/>
      <c r="M481" s="100"/>
      <c r="N481" s="100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17"/>
      <c r="L482" s="117"/>
      <c r="M482" s="100"/>
      <c r="N482" s="100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17"/>
      <c r="L483" s="117"/>
      <c r="M483" s="100"/>
      <c r="N483" s="100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17"/>
      <c r="L484" s="117"/>
      <c r="M484" s="100"/>
      <c r="N484" s="100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17"/>
      <c r="L485" s="117"/>
      <c r="M485" s="100"/>
      <c r="N485" s="100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17"/>
      <c r="L486" s="117"/>
      <c r="M486" s="100"/>
      <c r="N486" s="100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17"/>
      <c r="L487" s="117"/>
      <c r="M487" s="100"/>
      <c r="N487" s="100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17"/>
      <c r="L488" s="117"/>
      <c r="M488" s="100"/>
      <c r="N488" s="100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17"/>
      <c r="L489" s="117"/>
      <c r="M489" s="100"/>
      <c r="N489" s="100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17"/>
      <c r="L490" s="117"/>
      <c r="M490" s="100"/>
      <c r="N490" s="100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17"/>
      <c r="L491" s="117"/>
      <c r="M491" s="100"/>
      <c r="N491" s="100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17"/>
      <c r="L492" s="117"/>
      <c r="M492" s="100"/>
      <c r="N492" s="100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17"/>
      <c r="L493" s="117"/>
      <c r="M493" s="100"/>
      <c r="N493" s="100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17"/>
      <c r="L494" s="117"/>
      <c r="M494" s="100"/>
      <c r="N494" s="100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17"/>
      <c r="L495" s="117"/>
      <c r="M495" s="100"/>
      <c r="N495" s="100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17"/>
      <c r="L496" s="117"/>
      <c r="M496" s="100"/>
      <c r="N496" s="100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17"/>
      <c r="L497" s="117"/>
      <c r="M497" s="100"/>
      <c r="N497" s="100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17"/>
      <c r="L498" s="117"/>
      <c r="M498" s="100"/>
      <c r="N498" s="100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17"/>
      <c r="L499" s="117"/>
      <c r="M499" s="100"/>
      <c r="N499" s="100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17"/>
      <c r="L500" s="117"/>
      <c r="M500" s="100"/>
      <c r="N500" s="100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17"/>
      <c r="L501" s="117"/>
      <c r="M501" s="100"/>
      <c r="N501" s="100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17"/>
      <c r="L502" s="117"/>
      <c r="M502" s="100"/>
      <c r="N502" s="100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17"/>
      <c r="L503" s="117"/>
      <c r="M503" s="100"/>
      <c r="N503" s="100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17"/>
      <c r="L504" s="117"/>
      <c r="M504" s="100"/>
      <c r="N504" s="100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17"/>
      <c r="L505" s="117"/>
      <c r="M505" s="100"/>
      <c r="N505" s="100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17"/>
      <c r="L506" s="117"/>
      <c r="M506" s="100"/>
      <c r="N506" s="100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17"/>
      <c r="L507" s="117"/>
      <c r="M507" s="100"/>
      <c r="N507" s="100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17"/>
      <c r="L508" s="117"/>
      <c r="M508" s="100"/>
      <c r="N508" s="100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17"/>
      <c r="L509" s="117"/>
      <c r="M509" s="100"/>
      <c r="N509" s="100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17"/>
      <c r="L510" s="117"/>
      <c r="M510" s="100"/>
      <c r="N510" s="100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17"/>
      <c r="L511" s="117"/>
      <c r="M511" s="100"/>
      <c r="N511" s="100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17"/>
      <c r="L512" s="117"/>
      <c r="M512" s="100"/>
      <c r="N512" s="100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17"/>
      <c r="L513" s="117"/>
      <c r="M513" s="100"/>
      <c r="N513" s="100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17"/>
      <c r="L514" s="117"/>
      <c r="M514" s="100"/>
      <c r="N514" s="100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17"/>
      <c r="L515" s="117"/>
      <c r="M515" s="100"/>
      <c r="N515" s="100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17"/>
      <c r="L516" s="117"/>
      <c r="M516" s="100"/>
      <c r="N516" s="100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17"/>
      <c r="L517" s="117"/>
      <c r="M517" s="100"/>
      <c r="N517" s="100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17"/>
      <c r="L518" s="117"/>
      <c r="M518" s="100"/>
      <c r="N518" s="100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17"/>
      <c r="L519" s="117"/>
      <c r="M519" s="100"/>
      <c r="N519" s="100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17"/>
      <c r="L520" s="117"/>
      <c r="M520" s="100"/>
      <c r="N520" s="100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17"/>
      <c r="L521" s="117"/>
      <c r="M521" s="100"/>
      <c r="N521" s="100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17"/>
      <c r="L522" s="117"/>
      <c r="M522" s="100"/>
      <c r="N522" s="100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17"/>
      <c r="L523" s="117"/>
      <c r="M523" s="100"/>
      <c r="N523" s="100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17"/>
      <c r="L524" s="117"/>
      <c r="M524" s="100"/>
      <c r="N524" s="100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17"/>
      <c r="L525" s="117"/>
      <c r="M525" s="100"/>
      <c r="N525" s="100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17"/>
      <c r="L526" s="117"/>
      <c r="M526" s="100"/>
      <c r="N526" s="100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17"/>
      <c r="L527" s="117"/>
      <c r="M527" s="100"/>
      <c r="N527" s="100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17"/>
      <c r="L528" s="117"/>
      <c r="M528" s="100"/>
      <c r="N528" s="100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17"/>
      <c r="L529" s="117"/>
      <c r="M529" s="100"/>
      <c r="N529" s="100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17"/>
      <c r="L530" s="117"/>
      <c r="M530" s="100"/>
      <c r="N530" s="100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17"/>
      <c r="L531" s="117"/>
      <c r="M531" s="100"/>
      <c r="N531" s="100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17"/>
      <c r="L532" s="117"/>
      <c r="M532" s="100"/>
      <c r="N532" s="100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17"/>
      <c r="L533" s="117"/>
      <c r="M533" s="100"/>
      <c r="N533" s="100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17"/>
      <c r="L534" s="117"/>
      <c r="M534" s="100"/>
      <c r="N534" s="100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17"/>
      <c r="L535" s="117"/>
      <c r="M535" s="100"/>
      <c r="N535" s="100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17"/>
      <c r="L536" s="117"/>
      <c r="M536" s="100"/>
      <c r="N536" s="100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17"/>
      <c r="L537" s="117"/>
      <c r="M537" s="100"/>
      <c r="N537" s="100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17"/>
      <c r="L538" s="117"/>
      <c r="M538" s="100"/>
      <c r="N538" s="100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17"/>
      <c r="L539" s="117"/>
      <c r="M539" s="100"/>
      <c r="N539" s="100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17"/>
      <c r="L540" s="117"/>
      <c r="M540" s="100"/>
      <c r="N540" s="100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17"/>
      <c r="L541" s="117"/>
      <c r="M541" s="100"/>
      <c r="N541" s="100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17"/>
      <c r="L542" s="117"/>
      <c r="M542" s="100"/>
      <c r="N542" s="100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17"/>
      <c r="L543" s="117"/>
      <c r="M543" s="100"/>
      <c r="N543" s="100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17"/>
      <c r="L544" s="117"/>
      <c r="M544" s="100"/>
      <c r="N544" s="100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17"/>
      <c r="L545" s="117"/>
      <c r="M545" s="100"/>
      <c r="N545" s="100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17"/>
      <c r="L546" s="117"/>
      <c r="M546" s="100"/>
      <c r="N546" s="100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17"/>
      <c r="L547" s="117"/>
      <c r="M547" s="100"/>
      <c r="N547" s="100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17"/>
      <c r="L548" s="117"/>
      <c r="M548" s="100"/>
      <c r="N548" s="100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17"/>
      <c r="L549" s="117"/>
      <c r="M549" s="100"/>
      <c r="N549" s="100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17"/>
      <c r="L550" s="117"/>
      <c r="M550" s="100"/>
      <c r="N550" s="100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17"/>
      <c r="L551" s="117"/>
      <c r="M551" s="100"/>
      <c r="N551" s="100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17"/>
      <c r="L552" s="117"/>
      <c r="M552" s="100"/>
      <c r="N552" s="100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17"/>
      <c r="L553" s="117"/>
      <c r="M553" s="100"/>
      <c r="N553" s="100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17"/>
      <c r="L554" s="117"/>
      <c r="M554" s="100"/>
      <c r="N554" s="100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17"/>
      <c r="L555" s="117"/>
      <c r="M555" s="100"/>
      <c r="N555" s="100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17"/>
      <c r="L556" s="117"/>
      <c r="M556" s="100"/>
      <c r="N556" s="100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17"/>
      <c r="L557" s="117"/>
      <c r="M557" s="100"/>
      <c r="N557" s="100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17"/>
      <c r="L558" s="117"/>
      <c r="M558" s="100"/>
      <c r="N558" s="100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17"/>
      <c r="L559" s="117"/>
      <c r="M559" s="100"/>
      <c r="N559" s="100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17"/>
      <c r="L560" s="117"/>
      <c r="M560" s="100"/>
      <c r="N560" s="100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17"/>
      <c r="L561" s="117"/>
      <c r="M561" s="100"/>
      <c r="N561" s="100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17"/>
      <c r="L562" s="117"/>
      <c r="M562" s="100"/>
      <c r="N562" s="100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17"/>
      <c r="L563" s="117"/>
      <c r="M563" s="100"/>
      <c r="N563" s="100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17"/>
      <c r="L564" s="117"/>
      <c r="M564" s="100"/>
      <c r="N564" s="100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17"/>
      <c r="L565" s="117"/>
      <c r="M565" s="100"/>
      <c r="N565" s="100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17"/>
      <c r="L566" s="117"/>
      <c r="M566" s="100"/>
      <c r="N566" s="100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17"/>
      <c r="L567" s="117"/>
      <c r="M567" s="100"/>
      <c r="N567" s="100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17"/>
      <c r="L568" s="117"/>
      <c r="M568" s="100"/>
      <c r="N568" s="100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17"/>
      <c r="L569" s="117"/>
      <c r="M569" s="100"/>
      <c r="N569" s="100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17"/>
      <c r="L570" s="117"/>
      <c r="M570" s="100"/>
      <c r="N570" s="100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17"/>
      <c r="L571" s="117"/>
      <c r="M571" s="100"/>
      <c r="N571" s="100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17"/>
      <c r="L572" s="117"/>
      <c r="M572" s="100"/>
      <c r="N572" s="100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17"/>
      <c r="L573" s="117"/>
      <c r="M573" s="100"/>
      <c r="N573" s="100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17"/>
      <c r="L574" s="117"/>
      <c r="M574" s="100"/>
      <c r="N574" s="100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17"/>
      <c r="L575" s="117"/>
      <c r="M575" s="100"/>
      <c r="N575" s="100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17"/>
      <c r="L576" s="117"/>
      <c r="M576" s="100"/>
      <c r="N576" s="100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17"/>
      <c r="L577" s="117"/>
      <c r="M577" s="100"/>
      <c r="N577" s="100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17"/>
      <c r="L578" s="117"/>
      <c r="M578" s="100"/>
      <c r="N578" s="100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17"/>
      <c r="L579" s="117"/>
      <c r="M579" s="100"/>
      <c r="N579" s="100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17"/>
      <c r="L580" s="117"/>
      <c r="M580" s="100"/>
      <c r="N580" s="100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17"/>
      <c r="L581" s="117"/>
      <c r="M581" s="100"/>
      <c r="N581" s="100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17"/>
      <c r="L582" s="117"/>
      <c r="M582" s="100"/>
      <c r="N582" s="100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17"/>
      <c r="L583" s="117"/>
      <c r="M583" s="100"/>
      <c r="N583" s="100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17"/>
      <c r="L584" s="117"/>
      <c r="M584" s="100"/>
      <c r="N584" s="100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17"/>
      <c r="L585" s="117"/>
      <c r="M585" s="100"/>
      <c r="N585" s="100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17"/>
      <c r="L586" s="117"/>
      <c r="M586" s="100"/>
      <c r="N586" s="100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17"/>
      <c r="L587" s="117"/>
      <c r="M587" s="100"/>
      <c r="N587" s="100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17"/>
      <c r="L588" s="117"/>
      <c r="M588" s="100"/>
      <c r="N588" s="100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17"/>
      <c r="L589" s="117"/>
      <c r="M589" s="100"/>
      <c r="N589" s="100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17"/>
      <c r="L590" s="117"/>
      <c r="M590" s="100"/>
      <c r="N590" s="100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17"/>
      <c r="L591" s="117"/>
      <c r="M591" s="100"/>
      <c r="N591" s="100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17"/>
      <c r="L592" s="117"/>
      <c r="M592" s="100"/>
      <c r="N592" s="100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17"/>
      <c r="L593" s="117"/>
      <c r="M593" s="100"/>
      <c r="N593" s="100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17"/>
      <c r="L594" s="117"/>
      <c r="M594" s="100"/>
      <c r="N594" s="100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17"/>
      <c r="L595" s="117"/>
      <c r="M595" s="100"/>
      <c r="N595" s="100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17"/>
      <c r="L596" s="117"/>
      <c r="M596" s="100"/>
      <c r="N596" s="100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17"/>
      <c r="L597" s="117"/>
      <c r="M597" s="100"/>
      <c r="N597" s="100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17"/>
      <c r="L598" s="117"/>
      <c r="M598" s="100"/>
      <c r="N598" s="100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17"/>
      <c r="L599" s="117"/>
      <c r="M599" s="100"/>
      <c r="N599" s="100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17"/>
      <c r="L600" s="117"/>
      <c r="M600" s="100"/>
      <c r="N600" s="100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17"/>
      <c r="L601" s="117"/>
      <c r="M601" s="100"/>
      <c r="N601" s="100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17"/>
      <c r="L602" s="117"/>
      <c r="M602" s="100"/>
      <c r="N602" s="100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17"/>
      <c r="L603" s="117"/>
      <c r="M603" s="100"/>
      <c r="N603" s="100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17"/>
      <c r="L604" s="117"/>
      <c r="M604" s="100"/>
      <c r="N604" s="100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17"/>
      <c r="L605" s="117"/>
      <c r="M605" s="100"/>
      <c r="N605" s="100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17"/>
      <c r="L606" s="117"/>
      <c r="M606" s="100"/>
      <c r="N606" s="100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17"/>
      <c r="L607" s="117"/>
      <c r="M607" s="100"/>
      <c r="N607" s="100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17"/>
      <c r="L608" s="117"/>
      <c r="M608" s="100"/>
      <c r="N608" s="100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17"/>
      <c r="L609" s="117"/>
      <c r="M609" s="100"/>
      <c r="N609" s="100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17"/>
      <c r="L610" s="117"/>
      <c r="M610" s="100"/>
      <c r="N610" s="100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17"/>
      <c r="L611" s="117"/>
      <c r="M611" s="100"/>
      <c r="N611" s="100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17"/>
      <c r="L612" s="117"/>
      <c r="M612" s="100"/>
      <c r="N612" s="100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17"/>
      <c r="L613" s="117"/>
      <c r="M613" s="100"/>
      <c r="N613" s="100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17"/>
      <c r="L614" s="117"/>
      <c r="M614" s="100"/>
      <c r="N614" s="100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17"/>
      <c r="L615" s="117"/>
      <c r="M615" s="100"/>
      <c r="N615" s="100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17"/>
      <c r="L616" s="117"/>
      <c r="M616" s="100"/>
      <c r="N616" s="100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17"/>
      <c r="L617" s="117"/>
      <c r="M617" s="100"/>
      <c r="N617" s="100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17"/>
      <c r="L618" s="117"/>
      <c r="M618" s="100"/>
      <c r="N618" s="100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17"/>
      <c r="L619" s="117"/>
      <c r="M619" s="100"/>
      <c r="N619" s="100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17"/>
      <c r="L620" s="117"/>
      <c r="M620" s="100"/>
      <c r="N620" s="100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17"/>
      <c r="L621" s="117"/>
      <c r="M621" s="100"/>
      <c r="N621" s="100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17"/>
      <c r="L622" s="117"/>
      <c r="M622" s="100"/>
      <c r="N622" s="100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17"/>
      <c r="L623" s="117"/>
      <c r="M623" s="100"/>
      <c r="N623" s="100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17"/>
      <c r="L624" s="117"/>
      <c r="M624" s="100"/>
      <c r="N624" s="100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17"/>
      <c r="L625" s="117"/>
      <c r="M625" s="100"/>
      <c r="N625" s="100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17"/>
      <c r="L626" s="117"/>
      <c r="M626" s="100"/>
      <c r="N626" s="100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17"/>
      <c r="L627" s="117"/>
      <c r="M627" s="100"/>
      <c r="N627" s="100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17"/>
      <c r="L628" s="117"/>
      <c r="M628" s="100"/>
      <c r="N628" s="100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17"/>
      <c r="L629" s="117"/>
      <c r="M629" s="100"/>
      <c r="N629" s="100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17"/>
      <c r="L630" s="117"/>
      <c r="M630" s="100"/>
      <c r="N630" s="100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17"/>
      <c r="L631" s="117"/>
      <c r="M631" s="100"/>
      <c r="N631" s="100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17"/>
      <c r="L632" s="117"/>
      <c r="M632" s="100"/>
      <c r="N632" s="100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17"/>
      <c r="L633" s="117"/>
      <c r="M633" s="100"/>
      <c r="N633" s="100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17"/>
      <c r="L634" s="117"/>
      <c r="M634" s="100"/>
      <c r="N634" s="100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17"/>
      <c r="L635" s="117"/>
      <c r="M635" s="100"/>
      <c r="N635" s="100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17"/>
      <c r="L636" s="117"/>
      <c r="M636" s="100"/>
      <c r="N636" s="100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17"/>
      <c r="L637" s="117"/>
      <c r="M637" s="100"/>
      <c r="N637" s="100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17"/>
      <c r="L638" s="117"/>
      <c r="M638" s="100"/>
      <c r="N638" s="100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17"/>
      <c r="L639" s="117"/>
      <c r="M639" s="100"/>
      <c r="N639" s="100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17"/>
      <c r="L640" s="117"/>
      <c r="M640" s="100"/>
      <c r="N640" s="100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17"/>
      <c r="L641" s="117"/>
      <c r="M641" s="100"/>
      <c r="N641" s="100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17"/>
      <c r="L642" s="117"/>
      <c r="M642" s="100"/>
      <c r="N642" s="100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17"/>
      <c r="L643" s="117"/>
      <c r="M643" s="100"/>
      <c r="N643" s="100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17"/>
      <c r="L644" s="117"/>
      <c r="M644" s="100"/>
      <c r="N644" s="100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17"/>
      <c r="L645" s="117"/>
      <c r="M645" s="100"/>
      <c r="N645" s="100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17"/>
      <c r="L646" s="117"/>
      <c r="M646" s="100"/>
      <c r="N646" s="100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17"/>
      <c r="L647" s="117"/>
      <c r="M647" s="100"/>
      <c r="N647" s="100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17"/>
      <c r="L648" s="117"/>
      <c r="M648" s="100"/>
      <c r="N648" s="100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17"/>
      <c r="L649" s="117"/>
      <c r="M649" s="100"/>
      <c r="N649" s="100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17"/>
      <c r="L650" s="117"/>
      <c r="M650" s="100"/>
      <c r="N650" s="100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17"/>
      <c r="L651" s="117"/>
      <c r="M651" s="100"/>
      <c r="N651" s="100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17"/>
      <c r="L652" s="117"/>
      <c r="M652" s="100"/>
      <c r="N652" s="100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17"/>
      <c r="L653" s="117"/>
      <c r="M653" s="100"/>
      <c r="N653" s="100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17"/>
      <c r="L654" s="117"/>
      <c r="M654" s="100"/>
      <c r="N654" s="100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17"/>
      <c r="L655" s="117"/>
      <c r="M655" s="100"/>
      <c r="N655" s="100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17"/>
      <c r="L656" s="117"/>
      <c r="M656" s="100"/>
      <c r="N656" s="100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17"/>
      <c r="L657" s="117"/>
      <c r="M657" s="100"/>
      <c r="N657" s="100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17"/>
      <c r="L658" s="117"/>
      <c r="M658" s="100"/>
      <c r="N658" s="100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17"/>
      <c r="L659" s="117"/>
      <c r="M659" s="100"/>
      <c r="N659" s="100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17"/>
      <c r="L660" s="117"/>
      <c r="M660" s="100"/>
      <c r="N660" s="100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17"/>
      <c r="L661" s="117"/>
      <c r="M661" s="100"/>
      <c r="N661" s="100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17"/>
      <c r="L662" s="117"/>
      <c r="M662" s="100"/>
      <c r="N662" s="100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17"/>
      <c r="L663" s="117"/>
      <c r="M663" s="100"/>
      <c r="N663" s="100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17"/>
      <c r="L664" s="117"/>
      <c r="M664" s="100"/>
      <c r="N664" s="100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17"/>
      <c r="L665" s="117"/>
      <c r="M665" s="100"/>
      <c r="N665" s="100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17"/>
      <c r="L666" s="117"/>
      <c r="M666" s="100"/>
      <c r="N666" s="100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17"/>
      <c r="L667" s="117"/>
      <c r="M667" s="100"/>
      <c r="N667" s="100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17"/>
      <c r="L668" s="117"/>
      <c r="M668" s="100"/>
      <c r="N668" s="100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17"/>
      <c r="L669" s="117"/>
      <c r="M669" s="100"/>
      <c r="N669" s="100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17"/>
      <c r="L670" s="117"/>
      <c r="M670" s="100"/>
      <c r="N670" s="100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17"/>
      <c r="L671" s="117"/>
      <c r="M671" s="100"/>
      <c r="N671" s="100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17"/>
      <c r="L672" s="117"/>
      <c r="M672" s="100"/>
      <c r="N672" s="100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17"/>
      <c r="L673" s="117"/>
      <c r="M673" s="100"/>
      <c r="N673" s="100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17"/>
      <c r="L674" s="117"/>
      <c r="M674" s="100"/>
      <c r="N674" s="100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17"/>
      <c r="L675" s="117"/>
      <c r="M675" s="100"/>
      <c r="N675" s="100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17"/>
      <c r="L676" s="117"/>
      <c r="M676" s="100"/>
      <c r="N676" s="100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17"/>
      <c r="L677" s="117"/>
      <c r="M677" s="100"/>
      <c r="N677" s="100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17"/>
      <c r="L678" s="117"/>
      <c r="M678" s="100"/>
      <c r="N678" s="100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17"/>
      <c r="L679" s="117"/>
      <c r="M679" s="100"/>
      <c r="N679" s="100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17"/>
      <c r="L680" s="117"/>
      <c r="M680" s="100"/>
      <c r="N680" s="100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17"/>
      <c r="L681" s="117"/>
      <c r="M681" s="100"/>
      <c r="N681" s="100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17"/>
      <c r="L682" s="117"/>
      <c r="M682" s="100"/>
      <c r="N682" s="100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17"/>
      <c r="L683" s="117"/>
      <c r="M683" s="100"/>
      <c r="N683" s="100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17"/>
      <c r="L684" s="117"/>
      <c r="M684" s="100"/>
      <c r="N684" s="100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17"/>
      <c r="L685" s="117"/>
      <c r="M685" s="100"/>
      <c r="N685" s="100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17"/>
      <c r="L686" s="117"/>
      <c r="M686" s="100"/>
      <c r="N686" s="100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17"/>
      <c r="L687" s="117"/>
      <c r="M687" s="100"/>
      <c r="N687" s="100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17"/>
      <c r="L688" s="117"/>
      <c r="M688" s="100"/>
      <c r="N688" s="100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17"/>
      <c r="L689" s="117"/>
      <c r="M689" s="100"/>
      <c r="N689" s="100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17"/>
      <c r="L690" s="117"/>
      <c r="M690" s="100"/>
      <c r="N690" s="100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17"/>
      <c r="L691" s="117"/>
      <c r="M691" s="100"/>
      <c r="N691" s="100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17"/>
      <c r="L692" s="117"/>
      <c r="M692" s="100"/>
      <c r="N692" s="100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17"/>
      <c r="L693" s="117"/>
      <c r="M693" s="100"/>
      <c r="N693" s="100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17"/>
      <c r="L694" s="117"/>
      <c r="M694" s="100"/>
      <c r="N694" s="100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17"/>
      <c r="L695" s="117"/>
      <c r="M695" s="100"/>
      <c r="N695" s="100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17"/>
      <c r="L696" s="117"/>
      <c r="M696" s="100"/>
      <c r="N696" s="100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17"/>
      <c r="L697" s="117"/>
      <c r="M697" s="100"/>
      <c r="N697" s="100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17"/>
      <c r="L698" s="117"/>
      <c r="M698" s="100"/>
      <c r="N698" s="100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17"/>
      <c r="L699" s="117"/>
      <c r="M699" s="100"/>
      <c r="N699" s="100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17"/>
      <c r="L700" s="117"/>
      <c r="M700" s="100"/>
      <c r="N700" s="100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17"/>
      <c r="L701" s="117"/>
      <c r="M701" s="100"/>
      <c r="N701" s="100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17"/>
      <c r="L702" s="117"/>
      <c r="M702" s="100"/>
      <c r="N702" s="100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17"/>
      <c r="L703" s="117"/>
      <c r="M703" s="100"/>
      <c r="N703" s="100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17"/>
      <c r="L704" s="117"/>
      <c r="M704" s="100"/>
      <c r="N704" s="100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17"/>
      <c r="L705" s="117"/>
      <c r="M705" s="100"/>
      <c r="N705" s="100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17"/>
      <c r="L706" s="117"/>
      <c r="M706" s="100"/>
      <c r="N706" s="100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17"/>
      <c r="L707" s="117"/>
      <c r="M707" s="100"/>
      <c r="N707" s="100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17"/>
      <c r="L708" s="117"/>
      <c r="M708" s="100"/>
      <c r="N708" s="100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17"/>
      <c r="L709" s="117"/>
      <c r="M709" s="100"/>
      <c r="N709" s="100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17"/>
      <c r="L710" s="117"/>
      <c r="M710" s="100"/>
      <c r="N710" s="100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17"/>
      <c r="L711" s="117"/>
      <c r="M711" s="100"/>
      <c r="N711" s="100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17"/>
      <c r="L712" s="117"/>
      <c r="M712" s="100"/>
      <c r="N712" s="100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17"/>
      <c r="L713" s="117"/>
      <c r="M713" s="100"/>
      <c r="N713" s="100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17"/>
      <c r="L714" s="117"/>
      <c r="M714" s="100"/>
      <c r="N714" s="100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17"/>
      <c r="L715" s="117"/>
      <c r="M715" s="100"/>
      <c r="N715" s="100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17"/>
      <c r="L716" s="117"/>
      <c r="M716" s="100"/>
      <c r="N716" s="100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17"/>
      <c r="L717" s="117"/>
      <c r="M717" s="100"/>
      <c r="N717" s="100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17"/>
      <c r="L718" s="117"/>
      <c r="M718" s="100"/>
      <c r="N718" s="100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17"/>
      <c r="L719" s="117"/>
      <c r="M719" s="100"/>
      <c r="N719" s="100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17"/>
      <c r="L720" s="117"/>
      <c r="M720" s="100"/>
      <c r="N720" s="100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17"/>
      <c r="L721" s="117"/>
      <c r="M721" s="100"/>
      <c r="N721" s="100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17"/>
      <c r="L722" s="117"/>
      <c r="M722" s="100"/>
      <c r="N722" s="100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17"/>
      <c r="L723" s="117"/>
      <c r="M723" s="100"/>
      <c r="N723" s="100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17"/>
      <c r="L724" s="117"/>
      <c r="M724" s="100"/>
      <c r="N724" s="100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17"/>
      <c r="L725" s="117"/>
      <c r="M725" s="100"/>
      <c r="N725" s="100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17"/>
      <c r="L726" s="117"/>
      <c r="M726" s="100"/>
      <c r="N726" s="100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17"/>
      <c r="L727" s="117"/>
      <c r="M727" s="100"/>
      <c r="N727" s="100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17"/>
      <c r="L728" s="117"/>
      <c r="M728" s="100"/>
      <c r="N728" s="100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17"/>
      <c r="L729" s="117"/>
      <c r="M729" s="100"/>
      <c r="N729" s="100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17"/>
      <c r="L730" s="117"/>
      <c r="M730" s="100"/>
      <c r="N730" s="100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17"/>
      <c r="L731" s="117"/>
      <c r="M731" s="100"/>
      <c r="N731" s="100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17"/>
      <c r="L732" s="117"/>
      <c r="M732" s="100"/>
      <c r="N732" s="100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17"/>
      <c r="L733" s="117"/>
      <c r="M733" s="100"/>
      <c r="N733" s="100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17"/>
      <c r="L734" s="117"/>
      <c r="M734" s="100"/>
      <c r="N734" s="100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17"/>
      <c r="L735" s="117"/>
      <c r="M735" s="100"/>
      <c r="N735" s="100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17"/>
      <c r="L736" s="117"/>
      <c r="M736" s="100"/>
      <c r="N736" s="100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17"/>
      <c r="L737" s="117"/>
      <c r="M737" s="100"/>
      <c r="N737" s="100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17"/>
      <c r="L738" s="117"/>
      <c r="M738" s="100"/>
      <c r="N738" s="100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17"/>
      <c r="L739" s="117"/>
      <c r="M739" s="100"/>
      <c r="N739" s="100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17"/>
      <c r="L740" s="117"/>
      <c r="M740" s="100"/>
      <c r="N740" s="100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17"/>
      <c r="L741" s="117"/>
      <c r="M741" s="100"/>
      <c r="N741" s="100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17"/>
      <c r="L742" s="117"/>
      <c r="M742" s="100"/>
      <c r="N742" s="100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17"/>
      <c r="L743" s="117"/>
      <c r="M743" s="100"/>
      <c r="N743" s="100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17"/>
      <c r="L744" s="117"/>
      <c r="M744" s="100"/>
      <c r="N744" s="100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17"/>
      <c r="L745" s="117"/>
      <c r="M745" s="100"/>
      <c r="N745" s="100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17"/>
      <c r="L746" s="117"/>
      <c r="M746" s="100"/>
      <c r="N746" s="100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17"/>
      <c r="L747" s="117"/>
      <c r="M747" s="100"/>
      <c r="N747" s="100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17"/>
      <c r="L748" s="117"/>
      <c r="M748" s="100"/>
      <c r="N748" s="100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17"/>
      <c r="L749" s="117"/>
      <c r="M749" s="100"/>
      <c r="N749" s="100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17"/>
      <c r="L750" s="117"/>
      <c r="M750" s="100"/>
      <c r="N750" s="100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17"/>
      <c r="L751" s="117"/>
      <c r="M751" s="100"/>
      <c r="N751" s="100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17"/>
      <c r="L752" s="117"/>
      <c r="M752" s="100"/>
      <c r="N752" s="100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17"/>
      <c r="L753" s="117"/>
      <c r="M753" s="100"/>
      <c r="N753" s="100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17"/>
      <c r="L754" s="117"/>
      <c r="M754" s="100"/>
      <c r="N754" s="100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17"/>
      <c r="L755" s="117"/>
      <c r="M755" s="100"/>
      <c r="N755" s="100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17"/>
      <c r="L756" s="117"/>
      <c r="M756" s="100"/>
      <c r="N756" s="100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17"/>
      <c r="L757" s="117"/>
      <c r="M757" s="100"/>
      <c r="N757" s="100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17"/>
      <c r="L758" s="117"/>
      <c r="M758" s="100"/>
      <c r="N758" s="100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17"/>
      <c r="L759" s="117"/>
      <c r="M759" s="100"/>
      <c r="N759" s="100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17"/>
      <c r="L760" s="117"/>
      <c r="M760" s="100"/>
      <c r="N760" s="100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17"/>
      <c r="L761" s="117"/>
      <c r="M761" s="100"/>
      <c r="N761" s="100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17"/>
      <c r="L762" s="117"/>
      <c r="M762" s="100"/>
      <c r="N762" s="100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17"/>
      <c r="L763" s="117"/>
      <c r="M763" s="100"/>
      <c r="N763" s="100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17"/>
      <c r="L764" s="117"/>
      <c r="M764" s="100"/>
      <c r="N764" s="100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17"/>
      <c r="L765" s="117"/>
      <c r="M765" s="100"/>
      <c r="N765" s="100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17"/>
      <c r="L766" s="117"/>
      <c r="M766" s="100"/>
      <c r="N766" s="100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17"/>
      <c r="L767" s="117"/>
      <c r="M767" s="100"/>
      <c r="N767" s="100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17"/>
      <c r="L768" s="117"/>
      <c r="M768" s="100"/>
      <c r="N768" s="100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17"/>
      <c r="L769" s="117"/>
      <c r="M769" s="100"/>
      <c r="N769" s="100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17"/>
      <c r="L770" s="117"/>
      <c r="M770" s="100"/>
      <c r="N770" s="100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17"/>
      <c r="L771" s="117"/>
      <c r="M771" s="100"/>
      <c r="N771" s="100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17"/>
      <c r="L772" s="117"/>
      <c r="M772" s="100"/>
      <c r="N772" s="100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17"/>
      <c r="L773" s="117"/>
      <c r="M773" s="100"/>
      <c r="N773" s="100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17"/>
      <c r="L774" s="117"/>
      <c r="M774" s="100"/>
      <c r="N774" s="100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17"/>
      <c r="L775" s="117"/>
      <c r="M775" s="100"/>
      <c r="N775" s="100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17"/>
      <c r="L776" s="117"/>
      <c r="M776" s="100"/>
      <c r="N776" s="100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17"/>
      <c r="L777" s="117"/>
      <c r="M777" s="100"/>
      <c r="N777" s="100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17"/>
      <c r="L778" s="117"/>
      <c r="M778" s="100"/>
      <c r="N778" s="100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17"/>
      <c r="L779" s="117"/>
      <c r="M779" s="100"/>
      <c r="N779" s="100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17"/>
      <c r="L780" s="117"/>
      <c r="M780" s="100"/>
      <c r="N780" s="100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17"/>
      <c r="L781" s="117"/>
      <c r="M781" s="100"/>
      <c r="N781" s="100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17"/>
      <c r="L782" s="117"/>
      <c r="M782" s="100"/>
      <c r="N782" s="100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17"/>
      <c r="L783" s="117"/>
      <c r="M783" s="100"/>
      <c r="N783" s="100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17"/>
      <c r="L784" s="117"/>
      <c r="M784" s="100"/>
      <c r="N784" s="100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17"/>
      <c r="L785" s="117"/>
      <c r="M785" s="100"/>
      <c r="N785" s="100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17"/>
      <c r="L786" s="117"/>
      <c r="M786" s="100"/>
      <c r="N786" s="100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17"/>
      <c r="L787" s="117"/>
      <c r="M787" s="100"/>
      <c r="N787" s="100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17"/>
      <c r="L788" s="117"/>
      <c r="M788" s="100"/>
      <c r="N788" s="100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17"/>
      <c r="L789" s="117"/>
      <c r="M789" s="100"/>
      <c r="N789" s="100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17"/>
      <c r="L790" s="117"/>
      <c r="M790" s="100"/>
      <c r="N790" s="100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17"/>
      <c r="L791" s="117"/>
      <c r="M791" s="100"/>
      <c r="N791" s="100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17"/>
      <c r="L792" s="117"/>
      <c r="M792" s="100"/>
      <c r="N792" s="100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17"/>
      <c r="L793" s="117"/>
      <c r="M793" s="100"/>
      <c r="N793" s="100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17"/>
      <c r="L794" s="117"/>
      <c r="M794" s="100"/>
      <c r="N794" s="100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17"/>
      <c r="L795" s="117"/>
      <c r="M795" s="100"/>
      <c r="N795" s="100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17"/>
      <c r="L796" s="117"/>
      <c r="M796" s="100"/>
      <c r="N796" s="100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17"/>
      <c r="L797" s="117"/>
      <c r="M797" s="100"/>
      <c r="N797" s="100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17"/>
      <c r="L798" s="117"/>
      <c r="M798" s="100"/>
      <c r="N798" s="100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17"/>
      <c r="L799" s="117"/>
      <c r="M799" s="100"/>
      <c r="N799" s="100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17"/>
      <c r="L800" s="117"/>
      <c r="M800" s="100"/>
      <c r="N800" s="100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17"/>
      <c r="L801" s="117"/>
      <c r="M801" s="100"/>
      <c r="N801" s="100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17"/>
      <c r="L802" s="117"/>
      <c r="M802" s="100"/>
      <c r="N802" s="100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17"/>
      <c r="L803" s="117"/>
      <c r="M803" s="100"/>
      <c r="N803" s="100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17"/>
      <c r="L804" s="117"/>
      <c r="M804" s="100"/>
      <c r="N804" s="100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17"/>
      <c r="L805" s="117"/>
      <c r="M805" s="100"/>
      <c r="N805" s="100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17"/>
      <c r="L806" s="117"/>
      <c r="M806" s="100"/>
      <c r="N806" s="100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17"/>
      <c r="L807" s="117"/>
      <c r="M807" s="100"/>
      <c r="N807" s="100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17"/>
      <c r="L808" s="117"/>
      <c r="M808" s="100"/>
      <c r="N808" s="100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17"/>
      <c r="L809" s="117"/>
      <c r="M809" s="100"/>
      <c r="N809" s="100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17"/>
      <c r="L810" s="117"/>
      <c r="M810" s="100"/>
      <c r="N810" s="100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17"/>
      <c r="L811" s="117"/>
      <c r="M811" s="100"/>
      <c r="N811" s="100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17"/>
      <c r="L812" s="117"/>
      <c r="M812" s="100"/>
      <c r="N812" s="100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17"/>
      <c r="L813" s="117"/>
      <c r="M813" s="100"/>
      <c r="N813" s="100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17"/>
      <c r="L814" s="117"/>
      <c r="M814" s="100"/>
      <c r="N814" s="100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17"/>
      <c r="L815" s="117"/>
      <c r="M815" s="100"/>
      <c r="N815" s="100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17"/>
      <c r="L816" s="117"/>
      <c r="M816" s="100"/>
      <c r="N816" s="100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17"/>
      <c r="L817" s="117"/>
      <c r="M817" s="100"/>
      <c r="N817" s="100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17"/>
      <c r="L818" s="117"/>
      <c r="M818" s="100"/>
      <c r="N818" s="100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17"/>
      <c r="L819" s="117"/>
      <c r="M819" s="100"/>
      <c r="N819" s="100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17"/>
      <c r="L820" s="117"/>
      <c r="M820" s="100"/>
      <c r="N820" s="100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17"/>
      <c r="L821" s="117"/>
      <c r="M821" s="100"/>
      <c r="N821" s="100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17"/>
      <c r="L822" s="117"/>
      <c r="M822" s="100"/>
      <c r="N822" s="100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17"/>
      <c r="L823" s="117"/>
      <c r="M823" s="100"/>
      <c r="N823" s="100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17"/>
      <c r="L824" s="117"/>
      <c r="M824" s="100"/>
      <c r="N824" s="100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17"/>
      <c r="L825" s="117"/>
      <c r="M825" s="100"/>
      <c r="N825" s="100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17"/>
      <c r="L826" s="117"/>
      <c r="M826" s="100"/>
      <c r="N826" s="100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17"/>
      <c r="L827" s="117"/>
      <c r="M827" s="100"/>
      <c r="N827" s="100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17"/>
      <c r="L828" s="117"/>
      <c r="M828" s="100"/>
      <c r="N828" s="100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17"/>
      <c r="L829" s="117"/>
      <c r="M829" s="100"/>
      <c r="N829" s="100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17"/>
      <c r="L830" s="117"/>
      <c r="M830" s="100"/>
      <c r="N830" s="100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17"/>
      <c r="L831" s="117"/>
      <c r="M831" s="100"/>
      <c r="N831" s="100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17"/>
      <c r="L832" s="117"/>
      <c r="M832" s="100"/>
      <c r="N832" s="100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17"/>
      <c r="L833" s="117"/>
      <c r="M833" s="100"/>
      <c r="N833" s="100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17"/>
      <c r="L834" s="117"/>
      <c r="M834" s="100"/>
      <c r="N834" s="100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17"/>
      <c r="L835" s="117"/>
      <c r="M835" s="100"/>
      <c r="N835" s="100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17"/>
      <c r="L836" s="117"/>
      <c r="M836" s="100"/>
      <c r="N836" s="100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17"/>
      <c r="L837" s="117"/>
      <c r="M837" s="100"/>
      <c r="N837" s="100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17"/>
      <c r="L838" s="117"/>
      <c r="M838" s="100"/>
      <c r="N838" s="100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17"/>
      <c r="L839" s="117"/>
      <c r="M839" s="100"/>
      <c r="N839" s="100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17"/>
      <c r="L840" s="117"/>
      <c r="M840" s="100"/>
      <c r="N840" s="100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17"/>
      <c r="L841" s="117"/>
      <c r="M841" s="100"/>
      <c r="N841" s="100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17"/>
      <c r="L842" s="117"/>
      <c r="M842" s="100"/>
      <c r="N842" s="100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17"/>
      <c r="L843" s="117"/>
      <c r="M843" s="100"/>
      <c r="N843" s="100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17"/>
      <c r="L844" s="117"/>
      <c r="M844" s="100"/>
      <c r="N844" s="100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17"/>
      <c r="L845" s="117"/>
      <c r="M845" s="100"/>
      <c r="N845" s="100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17"/>
      <c r="L846" s="117"/>
      <c r="M846" s="100"/>
      <c r="N846" s="100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17"/>
      <c r="L847" s="117"/>
      <c r="M847" s="100"/>
      <c r="N847" s="100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17"/>
      <c r="L848" s="117"/>
      <c r="M848" s="100"/>
      <c r="N848" s="100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17"/>
      <c r="L849" s="117"/>
      <c r="M849" s="100"/>
      <c r="N849" s="100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17"/>
      <c r="L850" s="117"/>
      <c r="M850" s="100"/>
      <c r="N850" s="100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17"/>
      <c r="L851" s="117"/>
      <c r="M851" s="100"/>
      <c r="N851" s="100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17"/>
      <c r="L852" s="117"/>
      <c r="M852" s="100"/>
      <c r="N852" s="100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17"/>
      <c r="L853" s="117"/>
      <c r="M853" s="100"/>
      <c r="N853" s="100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17"/>
      <c r="L854" s="117"/>
      <c r="M854" s="100"/>
      <c r="N854" s="100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17"/>
      <c r="L855" s="117"/>
      <c r="M855" s="100"/>
      <c r="N855" s="100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17"/>
      <c r="L856" s="117"/>
      <c r="M856" s="100"/>
      <c r="N856" s="100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17"/>
      <c r="L857" s="117"/>
      <c r="M857" s="100"/>
      <c r="N857" s="100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17"/>
      <c r="L858" s="117"/>
      <c r="M858" s="100"/>
      <c r="N858" s="100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17"/>
      <c r="L859" s="117"/>
      <c r="M859" s="100"/>
      <c r="N859" s="100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17"/>
      <c r="L860" s="117"/>
      <c r="M860" s="100"/>
      <c r="N860" s="100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17"/>
      <c r="L861" s="117"/>
      <c r="M861" s="100"/>
      <c r="N861" s="100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17"/>
      <c r="L862" s="117"/>
      <c r="M862" s="100"/>
      <c r="N862" s="100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17"/>
      <c r="L863" s="117"/>
      <c r="M863" s="100"/>
      <c r="N863" s="100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17"/>
      <c r="L864" s="117"/>
      <c r="M864" s="100"/>
      <c r="N864" s="100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17"/>
      <c r="L865" s="117"/>
      <c r="M865" s="100"/>
      <c r="N865" s="100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17"/>
      <c r="L866" s="117"/>
      <c r="M866" s="100"/>
      <c r="N866" s="100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17"/>
      <c r="L867" s="117"/>
      <c r="M867" s="100"/>
      <c r="N867" s="100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17"/>
      <c r="L868" s="117"/>
      <c r="M868" s="100"/>
      <c r="N868" s="100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17"/>
      <c r="L869" s="117"/>
      <c r="M869" s="100"/>
      <c r="N869" s="100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17"/>
      <c r="L870" s="117"/>
      <c r="M870" s="100"/>
      <c r="N870" s="100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17"/>
      <c r="L871" s="117"/>
      <c r="M871" s="100"/>
      <c r="N871" s="100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17"/>
      <c r="L872" s="117"/>
      <c r="M872" s="100"/>
      <c r="N872" s="100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17"/>
      <c r="L873" s="117"/>
      <c r="M873" s="100"/>
      <c r="N873" s="100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17"/>
      <c r="L874" s="117"/>
      <c r="M874" s="100"/>
      <c r="N874" s="100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17"/>
      <c r="L875" s="117"/>
      <c r="M875" s="100"/>
      <c r="N875" s="100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17"/>
      <c r="L876" s="117"/>
      <c r="M876" s="100"/>
      <c r="N876" s="100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17"/>
      <c r="L877" s="117"/>
      <c r="M877" s="100"/>
      <c r="N877" s="100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17"/>
      <c r="L878" s="117"/>
      <c r="M878" s="100"/>
      <c r="N878" s="100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17"/>
      <c r="L879" s="117"/>
      <c r="M879" s="100"/>
      <c r="N879" s="100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17"/>
      <c r="L880" s="117"/>
      <c r="M880" s="100"/>
      <c r="N880" s="100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17"/>
      <c r="L881" s="117"/>
      <c r="M881" s="100"/>
      <c r="N881" s="100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17"/>
      <c r="L882" s="117"/>
      <c r="M882" s="100"/>
      <c r="N882" s="100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17"/>
      <c r="L883" s="117"/>
      <c r="M883" s="100"/>
      <c r="N883" s="100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17"/>
      <c r="L884" s="117"/>
      <c r="M884" s="100"/>
      <c r="N884" s="100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17"/>
      <c r="L885" s="117"/>
      <c r="M885" s="100"/>
      <c r="N885" s="100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17"/>
      <c r="L886" s="117"/>
      <c r="M886" s="100"/>
      <c r="N886" s="100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17"/>
      <c r="L887" s="117"/>
      <c r="M887" s="100"/>
      <c r="N887" s="100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17"/>
      <c r="L888" s="117"/>
      <c r="M888" s="100"/>
      <c r="N888" s="100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17"/>
      <c r="L889" s="117"/>
      <c r="M889" s="100"/>
      <c r="N889" s="100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17"/>
      <c r="L890" s="117"/>
      <c r="M890" s="100"/>
      <c r="N890" s="100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17"/>
      <c r="L891" s="117"/>
      <c r="M891" s="100"/>
      <c r="N891" s="100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17"/>
      <c r="L892" s="117"/>
      <c r="M892" s="100"/>
      <c r="N892" s="100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17"/>
      <c r="L893" s="117"/>
      <c r="M893" s="100"/>
      <c r="N893" s="100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17"/>
      <c r="L894" s="117"/>
      <c r="M894" s="100"/>
      <c r="N894" s="100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17"/>
      <c r="L895" s="117"/>
      <c r="M895" s="100"/>
      <c r="N895" s="100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17"/>
      <c r="L896" s="117"/>
      <c r="M896" s="100"/>
      <c r="N896" s="100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17"/>
      <c r="L897" s="117"/>
      <c r="M897" s="100"/>
      <c r="N897" s="100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17"/>
      <c r="L898" s="117"/>
      <c r="M898" s="100"/>
      <c r="N898" s="100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17"/>
      <c r="L899" s="117"/>
      <c r="M899" s="100"/>
      <c r="N899" s="100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17"/>
      <c r="L900" s="117"/>
      <c r="M900" s="100"/>
      <c r="N900" s="100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17"/>
      <c r="L901" s="117"/>
      <c r="M901" s="100"/>
      <c r="N901" s="100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17"/>
      <c r="L902" s="117"/>
      <c r="M902" s="100"/>
      <c r="N902" s="100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17"/>
      <c r="L903" s="117"/>
      <c r="M903" s="100"/>
      <c r="N903" s="100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17"/>
      <c r="L904" s="117"/>
      <c r="M904" s="100"/>
      <c r="N904" s="100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17"/>
      <c r="L905" s="117"/>
      <c r="M905" s="100"/>
      <c r="N905" s="100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17"/>
      <c r="L906" s="117"/>
      <c r="M906" s="100"/>
      <c r="N906" s="100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17"/>
      <c r="L907" s="117"/>
      <c r="M907" s="100"/>
      <c r="N907" s="100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17"/>
      <c r="L908" s="117"/>
      <c r="M908" s="100"/>
      <c r="N908" s="100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17"/>
      <c r="L909" s="117"/>
      <c r="M909" s="100"/>
      <c r="N909" s="100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17"/>
      <c r="L910" s="117"/>
      <c r="M910" s="100"/>
      <c r="N910" s="100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17"/>
      <c r="L911" s="117"/>
      <c r="M911" s="100"/>
      <c r="N911" s="100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17"/>
      <c r="L912" s="117"/>
      <c r="M912" s="100"/>
      <c r="N912" s="100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17"/>
      <c r="L913" s="117"/>
      <c r="M913" s="100"/>
      <c r="N913" s="100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17"/>
      <c r="L914" s="117"/>
      <c r="M914" s="100"/>
      <c r="N914" s="100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17"/>
      <c r="L915" s="117"/>
      <c r="M915" s="100"/>
      <c r="N915" s="100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17"/>
      <c r="L916" s="117"/>
      <c r="M916" s="100"/>
      <c r="N916" s="100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17"/>
      <c r="L917" s="117"/>
      <c r="M917" s="100"/>
      <c r="N917" s="100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17"/>
      <c r="L918" s="117"/>
      <c r="M918" s="100"/>
      <c r="N918" s="100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17"/>
      <c r="L919" s="117"/>
      <c r="M919" s="100"/>
      <c r="N919" s="100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17"/>
      <c r="L920" s="117"/>
      <c r="M920" s="100"/>
      <c r="N920" s="100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17"/>
      <c r="L921" s="117"/>
      <c r="M921" s="100"/>
      <c r="N921" s="100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17"/>
      <c r="L922" s="117"/>
      <c r="M922" s="100"/>
      <c r="N922" s="100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17"/>
      <c r="L923" s="117"/>
      <c r="M923" s="100"/>
      <c r="N923" s="100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17"/>
      <c r="L924" s="117"/>
      <c r="M924" s="100"/>
      <c r="N924" s="100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17"/>
      <c r="L925" s="117"/>
      <c r="M925" s="100"/>
      <c r="N925" s="100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17"/>
      <c r="L926" s="117"/>
      <c r="M926" s="100"/>
      <c r="N926" s="100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17"/>
      <c r="L927" s="117"/>
      <c r="M927" s="100"/>
      <c r="N927" s="100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17"/>
      <c r="L928" s="117"/>
      <c r="M928" s="100"/>
      <c r="N928" s="100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17"/>
      <c r="L929" s="117"/>
      <c r="M929" s="100"/>
      <c r="N929" s="100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17"/>
      <c r="L930" s="117"/>
      <c r="M930" s="100"/>
      <c r="N930" s="100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17"/>
      <c r="L931" s="117"/>
      <c r="M931" s="100"/>
      <c r="N931" s="100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17"/>
      <c r="L932" s="117"/>
      <c r="M932" s="100"/>
      <c r="N932" s="100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17"/>
      <c r="L933" s="117"/>
      <c r="M933" s="100"/>
      <c r="N933" s="100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17"/>
      <c r="L934" s="117"/>
      <c r="M934" s="100"/>
      <c r="N934" s="100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17"/>
      <c r="L935" s="117"/>
      <c r="M935" s="100"/>
      <c r="N935" s="100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17"/>
      <c r="L936" s="117"/>
      <c r="M936" s="100"/>
      <c r="N936" s="100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17"/>
      <c r="L937" s="117"/>
      <c r="M937" s="100"/>
      <c r="N937" s="100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17"/>
      <c r="L938" s="117"/>
      <c r="M938" s="100"/>
      <c r="N938" s="100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17"/>
      <c r="L939" s="117"/>
      <c r="M939" s="100"/>
      <c r="N939" s="100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17"/>
      <c r="L940" s="117"/>
      <c r="M940" s="100"/>
      <c r="N940" s="100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17"/>
      <c r="L941" s="117"/>
      <c r="M941" s="100"/>
      <c r="N941" s="100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17"/>
      <c r="L942" s="117"/>
      <c r="M942" s="100"/>
      <c r="N942" s="100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17"/>
      <c r="L943" s="117"/>
      <c r="M943" s="100"/>
      <c r="N943" s="100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17"/>
      <c r="L944" s="117"/>
      <c r="M944" s="100"/>
      <c r="N944" s="100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17"/>
      <c r="L945" s="117"/>
      <c r="M945" s="100"/>
      <c r="N945" s="100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17"/>
      <c r="L946" s="117"/>
      <c r="M946" s="100"/>
      <c r="N946" s="100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17"/>
      <c r="L947" s="117"/>
      <c r="M947" s="100"/>
      <c r="N947" s="100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17"/>
      <c r="L948" s="117"/>
      <c r="M948" s="100"/>
      <c r="N948" s="100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17"/>
      <c r="L949" s="117"/>
      <c r="M949" s="100"/>
      <c r="N949" s="100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17"/>
      <c r="L950" s="117"/>
      <c r="M950" s="100"/>
      <c r="N950" s="100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17"/>
      <c r="L951" s="117"/>
      <c r="M951" s="100"/>
      <c r="N951" s="100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17"/>
      <c r="L952" s="117"/>
      <c r="M952" s="100"/>
      <c r="N952" s="100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17"/>
      <c r="L953" s="117"/>
      <c r="M953" s="100"/>
      <c r="N953" s="100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17"/>
      <c r="L954" s="117"/>
      <c r="M954" s="100"/>
      <c r="N954" s="100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17"/>
      <c r="L955" s="117"/>
      <c r="M955" s="100"/>
      <c r="N955" s="100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17"/>
      <c r="L956" s="117"/>
      <c r="M956" s="100"/>
      <c r="N956" s="100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17"/>
      <c r="L957" s="117"/>
      <c r="M957" s="100"/>
      <c r="N957" s="100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17"/>
      <c r="L958" s="117"/>
      <c r="M958" s="100"/>
      <c r="N958" s="100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17"/>
      <c r="L959" s="117"/>
      <c r="M959" s="100"/>
      <c r="N959" s="100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17"/>
      <c r="L960" s="117"/>
      <c r="M960" s="100"/>
      <c r="N960" s="100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17"/>
      <c r="L961" s="117"/>
      <c r="M961" s="100"/>
      <c r="N961" s="100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17"/>
      <c r="L962" s="117"/>
      <c r="M962" s="100"/>
      <c r="N962" s="100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17"/>
      <c r="L963" s="117"/>
      <c r="M963" s="100"/>
      <c r="N963" s="100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17"/>
      <c r="L964" s="117"/>
      <c r="M964" s="100"/>
      <c r="N964" s="100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17"/>
      <c r="L965" s="117"/>
      <c r="M965" s="100"/>
      <c r="N965" s="100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17"/>
      <c r="L966" s="117"/>
      <c r="M966" s="100"/>
      <c r="N966" s="100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17"/>
      <c r="L967" s="117"/>
      <c r="M967" s="100"/>
      <c r="N967" s="100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17"/>
      <c r="L968" s="117"/>
      <c r="M968" s="100"/>
      <c r="N968" s="100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17"/>
      <c r="L969" s="117"/>
      <c r="M969" s="100"/>
      <c r="N969" s="100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17"/>
      <c r="L970" s="117"/>
      <c r="M970" s="100"/>
      <c r="N970" s="100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17"/>
      <c r="L971" s="117"/>
      <c r="M971" s="100"/>
      <c r="N971" s="100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17"/>
      <c r="L972" s="117"/>
      <c r="M972" s="100"/>
      <c r="N972" s="100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17"/>
      <c r="L973" s="117"/>
      <c r="M973" s="100"/>
      <c r="N973" s="100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17"/>
      <c r="L974" s="117"/>
      <c r="M974" s="100"/>
      <c r="N974" s="100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17"/>
      <c r="L975" s="117"/>
      <c r="M975" s="100"/>
      <c r="N975" s="100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17"/>
      <c r="L976" s="117"/>
      <c r="M976" s="100"/>
      <c r="N976" s="100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17"/>
      <c r="L977" s="117"/>
      <c r="M977" s="100"/>
      <c r="N977" s="100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17"/>
      <c r="L978" s="117"/>
      <c r="M978" s="100"/>
      <c r="N978" s="100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17"/>
      <c r="L979" s="117"/>
      <c r="M979" s="100"/>
      <c r="N979" s="100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17"/>
      <c r="L980" s="117"/>
      <c r="M980" s="100"/>
      <c r="N980" s="100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17"/>
      <c r="L981" s="117"/>
      <c r="M981" s="100"/>
      <c r="N981" s="100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17"/>
      <c r="L982" s="117"/>
      <c r="M982" s="100"/>
      <c r="N982" s="100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17"/>
      <c r="L983" s="117"/>
      <c r="M983" s="100"/>
      <c r="N983" s="100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17"/>
      <c r="L984" s="117"/>
      <c r="M984" s="100"/>
      <c r="N984" s="100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17"/>
      <c r="L985" s="117"/>
      <c r="M985" s="100"/>
      <c r="N985" s="100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17"/>
      <c r="L986" s="117"/>
      <c r="M986" s="100"/>
      <c r="N986" s="100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17"/>
      <c r="L987" s="117"/>
      <c r="M987" s="100"/>
      <c r="N987" s="100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17"/>
      <c r="L988" s="117"/>
      <c r="M988" s="100"/>
      <c r="N988" s="100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17"/>
      <c r="L989" s="117"/>
      <c r="M989" s="100"/>
      <c r="N989" s="100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17"/>
      <c r="L990" s="117"/>
      <c r="M990" s="100"/>
      <c r="N990" s="100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17"/>
      <c r="L991" s="117"/>
      <c r="M991" s="100"/>
      <c r="N991" s="100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17"/>
      <c r="L992" s="117"/>
      <c r="M992" s="100"/>
      <c r="N992" s="100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17"/>
      <c r="L993" s="117"/>
      <c r="M993" s="100"/>
      <c r="N993" s="100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17"/>
      <c r="L994" s="117"/>
      <c r="M994" s="100"/>
      <c r="N994" s="100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17"/>
      <c r="L995" s="117"/>
      <c r="M995" s="100"/>
      <c r="N995" s="100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17"/>
      <c r="L996" s="117"/>
      <c r="M996" s="100"/>
      <c r="N996" s="100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17"/>
      <c r="L997" s="117"/>
      <c r="M997" s="100"/>
      <c r="N997" s="100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17"/>
      <c r="L998" s="117"/>
      <c r="M998" s="100"/>
      <c r="N998" s="100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17"/>
      <c r="L999" s="117"/>
      <c r="M999" s="100"/>
      <c r="N999" s="100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17"/>
      <c r="L1000" s="117"/>
      <c r="M1000" s="100"/>
      <c r="N1000" s="100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scale="7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3" width="8.71"/>
    <col customWidth="1" min="4" max="4" width="19.14"/>
    <col customWidth="1" min="5" max="5" width="13.43"/>
    <col customWidth="1" min="6" max="7" width="10.71"/>
    <col customWidth="1" min="8" max="8" width="15.86"/>
    <col customWidth="1" min="9" max="11" width="10.71"/>
    <col customWidth="1" min="12" max="12" width="10.86"/>
    <col customWidth="1" min="13" max="13" width="12.71"/>
    <col customWidth="1" min="14" max="14" width="11.14"/>
    <col customWidth="1" min="15" max="15" width="14.43"/>
    <col customWidth="1" hidden="1" min="16" max="16" width="1.71"/>
    <col customWidth="1" min="17" max="17" width="26.57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5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1" t="s">
        <v>127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</row>
    <row r="7" ht="15.0" customHeight="1">
      <c r="A7" s="86" t="s">
        <v>23</v>
      </c>
      <c r="B7" s="15" t="s">
        <v>24</v>
      </c>
      <c r="C7" s="87">
        <v>1.0</v>
      </c>
      <c r="D7" s="149" t="s">
        <v>128</v>
      </c>
      <c r="E7" s="90">
        <v>1.36</v>
      </c>
      <c r="F7" s="150" t="s">
        <v>26</v>
      </c>
      <c r="G7" s="150" t="s">
        <v>26</v>
      </c>
      <c r="H7" s="150">
        <v>0.58</v>
      </c>
      <c r="I7" s="150" t="s">
        <v>26</v>
      </c>
      <c r="J7" s="150" t="s">
        <v>26</v>
      </c>
      <c r="K7" s="90" t="s">
        <v>129</v>
      </c>
      <c r="L7" s="150" t="s">
        <v>26</v>
      </c>
      <c r="M7" s="150" t="s">
        <v>26</v>
      </c>
      <c r="N7" s="150" t="s">
        <v>26</v>
      </c>
      <c r="O7" s="150">
        <v>9.6</v>
      </c>
      <c r="P7" s="150"/>
      <c r="Q7" s="19">
        <f t="shared" ref="Q7:Q24" si="1">AVERAGE(E7,F7,G7,H7,I7,J7,K7,L7,M7,N7,O7,P7)</f>
        <v>3.846666667</v>
      </c>
      <c r="R7" s="17">
        <v>5.0</v>
      </c>
    </row>
    <row r="8">
      <c r="A8" s="20"/>
      <c r="B8" s="21"/>
      <c r="C8" s="22">
        <v>2.0</v>
      </c>
      <c r="D8" s="23" t="s">
        <v>130</v>
      </c>
      <c r="E8" s="24">
        <v>0.85</v>
      </c>
      <c r="F8" s="147" t="s">
        <v>26</v>
      </c>
      <c r="G8" s="147" t="s">
        <v>26</v>
      </c>
      <c r="H8" s="147">
        <v>0.78</v>
      </c>
      <c r="I8" s="147" t="s">
        <v>26</v>
      </c>
      <c r="J8" s="147" t="s">
        <v>26</v>
      </c>
      <c r="K8" s="24" t="s">
        <v>129</v>
      </c>
      <c r="L8" s="147" t="s">
        <v>26</v>
      </c>
      <c r="M8" s="147" t="s">
        <v>26</v>
      </c>
      <c r="N8" s="147" t="s">
        <v>26</v>
      </c>
      <c r="O8" s="147">
        <v>6.3</v>
      </c>
      <c r="P8" s="147"/>
      <c r="Q8" s="26">
        <f t="shared" si="1"/>
        <v>2.643333333</v>
      </c>
      <c r="R8" s="23">
        <v>5.0</v>
      </c>
    </row>
    <row r="9">
      <c r="A9" s="20"/>
      <c r="B9" s="27"/>
      <c r="C9" s="22">
        <v>3.0</v>
      </c>
      <c r="D9" s="23" t="s">
        <v>131</v>
      </c>
      <c r="E9" s="24">
        <v>1.98</v>
      </c>
      <c r="F9" s="147" t="s">
        <v>26</v>
      </c>
      <c r="G9" s="147" t="s">
        <v>26</v>
      </c>
      <c r="H9" s="147">
        <v>0.81</v>
      </c>
      <c r="I9" s="147" t="s">
        <v>26</v>
      </c>
      <c r="J9" s="147" t="s">
        <v>26</v>
      </c>
      <c r="K9" s="24" t="s">
        <v>129</v>
      </c>
      <c r="L9" s="147" t="s">
        <v>26</v>
      </c>
      <c r="M9" s="147" t="s">
        <v>26</v>
      </c>
      <c r="N9" s="147" t="s">
        <v>26</v>
      </c>
      <c r="O9" s="147">
        <v>3.1</v>
      </c>
      <c r="P9" s="147"/>
      <c r="Q9" s="26">
        <f t="shared" si="1"/>
        <v>1.963333333</v>
      </c>
      <c r="R9" s="23">
        <v>5.0</v>
      </c>
    </row>
    <row r="10" ht="15.0" customHeight="1">
      <c r="A10" s="20"/>
      <c r="B10" s="15" t="s">
        <v>31</v>
      </c>
      <c r="C10" s="16">
        <v>1.0</v>
      </c>
      <c r="D10" s="149" t="s">
        <v>128</v>
      </c>
      <c r="E10" s="92">
        <v>24.0</v>
      </c>
      <c r="F10" s="150" t="s">
        <v>26</v>
      </c>
      <c r="G10" s="150" t="s">
        <v>26</v>
      </c>
      <c r="H10" s="92">
        <v>10.0</v>
      </c>
      <c r="I10" s="150" t="s">
        <v>26</v>
      </c>
      <c r="J10" s="150" t="s">
        <v>26</v>
      </c>
      <c r="K10" s="92">
        <v>10.0</v>
      </c>
      <c r="L10" s="150" t="s">
        <v>26</v>
      </c>
      <c r="M10" s="150" t="s">
        <v>26</v>
      </c>
      <c r="N10" s="150" t="s">
        <v>26</v>
      </c>
      <c r="O10" s="92">
        <v>36.0</v>
      </c>
      <c r="P10" s="150"/>
      <c r="Q10" s="29">
        <f t="shared" si="1"/>
        <v>20</v>
      </c>
      <c r="R10" s="17">
        <v>7.0</v>
      </c>
    </row>
    <row r="11">
      <c r="A11" s="20"/>
      <c r="B11" s="21"/>
      <c r="C11" s="22">
        <v>2.0</v>
      </c>
      <c r="D11" s="23" t="s">
        <v>130</v>
      </c>
      <c r="E11" s="30">
        <v>12.0</v>
      </c>
      <c r="F11" s="147" t="s">
        <v>26</v>
      </c>
      <c r="G11" s="147" t="s">
        <v>26</v>
      </c>
      <c r="H11" s="30">
        <v>25.0</v>
      </c>
      <c r="I11" s="147" t="s">
        <v>26</v>
      </c>
      <c r="J11" s="147" t="s">
        <v>26</v>
      </c>
      <c r="K11" s="30">
        <v>6.0</v>
      </c>
      <c r="L11" s="147" t="s">
        <v>26</v>
      </c>
      <c r="M11" s="147" t="s">
        <v>26</v>
      </c>
      <c r="N11" s="147" t="s">
        <v>26</v>
      </c>
      <c r="O11" s="30">
        <v>24.0</v>
      </c>
      <c r="P11" s="147"/>
      <c r="Q11" s="31">
        <f t="shared" si="1"/>
        <v>16.75</v>
      </c>
      <c r="R11" s="23">
        <v>7.0</v>
      </c>
    </row>
    <row r="12">
      <c r="A12" s="20"/>
      <c r="B12" s="27"/>
      <c r="C12" s="22">
        <v>3.0</v>
      </c>
      <c r="D12" s="23" t="s">
        <v>131</v>
      </c>
      <c r="E12" s="30">
        <v>4.0</v>
      </c>
      <c r="F12" s="147" t="s">
        <v>26</v>
      </c>
      <c r="G12" s="147" t="s">
        <v>26</v>
      </c>
      <c r="H12" s="30">
        <v>24.0</v>
      </c>
      <c r="I12" s="147" t="s">
        <v>26</v>
      </c>
      <c r="J12" s="147" t="s">
        <v>26</v>
      </c>
      <c r="K12" s="30">
        <v>18.0</v>
      </c>
      <c r="L12" s="147" t="s">
        <v>26</v>
      </c>
      <c r="M12" s="147" t="s">
        <v>26</v>
      </c>
      <c r="N12" s="147" t="s">
        <v>26</v>
      </c>
      <c r="O12" s="30">
        <v>16.0</v>
      </c>
      <c r="P12" s="147"/>
      <c r="Q12" s="31">
        <f t="shared" si="1"/>
        <v>15.5</v>
      </c>
      <c r="R12" s="23">
        <v>7.0</v>
      </c>
    </row>
    <row r="13" ht="15.0" customHeight="1">
      <c r="A13" s="20"/>
      <c r="B13" s="15" t="s">
        <v>33</v>
      </c>
      <c r="C13" s="16">
        <v>1.0</v>
      </c>
      <c r="D13" s="149" t="s">
        <v>128</v>
      </c>
      <c r="E13" s="92">
        <v>8.0</v>
      </c>
      <c r="F13" s="150" t="s">
        <v>26</v>
      </c>
      <c r="G13" s="150" t="s">
        <v>26</v>
      </c>
      <c r="H13" s="92">
        <v>353.0</v>
      </c>
      <c r="I13" s="150" t="s">
        <v>26</v>
      </c>
      <c r="J13" s="150" t="s">
        <v>26</v>
      </c>
      <c r="K13" s="92">
        <v>53.0</v>
      </c>
      <c r="L13" s="150" t="s">
        <v>26</v>
      </c>
      <c r="M13" s="150" t="s">
        <v>26</v>
      </c>
      <c r="N13" s="150" t="s">
        <v>26</v>
      </c>
      <c r="O13" s="92">
        <v>15.0</v>
      </c>
      <c r="P13" s="150"/>
      <c r="Q13" s="29">
        <f t="shared" si="1"/>
        <v>107.25</v>
      </c>
      <c r="R13" s="17">
        <v>80.0</v>
      </c>
    </row>
    <row r="14">
      <c r="A14" s="20"/>
      <c r="B14" s="21"/>
      <c r="C14" s="22">
        <v>2.0</v>
      </c>
      <c r="D14" s="23" t="s">
        <v>130</v>
      </c>
      <c r="E14" s="30">
        <v>11.0</v>
      </c>
      <c r="F14" s="147" t="s">
        <v>26</v>
      </c>
      <c r="G14" s="147" t="s">
        <v>26</v>
      </c>
      <c r="H14" s="30">
        <v>509.0</v>
      </c>
      <c r="I14" s="147" t="s">
        <v>26</v>
      </c>
      <c r="J14" s="147" t="s">
        <v>26</v>
      </c>
      <c r="K14" s="30">
        <v>55.0</v>
      </c>
      <c r="L14" s="147" t="s">
        <v>26</v>
      </c>
      <c r="M14" s="147" t="s">
        <v>26</v>
      </c>
      <c r="N14" s="147" t="s">
        <v>26</v>
      </c>
      <c r="O14" s="30">
        <v>23.0</v>
      </c>
      <c r="P14" s="147"/>
      <c r="Q14" s="31">
        <f t="shared" si="1"/>
        <v>149.5</v>
      </c>
      <c r="R14" s="23">
        <v>80.0</v>
      </c>
    </row>
    <row r="15">
      <c r="A15" s="20"/>
      <c r="B15" s="27"/>
      <c r="C15" s="22">
        <v>3.0</v>
      </c>
      <c r="D15" s="23" t="s">
        <v>131</v>
      </c>
      <c r="E15" s="30">
        <v>11.0</v>
      </c>
      <c r="F15" s="147" t="s">
        <v>26</v>
      </c>
      <c r="G15" s="147" t="s">
        <v>26</v>
      </c>
      <c r="H15" s="30">
        <v>400.0</v>
      </c>
      <c r="I15" s="147" t="s">
        <v>26</v>
      </c>
      <c r="J15" s="147" t="s">
        <v>26</v>
      </c>
      <c r="K15" s="30">
        <v>75.0</v>
      </c>
      <c r="L15" s="147" t="s">
        <v>26</v>
      </c>
      <c r="M15" s="147" t="s">
        <v>26</v>
      </c>
      <c r="N15" s="147" t="s">
        <v>26</v>
      </c>
      <c r="O15" s="30">
        <v>10.0</v>
      </c>
      <c r="P15" s="147"/>
      <c r="Q15" s="31">
        <f t="shared" si="1"/>
        <v>124</v>
      </c>
      <c r="R15" s="23">
        <v>80.0</v>
      </c>
    </row>
    <row r="16">
      <c r="A16" s="20"/>
      <c r="B16" s="15" t="s">
        <v>34</v>
      </c>
      <c r="C16" s="16">
        <v>1.0</v>
      </c>
      <c r="D16" s="149" t="s">
        <v>128</v>
      </c>
      <c r="E16" s="90">
        <v>6.22</v>
      </c>
      <c r="F16" s="150" t="s">
        <v>26</v>
      </c>
      <c r="G16" s="150" t="s">
        <v>26</v>
      </c>
      <c r="H16" s="90">
        <v>7.36</v>
      </c>
      <c r="I16" s="150" t="s">
        <v>26</v>
      </c>
      <c r="J16" s="150" t="s">
        <v>26</v>
      </c>
      <c r="K16" s="90">
        <v>7.2</v>
      </c>
      <c r="L16" s="150" t="s">
        <v>26</v>
      </c>
      <c r="M16" s="150" t="s">
        <v>26</v>
      </c>
      <c r="N16" s="150" t="s">
        <v>26</v>
      </c>
      <c r="O16" s="90">
        <v>7.18</v>
      </c>
      <c r="P16" s="150"/>
      <c r="Q16" s="19">
        <f t="shared" si="1"/>
        <v>6.99</v>
      </c>
      <c r="R16" s="18" t="s">
        <v>35</v>
      </c>
    </row>
    <row r="17">
      <c r="A17" s="20"/>
      <c r="B17" s="21"/>
      <c r="C17" s="22">
        <v>2.0</v>
      </c>
      <c r="D17" s="23" t="s">
        <v>130</v>
      </c>
      <c r="E17" s="24">
        <v>6.33</v>
      </c>
      <c r="F17" s="147" t="s">
        <v>26</v>
      </c>
      <c r="G17" s="147" t="s">
        <v>26</v>
      </c>
      <c r="H17" s="24">
        <v>7.32</v>
      </c>
      <c r="I17" s="147" t="s">
        <v>26</v>
      </c>
      <c r="J17" s="147" t="s">
        <v>26</v>
      </c>
      <c r="K17" s="24">
        <v>7.23</v>
      </c>
      <c r="L17" s="147" t="s">
        <v>26</v>
      </c>
      <c r="M17" s="147" t="s">
        <v>26</v>
      </c>
      <c r="N17" s="147" t="s">
        <v>26</v>
      </c>
      <c r="O17" s="24">
        <v>7.18</v>
      </c>
      <c r="P17" s="147"/>
      <c r="Q17" s="26">
        <f t="shared" si="1"/>
        <v>7.015</v>
      </c>
      <c r="R17" s="24" t="s">
        <v>35</v>
      </c>
    </row>
    <row r="18">
      <c r="A18" s="20"/>
      <c r="B18" s="27"/>
      <c r="C18" s="22">
        <v>3.0</v>
      </c>
      <c r="D18" s="23" t="s">
        <v>131</v>
      </c>
      <c r="E18" s="24">
        <v>5.98</v>
      </c>
      <c r="F18" s="147" t="s">
        <v>26</v>
      </c>
      <c r="G18" s="147" t="s">
        <v>26</v>
      </c>
      <c r="H18" s="24">
        <v>7.26</v>
      </c>
      <c r="I18" s="147" t="s">
        <v>26</v>
      </c>
      <c r="J18" s="147" t="s">
        <v>26</v>
      </c>
      <c r="K18" s="24">
        <v>7.35</v>
      </c>
      <c r="L18" s="147" t="s">
        <v>26</v>
      </c>
      <c r="M18" s="147" t="s">
        <v>26</v>
      </c>
      <c r="N18" s="147" t="s">
        <v>26</v>
      </c>
      <c r="O18" s="24">
        <v>7.28</v>
      </c>
      <c r="P18" s="147"/>
      <c r="Q18" s="26">
        <f t="shared" si="1"/>
        <v>6.9675</v>
      </c>
      <c r="R18" s="24" t="s">
        <v>35</v>
      </c>
    </row>
    <row r="19" ht="15.0" customHeight="1">
      <c r="A19" s="20"/>
      <c r="B19" s="15" t="s">
        <v>132</v>
      </c>
      <c r="C19" s="16">
        <v>1.0</v>
      </c>
      <c r="D19" s="149" t="s">
        <v>128</v>
      </c>
      <c r="E19" s="90">
        <v>28.0</v>
      </c>
      <c r="F19" s="150" t="s">
        <v>26</v>
      </c>
      <c r="G19" s="150" t="s">
        <v>26</v>
      </c>
      <c r="H19" s="90">
        <v>27.8</v>
      </c>
      <c r="I19" s="150" t="s">
        <v>26</v>
      </c>
      <c r="J19" s="150" t="s">
        <v>26</v>
      </c>
      <c r="K19" s="90">
        <v>28.1</v>
      </c>
      <c r="L19" s="150" t="s">
        <v>26</v>
      </c>
      <c r="M19" s="150" t="s">
        <v>26</v>
      </c>
      <c r="N19" s="150" t="s">
        <v>26</v>
      </c>
      <c r="O19" s="90">
        <v>29.9</v>
      </c>
      <c r="P19" s="150"/>
      <c r="Q19" s="19">
        <f t="shared" si="1"/>
        <v>28.45</v>
      </c>
      <c r="R19" s="18" t="s">
        <v>37</v>
      </c>
    </row>
    <row r="20">
      <c r="A20" s="20"/>
      <c r="B20" s="21"/>
      <c r="C20" s="22">
        <v>2.0</v>
      </c>
      <c r="D20" s="23" t="s">
        <v>130</v>
      </c>
      <c r="E20" s="24">
        <v>27.4</v>
      </c>
      <c r="F20" s="147" t="s">
        <v>26</v>
      </c>
      <c r="G20" s="147" t="s">
        <v>26</v>
      </c>
      <c r="H20" s="24">
        <v>27.9</v>
      </c>
      <c r="I20" s="147" t="s">
        <v>26</v>
      </c>
      <c r="J20" s="147" t="s">
        <v>26</v>
      </c>
      <c r="K20" s="24">
        <v>29.6</v>
      </c>
      <c r="L20" s="147" t="s">
        <v>26</v>
      </c>
      <c r="M20" s="147" t="s">
        <v>26</v>
      </c>
      <c r="N20" s="147" t="s">
        <v>26</v>
      </c>
      <c r="O20" s="24">
        <v>30.28</v>
      </c>
      <c r="P20" s="147"/>
      <c r="Q20" s="26">
        <f t="shared" si="1"/>
        <v>28.795</v>
      </c>
      <c r="R20" s="24" t="s">
        <v>37</v>
      </c>
    </row>
    <row r="21" ht="15.75" customHeight="1">
      <c r="A21" s="20"/>
      <c r="B21" s="27"/>
      <c r="C21" s="22">
        <v>3.0</v>
      </c>
      <c r="D21" s="23" t="s">
        <v>131</v>
      </c>
      <c r="E21" s="24">
        <v>27.48</v>
      </c>
      <c r="F21" s="147" t="s">
        <v>26</v>
      </c>
      <c r="G21" s="147" t="s">
        <v>26</v>
      </c>
      <c r="H21" s="24">
        <v>28.0</v>
      </c>
      <c r="I21" s="147" t="s">
        <v>26</v>
      </c>
      <c r="J21" s="147" t="s">
        <v>26</v>
      </c>
      <c r="K21" s="24">
        <v>29.8</v>
      </c>
      <c r="L21" s="147" t="s">
        <v>26</v>
      </c>
      <c r="M21" s="147" t="s">
        <v>26</v>
      </c>
      <c r="N21" s="147" t="s">
        <v>26</v>
      </c>
      <c r="O21" s="24">
        <v>29.8</v>
      </c>
      <c r="P21" s="147"/>
      <c r="Q21" s="26">
        <f t="shared" si="1"/>
        <v>28.77</v>
      </c>
      <c r="R21" s="24" t="s">
        <v>37</v>
      </c>
    </row>
    <row r="22" ht="15.0" customHeight="1">
      <c r="A22" s="20"/>
      <c r="B22" s="15" t="s">
        <v>38</v>
      </c>
      <c r="C22" s="16">
        <v>1.0</v>
      </c>
      <c r="D22" s="149" t="s">
        <v>128</v>
      </c>
      <c r="E22" s="92">
        <v>40.0</v>
      </c>
      <c r="F22" s="150" t="s">
        <v>26</v>
      </c>
      <c r="G22" s="150" t="s">
        <v>26</v>
      </c>
      <c r="H22" s="92">
        <v>50.0</v>
      </c>
      <c r="I22" s="150" t="s">
        <v>26</v>
      </c>
      <c r="J22" s="150" t="s">
        <v>26</v>
      </c>
      <c r="K22" s="92">
        <v>40.0</v>
      </c>
      <c r="L22" s="150" t="s">
        <v>26</v>
      </c>
      <c r="M22" s="150" t="s">
        <v>26</v>
      </c>
      <c r="N22" s="150" t="s">
        <v>26</v>
      </c>
      <c r="O22" s="92">
        <v>30.0</v>
      </c>
      <c r="P22" s="150"/>
      <c r="Q22" s="29">
        <f t="shared" si="1"/>
        <v>40</v>
      </c>
      <c r="R22" s="17">
        <v>75.0</v>
      </c>
    </row>
    <row r="23" ht="15.75" customHeight="1">
      <c r="A23" s="20"/>
      <c r="B23" s="21"/>
      <c r="C23" s="22">
        <v>2.0</v>
      </c>
      <c r="D23" s="23" t="s">
        <v>130</v>
      </c>
      <c r="E23" s="30">
        <v>40.0</v>
      </c>
      <c r="F23" s="147" t="s">
        <v>26</v>
      </c>
      <c r="G23" s="147" t="s">
        <v>26</v>
      </c>
      <c r="H23" s="30">
        <v>50.0</v>
      </c>
      <c r="I23" s="147" t="s">
        <v>26</v>
      </c>
      <c r="J23" s="147" t="s">
        <v>26</v>
      </c>
      <c r="K23" s="30">
        <v>40.0</v>
      </c>
      <c r="L23" s="147" t="s">
        <v>26</v>
      </c>
      <c r="M23" s="147" t="s">
        <v>26</v>
      </c>
      <c r="N23" s="147" t="s">
        <v>26</v>
      </c>
      <c r="O23" s="30">
        <v>40.0</v>
      </c>
      <c r="P23" s="147"/>
      <c r="Q23" s="31">
        <f t="shared" si="1"/>
        <v>42.5</v>
      </c>
      <c r="R23" s="23">
        <v>75.0</v>
      </c>
    </row>
    <row r="24" ht="15.75" customHeight="1">
      <c r="A24" s="20"/>
      <c r="B24" s="27"/>
      <c r="C24" s="22">
        <v>3.0</v>
      </c>
      <c r="D24" s="23" t="s">
        <v>131</v>
      </c>
      <c r="E24" s="30">
        <v>40.0</v>
      </c>
      <c r="F24" s="147" t="s">
        <v>26</v>
      </c>
      <c r="G24" s="147" t="s">
        <v>26</v>
      </c>
      <c r="H24" s="30">
        <v>50.0</v>
      </c>
      <c r="I24" s="147" t="s">
        <v>26</v>
      </c>
      <c r="J24" s="147" t="s">
        <v>26</v>
      </c>
      <c r="K24" s="30">
        <v>40.0</v>
      </c>
      <c r="L24" s="147" t="s">
        <v>26</v>
      </c>
      <c r="M24" s="147" t="s">
        <v>26</v>
      </c>
      <c r="N24" s="147" t="s">
        <v>26</v>
      </c>
      <c r="O24" s="30">
        <v>40.0</v>
      </c>
      <c r="P24" s="147"/>
      <c r="Q24" s="31">
        <f t="shared" si="1"/>
        <v>42.5</v>
      </c>
      <c r="R24" s="23">
        <v>75.0</v>
      </c>
    </row>
    <row r="25" ht="15.0" customHeight="1">
      <c r="A25" s="20"/>
      <c r="B25" s="15" t="s">
        <v>40</v>
      </c>
      <c r="C25" s="16">
        <v>1.0</v>
      </c>
      <c r="D25" s="149" t="s">
        <v>128</v>
      </c>
      <c r="E25" s="94">
        <v>54000.0</v>
      </c>
      <c r="F25" s="150" t="s">
        <v>26</v>
      </c>
      <c r="G25" s="150" t="s">
        <v>26</v>
      </c>
      <c r="H25" s="94">
        <v>2.4E7</v>
      </c>
      <c r="I25" s="150" t="s">
        <v>26</v>
      </c>
      <c r="J25" s="150" t="s">
        <v>26</v>
      </c>
      <c r="K25" s="93">
        <v>24000.0</v>
      </c>
      <c r="L25" s="150" t="s">
        <v>26</v>
      </c>
      <c r="M25" s="150" t="s">
        <v>26</v>
      </c>
      <c r="N25" s="150" t="s">
        <v>26</v>
      </c>
      <c r="O25" s="92">
        <v>92000.0</v>
      </c>
      <c r="P25" s="150"/>
      <c r="Q25" s="35">
        <f t="shared" ref="Q25:Q27" si="2">GEOMEAN(E25,F25,G25,H25,I25,J25,K25,L25,M25,N25,O25,P25)</f>
        <v>231286.8907</v>
      </c>
      <c r="R25" s="17">
        <v>200.0</v>
      </c>
      <c r="S25" s="151">
        <f>average(O24:O27,O25:O27)</f>
        <v>32691.42857</v>
      </c>
    </row>
    <row r="26" ht="15.75" customHeight="1">
      <c r="A26" s="20"/>
      <c r="B26" s="21"/>
      <c r="C26" s="22">
        <v>2.0</v>
      </c>
      <c r="D26" s="23" t="s">
        <v>130</v>
      </c>
      <c r="E26" s="34">
        <v>9200.0</v>
      </c>
      <c r="F26" s="147" t="s">
        <v>26</v>
      </c>
      <c r="G26" s="147" t="s">
        <v>26</v>
      </c>
      <c r="H26" s="34">
        <v>2.4E7</v>
      </c>
      <c r="I26" s="147" t="s">
        <v>26</v>
      </c>
      <c r="J26" s="147" t="s">
        <v>26</v>
      </c>
      <c r="K26" s="37">
        <v>24000.0</v>
      </c>
      <c r="L26" s="147" t="s">
        <v>26</v>
      </c>
      <c r="M26" s="147" t="s">
        <v>26</v>
      </c>
      <c r="N26" s="147" t="s">
        <v>26</v>
      </c>
      <c r="O26" s="30">
        <v>5400.0</v>
      </c>
      <c r="P26" s="147"/>
      <c r="Q26" s="38">
        <f t="shared" si="2"/>
        <v>73139.33674</v>
      </c>
      <c r="R26" s="23">
        <v>200.0</v>
      </c>
    </row>
    <row r="27" ht="15.75" customHeight="1">
      <c r="A27" s="20"/>
      <c r="B27" s="27"/>
      <c r="C27" s="22">
        <v>3.0</v>
      </c>
      <c r="D27" s="23" t="s">
        <v>131</v>
      </c>
      <c r="E27" s="34">
        <v>22000.0</v>
      </c>
      <c r="F27" s="147" t="s">
        <v>26</v>
      </c>
      <c r="G27" s="147" t="s">
        <v>26</v>
      </c>
      <c r="H27" s="34">
        <v>1600000.0</v>
      </c>
      <c r="I27" s="147" t="s">
        <v>26</v>
      </c>
      <c r="J27" s="147" t="s">
        <v>26</v>
      </c>
      <c r="K27" s="37">
        <v>92000.0</v>
      </c>
      <c r="L27" s="147" t="s">
        <v>26</v>
      </c>
      <c r="M27" s="147" t="s">
        <v>26</v>
      </c>
      <c r="N27" s="147" t="s">
        <v>26</v>
      </c>
      <c r="O27" s="30">
        <v>17000.0</v>
      </c>
      <c r="P27" s="147"/>
      <c r="Q27" s="38">
        <f t="shared" si="2"/>
        <v>86138.01372</v>
      </c>
      <c r="R27" s="23">
        <v>200.0</v>
      </c>
    </row>
    <row r="28" ht="15.0" customHeight="1">
      <c r="A28" s="20"/>
      <c r="B28" s="15" t="s">
        <v>133</v>
      </c>
      <c r="C28" s="16">
        <v>1.0</v>
      </c>
      <c r="D28" s="149" t="s">
        <v>128</v>
      </c>
      <c r="E28" s="96">
        <v>2.987</v>
      </c>
      <c r="F28" s="150" t="s">
        <v>26</v>
      </c>
      <c r="G28" s="150" t="s">
        <v>26</v>
      </c>
      <c r="H28" s="96">
        <v>3.675</v>
      </c>
      <c r="I28" s="150" t="s">
        <v>26</v>
      </c>
      <c r="J28" s="150" t="s">
        <v>26</v>
      </c>
      <c r="K28" s="96">
        <v>0.322</v>
      </c>
      <c r="L28" s="150" t="s">
        <v>26</v>
      </c>
      <c r="M28" s="150" t="s">
        <v>26</v>
      </c>
      <c r="N28" s="150" t="s">
        <v>26</v>
      </c>
      <c r="O28" s="96">
        <v>3.214</v>
      </c>
      <c r="P28" s="150"/>
      <c r="Q28" s="41">
        <f t="shared" ref="Q28:Q36" si="3">AVERAGE(E28,F28,G28,H28,I28,J28,K28,L28,M28,N28,O28,P28)</f>
        <v>2.5495</v>
      </c>
      <c r="R28" s="17">
        <v>7.0</v>
      </c>
    </row>
    <row r="29" ht="15.75" customHeight="1">
      <c r="A29" s="20"/>
      <c r="B29" s="21"/>
      <c r="C29" s="22">
        <v>2.0</v>
      </c>
      <c r="D29" s="23" t="s">
        <v>130</v>
      </c>
      <c r="E29" s="43">
        <v>3.909</v>
      </c>
      <c r="F29" s="147" t="s">
        <v>26</v>
      </c>
      <c r="G29" s="147" t="s">
        <v>26</v>
      </c>
      <c r="H29" s="43">
        <v>3.587</v>
      </c>
      <c r="I29" s="147" t="s">
        <v>26</v>
      </c>
      <c r="J29" s="147" t="s">
        <v>26</v>
      </c>
      <c r="K29" s="43">
        <v>0.291</v>
      </c>
      <c r="L29" s="147" t="s">
        <v>26</v>
      </c>
      <c r="M29" s="147" t="s">
        <v>26</v>
      </c>
      <c r="N29" s="147" t="s">
        <v>26</v>
      </c>
      <c r="O29" s="43">
        <v>1.934</v>
      </c>
      <c r="P29" s="147"/>
      <c r="Q29" s="44">
        <f t="shared" si="3"/>
        <v>2.43025</v>
      </c>
      <c r="R29" s="23">
        <v>7.0</v>
      </c>
    </row>
    <row r="30" ht="15.75" customHeight="1">
      <c r="A30" s="20"/>
      <c r="B30" s="27"/>
      <c r="C30" s="22">
        <v>3.0</v>
      </c>
      <c r="D30" s="23" t="s">
        <v>131</v>
      </c>
      <c r="E30" s="43">
        <v>3.311</v>
      </c>
      <c r="F30" s="147" t="s">
        <v>26</v>
      </c>
      <c r="G30" s="147" t="s">
        <v>26</v>
      </c>
      <c r="H30" s="43">
        <v>2.639</v>
      </c>
      <c r="I30" s="147" t="s">
        <v>26</v>
      </c>
      <c r="J30" s="147" t="s">
        <v>26</v>
      </c>
      <c r="K30" s="43">
        <v>0.051</v>
      </c>
      <c r="L30" s="147" t="s">
        <v>26</v>
      </c>
      <c r="M30" s="147" t="s">
        <v>26</v>
      </c>
      <c r="N30" s="147" t="s">
        <v>26</v>
      </c>
      <c r="O30" s="43">
        <v>1.882</v>
      </c>
      <c r="P30" s="147"/>
      <c r="Q30" s="44">
        <f t="shared" si="3"/>
        <v>1.97075</v>
      </c>
      <c r="R30" s="23">
        <v>7.0</v>
      </c>
    </row>
    <row r="31" ht="15.0" customHeight="1">
      <c r="A31" s="20"/>
      <c r="B31" s="15" t="s">
        <v>134</v>
      </c>
      <c r="C31" s="16">
        <v>1.0</v>
      </c>
      <c r="D31" s="149" t="s">
        <v>128</v>
      </c>
      <c r="E31" s="96">
        <v>1.368</v>
      </c>
      <c r="F31" s="150" t="s">
        <v>26</v>
      </c>
      <c r="G31" s="150" t="s">
        <v>26</v>
      </c>
      <c r="H31" s="96">
        <v>1.448</v>
      </c>
      <c r="I31" s="150" t="s">
        <v>26</v>
      </c>
      <c r="J31" s="150" t="s">
        <v>26</v>
      </c>
      <c r="K31" s="96">
        <v>0.093</v>
      </c>
      <c r="L31" s="150" t="s">
        <v>26</v>
      </c>
      <c r="M31" s="150" t="s">
        <v>26</v>
      </c>
      <c r="N31" s="150" t="s">
        <v>26</v>
      </c>
      <c r="O31" s="96">
        <v>1.35</v>
      </c>
      <c r="P31" s="150"/>
      <c r="Q31" s="41">
        <f t="shared" si="3"/>
        <v>1.06475</v>
      </c>
      <c r="R31" s="17">
        <v>0.5</v>
      </c>
    </row>
    <row r="32" ht="15.75" customHeight="1">
      <c r="A32" s="20"/>
      <c r="B32" s="21"/>
      <c r="C32" s="22">
        <v>2.0</v>
      </c>
      <c r="D32" s="23" t="s">
        <v>130</v>
      </c>
      <c r="E32" s="43">
        <v>1.149</v>
      </c>
      <c r="F32" s="147" t="s">
        <v>26</v>
      </c>
      <c r="G32" s="147" t="s">
        <v>26</v>
      </c>
      <c r="H32" s="43">
        <v>1.69</v>
      </c>
      <c r="I32" s="147" t="s">
        <v>26</v>
      </c>
      <c r="J32" s="147" t="s">
        <v>26</v>
      </c>
      <c r="K32" s="43">
        <v>0.836</v>
      </c>
      <c r="L32" s="147" t="s">
        <v>26</v>
      </c>
      <c r="M32" s="147" t="s">
        <v>26</v>
      </c>
      <c r="N32" s="147" t="s">
        <v>26</v>
      </c>
      <c r="O32" s="43">
        <v>1.679</v>
      </c>
      <c r="P32" s="147"/>
      <c r="Q32" s="44">
        <f t="shared" si="3"/>
        <v>1.3385</v>
      </c>
      <c r="R32" s="23">
        <v>0.5</v>
      </c>
    </row>
    <row r="33" ht="15.75" customHeight="1">
      <c r="A33" s="20"/>
      <c r="B33" s="27"/>
      <c r="C33" s="22">
        <v>3.0</v>
      </c>
      <c r="D33" s="23" t="s">
        <v>131</v>
      </c>
      <c r="E33" s="43">
        <v>0.881</v>
      </c>
      <c r="F33" s="147" t="s">
        <v>26</v>
      </c>
      <c r="G33" s="147" t="s">
        <v>26</v>
      </c>
      <c r="H33" s="43">
        <v>2.533</v>
      </c>
      <c r="I33" s="147" t="s">
        <v>26</v>
      </c>
      <c r="J33" s="147" t="s">
        <v>26</v>
      </c>
      <c r="K33" s="43">
        <v>0.82</v>
      </c>
      <c r="L33" s="147" t="s">
        <v>26</v>
      </c>
      <c r="M33" s="147" t="s">
        <v>26</v>
      </c>
      <c r="N33" s="147" t="s">
        <v>26</v>
      </c>
      <c r="O33" s="43">
        <v>2.256</v>
      </c>
      <c r="P33" s="147"/>
      <c r="Q33" s="44">
        <f t="shared" si="3"/>
        <v>1.6225</v>
      </c>
      <c r="R33" s="23">
        <v>0.5</v>
      </c>
    </row>
    <row r="34" ht="15.0" customHeight="1">
      <c r="A34" s="20"/>
      <c r="B34" s="15" t="s">
        <v>46</v>
      </c>
      <c r="C34" s="16">
        <v>1.0</v>
      </c>
      <c r="D34" s="149" t="s">
        <v>128</v>
      </c>
      <c r="E34" s="92">
        <v>38.0</v>
      </c>
      <c r="F34" s="150" t="s">
        <v>26</v>
      </c>
      <c r="G34" s="150" t="s">
        <v>26</v>
      </c>
      <c r="H34" s="92">
        <v>10.0</v>
      </c>
      <c r="I34" s="150" t="s">
        <v>26</v>
      </c>
      <c r="J34" s="150" t="s">
        <v>26</v>
      </c>
      <c r="K34" s="92">
        <v>24.0</v>
      </c>
      <c r="L34" s="150" t="s">
        <v>26</v>
      </c>
      <c r="M34" s="150" t="s">
        <v>26</v>
      </c>
      <c r="N34" s="150" t="s">
        <v>26</v>
      </c>
      <c r="O34" s="92">
        <v>28.0</v>
      </c>
      <c r="P34" s="150"/>
      <c r="Q34" s="29">
        <f t="shared" si="3"/>
        <v>25</v>
      </c>
      <c r="R34" s="17">
        <v>350.0</v>
      </c>
    </row>
    <row r="35" ht="15.75" customHeight="1">
      <c r="A35" s="20"/>
      <c r="B35" s="21"/>
      <c r="C35" s="22">
        <v>2.0</v>
      </c>
      <c r="D35" s="23" t="s">
        <v>130</v>
      </c>
      <c r="E35" s="30">
        <v>19.0</v>
      </c>
      <c r="F35" s="147" t="s">
        <v>26</v>
      </c>
      <c r="G35" s="147" t="s">
        <v>26</v>
      </c>
      <c r="H35" s="30">
        <v>10.0</v>
      </c>
      <c r="I35" s="147" t="s">
        <v>26</v>
      </c>
      <c r="J35" s="147" t="s">
        <v>26</v>
      </c>
      <c r="K35" s="30">
        <v>12.0</v>
      </c>
      <c r="L35" s="147" t="s">
        <v>26</v>
      </c>
      <c r="M35" s="147" t="s">
        <v>26</v>
      </c>
      <c r="N35" s="147" t="s">
        <v>26</v>
      </c>
      <c r="O35" s="30">
        <v>20.0</v>
      </c>
      <c r="P35" s="147"/>
      <c r="Q35" s="31">
        <f t="shared" si="3"/>
        <v>15.25</v>
      </c>
      <c r="R35" s="23">
        <v>350.0</v>
      </c>
    </row>
    <row r="36" ht="15.75" customHeight="1">
      <c r="A36" s="20"/>
      <c r="B36" s="27"/>
      <c r="C36" s="22">
        <v>3.0</v>
      </c>
      <c r="D36" s="23" t="s">
        <v>131</v>
      </c>
      <c r="E36" s="30">
        <v>48.0</v>
      </c>
      <c r="F36" s="147" t="s">
        <v>26</v>
      </c>
      <c r="G36" s="147" t="s">
        <v>26</v>
      </c>
      <c r="H36" s="30">
        <v>29.0</v>
      </c>
      <c r="I36" s="147" t="s">
        <v>26</v>
      </c>
      <c r="J36" s="147" t="s">
        <v>26</v>
      </c>
      <c r="K36" s="30">
        <v>11.0</v>
      </c>
      <c r="L36" s="147" t="s">
        <v>26</v>
      </c>
      <c r="M36" s="147" t="s">
        <v>26</v>
      </c>
      <c r="N36" s="147" t="s">
        <v>26</v>
      </c>
      <c r="O36" s="30">
        <v>17.0</v>
      </c>
      <c r="P36" s="147"/>
      <c r="Q36" s="31">
        <f t="shared" si="3"/>
        <v>26.25</v>
      </c>
      <c r="R36" s="23">
        <v>350.0</v>
      </c>
    </row>
    <row r="37" ht="15.75" customHeight="1">
      <c r="Q37" s="100"/>
      <c r="R37" s="100"/>
    </row>
    <row r="38" ht="15.75" customHeight="1">
      <c r="A38" s="97" t="s">
        <v>135</v>
      </c>
      <c r="Q38" s="100"/>
      <c r="R38" s="100"/>
    </row>
    <row r="39" ht="15.75" customHeight="1"/>
    <row r="40" ht="15.75" customHeight="1">
      <c r="A40" s="152" t="s">
        <v>136</v>
      </c>
    </row>
    <row r="41" ht="15.75" customHeight="1"/>
    <row r="42" ht="15.75" customHeight="1">
      <c r="A42" s="98" t="s">
        <v>87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A42:B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10.71"/>
    <col customWidth="1" min="6" max="6" width="9.71"/>
    <col customWidth="1" min="7" max="7" width="12.86"/>
    <col customWidth="1" min="8" max="11" width="10.71"/>
    <col customWidth="1" min="12" max="12" width="10.0"/>
    <col customWidth="1" min="13" max="13" width="18.71"/>
    <col customWidth="1" min="14" max="14" width="16.43"/>
    <col customWidth="1" min="15" max="15" width="12.86"/>
    <col customWidth="1" hidden="1" min="16" max="16" width="12.0"/>
    <col customWidth="1" min="17" max="17" width="25.14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5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137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60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31" t="s">
        <v>138</v>
      </c>
      <c r="E7" s="18">
        <v>4.06</v>
      </c>
      <c r="F7" s="18" t="s">
        <v>26</v>
      </c>
      <c r="G7" s="18" t="s">
        <v>26</v>
      </c>
      <c r="H7" s="18">
        <v>2.45</v>
      </c>
      <c r="I7" s="18" t="s">
        <v>26</v>
      </c>
      <c r="J7" s="18" t="s">
        <v>26</v>
      </c>
      <c r="K7" s="18" t="s">
        <v>26</v>
      </c>
      <c r="L7" s="18">
        <v>4.01</v>
      </c>
      <c r="M7" s="18" t="s">
        <v>26</v>
      </c>
      <c r="N7" s="18">
        <v>2.69</v>
      </c>
      <c r="O7" s="18" t="s">
        <v>26</v>
      </c>
      <c r="P7" s="18"/>
      <c r="Q7" s="19">
        <f t="shared" ref="Q7:Q24" si="1">AVERAGE(E7,F7,G7,H7,I7,J7,K7,L7,M7,N7,O7,P7)</f>
        <v>3.3025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32" t="s">
        <v>139</v>
      </c>
      <c r="E8" s="24">
        <v>3.89</v>
      </c>
      <c r="F8" s="24" t="s">
        <v>26</v>
      </c>
      <c r="G8" s="24" t="s">
        <v>26</v>
      </c>
      <c r="H8" s="24">
        <v>1.08</v>
      </c>
      <c r="I8" s="24" t="s">
        <v>26</v>
      </c>
      <c r="J8" s="24" t="s">
        <v>26</v>
      </c>
      <c r="K8" s="24" t="s">
        <v>26</v>
      </c>
      <c r="L8" s="24">
        <v>4.45</v>
      </c>
      <c r="M8" s="24" t="s">
        <v>26</v>
      </c>
      <c r="N8" s="24">
        <v>2.74</v>
      </c>
      <c r="O8" s="24" t="s">
        <v>26</v>
      </c>
      <c r="P8" s="24"/>
      <c r="Q8" s="26">
        <f t="shared" si="1"/>
        <v>3.04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32" t="s">
        <v>140</v>
      </c>
      <c r="E9" s="24">
        <v>4.18</v>
      </c>
      <c r="F9" s="24" t="s">
        <v>26</v>
      </c>
      <c r="G9" s="24" t="s">
        <v>26</v>
      </c>
      <c r="H9" s="24">
        <v>2.31</v>
      </c>
      <c r="I9" s="24" t="s">
        <v>26</v>
      </c>
      <c r="J9" s="24" t="s">
        <v>26</v>
      </c>
      <c r="K9" s="24" t="s">
        <v>26</v>
      </c>
      <c r="L9" s="24">
        <v>4.53</v>
      </c>
      <c r="M9" s="24" t="s">
        <v>26</v>
      </c>
      <c r="N9" s="24">
        <v>2.89</v>
      </c>
      <c r="O9" s="24" t="s">
        <v>26</v>
      </c>
      <c r="P9" s="24"/>
      <c r="Q9" s="26">
        <f t="shared" si="1"/>
        <v>3.4775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31" t="s">
        <v>138</v>
      </c>
      <c r="E10" s="28">
        <v>6.0</v>
      </c>
      <c r="F10" s="18" t="s">
        <v>26</v>
      </c>
      <c r="G10" s="18" t="s">
        <v>26</v>
      </c>
      <c r="H10" s="28">
        <v>7.0</v>
      </c>
      <c r="I10" s="18" t="s">
        <v>26</v>
      </c>
      <c r="J10" s="18" t="s">
        <v>26</v>
      </c>
      <c r="K10" s="18" t="s">
        <v>26</v>
      </c>
      <c r="L10" s="28">
        <v>11.0</v>
      </c>
      <c r="M10" s="18" t="s">
        <v>26</v>
      </c>
      <c r="N10" s="28">
        <v>4.0</v>
      </c>
      <c r="O10" s="18" t="s">
        <v>26</v>
      </c>
      <c r="P10" s="18"/>
      <c r="Q10" s="29">
        <f t="shared" si="1"/>
        <v>7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32" t="s">
        <v>139</v>
      </c>
      <c r="E11" s="30">
        <v>11.0</v>
      </c>
      <c r="F11" s="24" t="s">
        <v>26</v>
      </c>
      <c r="G11" s="24" t="s">
        <v>26</v>
      </c>
      <c r="H11" s="30">
        <v>6.0</v>
      </c>
      <c r="I11" s="24" t="s">
        <v>26</v>
      </c>
      <c r="J11" s="24" t="s">
        <v>26</v>
      </c>
      <c r="K11" s="24" t="s">
        <v>26</v>
      </c>
      <c r="L11" s="30">
        <v>10.0</v>
      </c>
      <c r="M11" s="24" t="s">
        <v>26</v>
      </c>
      <c r="N11" s="30">
        <v>5.0</v>
      </c>
      <c r="O11" s="24" t="s">
        <v>26</v>
      </c>
      <c r="P11" s="24"/>
      <c r="Q11" s="31">
        <f t="shared" si="1"/>
        <v>8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32" t="s">
        <v>140</v>
      </c>
      <c r="E12" s="30">
        <v>6.0</v>
      </c>
      <c r="F12" s="24" t="s">
        <v>26</v>
      </c>
      <c r="G12" s="24" t="s">
        <v>26</v>
      </c>
      <c r="H12" s="30">
        <v>5.0</v>
      </c>
      <c r="I12" s="24" t="s">
        <v>26</v>
      </c>
      <c r="J12" s="24" t="s">
        <v>26</v>
      </c>
      <c r="K12" s="24" t="s">
        <v>26</v>
      </c>
      <c r="L12" s="30">
        <v>22.0</v>
      </c>
      <c r="M12" s="24" t="s">
        <v>26</v>
      </c>
      <c r="N12" s="30">
        <v>28.0</v>
      </c>
      <c r="O12" s="24" t="s">
        <v>26</v>
      </c>
      <c r="P12" s="24"/>
      <c r="Q12" s="31">
        <f t="shared" si="1"/>
        <v>15.25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31" t="s">
        <v>138</v>
      </c>
      <c r="E13" s="28">
        <v>30.0</v>
      </c>
      <c r="F13" s="18" t="s">
        <v>26</v>
      </c>
      <c r="G13" s="18" t="s">
        <v>26</v>
      </c>
      <c r="H13" s="28">
        <v>15.0</v>
      </c>
      <c r="I13" s="18" t="s">
        <v>26</v>
      </c>
      <c r="J13" s="18" t="s">
        <v>26</v>
      </c>
      <c r="K13" s="18" t="s">
        <v>26</v>
      </c>
      <c r="L13" s="28">
        <v>50.0</v>
      </c>
      <c r="M13" s="18" t="s">
        <v>26</v>
      </c>
      <c r="N13" s="28">
        <v>42.0</v>
      </c>
      <c r="O13" s="18" t="s">
        <v>26</v>
      </c>
      <c r="P13" s="18"/>
      <c r="Q13" s="29">
        <f t="shared" si="1"/>
        <v>34.25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32" t="s">
        <v>139</v>
      </c>
      <c r="E14" s="30">
        <v>23.0</v>
      </c>
      <c r="F14" s="24" t="s">
        <v>26</v>
      </c>
      <c r="G14" s="24" t="s">
        <v>26</v>
      </c>
      <c r="H14" s="30">
        <v>24.0</v>
      </c>
      <c r="I14" s="24" t="s">
        <v>26</v>
      </c>
      <c r="J14" s="24" t="s">
        <v>26</v>
      </c>
      <c r="K14" s="24" t="s">
        <v>26</v>
      </c>
      <c r="L14" s="30">
        <v>22.0</v>
      </c>
      <c r="M14" s="24" t="s">
        <v>26</v>
      </c>
      <c r="N14" s="30">
        <v>36.0</v>
      </c>
      <c r="O14" s="24" t="s">
        <v>26</v>
      </c>
      <c r="P14" s="24"/>
      <c r="Q14" s="31">
        <f t="shared" si="1"/>
        <v>26.25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32" t="s">
        <v>140</v>
      </c>
      <c r="E15" s="30">
        <v>31.0</v>
      </c>
      <c r="F15" s="24" t="s">
        <v>26</v>
      </c>
      <c r="G15" s="24" t="s">
        <v>26</v>
      </c>
      <c r="H15" s="30">
        <v>26.0</v>
      </c>
      <c r="I15" s="24" t="s">
        <v>26</v>
      </c>
      <c r="J15" s="24" t="s">
        <v>26</v>
      </c>
      <c r="K15" s="24" t="s">
        <v>26</v>
      </c>
      <c r="L15" s="30">
        <v>47.0</v>
      </c>
      <c r="M15" s="24" t="s">
        <v>26</v>
      </c>
      <c r="N15" s="30">
        <v>28.0</v>
      </c>
      <c r="O15" s="24" t="s">
        <v>26</v>
      </c>
      <c r="P15" s="24"/>
      <c r="Q15" s="31">
        <f t="shared" si="1"/>
        <v>33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31" t="s">
        <v>138</v>
      </c>
      <c r="E16" s="18">
        <v>8.36</v>
      </c>
      <c r="F16" s="18" t="s">
        <v>26</v>
      </c>
      <c r="G16" s="18" t="s">
        <v>26</v>
      </c>
      <c r="H16" s="18">
        <v>6.87</v>
      </c>
      <c r="I16" s="18" t="s">
        <v>26</v>
      </c>
      <c r="J16" s="18" t="s">
        <v>26</v>
      </c>
      <c r="K16" s="18" t="s">
        <v>26</v>
      </c>
      <c r="L16" s="18">
        <v>6.92</v>
      </c>
      <c r="M16" s="18" t="s">
        <v>26</v>
      </c>
      <c r="N16" s="18">
        <v>7.03</v>
      </c>
      <c r="O16" s="18" t="s">
        <v>26</v>
      </c>
      <c r="P16" s="18"/>
      <c r="Q16" s="19">
        <f t="shared" si="1"/>
        <v>7.295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32" t="s">
        <v>139</v>
      </c>
      <c r="E17" s="24">
        <v>8.36</v>
      </c>
      <c r="F17" s="24" t="s">
        <v>26</v>
      </c>
      <c r="G17" s="24" t="s">
        <v>26</v>
      </c>
      <c r="H17" s="24">
        <v>6.88</v>
      </c>
      <c r="I17" s="24" t="s">
        <v>26</v>
      </c>
      <c r="J17" s="24" t="s">
        <v>26</v>
      </c>
      <c r="K17" s="24" t="s">
        <v>26</v>
      </c>
      <c r="L17" s="24">
        <v>7.0</v>
      </c>
      <c r="M17" s="24" t="s">
        <v>26</v>
      </c>
      <c r="N17" s="24">
        <v>7.4</v>
      </c>
      <c r="O17" s="24" t="s">
        <v>26</v>
      </c>
      <c r="P17" s="24"/>
      <c r="Q17" s="26">
        <f t="shared" si="1"/>
        <v>7.41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32" t="s">
        <v>140</v>
      </c>
      <c r="E18" s="24">
        <v>8.34</v>
      </c>
      <c r="F18" s="24" t="s">
        <v>26</v>
      </c>
      <c r="G18" s="24" t="s">
        <v>26</v>
      </c>
      <c r="H18" s="24">
        <v>6.95</v>
      </c>
      <c r="I18" s="24" t="s">
        <v>26</v>
      </c>
      <c r="J18" s="24" t="s">
        <v>26</v>
      </c>
      <c r="K18" s="24" t="s">
        <v>26</v>
      </c>
      <c r="L18" s="24">
        <v>7.14</v>
      </c>
      <c r="M18" s="24" t="s">
        <v>26</v>
      </c>
      <c r="N18" s="24">
        <v>7.1</v>
      </c>
      <c r="O18" s="24" t="s">
        <v>26</v>
      </c>
      <c r="P18" s="24"/>
      <c r="Q18" s="26">
        <f t="shared" si="1"/>
        <v>7.3825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141</v>
      </c>
      <c r="C19" s="16">
        <v>1.0</v>
      </c>
      <c r="D19" s="131" t="s">
        <v>138</v>
      </c>
      <c r="E19" s="18">
        <v>28.1</v>
      </c>
      <c r="F19" s="18" t="s">
        <v>26</v>
      </c>
      <c r="G19" s="18" t="s">
        <v>26</v>
      </c>
      <c r="H19" s="18">
        <v>29.79</v>
      </c>
      <c r="I19" s="18" t="s">
        <v>26</v>
      </c>
      <c r="J19" s="18" t="s">
        <v>26</v>
      </c>
      <c r="K19" s="18" t="s">
        <v>26</v>
      </c>
      <c r="L19" s="18">
        <v>29.5</v>
      </c>
      <c r="M19" s="18" t="s">
        <v>26</v>
      </c>
      <c r="N19" s="18">
        <v>27.28</v>
      </c>
      <c r="O19" s="18" t="s">
        <v>26</v>
      </c>
      <c r="P19" s="18"/>
      <c r="Q19" s="19">
        <f t="shared" si="1"/>
        <v>28.6675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32" t="s">
        <v>139</v>
      </c>
      <c r="E20" s="24">
        <v>28.2</v>
      </c>
      <c r="F20" s="24" t="s">
        <v>26</v>
      </c>
      <c r="G20" s="24" t="s">
        <v>26</v>
      </c>
      <c r="H20" s="24">
        <v>29.33</v>
      </c>
      <c r="I20" s="24" t="s">
        <v>26</v>
      </c>
      <c r="J20" s="24" t="s">
        <v>26</v>
      </c>
      <c r="K20" s="24" t="s">
        <v>26</v>
      </c>
      <c r="L20" s="24">
        <v>28.05</v>
      </c>
      <c r="M20" s="24" t="s">
        <v>26</v>
      </c>
      <c r="N20" s="24">
        <v>27.38</v>
      </c>
      <c r="O20" s="24" t="s">
        <v>26</v>
      </c>
      <c r="P20" s="24"/>
      <c r="Q20" s="26">
        <f t="shared" si="1"/>
        <v>28.24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32" t="s">
        <v>140</v>
      </c>
      <c r="E21" s="24">
        <v>27.7</v>
      </c>
      <c r="F21" s="24" t="s">
        <v>26</v>
      </c>
      <c r="G21" s="24" t="s">
        <v>26</v>
      </c>
      <c r="H21" s="24">
        <v>28.5</v>
      </c>
      <c r="I21" s="24" t="s">
        <v>26</v>
      </c>
      <c r="J21" s="24" t="s">
        <v>26</v>
      </c>
      <c r="K21" s="24" t="s">
        <v>26</v>
      </c>
      <c r="L21" s="24">
        <v>29.63</v>
      </c>
      <c r="M21" s="24" t="s">
        <v>26</v>
      </c>
      <c r="N21" s="24">
        <v>28.28</v>
      </c>
      <c r="O21" s="24" t="s">
        <v>26</v>
      </c>
      <c r="P21" s="24"/>
      <c r="Q21" s="26">
        <f t="shared" si="1"/>
        <v>28.5275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38</v>
      </c>
      <c r="C22" s="16">
        <v>1.0</v>
      </c>
      <c r="D22" s="131" t="s">
        <v>138</v>
      </c>
      <c r="E22" s="28">
        <v>20.0</v>
      </c>
      <c r="F22" s="18" t="s">
        <v>26</v>
      </c>
      <c r="G22" s="18" t="s">
        <v>26</v>
      </c>
      <c r="H22" s="28">
        <v>20.0</v>
      </c>
      <c r="I22" s="18" t="s">
        <v>26</v>
      </c>
      <c r="J22" s="18" t="s">
        <v>26</v>
      </c>
      <c r="K22" s="18" t="s">
        <v>26</v>
      </c>
      <c r="L22" s="28">
        <v>20.0</v>
      </c>
      <c r="M22" s="18" t="s">
        <v>26</v>
      </c>
      <c r="N22" s="28">
        <v>25.0</v>
      </c>
      <c r="O22" s="18" t="s">
        <v>26</v>
      </c>
      <c r="P22" s="18"/>
      <c r="Q22" s="29">
        <f t="shared" si="1"/>
        <v>21.25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32" t="s">
        <v>139</v>
      </c>
      <c r="E23" s="30">
        <v>20.0</v>
      </c>
      <c r="F23" s="24" t="s">
        <v>26</v>
      </c>
      <c r="G23" s="24" t="s">
        <v>26</v>
      </c>
      <c r="H23" s="30">
        <v>25.0</v>
      </c>
      <c r="I23" s="24" t="s">
        <v>26</v>
      </c>
      <c r="J23" s="24" t="s">
        <v>26</v>
      </c>
      <c r="K23" s="24" t="s">
        <v>26</v>
      </c>
      <c r="L23" s="30">
        <v>20.0</v>
      </c>
      <c r="M23" s="24" t="s">
        <v>26</v>
      </c>
      <c r="N23" s="30">
        <v>25.0</v>
      </c>
      <c r="O23" s="24" t="s">
        <v>26</v>
      </c>
      <c r="P23" s="24"/>
      <c r="Q23" s="31">
        <f t="shared" si="1"/>
        <v>22.5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32" t="s">
        <v>140</v>
      </c>
      <c r="E24" s="30">
        <v>20.0</v>
      </c>
      <c r="F24" s="24" t="s">
        <v>26</v>
      </c>
      <c r="G24" s="24" t="s">
        <v>26</v>
      </c>
      <c r="H24" s="30">
        <v>25.0</v>
      </c>
      <c r="I24" s="24" t="s">
        <v>26</v>
      </c>
      <c r="J24" s="24" t="s">
        <v>26</v>
      </c>
      <c r="K24" s="24" t="s">
        <v>26</v>
      </c>
      <c r="L24" s="30">
        <v>20.0</v>
      </c>
      <c r="M24" s="24" t="s">
        <v>26</v>
      </c>
      <c r="N24" s="30">
        <v>25.0</v>
      </c>
      <c r="O24" s="24" t="s">
        <v>26</v>
      </c>
      <c r="P24" s="24"/>
      <c r="Q24" s="31">
        <f t="shared" si="1"/>
        <v>22.5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31" t="s">
        <v>138</v>
      </c>
      <c r="E25" s="28">
        <v>23000.0</v>
      </c>
      <c r="F25" s="18" t="s">
        <v>26</v>
      </c>
      <c r="G25" s="18" t="s">
        <v>26</v>
      </c>
      <c r="H25" s="33">
        <v>46000.0</v>
      </c>
      <c r="I25" s="18" t="s">
        <v>26</v>
      </c>
      <c r="J25" s="18" t="s">
        <v>26</v>
      </c>
      <c r="K25" s="18" t="s">
        <v>26</v>
      </c>
      <c r="L25" s="33">
        <v>7900.0</v>
      </c>
      <c r="M25" s="18" t="s">
        <v>26</v>
      </c>
      <c r="N25" s="33">
        <v>7900.0</v>
      </c>
      <c r="O25" s="18" t="s">
        <v>26</v>
      </c>
      <c r="P25" s="18"/>
      <c r="Q25" s="153">
        <f t="shared" ref="Q25:Q27" si="2">GEOMEAN(E25,F25,G25,H25,I25,J25,K25,L25,M25,N25,O25,P25)</f>
        <v>16030.05316</v>
      </c>
      <c r="R25" s="17">
        <v>200.0</v>
      </c>
      <c r="S25" s="130">
        <f>geomean(Q25:Q27)</f>
        <v>21638.78814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32" t="s">
        <v>139</v>
      </c>
      <c r="E26" s="30">
        <v>110000.0</v>
      </c>
      <c r="F26" s="24" t="s">
        <v>26</v>
      </c>
      <c r="G26" s="24" t="s">
        <v>26</v>
      </c>
      <c r="H26" s="34">
        <v>130000.0</v>
      </c>
      <c r="I26" s="24" t="s">
        <v>26</v>
      </c>
      <c r="J26" s="24" t="s">
        <v>26</v>
      </c>
      <c r="K26" s="24" t="s">
        <v>26</v>
      </c>
      <c r="L26" s="34">
        <v>7900.0</v>
      </c>
      <c r="M26" s="24" t="s">
        <v>26</v>
      </c>
      <c r="N26" s="34">
        <v>14000.0</v>
      </c>
      <c r="O26" s="24" t="s">
        <v>26</v>
      </c>
      <c r="P26" s="24"/>
      <c r="Q26" s="154">
        <f t="shared" si="2"/>
        <v>35462.78108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32" t="s">
        <v>140</v>
      </c>
      <c r="E27" s="30">
        <v>49000.0</v>
      </c>
      <c r="F27" s="24" t="s">
        <v>26</v>
      </c>
      <c r="G27" s="24" t="s">
        <v>26</v>
      </c>
      <c r="H27" s="34">
        <v>33000.0</v>
      </c>
      <c r="I27" s="24" t="s">
        <v>26</v>
      </c>
      <c r="J27" s="24" t="s">
        <v>26</v>
      </c>
      <c r="K27" s="24" t="s">
        <v>26</v>
      </c>
      <c r="L27" s="34">
        <v>7900.0</v>
      </c>
      <c r="M27" s="24" t="s">
        <v>26</v>
      </c>
      <c r="N27" s="34">
        <v>7900.0</v>
      </c>
      <c r="O27" s="24" t="s">
        <v>26</v>
      </c>
      <c r="P27" s="24"/>
      <c r="Q27" s="154">
        <f t="shared" si="2"/>
        <v>17823.42039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142</v>
      </c>
      <c r="C28" s="16">
        <v>1.0</v>
      </c>
      <c r="D28" s="131" t="s">
        <v>138</v>
      </c>
      <c r="E28" s="40">
        <v>0.867</v>
      </c>
      <c r="F28" s="18" t="s">
        <v>26</v>
      </c>
      <c r="G28" s="18" t="s">
        <v>26</v>
      </c>
      <c r="H28" s="18" t="s">
        <v>42</v>
      </c>
      <c r="I28" s="18" t="s">
        <v>26</v>
      </c>
      <c r="J28" s="18" t="s">
        <v>26</v>
      </c>
      <c r="K28" s="18" t="s">
        <v>26</v>
      </c>
      <c r="L28" s="18">
        <v>0.432</v>
      </c>
      <c r="M28" s="18" t="s">
        <v>26</v>
      </c>
      <c r="N28" s="18">
        <v>0.443</v>
      </c>
      <c r="O28" s="18" t="s">
        <v>26</v>
      </c>
      <c r="P28" s="18"/>
      <c r="Q28" s="41">
        <f>AVERAGE(E28)</f>
        <v>0.867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32" t="s">
        <v>139</v>
      </c>
      <c r="E29" s="43">
        <v>0.561</v>
      </c>
      <c r="F29" s="24" t="s">
        <v>26</v>
      </c>
      <c r="G29" s="24" t="s">
        <v>26</v>
      </c>
      <c r="H29" s="24" t="s">
        <v>42</v>
      </c>
      <c r="I29" s="24" t="s">
        <v>26</v>
      </c>
      <c r="J29" s="24" t="s">
        <v>26</v>
      </c>
      <c r="K29" s="24" t="s">
        <v>26</v>
      </c>
      <c r="L29" s="43">
        <v>0.284</v>
      </c>
      <c r="M29" s="24" t="s">
        <v>26</v>
      </c>
      <c r="N29" s="24">
        <v>0.443</v>
      </c>
      <c r="O29" s="24" t="s">
        <v>26</v>
      </c>
      <c r="P29" s="24"/>
      <c r="Q29" s="44">
        <f>AVERAGE(E29,F29,G29,H29,I29,J29,K29,L29,M29,N29,O29,P29)</f>
        <v>0.4293333333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32" t="s">
        <v>140</v>
      </c>
      <c r="E30" s="43">
        <v>0.52</v>
      </c>
      <c r="F30" s="24" t="s">
        <v>26</v>
      </c>
      <c r="G30" s="24" t="s">
        <v>26</v>
      </c>
      <c r="H30" s="43">
        <v>1.106</v>
      </c>
      <c r="I30" s="24" t="s">
        <v>26</v>
      </c>
      <c r="J30" s="24" t="s">
        <v>26</v>
      </c>
      <c r="K30" s="24" t="s">
        <v>26</v>
      </c>
      <c r="L30" s="24">
        <v>0.428</v>
      </c>
      <c r="M30" s="24" t="s">
        <v>26</v>
      </c>
      <c r="N30" s="24">
        <v>0.346</v>
      </c>
      <c r="O30" s="24" t="s">
        <v>26</v>
      </c>
      <c r="P30" s="24"/>
      <c r="Q30" s="44">
        <v>0.52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143</v>
      </c>
      <c r="C31" s="16">
        <v>1.0</v>
      </c>
      <c r="D31" s="131" t="s">
        <v>138</v>
      </c>
      <c r="E31" s="40">
        <v>0.165</v>
      </c>
      <c r="F31" s="18" t="s">
        <v>26</v>
      </c>
      <c r="G31" s="18" t="s">
        <v>26</v>
      </c>
      <c r="H31" s="40">
        <v>0.264</v>
      </c>
      <c r="I31" s="18" t="s">
        <v>26</v>
      </c>
      <c r="J31" s="18" t="s">
        <v>26</v>
      </c>
      <c r="K31" s="18" t="s">
        <v>26</v>
      </c>
      <c r="L31" s="40">
        <v>0.181</v>
      </c>
      <c r="M31" s="18" t="s">
        <v>26</v>
      </c>
      <c r="N31" s="40">
        <v>0.145</v>
      </c>
      <c r="O31" s="18" t="s">
        <v>26</v>
      </c>
      <c r="P31" s="18"/>
      <c r="Q31" s="41">
        <f t="shared" ref="Q31:Q36" si="3">AVERAGE(E31,F31,G31,H31,I31,J31,K31,L31,M31,N31,O31,P31)</f>
        <v>0.18875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32" t="s">
        <v>139</v>
      </c>
      <c r="E32" s="43">
        <v>0.134</v>
      </c>
      <c r="F32" s="24" t="s">
        <v>26</v>
      </c>
      <c r="G32" s="24" t="s">
        <v>26</v>
      </c>
      <c r="H32" s="43">
        <v>0.257</v>
      </c>
      <c r="I32" s="24" t="s">
        <v>26</v>
      </c>
      <c r="J32" s="24" t="s">
        <v>26</v>
      </c>
      <c r="K32" s="24" t="s">
        <v>26</v>
      </c>
      <c r="L32" s="43">
        <v>0.21</v>
      </c>
      <c r="M32" s="24" t="s">
        <v>26</v>
      </c>
      <c r="N32" s="43">
        <v>0.124</v>
      </c>
      <c r="O32" s="24" t="s">
        <v>26</v>
      </c>
      <c r="P32" s="24"/>
      <c r="Q32" s="44">
        <f t="shared" si="3"/>
        <v>0.18125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32" t="s">
        <v>140</v>
      </c>
      <c r="E33" s="43">
        <v>2.743</v>
      </c>
      <c r="F33" s="24" t="s">
        <v>26</v>
      </c>
      <c r="G33" s="24" t="s">
        <v>26</v>
      </c>
      <c r="H33" s="43">
        <v>0.244</v>
      </c>
      <c r="I33" s="24" t="s">
        <v>26</v>
      </c>
      <c r="J33" s="24" t="s">
        <v>26</v>
      </c>
      <c r="K33" s="24" t="s">
        <v>26</v>
      </c>
      <c r="L33" s="43">
        <v>0.237</v>
      </c>
      <c r="M33" s="24" t="s">
        <v>26</v>
      </c>
      <c r="N33" s="43">
        <v>0.131</v>
      </c>
      <c r="O33" s="24" t="s">
        <v>26</v>
      </c>
      <c r="P33" s="24"/>
      <c r="Q33" s="44">
        <f t="shared" si="3"/>
        <v>0.83875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131" t="s">
        <v>138</v>
      </c>
      <c r="E34" s="28">
        <v>18.0</v>
      </c>
      <c r="F34" s="18" t="s">
        <v>26</v>
      </c>
      <c r="G34" s="18" t="s">
        <v>26</v>
      </c>
      <c r="H34" s="33">
        <v>11081.0</v>
      </c>
      <c r="I34" s="18" t="s">
        <v>26</v>
      </c>
      <c r="J34" s="18" t="s">
        <v>26</v>
      </c>
      <c r="K34" s="18" t="s">
        <v>26</v>
      </c>
      <c r="L34" s="28">
        <v>17.0</v>
      </c>
      <c r="M34" s="18" t="s">
        <v>26</v>
      </c>
      <c r="N34" s="28">
        <v>20.0</v>
      </c>
      <c r="O34" s="18" t="s">
        <v>26</v>
      </c>
      <c r="P34" s="18"/>
      <c r="Q34" s="35">
        <f t="shared" si="3"/>
        <v>2784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132" t="s">
        <v>139</v>
      </c>
      <c r="E35" s="30">
        <v>20.0</v>
      </c>
      <c r="F35" s="24" t="s">
        <v>26</v>
      </c>
      <c r="G35" s="24" t="s">
        <v>26</v>
      </c>
      <c r="H35" s="34">
        <v>9667.0</v>
      </c>
      <c r="I35" s="24" t="s">
        <v>26</v>
      </c>
      <c r="J35" s="24" t="s">
        <v>26</v>
      </c>
      <c r="K35" s="24" t="s">
        <v>26</v>
      </c>
      <c r="L35" s="30">
        <v>27.0</v>
      </c>
      <c r="M35" s="24" t="s">
        <v>26</v>
      </c>
      <c r="N35" s="30">
        <v>18.0</v>
      </c>
      <c r="O35" s="24" t="s">
        <v>26</v>
      </c>
      <c r="P35" s="24"/>
      <c r="Q35" s="38">
        <f t="shared" si="3"/>
        <v>2433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132" t="s">
        <v>140</v>
      </c>
      <c r="E36" s="30">
        <v>98.0</v>
      </c>
      <c r="F36" s="24" t="s">
        <v>26</v>
      </c>
      <c r="G36" s="24" t="s">
        <v>26</v>
      </c>
      <c r="H36" s="34">
        <v>8064.0</v>
      </c>
      <c r="I36" s="24" t="s">
        <v>26</v>
      </c>
      <c r="J36" s="24" t="s">
        <v>26</v>
      </c>
      <c r="K36" s="24" t="s">
        <v>26</v>
      </c>
      <c r="L36" s="30">
        <v>17.0</v>
      </c>
      <c r="M36" s="24" t="s">
        <v>26</v>
      </c>
      <c r="N36" s="30">
        <v>20.0</v>
      </c>
      <c r="O36" s="24" t="s">
        <v>26</v>
      </c>
      <c r="P36" s="24"/>
      <c r="Q36" s="38">
        <f t="shared" si="3"/>
        <v>2049.75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17"/>
      <c r="O37" s="117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4.25" customHeight="1">
      <c r="A38" s="97" t="s">
        <v>76</v>
      </c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17"/>
      <c r="O38" s="117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4.25" customHeight="1"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17"/>
      <c r="O39" s="117"/>
      <c r="P39" s="117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0" hidden="1" customHeight="1">
      <c r="A40" s="99"/>
      <c r="B40" s="99"/>
      <c r="C40" s="99"/>
      <c r="D40" s="97"/>
      <c r="E40" s="97"/>
      <c r="F40" s="97"/>
      <c r="G40" s="100"/>
      <c r="H40" s="100"/>
      <c r="I40" s="100"/>
      <c r="J40" s="100"/>
      <c r="K40" s="100"/>
      <c r="L40" s="100"/>
      <c r="M40" s="100"/>
      <c r="N40" s="100"/>
      <c r="O40" s="117"/>
      <c r="P40" s="117"/>
      <c r="Q40" s="117"/>
      <c r="R40" s="117"/>
      <c r="S40" s="117"/>
      <c r="V40" s="100"/>
      <c r="W40" s="100"/>
      <c r="X40" s="100"/>
      <c r="Y40" s="100"/>
      <c r="Z40" s="100"/>
    </row>
    <row r="41" ht="15.75" customHeight="1">
      <c r="A41" s="97" t="s">
        <v>87</v>
      </c>
      <c r="D41" s="97"/>
      <c r="E41" s="97"/>
      <c r="F41" s="97"/>
      <c r="G41" s="100"/>
      <c r="H41" s="100"/>
      <c r="I41" s="100"/>
      <c r="J41" s="100"/>
      <c r="K41" s="100"/>
      <c r="L41" s="100"/>
      <c r="M41" s="100"/>
      <c r="N41" s="100"/>
      <c r="O41" s="117"/>
      <c r="P41" s="117"/>
      <c r="Q41" s="117"/>
      <c r="R41" s="117"/>
      <c r="S41" s="117"/>
      <c r="V41" s="100"/>
      <c r="W41" s="100"/>
      <c r="X41" s="100"/>
      <c r="Y41" s="100"/>
      <c r="Z41" s="100"/>
    </row>
    <row r="42" ht="15.0" hidden="1" customHeight="1">
      <c r="D42" s="97"/>
      <c r="E42" s="97"/>
      <c r="F42" s="97"/>
      <c r="G42" s="100"/>
      <c r="H42" s="100"/>
      <c r="I42" s="100"/>
      <c r="J42" s="100"/>
      <c r="K42" s="100"/>
      <c r="L42" s="100"/>
      <c r="M42" s="100"/>
      <c r="N42" s="100"/>
      <c r="O42" s="117"/>
      <c r="P42" s="117"/>
      <c r="Q42" s="117"/>
      <c r="R42" s="117"/>
      <c r="S42" s="117"/>
      <c r="V42" s="100"/>
      <c r="W42" s="100"/>
      <c r="X42" s="100"/>
      <c r="Y42" s="100"/>
      <c r="Z42" s="100"/>
    </row>
    <row r="43" ht="15.0" hidden="1" customHeight="1"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17"/>
      <c r="P43" s="117"/>
      <c r="Q43" s="117"/>
      <c r="R43" s="117"/>
      <c r="S43" s="117"/>
      <c r="V43" s="100"/>
      <c r="W43" s="100"/>
      <c r="X43" s="100"/>
      <c r="Y43" s="100"/>
      <c r="Z43" s="100"/>
    </row>
    <row r="44" ht="15.75" customHeight="1"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17"/>
      <c r="O44" s="117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17"/>
      <c r="O45" s="117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17"/>
      <c r="O46" s="117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17"/>
      <c r="O47" s="117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17"/>
      <c r="O48" s="117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17"/>
      <c r="O49" s="117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17"/>
      <c r="O50" s="117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17"/>
      <c r="O51" s="117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17"/>
      <c r="O52" s="117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17"/>
      <c r="O53" s="117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17"/>
      <c r="O54" s="117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17"/>
      <c r="O55" s="117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17"/>
      <c r="O56" s="117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17"/>
      <c r="O57" s="117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17"/>
      <c r="O58" s="117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17"/>
      <c r="O59" s="117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17"/>
      <c r="O60" s="117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17"/>
      <c r="O61" s="117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17"/>
      <c r="O62" s="117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17"/>
      <c r="O63" s="117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17"/>
      <c r="O64" s="117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17"/>
      <c r="O65" s="117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17"/>
      <c r="O66" s="117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17"/>
      <c r="O67" s="117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17"/>
      <c r="O68" s="117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17"/>
      <c r="O69" s="117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17"/>
      <c r="O70" s="117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17"/>
      <c r="O71" s="117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17"/>
      <c r="O72" s="117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17"/>
      <c r="O73" s="117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17"/>
      <c r="O74" s="117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17"/>
      <c r="O75" s="117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17"/>
      <c r="O76" s="117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17"/>
      <c r="O77" s="117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17"/>
      <c r="O78" s="117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17"/>
      <c r="O79" s="117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17"/>
      <c r="O80" s="117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17"/>
      <c r="O81" s="117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17"/>
      <c r="O82" s="117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17"/>
      <c r="O83" s="117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17"/>
      <c r="O84" s="117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17"/>
      <c r="O85" s="117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17"/>
      <c r="O86" s="117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17"/>
      <c r="O87" s="117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17"/>
      <c r="O88" s="117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17"/>
      <c r="O89" s="117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17"/>
      <c r="O90" s="117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17"/>
      <c r="O91" s="117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17"/>
      <c r="O92" s="117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17"/>
      <c r="O93" s="117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17"/>
      <c r="O94" s="117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17"/>
      <c r="O95" s="117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17"/>
      <c r="O96" s="117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17"/>
      <c r="O97" s="117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17"/>
      <c r="O98" s="117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17"/>
      <c r="O99" s="117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17"/>
      <c r="O100" s="117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17"/>
      <c r="O101" s="117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17"/>
      <c r="O102" s="117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17"/>
      <c r="O103" s="117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17"/>
      <c r="O104" s="117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17"/>
      <c r="O105" s="117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17"/>
      <c r="O106" s="117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17"/>
      <c r="O107" s="117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17"/>
      <c r="O108" s="117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17"/>
      <c r="O109" s="117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17"/>
      <c r="O110" s="117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17"/>
      <c r="O111" s="117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17"/>
      <c r="O112" s="117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17"/>
      <c r="O113" s="117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17"/>
      <c r="O114" s="117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17"/>
      <c r="O115" s="117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17"/>
      <c r="O116" s="117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17"/>
      <c r="O117" s="117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17"/>
      <c r="O118" s="117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17"/>
      <c r="O119" s="117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17"/>
      <c r="O120" s="117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17"/>
      <c r="O121" s="117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17"/>
      <c r="O122" s="117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17"/>
      <c r="O123" s="117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17"/>
      <c r="O124" s="117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17"/>
      <c r="O125" s="117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17"/>
      <c r="O126" s="117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17"/>
      <c r="O127" s="117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17"/>
      <c r="O128" s="117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17"/>
      <c r="O129" s="117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17"/>
      <c r="O130" s="117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17"/>
      <c r="O131" s="117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17"/>
      <c r="O132" s="117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17"/>
      <c r="O133" s="117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17"/>
      <c r="O134" s="117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17"/>
      <c r="O135" s="117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17"/>
      <c r="O136" s="117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17"/>
      <c r="O137" s="117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17"/>
      <c r="O138" s="117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17"/>
      <c r="O139" s="117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17"/>
      <c r="O140" s="117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17"/>
      <c r="O141" s="117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17"/>
      <c r="O142" s="117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17"/>
      <c r="O143" s="117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17"/>
      <c r="O144" s="117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17"/>
      <c r="O145" s="117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17"/>
      <c r="O146" s="117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17"/>
      <c r="O147" s="117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17"/>
      <c r="O148" s="117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17"/>
      <c r="O149" s="117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17"/>
      <c r="O150" s="117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17"/>
      <c r="O151" s="117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17"/>
      <c r="O152" s="117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17"/>
      <c r="O153" s="117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17"/>
      <c r="O154" s="117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17"/>
      <c r="O155" s="117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17"/>
      <c r="O156" s="117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17"/>
      <c r="O157" s="117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17"/>
      <c r="O158" s="117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17"/>
      <c r="O159" s="117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17"/>
      <c r="O160" s="117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17"/>
      <c r="O161" s="117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17"/>
      <c r="O162" s="117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17"/>
      <c r="O163" s="117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17"/>
      <c r="O164" s="117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17"/>
      <c r="O165" s="117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17"/>
      <c r="O166" s="117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17"/>
      <c r="O167" s="117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17"/>
      <c r="O168" s="117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17"/>
      <c r="O169" s="117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17"/>
      <c r="O170" s="117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17"/>
      <c r="O171" s="117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17"/>
      <c r="O172" s="117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17"/>
      <c r="O173" s="117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17"/>
      <c r="O174" s="117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17"/>
      <c r="O175" s="117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17"/>
      <c r="O176" s="117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17"/>
      <c r="O177" s="117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17"/>
      <c r="O178" s="117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17"/>
      <c r="O179" s="117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17"/>
      <c r="O180" s="117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17"/>
      <c r="O181" s="117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17"/>
      <c r="O182" s="117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17"/>
      <c r="O183" s="117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17"/>
      <c r="O184" s="117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17"/>
      <c r="O185" s="117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17"/>
      <c r="O186" s="117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17"/>
      <c r="O187" s="117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17"/>
      <c r="O188" s="117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17"/>
      <c r="O189" s="117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17"/>
      <c r="O190" s="117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17"/>
      <c r="O191" s="117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17"/>
      <c r="O192" s="117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17"/>
      <c r="O193" s="117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17"/>
      <c r="O194" s="117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17"/>
      <c r="O195" s="117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17"/>
      <c r="O196" s="117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17"/>
      <c r="O197" s="117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17"/>
      <c r="O198" s="117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17"/>
      <c r="O199" s="117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17"/>
      <c r="O200" s="117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17"/>
      <c r="O201" s="117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17"/>
      <c r="O202" s="117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17"/>
      <c r="O203" s="117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17"/>
      <c r="O204" s="117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17"/>
      <c r="O205" s="117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17"/>
      <c r="O206" s="117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17"/>
      <c r="O207" s="117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17"/>
      <c r="O208" s="117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17"/>
      <c r="O209" s="117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17"/>
      <c r="O210" s="117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17"/>
      <c r="O211" s="117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17"/>
      <c r="O212" s="117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17"/>
      <c r="O213" s="117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17"/>
      <c r="O214" s="117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17"/>
      <c r="O215" s="117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17"/>
      <c r="O216" s="117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17"/>
      <c r="O217" s="117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17"/>
      <c r="O218" s="117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17"/>
      <c r="O219" s="117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17"/>
      <c r="O220" s="117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17"/>
      <c r="O221" s="117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17"/>
      <c r="O222" s="117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17"/>
      <c r="O223" s="117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17"/>
      <c r="O224" s="117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17"/>
      <c r="O225" s="117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17"/>
      <c r="O226" s="117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17"/>
      <c r="O227" s="117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17"/>
      <c r="O228" s="117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17"/>
      <c r="O229" s="117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17"/>
      <c r="O230" s="117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17"/>
      <c r="O231" s="117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17"/>
      <c r="O232" s="117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17"/>
      <c r="O233" s="117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17"/>
      <c r="O234" s="117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17"/>
      <c r="O235" s="117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17"/>
      <c r="O236" s="117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17"/>
      <c r="O237" s="117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17"/>
      <c r="O238" s="117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17"/>
      <c r="O239" s="117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17"/>
      <c r="O240" s="117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17"/>
      <c r="O241" s="117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17"/>
      <c r="O242" s="117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17"/>
      <c r="O243" s="117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17"/>
      <c r="O244" s="117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17"/>
      <c r="O245" s="117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17"/>
      <c r="O246" s="117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17"/>
      <c r="O247" s="117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17"/>
      <c r="O248" s="117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17"/>
      <c r="O249" s="117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17"/>
      <c r="O250" s="117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17"/>
      <c r="O251" s="117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17"/>
      <c r="O252" s="117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17"/>
      <c r="O253" s="117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17"/>
      <c r="O254" s="117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17"/>
      <c r="O255" s="117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17"/>
      <c r="O256" s="117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17"/>
      <c r="O257" s="117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17"/>
      <c r="O258" s="117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17"/>
      <c r="O259" s="117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17"/>
      <c r="O260" s="117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17"/>
      <c r="O261" s="117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17"/>
      <c r="O262" s="117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17"/>
      <c r="O263" s="117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17"/>
      <c r="O264" s="117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17"/>
      <c r="O265" s="117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17"/>
      <c r="O266" s="117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17"/>
      <c r="O267" s="117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17"/>
      <c r="O268" s="117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17"/>
      <c r="O269" s="117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17"/>
      <c r="O270" s="117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17"/>
      <c r="O271" s="117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17"/>
      <c r="O272" s="117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17"/>
      <c r="O273" s="117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17"/>
      <c r="O274" s="117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17"/>
      <c r="O275" s="117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17"/>
      <c r="O276" s="117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17"/>
      <c r="O277" s="117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17"/>
      <c r="O278" s="117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17"/>
      <c r="O279" s="117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17"/>
      <c r="O280" s="117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17"/>
      <c r="O281" s="117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17"/>
      <c r="O282" s="117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17"/>
      <c r="O283" s="117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17"/>
      <c r="O284" s="117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17"/>
      <c r="O285" s="117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17"/>
      <c r="O286" s="117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17"/>
      <c r="O287" s="117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17"/>
      <c r="O288" s="117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17"/>
      <c r="O289" s="117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17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17"/>
      <c r="O291" s="117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17"/>
      <c r="O292" s="117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17"/>
      <c r="O293" s="117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17"/>
      <c r="O294" s="117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17"/>
      <c r="O295" s="117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17"/>
      <c r="O296" s="117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17"/>
      <c r="O297" s="117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17"/>
      <c r="O298" s="117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17"/>
      <c r="O299" s="117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17"/>
      <c r="O300" s="117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17"/>
      <c r="O301" s="117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17"/>
      <c r="O302" s="117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17"/>
      <c r="O303" s="117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17"/>
      <c r="O304" s="117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17"/>
      <c r="O305" s="117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17"/>
      <c r="O306" s="117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17"/>
      <c r="O307" s="117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17"/>
      <c r="O308" s="117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17"/>
      <c r="O309" s="117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17"/>
      <c r="O310" s="117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17"/>
      <c r="O311" s="117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17"/>
      <c r="O312" s="117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17"/>
      <c r="O313" s="117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17"/>
      <c r="O314" s="117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17"/>
      <c r="O315" s="117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17"/>
      <c r="O316" s="117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17"/>
      <c r="O317" s="117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17"/>
      <c r="O318" s="117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17"/>
      <c r="O319" s="117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17"/>
      <c r="O320" s="117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17"/>
      <c r="O321" s="117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17"/>
      <c r="O322" s="117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17"/>
      <c r="O323" s="117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17"/>
      <c r="O324" s="117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17"/>
      <c r="O325" s="117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17"/>
      <c r="O326" s="117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17"/>
      <c r="O327" s="117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17"/>
      <c r="O328" s="117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17"/>
      <c r="O329" s="117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17"/>
      <c r="O330" s="117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17"/>
      <c r="O331" s="117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17"/>
      <c r="O332" s="117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17"/>
      <c r="O333" s="117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17"/>
      <c r="O334" s="117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17"/>
      <c r="O335" s="117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17"/>
      <c r="O336" s="117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17"/>
      <c r="O337" s="117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17"/>
      <c r="O338" s="117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17"/>
      <c r="O339" s="117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17"/>
      <c r="O340" s="117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17"/>
      <c r="O341" s="117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17"/>
      <c r="O342" s="117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17"/>
      <c r="O343" s="117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17"/>
      <c r="O344" s="117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17"/>
      <c r="O345" s="117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17"/>
      <c r="O346" s="117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17"/>
      <c r="O347" s="117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17"/>
      <c r="O348" s="117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17"/>
      <c r="O349" s="117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17"/>
      <c r="O350" s="117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17"/>
      <c r="O351" s="117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17"/>
      <c r="O352" s="117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17"/>
      <c r="O353" s="117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17"/>
      <c r="O354" s="117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17"/>
      <c r="O355" s="117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17"/>
      <c r="O356" s="117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17"/>
      <c r="O357" s="117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17"/>
      <c r="O358" s="117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17"/>
      <c r="O359" s="117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17"/>
      <c r="O360" s="117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17"/>
      <c r="O361" s="117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17"/>
      <c r="O362" s="117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17"/>
      <c r="O363" s="117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17"/>
      <c r="O364" s="117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17"/>
      <c r="O365" s="117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17"/>
      <c r="O366" s="117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17"/>
      <c r="O367" s="117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17"/>
      <c r="O368" s="117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17"/>
      <c r="O369" s="117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17"/>
      <c r="O370" s="117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17"/>
      <c r="O371" s="117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17"/>
      <c r="O372" s="117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17"/>
      <c r="O373" s="117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17"/>
      <c r="O374" s="117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17"/>
      <c r="O375" s="117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17"/>
      <c r="O376" s="117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17"/>
      <c r="O377" s="117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17"/>
      <c r="O378" s="117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17"/>
      <c r="O379" s="117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17"/>
      <c r="O380" s="117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17"/>
      <c r="O381" s="117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17"/>
      <c r="O382" s="117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17"/>
      <c r="O383" s="117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17"/>
      <c r="O384" s="117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17"/>
      <c r="O385" s="117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17"/>
      <c r="O386" s="117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17"/>
      <c r="O387" s="117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17"/>
      <c r="O388" s="117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17"/>
      <c r="O389" s="117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17"/>
      <c r="O390" s="117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17"/>
      <c r="O391" s="117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17"/>
      <c r="O392" s="117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17"/>
      <c r="O393" s="117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17"/>
      <c r="O394" s="117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17"/>
      <c r="O395" s="117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17"/>
      <c r="O396" s="117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17"/>
      <c r="O397" s="117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17"/>
      <c r="O398" s="117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17"/>
      <c r="O399" s="117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17"/>
      <c r="O400" s="117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17"/>
      <c r="O401" s="117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17"/>
      <c r="O402" s="117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17"/>
      <c r="O403" s="117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17"/>
      <c r="O404" s="117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17"/>
      <c r="O405" s="117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17"/>
      <c r="O406" s="117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17"/>
      <c r="O407" s="117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17"/>
      <c r="O408" s="117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17"/>
      <c r="O409" s="117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17"/>
      <c r="O410" s="117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17"/>
      <c r="O411" s="117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17"/>
      <c r="O412" s="117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17"/>
      <c r="O413" s="117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17"/>
      <c r="O414" s="117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17"/>
      <c r="O415" s="117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17"/>
      <c r="O416" s="117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17"/>
      <c r="O417" s="117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17"/>
      <c r="O418" s="117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17"/>
      <c r="O419" s="117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17"/>
      <c r="O420" s="117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17"/>
      <c r="O421" s="117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17"/>
      <c r="O422" s="117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17"/>
      <c r="O423" s="117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17"/>
      <c r="O424" s="117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17"/>
      <c r="O425" s="117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17"/>
      <c r="O426" s="117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17"/>
      <c r="O427" s="117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17"/>
      <c r="O428" s="117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17"/>
      <c r="O429" s="117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17"/>
      <c r="O430" s="117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17"/>
      <c r="O431" s="117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17"/>
      <c r="O432" s="117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17"/>
      <c r="O433" s="117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17"/>
      <c r="O434" s="117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17"/>
      <c r="O435" s="117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17"/>
      <c r="O436" s="117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17"/>
      <c r="O437" s="117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17"/>
      <c r="O438" s="117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17"/>
      <c r="O439" s="117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17"/>
      <c r="O440" s="117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17"/>
      <c r="O441" s="117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17"/>
      <c r="O442" s="117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17"/>
      <c r="O443" s="117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17"/>
      <c r="O444" s="117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17"/>
      <c r="O445" s="117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17"/>
      <c r="O446" s="117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17"/>
      <c r="O447" s="117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17"/>
      <c r="O448" s="117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17"/>
      <c r="O449" s="117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17"/>
      <c r="O450" s="117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17"/>
      <c r="O451" s="117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17"/>
      <c r="O452" s="117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17"/>
      <c r="O453" s="117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17"/>
      <c r="O454" s="117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17"/>
      <c r="O455" s="117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17"/>
      <c r="O456" s="117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17"/>
      <c r="O457" s="117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17"/>
      <c r="O458" s="117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17"/>
      <c r="O459" s="117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17"/>
      <c r="O460" s="117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17"/>
      <c r="O461" s="117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17"/>
      <c r="O462" s="117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17"/>
      <c r="O463" s="117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17"/>
      <c r="O464" s="117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17"/>
      <c r="O465" s="117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17"/>
      <c r="O466" s="117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17"/>
      <c r="O467" s="117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17"/>
      <c r="O468" s="117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17"/>
      <c r="O469" s="117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17"/>
      <c r="O470" s="117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17"/>
      <c r="O471" s="117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17"/>
      <c r="O472" s="117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17"/>
      <c r="O473" s="117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17"/>
      <c r="O474" s="117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17"/>
      <c r="O475" s="117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17"/>
      <c r="O476" s="117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17"/>
      <c r="O477" s="117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17"/>
      <c r="O478" s="117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17"/>
      <c r="O479" s="117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17"/>
      <c r="O480" s="117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17"/>
      <c r="O481" s="117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17"/>
      <c r="O482" s="117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17"/>
      <c r="O483" s="117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17"/>
      <c r="O484" s="117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17"/>
      <c r="O485" s="117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17"/>
      <c r="O486" s="117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17"/>
      <c r="O487" s="117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17"/>
      <c r="O488" s="117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17"/>
      <c r="O489" s="117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17"/>
      <c r="O490" s="117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17"/>
      <c r="O491" s="117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17"/>
      <c r="O492" s="117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17"/>
      <c r="O493" s="117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17"/>
      <c r="O494" s="117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17"/>
      <c r="O495" s="117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17"/>
      <c r="O496" s="117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17"/>
      <c r="O497" s="117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17"/>
      <c r="O498" s="117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17"/>
      <c r="O499" s="117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17"/>
      <c r="O500" s="117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17"/>
      <c r="O501" s="117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17"/>
      <c r="O502" s="117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17"/>
      <c r="O503" s="117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17"/>
      <c r="O504" s="117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17"/>
      <c r="O505" s="117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17"/>
      <c r="O506" s="117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17"/>
      <c r="O507" s="117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17"/>
      <c r="O508" s="117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17"/>
      <c r="O509" s="117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17"/>
      <c r="O510" s="117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17"/>
      <c r="O511" s="117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17"/>
      <c r="O512" s="117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17"/>
      <c r="O513" s="117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17"/>
      <c r="O514" s="117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17"/>
      <c r="O515" s="117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17"/>
      <c r="O516" s="117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17"/>
      <c r="O517" s="117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17"/>
      <c r="O518" s="117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17"/>
      <c r="O519" s="117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17"/>
      <c r="O520" s="117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17"/>
      <c r="O521" s="117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17"/>
      <c r="O522" s="117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17"/>
      <c r="O523" s="117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17"/>
      <c r="O524" s="117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17"/>
      <c r="O525" s="117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17"/>
      <c r="O526" s="117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17"/>
      <c r="O527" s="117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17"/>
      <c r="O528" s="117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17"/>
      <c r="O529" s="117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17"/>
      <c r="O530" s="117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17"/>
      <c r="O531" s="117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17"/>
      <c r="O532" s="117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17"/>
      <c r="O533" s="117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17"/>
      <c r="O534" s="117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17"/>
      <c r="O535" s="117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17"/>
      <c r="O536" s="117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17"/>
      <c r="O537" s="117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17"/>
      <c r="O538" s="117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17"/>
      <c r="O539" s="117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17"/>
      <c r="O540" s="117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17"/>
      <c r="O541" s="117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17"/>
      <c r="O542" s="117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17"/>
      <c r="O543" s="117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17"/>
      <c r="O544" s="117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17"/>
      <c r="O545" s="117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17"/>
      <c r="O546" s="117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17"/>
      <c r="O547" s="117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17"/>
      <c r="O548" s="117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17"/>
      <c r="O549" s="117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17"/>
      <c r="O550" s="117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17"/>
      <c r="O551" s="117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17"/>
      <c r="O552" s="117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17"/>
      <c r="O553" s="117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17"/>
      <c r="O554" s="117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17"/>
      <c r="O555" s="117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17"/>
      <c r="O556" s="117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17"/>
      <c r="O557" s="117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17"/>
      <c r="O558" s="117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17"/>
      <c r="O559" s="117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17"/>
      <c r="O560" s="117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17"/>
      <c r="O561" s="117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17"/>
      <c r="O562" s="117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17"/>
      <c r="O563" s="117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17"/>
      <c r="O564" s="117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17"/>
      <c r="O565" s="117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17"/>
      <c r="O566" s="117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17"/>
      <c r="O567" s="117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17"/>
      <c r="O568" s="117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17"/>
      <c r="O569" s="117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17"/>
      <c r="O570" s="117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17"/>
      <c r="O571" s="117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17"/>
      <c r="O572" s="117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17"/>
      <c r="O573" s="117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17"/>
      <c r="O574" s="117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17"/>
      <c r="O575" s="117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17"/>
      <c r="O576" s="117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17"/>
      <c r="O577" s="117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17"/>
      <c r="O578" s="117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17"/>
      <c r="O579" s="117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17"/>
      <c r="O580" s="117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17"/>
      <c r="O581" s="117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17"/>
      <c r="O582" s="117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17"/>
      <c r="O583" s="117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17"/>
      <c r="O584" s="117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17"/>
      <c r="O585" s="117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17"/>
      <c r="O586" s="117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17"/>
      <c r="O587" s="117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17"/>
      <c r="O588" s="117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17"/>
      <c r="O589" s="117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17"/>
      <c r="O590" s="117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17"/>
      <c r="O591" s="117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17"/>
      <c r="O592" s="117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17"/>
      <c r="O593" s="117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17"/>
      <c r="O594" s="117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17"/>
      <c r="O595" s="117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17"/>
      <c r="O596" s="117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17"/>
      <c r="O597" s="117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17"/>
      <c r="O598" s="117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17"/>
      <c r="O599" s="117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17"/>
      <c r="O600" s="117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17"/>
      <c r="O601" s="117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17"/>
      <c r="O602" s="117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17"/>
      <c r="O603" s="117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17"/>
      <c r="O604" s="117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17"/>
      <c r="O605" s="117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17"/>
      <c r="O606" s="117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17"/>
      <c r="O607" s="117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17"/>
      <c r="O608" s="117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17"/>
      <c r="O609" s="117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17"/>
      <c r="O610" s="117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17"/>
      <c r="O611" s="117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17"/>
      <c r="O612" s="117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17"/>
      <c r="O613" s="117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17"/>
      <c r="O614" s="117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17"/>
      <c r="O615" s="117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17"/>
      <c r="O616" s="117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17"/>
      <c r="O617" s="117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17"/>
      <c r="O618" s="117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17"/>
      <c r="O619" s="117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17"/>
      <c r="O620" s="117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17"/>
      <c r="O621" s="117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17"/>
      <c r="O622" s="117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17"/>
      <c r="O623" s="117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17"/>
      <c r="O624" s="117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17"/>
      <c r="O625" s="117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17"/>
      <c r="O626" s="117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17"/>
      <c r="O627" s="117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17"/>
      <c r="O628" s="117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17"/>
      <c r="O629" s="117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17"/>
      <c r="O630" s="117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17"/>
      <c r="O631" s="117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17"/>
      <c r="O632" s="117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17"/>
      <c r="O633" s="117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17"/>
      <c r="O634" s="117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17"/>
      <c r="O635" s="117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17"/>
      <c r="O636" s="117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17"/>
      <c r="O637" s="117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17"/>
      <c r="O638" s="117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17"/>
      <c r="O639" s="117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17"/>
      <c r="O640" s="117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17"/>
      <c r="O641" s="117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17"/>
      <c r="O642" s="117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17"/>
      <c r="O643" s="117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17"/>
      <c r="O644" s="117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17"/>
      <c r="O645" s="117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17"/>
      <c r="O646" s="117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17"/>
      <c r="O647" s="117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17"/>
      <c r="O648" s="117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17"/>
      <c r="O649" s="117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17"/>
      <c r="O650" s="117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17"/>
      <c r="O651" s="117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17"/>
      <c r="O652" s="117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17"/>
      <c r="O653" s="117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17"/>
      <c r="O654" s="117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17"/>
      <c r="O655" s="117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17"/>
      <c r="O656" s="117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17"/>
      <c r="O657" s="117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17"/>
      <c r="O658" s="117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17"/>
      <c r="O659" s="117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17"/>
      <c r="O660" s="117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17"/>
      <c r="O661" s="117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17"/>
      <c r="O662" s="117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17"/>
      <c r="O663" s="117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17"/>
      <c r="O664" s="117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17"/>
      <c r="O665" s="117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17"/>
      <c r="O666" s="117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17"/>
      <c r="O667" s="117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17"/>
      <c r="O668" s="117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17"/>
      <c r="O669" s="117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17"/>
      <c r="O670" s="117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17"/>
      <c r="O671" s="117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17"/>
      <c r="O672" s="117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17"/>
      <c r="O673" s="117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17"/>
      <c r="O674" s="117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17"/>
      <c r="O675" s="117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17"/>
      <c r="O676" s="117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17"/>
      <c r="O677" s="117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17"/>
      <c r="O678" s="117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17"/>
      <c r="O679" s="117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17"/>
      <c r="O680" s="117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17"/>
      <c r="O681" s="117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17"/>
      <c r="O682" s="117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17"/>
      <c r="O683" s="117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17"/>
      <c r="O684" s="117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17"/>
      <c r="O685" s="117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17"/>
      <c r="O686" s="117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17"/>
      <c r="O687" s="117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17"/>
      <c r="O688" s="117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17"/>
      <c r="O689" s="117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17"/>
      <c r="O690" s="117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17"/>
      <c r="O691" s="117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17"/>
      <c r="O692" s="117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17"/>
      <c r="O693" s="117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17"/>
      <c r="O694" s="117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17"/>
      <c r="O695" s="117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17"/>
      <c r="O696" s="117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17"/>
      <c r="O697" s="117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17"/>
      <c r="O698" s="117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17"/>
      <c r="O699" s="117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17"/>
      <c r="O700" s="117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17"/>
      <c r="O701" s="117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17"/>
      <c r="O702" s="117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17"/>
      <c r="O703" s="117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17"/>
      <c r="O704" s="117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17"/>
      <c r="O705" s="117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17"/>
      <c r="O706" s="117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17"/>
      <c r="O707" s="117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17"/>
      <c r="O708" s="117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17"/>
      <c r="O709" s="117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17"/>
      <c r="O710" s="117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17"/>
      <c r="O711" s="117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17"/>
      <c r="O712" s="117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17"/>
      <c r="O713" s="117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17"/>
      <c r="O714" s="117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17"/>
      <c r="O715" s="117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17"/>
      <c r="O716" s="117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17"/>
      <c r="O717" s="117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17"/>
      <c r="O718" s="117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17"/>
      <c r="O719" s="117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17"/>
      <c r="O720" s="117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17"/>
      <c r="O721" s="117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17"/>
      <c r="O722" s="117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17"/>
      <c r="O723" s="117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17"/>
      <c r="O724" s="117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17"/>
      <c r="O725" s="117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17"/>
      <c r="O726" s="117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17"/>
      <c r="O727" s="117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17"/>
      <c r="O728" s="117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17"/>
      <c r="O729" s="117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17"/>
      <c r="O730" s="117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17"/>
      <c r="O731" s="117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17"/>
      <c r="O732" s="117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17"/>
      <c r="O733" s="117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17"/>
      <c r="O734" s="117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17"/>
      <c r="O735" s="117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17"/>
      <c r="O736" s="117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17"/>
      <c r="O737" s="117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17"/>
      <c r="O738" s="117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17"/>
      <c r="O739" s="117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17"/>
      <c r="O740" s="117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17"/>
      <c r="O741" s="117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17"/>
      <c r="O742" s="117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17"/>
      <c r="O743" s="117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17"/>
      <c r="O744" s="117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17"/>
      <c r="O745" s="117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17"/>
      <c r="O746" s="117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17"/>
      <c r="O747" s="117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17"/>
      <c r="O748" s="117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17"/>
      <c r="O749" s="117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17"/>
      <c r="O750" s="117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17"/>
      <c r="O751" s="117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17"/>
      <c r="O752" s="117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17"/>
      <c r="O753" s="117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17"/>
      <c r="O754" s="117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17"/>
      <c r="O755" s="117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17"/>
      <c r="O756" s="117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17"/>
      <c r="O757" s="117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17"/>
      <c r="O758" s="117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17"/>
      <c r="O759" s="117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17"/>
      <c r="O760" s="117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17"/>
      <c r="O761" s="117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17"/>
      <c r="O762" s="117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17"/>
      <c r="O763" s="117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17"/>
      <c r="O764" s="117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17"/>
      <c r="O765" s="117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17"/>
      <c r="O766" s="117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17"/>
      <c r="O767" s="117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17"/>
      <c r="O768" s="117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17"/>
      <c r="O769" s="117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17"/>
      <c r="O770" s="117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17"/>
      <c r="O771" s="117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17"/>
      <c r="O772" s="117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17"/>
      <c r="O773" s="117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17"/>
      <c r="O774" s="117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17"/>
      <c r="O775" s="117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17"/>
      <c r="O776" s="117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17"/>
      <c r="O777" s="117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17"/>
      <c r="O778" s="117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17"/>
      <c r="O779" s="117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17"/>
      <c r="O780" s="117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17"/>
      <c r="O781" s="117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17"/>
      <c r="O782" s="117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17"/>
      <c r="O783" s="117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17"/>
      <c r="O784" s="117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17"/>
      <c r="O785" s="117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17"/>
      <c r="O786" s="117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17"/>
      <c r="O787" s="117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17"/>
      <c r="O788" s="117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17"/>
      <c r="O789" s="117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17"/>
      <c r="O790" s="117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17"/>
      <c r="O791" s="117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17"/>
      <c r="O792" s="117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17"/>
      <c r="O793" s="117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17"/>
      <c r="O794" s="117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17"/>
      <c r="O795" s="117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17"/>
      <c r="O796" s="117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17"/>
      <c r="O797" s="117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17"/>
      <c r="O798" s="117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17"/>
      <c r="O799" s="117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17"/>
      <c r="O800" s="117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17"/>
      <c r="O801" s="117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17"/>
      <c r="O802" s="117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17"/>
      <c r="O803" s="117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17"/>
      <c r="O804" s="117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17"/>
      <c r="O805" s="117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17"/>
      <c r="O806" s="117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17"/>
      <c r="O807" s="117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17"/>
      <c r="O808" s="117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17"/>
      <c r="O809" s="117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17"/>
      <c r="O810" s="117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17"/>
      <c r="O811" s="117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17"/>
      <c r="O812" s="117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17"/>
      <c r="O813" s="117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17"/>
      <c r="O814" s="117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17"/>
      <c r="O815" s="117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17"/>
      <c r="O816" s="117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17"/>
      <c r="O817" s="117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17"/>
      <c r="O818" s="117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17"/>
      <c r="O819" s="117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17"/>
      <c r="O820" s="117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17"/>
      <c r="O821" s="117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17"/>
      <c r="O822" s="117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17"/>
      <c r="O823" s="117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17"/>
      <c r="O824" s="117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17"/>
      <c r="O825" s="117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17"/>
      <c r="O826" s="117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17"/>
      <c r="O827" s="117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17"/>
      <c r="O828" s="117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17"/>
      <c r="O829" s="117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17"/>
      <c r="O830" s="117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17"/>
      <c r="O831" s="117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17"/>
      <c r="O832" s="117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17"/>
      <c r="O833" s="117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17"/>
      <c r="O834" s="117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17"/>
      <c r="O835" s="117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17"/>
      <c r="O836" s="117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17"/>
      <c r="O837" s="117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17"/>
      <c r="O838" s="117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17"/>
      <c r="O839" s="117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17"/>
      <c r="O840" s="117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17"/>
      <c r="O841" s="117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17"/>
      <c r="O842" s="117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17"/>
      <c r="O843" s="117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17"/>
      <c r="O844" s="117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17"/>
      <c r="O845" s="117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17"/>
      <c r="O846" s="117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17"/>
      <c r="O847" s="117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17"/>
      <c r="O848" s="117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17"/>
      <c r="O849" s="117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17"/>
      <c r="O850" s="117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17"/>
      <c r="O851" s="117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17"/>
      <c r="O852" s="117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17"/>
      <c r="O853" s="117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17"/>
      <c r="O854" s="117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17"/>
      <c r="O855" s="117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17"/>
      <c r="O856" s="117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17"/>
      <c r="O857" s="117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17"/>
      <c r="O858" s="117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17"/>
      <c r="O859" s="117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17"/>
      <c r="O860" s="117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17"/>
      <c r="O861" s="117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17"/>
      <c r="O862" s="117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17"/>
      <c r="O863" s="117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17"/>
      <c r="O864" s="117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17"/>
      <c r="O865" s="117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17"/>
      <c r="O866" s="117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17"/>
      <c r="O867" s="117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17"/>
      <c r="O868" s="117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17"/>
      <c r="O869" s="117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17"/>
      <c r="O870" s="117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17"/>
      <c r="O871" s="117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17"/>
      <c r="O872" s="117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17"/>
      <c r="O873" s="117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17"/>
      <c r="O874" s="117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17"/>
      <c r="O875" s="117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17"/>
      <c r="O876" s="117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17"/>
      <c r="O877" s="117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17"/>
      <c r="O878" s="117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17"/>
      <c r="O879" s="117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17"/>
      <c r="O880" s="117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17"/>
      <c r="O881" s="117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17"/>
      <c r="O882" s="117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17"/>
      <c r="O883" s="117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17"/>
      <c r="O884" s="117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17"/>
      <c r="O885" s="117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17"/>
      <c r="O886" s="117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17"/>
      <c r="O887" s="117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17"/>
      <c r="O888" s="117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17"/>
      <c r="O889" s="117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17"/>
      <c r="O890" s="117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17"/>
      <c r="O891" s="117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17"/>
      <c r="O892" s="117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17"/>
      <c r="O893" s="117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17"/>
      <c r="O894" s="117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17"/>
      <c r="O895" s="117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17"/>
      <c r="O896" s="117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17"/>
      <c r="O897" s="117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17"/>
      <c r="O898" s="117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17"/>
      <c r="O899" s="117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17"/>
      <c r="O900" s="117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17"/>
      <c r="O901" s="117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17"/>
      <c r="O902" s="117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17"/>
      <c r="O903" s="117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17"/>
      <c r="O904" s="117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17"/>
      <c r="O905" s="117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17"/>
      <c r="O906" s="117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17"/>
      <c r="O907" s="117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17"/>
      <c r="O908" s="117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17"/>
      <c r="O909" s="117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17"/>
      <c r="O910" s="117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17"/>
      <c r="O911" s="117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17"/>
      <c r="O912" s="117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17"/>
      <c r="O913" s="117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17"/>
      <c r="O914" s="117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17"/>
      <c r="O915" s="117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17"/>
      <c r="O916" s="117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17"/>
      <c r="O917" s="117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17"/>
      <c r="O918" s="117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17"/>
      <c r="O919" s="117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17"/>
      <c r="O920" s="117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17"/>
      <c r="O921" s="117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17"/>
      <c r="O922" s="117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17"/>
      <c r="O923" s="117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17"/>
      <c r="O924" s="117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17"/>
      <c r="O925" s="117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17"/>
      <c r="O926" s="117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17"/>
      <c r="O927" s="117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17"/>
      <c r="O928" s="117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17"/>
      <c r="O929" s="117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17"/>
      <c r="O930" s="117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17"/>
      <c r="O931" s="117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17"/>
      <c r="O932" s="117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17"/>
      <c r="O933" s="117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17"/>
      <c r="O934" s="117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17"/>
      <c r="O935" s="117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17"/>
      <c r="O936" s="117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17"/>
      <c r="O937" s="117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17"/>
      <c r="O938" s="117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17"/>
      <c r="O939" s="117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17"/>
      <c r="O940" s="117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17"/>
      <c r="O941" s="117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17"/>
      <c r="O942" s="117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17"/>
      <c r="O943" s="117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17"/>
      <c r="O944" s="117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17"/>
      <c r="O945" s="117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17"/>
      <c r="O946" s="117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17"/>
      <c r="O947" s="117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17"/>
      <c r="O948" s="117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17"/>
      <c r="O949" s="117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17"/>
      <c r="O950" s="117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17"/>
      <c r="O951" s="117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17"/>
      <c r="O952" s="117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17"/>
      <c r="O953" s="117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17"/>
      <c r="O954" s="117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17"/>
      <c r="O955" s="117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17"/>
      <c r="O956" s="117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17"/>
      <c r="O957" s="117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17"/>
      <c r="O958" s="117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17"/>
      <c r="O959" s="117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17"/>
      <c r="O960" s="117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17"/>
      <c r="O961" s="117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17"/>
      <c r="O962" s="117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17"/>
      <c r="O963" s="117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17"/>
      <c r="O964" s="117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17"/>
      <c r="O965" s="117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17"/>
      <c r="O966" s="117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17"/>
      <c r="O967" s="117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17"/>
      <c r="O968" s="117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17"/>
      <c r="O969" s="117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17"/>
      <c r="O970" s="117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17"/>
      <c r="O971" s="117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17"/>
      <c r="O972" s="117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17"/>
      <c r="O973" s="117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17"/>
      <c r="O974" s="117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17"/>
      <c r="O975" s="117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17"/>
      <c r="O976" s="117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17"/>
      <c r="O977" s="117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17"/>
      <c r="O978" s="117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17"/>
      <c r="O979" s="117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17"/>
      <c r="O980" s="117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17"/>
      <c r="O981" s="117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17"/>
      <c r="O982" s="117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17"/>
      <c r="O983" s="117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17"/>
      <c r="O984" s="117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17"/>
      <c r="O985" s="117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17"/>
      <c r="O986" s="117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17"/>
      <c r="O987" s="117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17"/>
      <c r="O988" s="117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17"/>
      <c r="O989" s="117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17"/>
      <c r="O990" s="117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17"/>
      <c r="O991" s="117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17"/>
      <c r="O992" s="117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17"/>
      <c r="O993" s="117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17"/>
      <c r="O994" s="117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17"/>
      <c r="O995" s="117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17"/>
      <c r="O996" s="117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17"/>
      <c r="O997" s="117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17"/>
      <c r="O998" s="117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17"/>
      <c r="O999" s="117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17"/>
      <c r="O1000" s="117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1:C44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31.0"/>
    <col customWidth="1" min="5" max="8" width="10.71"/>
    <col customWidth="1" min="9" max="9" width="16.43"/>
    <col customWidth="1" min="10" max="11" width="10.71"/>
    <col customWidth="1" min="12" max="12" width="10.57"/>
    <col customWidth="1" min="13" max="13" width="16.29"/>
    <col customWidth="1" min="14" max="15" width="10.86"/>
    <col customWidth="1" min="16" max="16" width="10.71"/>
    <col customWidth="1" min="17" max="17" width="23.43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144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78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6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145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146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>
      <c r="A7" s="14" t="s">
        <v>23</v>
      </c>
      <c r="B7" s="15" t="s">
        <v>147</v>
      </c>
      <c r="C7" s="16">
        <v>1.0</v>
      </c>
      <c r="D7" s="155" t="s">
        <v>148</v>
      </c>
      <c r="E7" s="114" t="s">
        <v>26</v>
      </c>
      <c r="F7" s="114" t="s">
        <v>26</v>
      </c>
      <c r="G7" s="114">
        <v>3.28</v>
      </c>
      <c r="H7" s="114" t="s">
        <v>26</v>
      </c>
      <c r="I7" s="114">
        <v>2.85</v>
      </c>
      <c r="J7" s="114" t="s">
        <v>26</v>
      </c>
      <c r="K7" s="114" t="s">
        <v>26</v>
      </c>
      <c r="L7" s="114">
        <v>4.27</v>
      </c>
      <c r="M7" s="114" t="s">
        <v>26</v>
      </c>
      <c r="N7" s="114" t="s">
        <v>26</v>
      </c>
      <c r="O7" s="114" t="s">
        <v>70</v>
      </c>
      <c r="P7" s="114" t="s">
        <v>26</v>
      </c>
      <c r="Q7" s="18">
        <f t="shared" ref="Q7:Q30" si="1">AVERAGE(E7:I7)</f>
        <v>3.065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>
      <c r="A8" s="20"/>
      <c r="B8" s="21"/>
      <c r="C8" s="22">
        <v>2.0</v>
      </c>
      <c r="D8" s="129" t="s">
        <v>149</v>
      </c>
      <c r="E8" s="91" t="s">
        <v>26</v>
      </c>
      <c r="F8" s="91" t="s">
        <v>26</v>
      </c>
      <c r="G8" s="91">
        <v>2.48</v>
      </c>
      <c r="H8" s="91" t="s">
        <v>26</v>
      </c>
      <c r="I8" s="91">
        <v>3.26</v>
      </c>
      <c r="J8" s="91" t="s">
        <v>26</v>
      </c>
      <c r="K8" s="91" t="s">
        <v>26</v>
      </c>
      <c r="L8" s="91">
        <v>3.27</v>
      </c>
      <c r="M8" s="91" t="s">
        <v>26</v>
      </c>
      <c r="N8" s="91" t="s">
        <v>26</v>
      </c>
      <c r="O8" s="91" t="s">
        <v>70</v>
      </c>
      <c r="P8" s="91" t="s">
        <v>26</v>
      </c>
      <c r="Q8" s="25">
        <f t="shared" si="1"/>
        <v>2.87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>
      <c r="A9" s="20"/>
      <c r="B9" s="21"/>
      <c r="C9" s="22">
        <v>3.0</v>
      </c>
      <c r="D9" s="129" t="s">
        <v>150</v>
      </c>
      <c r="E9" s="91" t="s">
        <v>26</v>
      </c>
      <c r="F9" s="91" t="s">
        <v>26</v>
      </c>
      <c r="G9" s="91">
        <v>3.53</v>
      </c>
      <c r="H9" s="91" t="s">
        <v>26</v>
      </c>
      <c r="I9" s="24">
        <v>4.3</v>
      </c>
      <c r="J9" s="91" t="s">
        <v>26</v>
      </c>
      <c r="K9" s="91" t="s">
        <v>26</v>
      </c>
      <c r="L9" s="91">
        <v>2.84</v>
      </c>
      <c r="M9" s="91" t="s">
        <v>26</v>
      </c>
      <c r="N9" s="91" t="s">
        <v>26</v>
      </c>
      <c r="O9" s="91" t="s">
        <v>70</v>
      </c>
      <c r="P9" s="91" t="s">
        <v>26</v>
      </c>
      <c r="Q9" s="25">
        <f t="shared" si="1"/>
        <v>3.915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>
      <c r="A10" s="20"/>
      <c r="B10" s="27"/>
      <c r="C10" s="22">
        <v>4.0</v>
      </c>
      <c r="D10" s="129" t="s">
        <v>151</v>
      </c>
      <c r="E10" s="91" t="s">
        <v>26</v>
      </c>
      <c r="F10" s="91" t="s">
        <v>26</v>
      </c>
      <c r="G10" s="91">
        <v>3.01</v>
      </c>
      <c r="H10" s="91" t="s">
        <v>26</v>
      </c>
      <c r="I10" s="91">
        <v>4.39</v>
      </c>
      <c r="J10" s="91" t="s">
        <v>26</v>
      </c>
      <c r="K10" s="91" t="s">
        <v>26</v>
      </c>
      <c r="L10" s="91">
        <v>3.15</v>
      </c>
      <c r="M10" s="91" t="s">
        <v>26</v>
      </c>
      <c r="N10" s="91" t="s">
        <v>26</v>
      </c>
      <c r="O10" s="91" t="s">
        <v>70</v>
      </c>
      <c r="P10" s="91" t="s">
        <v>26</v>
      </c>
      <c r="Q10" s="25">
        <f t="shared" si="1"/>
        <v>3.7</v>
      </c>
      <c r="R10" s="23">
        <v>5.0</v>
      </c>
      <c r="S10" s="100"/>
      <c r="T10" s="100"/>
      <c r="U10" s="100"/>
      <c r="V10" s="100"/>
      <c r="W10" s="100"/>
      <c r="X10" s="100"/>
      <c r="Y10" s="100"/>
      <c r="Z10" s="100"/>
    </row>
    <row r="11">
      <c r="A11" s="20"/>
      <c r="B11" s="15" t="s">
        <v>31</v>
      </c>
      <c r="C11" s="16">
        <v>1.0</v>
      </c>
      <c r="D11" s="155" t="s">
        <v>148</v>
      </c>
      <c r="E11" s="114" t="s">
        <v>26</v>
      </c>
      <c r="F11" s="114" t="s">
        <v>26</v>
      </c>
      <c r="G11" s="114">
        <v>5.0</v>
      </c>
      <c r="H11" s="114" t="s">
        <v>26</v>
      </c>
      <c r="I11" s="114">
        <v>3.0</v>
      </c>
      <c r="J11" s="114" t="s">
        <v>26</v>
      </c>
      <c r="K11" s="114" t="s">
        <v>26</v>
      </c>
      <c r="L11" s="114">
        <v>4.0</v>
      </c>
      <c r="M11" s="114" t="s">
        <v>26</v>
      </c>
      <c r="N11" s="114" t="s">
        <v>26</v>
      </c>
      <c r="O11" s="114">
        <v>5.0</v>
      </c>
      <c r="P11" s="114" t="s">
        <v>26</v>
      </c>
      <c r="Q11" s="28">
        <f t="shared" si="1"/>
        <v>4</v>
      </c>
      <c r="R11" s="17">
        <v>7.0</v>
      </c>
      <c r="S11" s="100"/>
      <c r="T11" s="100"/>
      <c r="U11" s="100"/>
      <c r="V11" s="100"/>
      <c r="W11" s="100"/>
      <c r="X11" s="100"/>
      <c r="Y11" s="100"/>
      <c r="Z11" s="100"/>
    </row>
    <row r="12">
      <c r="A12" s="20"/>
      <c r="B12" s="21"/>
      <c r="C12" s="22">
        <v>2.0</v>
      </c>
      <c r="D12" s="129" t="s">
        <v>149</v>
      </c>
      <c r="E12" s="91" t="s">
        <v>26</v>
      </c>
      <c r="F12" s="91" t="s">
        <v>26</v>
      </c>
      <c r="G12" s="91">
        <v>26.0</v>
      </c>
      <c r="H12" s="91" t="s">
        <v>26</v>
      </c>
      <c r="I12" s="91">
        <v>11.0</v>
      </c>
      <c r="J12" s="91" t="s">
        <v>26</v>
      </c>
      <c r="K12" s="91" t="s">
        <v>26</v>
      </c>
      <c r="L12" s="91">
        <v>4.0</v>
      </c>
      <c r="M12" s="91" t="s">
        <v>26</v>
      </c>
      <c r="N12" s="91" t="s">
        <v>26</v>
      </c>
      <c r="O12" s="91">
        <v>9.0</v>
      </c>
      <c r="P12" s="91" t="s">
        <v>26</v>
      </c>
      <c r="Q12" s="105">
        <f t="shared" si="1"/>
        <v>18.5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>
      <c r="A13" s="20"/>
      <c r="B13" s="21"/>
      <c r="C13" s="22">
        <v>3.0</v>
      </c>
      <c r="D13" s="129" t="s">
        <v>150</v>
      </c>
      <c r="E13" s="91" t="s">
        <v>26</v>
      </c>
      <c r="F13" s="91" t="s">
        <v>26</v>
      </c>
      <c r="G13" s="91">
        <v>10.0</v>
      </c>
      <c r="H13" s="91" t="s">
        <v>26</v>
      </c>
      <c r="I13" s="91">
        <v>18.0</v>
      </c>
      <c r="J13" s="91" t="s">
        <v>26</v>
      </c>
      <c r="K13" s="91" t="s">
        <v>26</v>
      </c>
      <c r="L13" s="91">
        <v>10.0</v>
      </c>
      <c r="M13" s="91" t="s">
        <v>26</v>
      </c>
      <c r="N13" s="91" t="s">
        <v>26</v>
      </c>
      <c r="O13" s="91">
        <v>7.0</v>
      </c>
      <c r="P13" s="91" t="s">
        <v>26</v>
      </c>
      <c r="Q13" s="105">
        <f t="shared" si="1"/>
        <v>14</v>
      </c>
      <c r="R13" s="23">
        <v>7.0</v>
      </c>
      <c r="S13" s="100"/>
      <c r="T13" s="100"/>
      <c r="U13" s="100"/>
      <c r="V13" s="100"/>
      <c r="W13" s="100"/>
      <c r="X13" s="100"/>
      <c r="Y13" s="100"/>
      <c r="Z13" s="100"/>
    </row>
    <row r="14">
      <c r="A14" s="20"/>
      <c r="B14" s="27"/>
      <c r="C14" s="22">
        <v>4.0</v>
      </c>
      <c r="D14" s="129" t="s">
        <v>151</v>
      </c>
      <c r="E14" s="91" t="s">
        <v>26</v>
      </c>
      <c r="F14" s="91" t="s">
        <v>26</v>
      </c>
      <c r="G14" s="91">
        <v>10.0</v>
      </c>
      <c r="H14" s="91" t="s">
        <v>26</v>
      </c>
      <c r="I14" s="91">
        <v>16.0</v>
      </c>
      <c r="J14" s="91" t="s">
        <v>26</v>
      </c>
      <c r="K14" s="91" t="s">
        <v>26</v>
      </c>
      <c r="L14" s="91">
        <v>8.0</v>
      </c>
      <c r="M14" s="91" t="s">
        <v>26</v>
      </c>
      <c r="N14" s="91" t="s">
        <v>26</v>
      </c>
      <c r="O14" s="91">
        <v>7.0</v>
      </c>
      <c r="P14" s="91" t="s">
        <v>26</v>
      </c>
      <c r="Q14" s="105">
        <f t="shared" si="1"/>
        <v>13</v>
      </c>
      <c r="R14" s="23">
        <v>7.0</v>
      </c>
      <c r="S14" s="100"/>
      <c r="T14" s="100"/>
      <c r="U14" s="100"/>
      <c r="V14" s="100"/>
      <c r="W14" s="100"/>
      <c r="X14" s="100"/>
      <c r="Y14" s="100"/>
      <c r="Z14" s="100"/>
    </row>
    <row r="15">
      <c r="A15" s="20"/>
      <c r="B15" s="15" t="s">
        <v>33</v>
      </c>
      <c r="C15" s="16">
        <v>1.0</v>
      </c>
      <c r="D15" s="155" t="s">
        <v>148</v>
      </c>
      <c r="E15" s="114" t="s">
        <v>26</v>
      </c>
      <c r="F15" s="114" t="s">
        <v>26</v>
      </c>
      <c r="G15" s="114">
        <v>33.0</v>
      </c>
      <c r="H15" s="114" t="s">
        <v>26</v>
      </c>
      <c r="I15" s="114">
        <v>27.0</v>
      </c>
      <c r="J15" s="114" t="s">
        <v>26</v>
      </c>
      <c r="K15" s="114" t="s">
        <v>26</v>
      </c>
      <c r="L15" s="114">
        <v>23.0</v>
      </c>
      <c r="M15" s="114" t="s">
        <v>26</v>
      </c>
      <c r="N15" s="114" t="s">
        <v>26</v>
      </c>
      <c r="O15" s="114">
        <v>30.0</v>
      </c>
      <c r="P15" s="114" t="s">
        <v>26</v>
      </c>
      <c r="Q15" s="28">
        <f t="shared" si="1"/>
        <v>30</v>
      </c>
      <c r="R15" s="17">
        <v>80.0</v>
      </c>
      <c r="S15" s="100"/>
      <c r="T15" s="100"/>
      <c r="U15" s="100"/>
      <c r="V15" s="100"/>
      <c r="W15" s="100"/>
      <c r="X15" s="100"/>
      <c r="Y15" s="100"/>
      <c r="Z15" s="100"/>
    </row>
    <row r="16">
      <c r="A16" s="20"/>
      <c r="B16" s="21"/>
      <c r="C16" s="22">
        <v>2.0</v>
      </c>
      <c r="D16" s="129" t="s">
        <v>149</v>
      </c>
      <c r="E16" s="91" t="s">
        <v>26</v>
      </c>
      <c r="F16" s="91" t="s">
        <v>26</v>
      </c>
      <c r="G16" s="91">
        <v>66.0</v>
      </c>
      <c r="H16" s="91" t="s">
        <v>26</v>
      </c>
      <c r="I16" s="91">
        <v>29.0</v>
      </c>
      <c r="J16" s="91" t="s">
        <v>26</v>
      </c>
      <c r="K16" s="91" t="s">
        <v>26</v>
      </c>
      <c r="L16" s="91">
        <v>46.0</v>
      </c>
      <c r="M16" s="91" t="s">
        <v>26</v>
      </c>
      <c r="N16" s="91" t="s">
        <v>26</v>
      </c>
      <c r="O16" s="91">
        <v>30.0</v>
      </c>
      <c r="P16" s="91" t="s">
        <v>26</v>
      </c>
      <c r="Q16" s="105">
        <f t="shared" si="1"/>
        <v>47.5</v>
      </c>
      <c r="R16" s="23">
        <v>80.0</v>
      </c>
      <c r="S16" s="100"/>
      <c r="T16" s="100"/>
      <c r="U16" s="100"/>
      <c r="V16" s="100"/>
      <c r="W16" s="100"/>
      <c r="X16" s="100"/>
      <c r="Y16" s="100"/>
      <c r="Z16" s="100"/>
    </row>
    <row r="17">
      <c r="A17" s="20"/>
      <c r="B17" s="21"/>
      <c r="C17" s="22">
        <v>3.0</v>
      </c>
      <c r="D17" s="129" t="s">
        <v>150</v>
      </c>
      <c r="E17" s="91" t="s">
        <v>26</v>
      </c>
      <c r="F17" s="91" t="s">
        <v>26</v>
      </c>
      <c r="G17" s="91">
        <v>29.0</v>
      </c>
      <c r="H17" s="91" t="s">
        <v>26</v>
      </c>
      <c r="I17" s="91">
        <v>55.0</v>
      </c>
      <c r="J17" s="91" t="s">
        <v>26</v>
      </c>
      <c r="K17" s="91" t="s">
        <v>26</v>
      </c>
      <c r="L17" s="91">
        <v>15.0</v>
      </c>
      <c r="M17" s="91" t="s">
        <v>26</v>
      </c>
      <c r="N17" s="91" t="s">
        <v>26</v>
      </c>
      <c r="O17" s="91">
        <v>17.0</v>
      </c>
      <c r="P17" s="91" t="s">
        <v>26</v>
      </c>
      <c r="Q17" s="105">
        <f t="shared" si="1"/>
        <v>42</v>
      </c>
      <c r="R17" s="23">
        <v>80.0</v>
      </c>
      <c r="S17" s="100"/>
      <c r="T17" s="100"/>
      <c r="U17" s="100"/>
      <c r="V17" s="100"/>
      <c r="W17" s="100"/>
      <c r="X17" s="100"/>
      <c r="Y17" s="100"/>
      <c r="Z17" s="100"/>
    </row>
    <row r="18">
      <c r="A18" s="20"/>
      <c r="B18" s="27"/>
      <c r="C18" s="156">
        <v>4.0</v>
      </c>
      <c r="D18" s="129" t="s">
        <v>151</v>
      </c>
      <c r="E18" s="91" t="s">
        <v>26</v>
      </c>
      <c r="F18" s="91" t="s">
        <v>26</v>
      </c>
      <c r="G18" s="91">
        <v>37.0</v>
      </c>
      <c r="H18" s="91" t="s">
        <v>26</v>
      </c>
      <c r="I18" s="91">
        <v>58.0</v>
      </c>
      <c r="J18" s="91" t="s">
        <v>26</v>
      </c>
      <c r="K18" s="91" t="s">
        <v>26</v>
      </c>
      <c r="L18" s="91">
        <v>16.0</v>
      </c>
      <c r="M18" s="91" t="s">
        <v>26</v>
      </c>
      <c r="N18" s="91" t="s">
        <v>26</v>
      </c>
      <c r="O18" s="91">
        <v>23.0</v>
      </c>
      <c r="P18" s="91" t="s">
        <v>26</v>
      </c>
      <c r="Q18" s="105">
        <f t="shared" si="1"/>
        <v>47.5</v>
      </c>
      <c r="R18" s="23">
        <v>80.0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34</v>
      </c>
      <c r="C19" s="16">
        <v>1.0</v>
      </c>
      <c r="D19" s="155" t="s">
        <v>148</v>
      </c>
      <c r="E19" s="114" t="s">
        <v>26</v>
      </c>
      <c r="F19" s="114" t="s">
        <v>26</v>
      </c>
      <c r="G19" s="114">
        <v>7.28</v>
      </c>
      <c r="H19" s="114" t="s">
        <v>26</v>
      </c>
      <c r="I19" s="114">
        <v>7.22</v>
      </c>
      <c r="J19" s="114" t="s">
        <v>26</v>
      </c>
      <c r="K19" s="114" t="s">
        <v>26</v>
      </c>
      <c r="L19" s="18">
        <v>6.9</v>
      </c>
      <c r="M19" s="114" t="s">
        <v>26</v>
      </c>
      <c r="N19" s="114" t="s">
        <v>26</v>
      </c>
      <c r="O19" s="114" t="s">
        <v>70</v>
      </c>
      <c r="P19" s="114" t="s">
        <v>26</v>
      </c>
      <c r="Q19" s="18">
        <f t="shared" si="1"/>
        <v>7.25</v>
      </c>
      <c r="R19" s="18" t="s">
        <v>35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129" t="s">
        <v>149</v>
      </c>
      <c r="E20" s="91" t="s">
        <v>26</v>
      </c>
      <c r="F20" s="91" t="s">
        <v>26</v>
      </c>
      <c r="G20" s="24">
        <v>7.3</v>
      </c>
      <c r="H20" s="91" t="s">
        <v>26</v>
      </c>
      <c r="I20" s="91">
        <v>7.19</v>
      </c>
      <c r="J20" s="91" t="s">
        <v>26</v>
      </c>
      <c r="K20" s="91" t="s">
        <v>26</v>
      </c>
      <c r="L20" s="91">
        <v>6.93</v>
      </c>
      <c r="M20" s="91" t="s">
        <v>26</v>
      </c>
      <c r="N20" s="91" t="s">
        <v>26</v>
      </c>
      <c r="O20" s="91" t="s">
        <v>70</v>
      </c>
      <c r="P20" s="91" t="s">
        <v>26</v>
      </c>
      <c r="Q20" s="25">
        <f t="shared" si="1"/>
        <v>7.245</v>
      </c>
      <c r="R20" s="24" t="s">
        <v>35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1"/>
      <c r="C21" s="22">
        <v>3.0</v>
      </c>
      <c r="D21" s="129" t="s">
        <v>150</v>
      </c>
      <c r="E21" s="91" t="s">
        <v>26</v>
      </c>
      <c r="F21" s="91" t="s">
        <v>26</v>
      </c>
      <c r="G21" s="91">
        <v>7.15</v>
      </c>
      <c r="H21" s="91" t="s">
        <v>26</v>
      </c>
      <c r="I21" s="91">
        <v>7.18</v>
      </c>
      <c r="J21" s="91" t="s">
        <v>26</v>
      </c>
      <c r="K21" s="91" t="s">
        <v>26</v>
      </c>
      <c r="L21" s="91">
        <v>6.91</v>
      </c>
      <c r="M21" s="91" t="s">
        <v>26</v>
      </c>
      <c r="N21" s="91" t="s">
        <v>26</v>
      </c>
      <c r="O21" s="91" t="s">
        <v>70</v>
      </c>
      <c r="P21" s="91" t="s">
        <v>26</v>
      </c>
      <c r="Q21" s="25">
        <f t="shared" si="1"/>
        <v>7.165</v>
      </c>
      <c r="R21" s="24" t="s">
        <v>35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27"/>
      <c r="C22" s="22">
        <v>4.0</v>
      </c>
      <c r="D22" s="129" t="s">
        <v>151</v>
      </c>
      <c r="E22" s="91" t="s">
        <v>26</v>
      </c>
      <c r="F22" s="91" t="s">
        <v>26</v>
      </c>
      <c r="G22" s="91">
        <v>7.31</v>
      </c>
      <c r="H22" s="91" t="s">
        <v>26</v>
      </c>
      <c r="I22" s="91">
        <v>7.23</v>
      </c>
      <c r="J22" s="91" t="s">
        <v>26</v>
      </c>
      <c r="K22" s="91" t="s">
        <v>26</v>
      </c>
      <c r="L22" s="91">
        <v>6.95</v>
      </c>
      <c r="M22" s="91" t="s">
        <v>26</v>
      </c>
      <c r="N22" s="91" t="s">
        <v>26</v>
      </c>
      <c r="O22" s="91" t="s">
        <v>70</v>
      </c>
      <c r="P22" s="91" t="s">
        <v>26</v>
      </c>
      <c r="Q22" s="25">
        <f t="shared" si="1"/>
        <v>7.27</v>
      </c>
      <c r="R22" s="24" t="s">
        <v>35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15" t="s">
        <v>152</v>
      </c>
      <c r="C23" s="16">
        <v>1.0</v>
      </c>
      <c r="D23" s="155" t="s">
        <v>148</v>
      </c>
      <c r="E23" s="114" t="s">
        <v>26</v>
      </c>
      <c r="F23" s="114" t="s">
        <v>26</v>
      </c>
      <c r="G23" s="114">
        <v>27.98</v>
      </c>
      <c r="H23" s="114" t="s">
        <v>26</v>
      </c>
      <c r="I23" s="18">
        <v>31.7</v>
      </c>
      <c r="J23" s="114" t="s">
        <v>26</v>
      </c>
      <c r="K23" s="114" t="s">
        <v>26</v>
      </c>
      <c r="L23" s="114">
        <v>31.05</v>
      </c>
      <c r="M23" s="114" t="s">
        <v>26</v>
      </c>
      <c r="N23" s="114" t="s">
        <v>26</v>
      </c>
      <c r="O23" s="114" t="s">
        <v>70</v>
      </c>
      <c r="P23" s="114" t="s">
        <v>26</v>
      </c>
      <c r="Q23" s="18">
        <f t="shared" si="1"/>
        <v>29.84</v>
      </c>
      <c r="R23" s="18" t="s">
        <v>37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1"/>
      <c r="C24" s="22">
        <v>2.0</v>
      </c>
      <c r="D24" s="129" t="s">
        <v>149</v>
      </c>
      <c r="E24" s="91" t="s">
        <v>26</v>
      </c>
      <c r="F24" s="91" t="s">
        <v>26</v>
      </c>
      <c r="G24" s="91">
        <v>29.95</v>
      </c>
      <c r="H24" s="91" t="s">
        <v>26</v>
      </c>
      <c r="I24" s="24">
        <v>31.4</v>
      </c>
      <c r="J24" s="91" t="s">
        <v>26</v>
      </c>
      <c r="K24" s="91" t="s">
        <v>26</v>
      </c>
      <c r="L24" s="91">
        <v>31.33</v>
      </c>
      <c r="M24" s="91" t="s">
        <v>26</v>
      </c>
      <c r="N24" s="91" t="s">
        <v>26</v>
      </c>
      <c r="O24" s="91" t="s">
        <v>70</v>
      </c>
      <c r="P24" s="91" t="s">
        <v>26</v>
      </c>
      <c r="Q24" s="25">
        <f t="shared" si="1"/>
        <v>30.675</v>
      </c>
      <c r="R24" s="24" t="s">
        <v>37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21"/>
      <c r="C25" s="22">
        <v>3.0</v>
      </c>
      <c r="D25" s="129" t="s">
        <v>150</v>
      </c>
      <c r="E25" s="91" t="s">
        <v>26</v>
      </c>
      <c r="F25" s="91" t="s">
        <v>26</v>
      </c>
      <c r="G25" s="91">
        <v>29.65</v>
      </c>
      <c r="H25" s="91" t="s">
        <v>26</v>
      </c>
      <c r="I25" s="24">
        <v>31.55</v>
      </c>
      <c r="J25" s="91" t="s">
        <v>26</v>
      </c>
      <c r="K25" s="91" t="s">
        <v>26</v>
      </c>
      <c r="L25" s="91">
        <v>31.45</v>
      </c>
      <c r="M25" s="91" t="s">
        <v>26</v>
      </c>
      <c r="N25" s="91" t="s">
        <v>26</v>
      </c>
      <c r="O25" s="91" t="s">
        <v>70</v>
      </c>
      <c r="P25" s="91" t="s">
        <v>26</v>
      </c>
      <c r="Q25" s="25">
        <f t="shared" si="1"/>
        <v>30.6</v>
      </c>
      <c r="R25" s="24" t="s">
        <v>37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7"/>
      <c r="C26" s="22">
        <v>4.0</v>
      </c>
      <c r="D26" s="129" t="s">
        <v>151</v>
      </c>
      <c r="E26" s="91" t="s">
        <v>26</v>
      </c>
      <c r="F26" s="91" t="s">
        <v>26</v>
      </c>
      <c r="G26" s="91">
        <v>30.6</v>
      </c>
      <c r="H26" s="91" t="s">
        <v>26</v>
      </c>
      <c r="I26" s="24">
        <v>32.1</v>
      </c>
      <c r="J26" s="91" t="s">
        <v>26</v>
      </c>
      <c r="K26" s="91" t="s">
        <v>26</v>
      </c>
      <c r="L26" s="91">
        <v>31.13</v>
      </c>
      <c r="M26" s="91" t="s">
        <v>26</v>
      </c>
      <c r="N26" s="91" t="s">
        <v>26</v>
      </c>
      <c r="O26" s="91" t="s">
        <v>70</v>
      </c>
      <c r="P26" s="91" t="s">
        <v>26</v>
      </c>
      <c r="Q26" s="25">
        <f t="shared" si="1"/>
        <v>31.35</v>
      </c>
      <c r="R26" s="24" t="s">
        <v>37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15" t="s">
        <v>38</v>
      </c>
      <c r="C27" s="16">
        <v>1.0</v>
      </c>
      <c r="D27" s="155" t="s">
        <v>148</v>
      </c>
      <c r="E27" s="114" t="s">
        <v>26</v>
      </c>
      <c r="F27" s="114" t="s">
        <v>26</v>
      </c>
      <c r="G27" s="114">
        <v>30.0</v>
      </c>
      <c r="H27" s="114" t="s">
        <v>26</v>
      </c>
      <c r="I27" s="114">
        <v>20.0</v>
      </c>
      <c r="J27" s="114" t="s">
        <v>26</v>
      </c>
      <c r="K27" s="114" t="s">
        <v>26</v>
      </c>
      <c r="L27" s="114">
        <v>30.0</v>
      </c>
      <c r="M27" s="114" t="s">
        <v>26</v>
      </c>
      <c r="N27" s="114" t="s">
        <v>26</v>
      </c>
      <c r="O27" s="114">
        <v>30.0</v>
      </c>
      <c r="P27" s="114" t="s">
        <v>26</v>
      </c>
      <c r="Q27" s="28">
        <f t="shared" si="1"/>
        <v>25</v>
      </c>
      <c r="R27" s="17">
        <v>75.0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21"/>
      <c r="C28" s="22">
        <v>2.0</v>
      </c>
      <c r="D28" s="129" t="s">
        <v>149</v>
      </c>
      <c r="E28" s="91" t="s">
        <v>26</v>
      </c>
      <c r="F28" s="91" t="s">
        <v>26</v>
      </c>
      <c r="G28" s="91">
        <v>40.0</v>
      </c>
      <c r="H28" s="91" t="s">
        <v>26</v>
      </c>
      <c r="I28" s="91">
        <v>25.0</v>
      </c>
      <c r="J28" s="91" t="s">
        <v>26</v>
      </c>
      <c r="K28" s="91" t="s">
        <v>26</v>
      </c>
      <c r="L28" s="91">
        <v>30.0</v>
      </c>
      <c r="M28" s="91" t="s">
        <v>26</v>
      </c>
      <c r="N28" s="91" t="s">
        <v>26</v>
      </c>
      <c r="O28" s="91">
        <v>30.0</v>
      </c>
      <c r="P28" s="91" t="s">
        <v>26</v>
      </c>
      <c r="Q28" s="105">
        <f t="shared" si="1"/>
        <v>32.5</v>
      </c>
      <c r="R28" s="23">
        <v>75.0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3.0</v>
      </c>
      <c r="D29" s="129" t="s">
        <v>150</v>
      </c>
      <c r="E29" s="91" t="s">
        <v>26</v>
      </c>
      <c r="F29" s="91" t="s">
        <v>26</v>
      </c>
      <c r="G29" s="91">
        <v>30.0</v>
      </c>
      <c r="H29" s="91" t="s">
        <v>26</v>
      </c>
      <c r="I29" s="91">
        <v>25.0</v>
      </c>
      <c r="J29" s="91" t="s">
        <v>26</v>
      </c>
      <c r="K29" s="91" t="s">
        <v>26</v>
      </c>
      <c r="L29" s="91">
        <v>25.0</v>
      </c>
      <c r="M29" s="91" t="s">
        <v>26</v>
      </c>
      <c r="N29" s="91" t="s">
        <v>26</v>
      </c>
      <c r="O29" s="91">
        <v>30.0</v>
      </c>
      <c r="P29" s="91" t="s">
        <v>26</v>
      </c>
      <c r="Q29" s="105">
        <f t="shared" si="1"/>
        <v>27.5</v>
      </c>
      <c r="R29" s="23">
        <v>75.0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4.0</v>
      </c>
      <c r="D30" s="129" t="s">
        <v>151</v>
      </c>
      <c r="E30" s="91" t="s">
        <v>26</v>
      </c>
      <c r="F30" s="91" t="s">
        <v>26</v>
      </c>
      <c r="G30" s="91">
        <v>30.0</v>
      </c>
      <c r="H30" s="91" t="s">
        <v>26</v>
      </c>
      <c r="I30" s="91">
        <v>30.0</v>
      </c>
      <c r="J30" s="91" t="s">
        <v>26</v>
      </c>
      <c r="K30" s="91" t="s">
        <v>26</v>
      </c>
      <c r="L30" s="91">
        <v>30.0</v>
      </c>
      <c r="M30" s="91" t="s">
        <v>26</v>
      </c>
      <c r="N30" s="91" t="s">
        <v>26</v>
      </c>
      <c r="O30" s="91">
        <v>30.0</v>
      </c>
      <c r="P30" s="91" t="s">
        <v>26</v>
      </c>
      <c r="Q30" s="105">
        <f t="shared" si="1"/>
        <v>30</v>
      </c>
      <c r="R30" s="23">
        <v>75.0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40</v>
      </c>
      <c r="C31" s="16">
        <v>1.0</v>
      </c>
      <c r="D31" s="155" t="s">
        <v>148</v>
      </c>
      <c r="E31" s="114" t="s">
        <v>26</v>
      </c>
      <c r="F31" s="114" t="s">
        <v>26</v>
      </c>
      <c r="G31" s="32">
        <v>23000.0</v>
      </c>
      <c r="H31" s="114" t="s">
        <v>26</v>
      </c>
      <c r="I31" s="33">
        <v>23000.0</v>
      </c>
      <c r="J31" s="114" t="s">
        <v>26</v>
      </c>
      <c r="K31" s="114" t="s">
        <v>26</v>
      </c>
      <c r="L31" s="32">
        <v>13000.0</v>
      </c>
      <c r="M31" s="114" t="s">
        <v>26</v>
      </c>
      <c r="N31" s="114" t="s">
        <v>26</v>
      </c>
      <c r="O31" s="33">
        <v>33000.0</v>
      </c>
      <c r="P31" s="114" t="s">
        <v>26</v>
      </c>
      <c r="Q31" s="33">
        <f t="shared" ref="Q31:Q34" si="2">GEOMEAN(E31:P31)</f>
        <v>21826.20556</v>
      </c>
      <c r="R31" s="17">
        <v>200.0</v>
      </c>
      <c r="S31" s="130">
        <f>geomean(Q31:Q34)</f>
        <v>83261.97568</v>
      </c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29" t="s">
        <v>149</v>
      </c>
      <c r="E32" s="91" t="s">
        <v>26</v>
      </c>
      <c r="F32" s="91" t="s">
        <v>26</v>
      </c>
      <c r="G32" s="37">
        <v>79000.0</v>
      </c>
      <c r="H32" s="91" t="s">
        <v>26</v>
      </c>
      <c r="I32" s="34">
        <v>240000.0</v>
      </c>
      <c r="J32" s="91" t="s">
        <v>26</v>
      </c>
      <c r="K32" s="91" t="s">
        <v>26</v>
      </c>
      <c r="L32" s="37">
        <v>54000.0</v>
      </c>
      <c r="M32" s="91" t="s">
        <v>26</v>
      </c>
      <c r="N32" s="91" t="s">
        <v>26</v>
      </c>
      <c r="O32" s="34">
        <v>23000.0</v>
      </c>
      <c r="P32" s="91" t="s">
        <v>26</v>
      </c>
      <c r="Q32" s="33">
        <f t="shared" si="2"/>
        <v>69661.04453</v>
      </c>
      <c r="R32" s="23">
        <v>200.0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1"/>
      <c r="C33" s="22">
        <v>3.0</v>
      </c>
      <c r="D33" s="129" t="s">
        <v>150</v>
      </c>
      <c r="E33" s="91" t="s">
        <v>26</v>
      </c>
      <c r="F33" s="91" t="s">
        <v>26</v>
      </c>
      <c r="G33" s="34">
        <v>130000.0</v>
      </c>
      <c r="H33" s="91" t="s">
        <v>26</v>
      </c>
      <c r="I33" s="34">
        <v>2400000.0</v>
      </c>
      <c r="J33" s="91" t="s">
        <v>26</v>
      </c>
      <c r="K33" s="91" t="s">
        <v>26</v>
      </c>
      <c r="L33" s="37">
        <v>350000.0</v>
      </c>
      <c r="M33" s="91" t="s">
        <v>26</v>
      </c>
      <c r="N33" s="91" t="s">
        <v>26</v>
      </c>
      <c r="O33" s="34">
        <v>49000.0</v>
      </c>
      <c r="P33" s="91" t="s">
        <v>26</v>
      </c>
      <c r="Q33" s="33">
        <f t="shared" si="2"/>
        <v>270461.0188</v>
      </c>
      <c r="R33" s="23">
        <v>200.0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27"/>
      <c r="C34" s="22">
        <v>4.0</v>
      </c>
      <c r="D34" s="129" t="s">
        <v>151</v>
      </c>
      <c r="E34" s="91" t="s">
        <v>26</v>
      </c>
      <c r="F34" s="91" t="s">
        <v>26</v>
      </c>
      <c r="G34" s="34">
        <v>46000.0</v>
      </c>
      <c r="H34" s="91" t="s">
        <v>26</v>
      </c>
      <c r="I34" s="34">
        <v>130000.0</v>
      </c>
      <c r="J34" s="91" t="s">
        <v>26</v>
      </c>
      <c r="K34" s="91" t="s">
        <v>26</v>
      </c>
      <c r="L34" s="37">
        <v>240000.0</v>
      </c>
      <c r="M34" s="91" t="s">
        <v>26</v>
      </c>
      <c r="N34" s="91" t="s">
        <v>26</v>
      </c>
      <c r="O34" s="34">
        <v>130000.0</v>
      </c>
      <c r="P34" s="91" t="s">
        <v>26</v>
      </c>
      <c r="Q34" s="33">
        <f t="shared" si="2"/>
        <v>116872.9334</v>
      </c>
      <c r="R34" s="23">
        <v>200.0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15" t="s">
        <v>153</v>
      </c>
      <c r="C35" s="16">
        <v>1.0</v>
      </c>
      <c r="D35" s="155" t="s">
        <v>148</v>
      </c>
      <c r="E35" s="114" t="s">
        <v>26</v>
      </c>
      <c r="F35" s="114" t="s">
        <v>26</v>
      </c>
      <c r="G35" s="114">
        <v>0.922</v>
      </c>
      <c r="H35" s="114" t="s">
        <v>26</v>
      </c>
      <c r="I35" s="114" t="s">
        <v>42</v>
      </c>
      <c r="J35" s="114" t="s">
        <v>26</v>
      </c>
      <c r="K35" s="114" t="s">
        <v>26</v>
      </c>
      <c r="L35" s="114">
        <v>0.946</v>
      </c>
      <c r="M35" s="114" t="s">
        <v>26</v>
      </c>
      <c r="N35" s="114" t="s">
        <v>26</v>
      </c>
      <c r="O35" s="114" t="s">
        <v>42</v>
      </c>
      <c r="P35" s="114" t="s">
        <v>26</v>
      </c>
      <c r="Q35" s="114">
        <f t="shared" ref="Q35:Q46" si="3">AVERAGE(E35:I35)</f>
        <v>0.922</v>
      </c>
      <c r="R35" s="17">
        <v>7.0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1"/>
      <c r="C36" s="22">
        <v>2.0</v>
      </c>
      <c r="D36" s="129" t="s">
        <v>149</v>
      </c>
      <c r="E36" s="91" t="s">
        <v>26</v>
      </c>
      <c r="F36" s="91" t="s">
        <v>26</v>
      </c>
      <c r="G36" s="91">
        <v>0.545</v>
      </c>
      <c r="H36" s="91" t="s">
        <v>26</v>
      </c>
      <c r="I36" s="91" t="s">
        <v>42</v>
      </c>
      <c r="J36" s="91" t="s">
        <v>26</v>
      </c>
      <c r="K36" s="91" t="s">
        <v>26</v>
      </c>
      <c r="L36" s="91">
        <v>1.591</v>
      </c>
      <c r="M36" s="91" t="s">
        <v>26</v>
      </c>
      <c r="N36" s="91" t="s">
        <v>26</v>
      </c>
      <c r="O36" s="91" t="s">
        <v>42</v>
      </c>
      <c r="P36" s="91" t="s">
        <v>26</v>
      </c>
      <c r="Q36" s="91">
        <f t="shared" si="3"/>
        <v>0.545</v>
      </c>
      <c r="R36" s="23">
        <v>7.0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20"/>
      <c r="B37" s="21"/>
      <c r="C37" s="22">
        <v>3.0</v>
      </c>
      <c r="D37" s="129" t="s">
        <v>150</v>
      </c>
      <c r="E37" s="91" t="s">
        <v>26</v>
      </c>
      <c r="F37" s="91" t="s">
        <v>26</v>
      </c>
      <c r="G37" s="91">
        <v>0.313</v>
      </c>
      <c r="H37" s="91" t="s">
        <v>26</v>
      </c>
      <c r="I37" s="91" t="s">
        <v>42</v>
      </c>
      <c r="J37" s="91" t="s">
        <v>26</v>
      </c>
      <c r="K37" s="91" t="s">
        <v>26</v>
      </c>
      <c r="L37" s="91">
        <v>0.274</v>
      </c>
      <c r="M37" s="91" t="s">
        <v>26</v>
      </c>
      <c r="N37" s="91" t="s">
        <v>26</v>
      </c>
      <c r="O37" s="91" t="s">
        <v>42</v>
      </c>
      <c r="P37" s="91" t="s">
        <v>26</v>
      </c>
      <c r="Q37" s="91">
        <f t="shared" si="3"/>
        <v>0.313</v>
      </c>
      <c r="R37" s="23">
        <v>7.0</v>
      </c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20"/>
      <c r="B38" s="27"/>
      <c r="C38" s="22">
        <v>4.0</v>
      </c>
      <c r="D38" s="129" t="s">
        <v>151</v>
      </c>
      <c r="E38" s="91" t="s">
        <v>26</v>
      </c>
      <c r="F38" s="91" t="s">
        <v>26</v>
      </c>
      <c r="G38" s="91">
        <v>0.366</v>
      </c>
      <c r="H38" s="91" t="s">
        <v>26</v>
      </c>
      <c r="I38" s="91" t="s">
        <v>42</v>
      </c>
      <c r="J38" s="91" t="s">
        <v>26</v>
      </c>
      <c r="K38" s="91" t="s">
        <v>26</v>
      </c>
      <c r="L38" s="91">
        <v>0.294</v>
      </c>
      <c r="M38" s="91" t="s">
        <v>26</v>
      </c>
      <c r="N38" s="91" t="s">
        <v>26</v>
      </c>
      <c r="O38" s="91">
        <v>0.311</v>
      </c>
      <c r="P38" s="91" t="s">
        <v>26</v>
      </c>
      <c r="Q38" s="91">
        <f t="shared" si="3"/>
        <v>0.366</v>
      </c>
      <c r="R38" s="23">
        <v>7.0</v>
      </c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20"/>
      <c r="B39" s="15" t="s">
        <v>154</v>
      </c>
      <c r="C39" s="16">
        <v>1.0</v>
      </c>
      <c r="D39" s="155" t="s">
        <v>148</v>
      </c>
      <c r="E39" s="114" t="s">
        <v>26</v>
      </c>
      <c r="F39" s="114" t="s">
        <v>26</v>
      </c>
      <c r="G39" s="114">
        <v>0.134</v>
      </c>
      <c r="H39" s="114" t="s">
        <v>26</v>
      </c>
      <c r="I39" s="114">
        <v>0.277</v>
      </c>
      <c r="J39" s="114" t="s">
        <v>26</v>
      </c>
      <c r="K39" s="114" t="s">
        <v>26</v>
      </c>
      <c r="L39" s="114">
        <v>0.184</v>
      </c>
      <c r="M39" s="114" t="s">
        <v>26</v>
      </c>
      <c r="N39" s="114" t="s">
        <v>26</v>
      </c>
      <c r="O39" s="114">
        <v>0.183</v>
      </c>
      <c r="P39" s="114" t="s">
        <v>26</v>
      </c>
      <c r="Q39" s="40">
        <f t="shared" si="3"/>
        <v>0.2055</v>
      </c>
      <c r="R39" s="17">
        <v>0.5</v>
      </c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20"/>
      <c r="B40" s="21"/>
      <c r="C40" s="22">
        <v>2.0</v>
      </c>
      <c r="D40" s="129" t="s">
        <v>149</v>
      </c>
      <c r="E40" s="91" t="s">
        <v>26</v>
      </c>
      <c r="F40" s="91" t="s">
        <v>26</v>
      </c>
      <c r="G40" s="91">
        <v>0.182</v>
      </c>
      <c r="H40" s="91" t="s">
        <v>26</v>
      </c>
      <c r="I40" s="91">
        <v>0.291</v>
      </c>
      <c r="J40" s="91" t="s">
        <v>26</v>
      </c>
      <c r="K40" s="91" t="s">
        <v>26</v>
      </c>
      <c r="L40" s="91">
        <v>0.237</v>
      </c>
      <c r="M40" s="91" t="s">
        <v>26</v>
      </c>
      <c r="N40" s="91" t="s">
        <v>26</v>
      </c>
      <c r="O40" s="91">
        <v>0.191</v>
      </c>
      <c r="P40" s="91" t="s">
        <v>26</v>
      </c>
      <c r="Q40" s="43">
        <f t="shared" si="3"/>
        <v>0.2365</v>
      </c>
      <c r="R40" s="23">
        <v>0.5</v>
      </c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20"/>
      <c r="B41" s="21"/>
      <c r="C41" s="22">
        <v>3.0</v>
      </c>
      <c r="D41" s="129" t="s">
        <v>150</v>
      </c>
      <c r="E41" s="91" t="s">
        <v>26</v>
      </c>
      <c r="F41" s="91" t="s">
        <v>26</v>
      </c>
      <c r="G41" s="91">
        <v>0.174</v>
      </c>
      <c r="H41" s="91" t="s">
        <v>26</v>
      </c>
      <c r="I41" s="91">
        <v>0.516</v>
      </c>
      <c r="J41" s="91" t="s">
        <v>26</v>
      </c>
      <c r="K41" s="91" t="s">
        <v>26</v>
      </c>
      <c r="L41" s="91">
        <v>0.23</v>
      </c>
      <c r="M41" s="91" t="s">
        <v>26</v>
      </c>
      <c r="N41" s="91" t="s">
        <v>26</v>
      </c>
      <c r="O41" s="91">
        <v>0.171</v>
      </c>
      <c r="P41" s="91" t="s">
        <v>26</v>
      </c>
      <c r="Q41" s="43">
        <f t="shared" si="3"/>
        <v>0.345</v>
      </c>
      <c r="R41" s="23">
        <v>0.5</v>
      </c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20"/>
      <c r="B42" s="27"/>
      <c r="C42" s="22">
        <v>4.0</v>
      </c>
      <c r="D42" s="129" t="s">
        <v>151</v>
      </c>
      <c r="E42" s="91" t="s">
        <v>26</v>
      </c>
      <c r="F42" s="91" t="s">
        <v>26</v>
      </c>
      <c r="G42" s="91">
        <v>0.3</v>
      </c>
      <c r="H42" s="91" t="s">
        <v>26</v>
      </c>
      <c r="I42" s="91">
        <v>0.596</v>
      </c>
      <c r="J42" s="91" t="s">
        <v>26</v>
      </c>
      <c r="K42" s="91" t="s">
        <v>26</v>
      </c>
      <c r="L42" s="91">
        <v>0.267</v>
      </c>
      <c r="M42" s="91" t="s">
        <v>26</v>
      </c>
      <c r="N42" s="91" t="s">
        <v>26</v>
      </c>
      <c r="O42" s="91">
        <v>0.196</v>
      </c>
      <c r="P42" s="91" t="s">
        <v>26</v>
      </c>
      <c r="Q42" s="43">
        <f t="shared" si="3"/>
        <v>0.448</v>
      </c>
      <c r="R42" s="23">
        <v>0.5</v>
      </c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20"/>
      <c r="B43" s="15" t="s">
        <v>46</v>
      </c>
      <c r="C43" s="16">
        <v>1.0</v>
      </c>
      <c r="D43" s="155" t="s">
        <v>148</v>
      </c>
      <c r="E43" s="114" t="s">
        <v>26</v>
      </c>
      <c r="F43" s="114" t="s">
        <v>26</v>
      </c>
      <c r="G43" s="114">
        <v>670.0</v>
      </c>
      <c r="H43" s="114" t="s">
        <v>26</v>
      </c>
      <c r="I43" s="33">
        <v>7428.0</v>
      </c>
      <c r="J43" s="114" t="s">
        <v>26</v>
      </c>
      <c r="K43" s="114" t="s">
        <v>26</v>
      </c>
      <c r="L43" s="114">
        <v>17.0</v>
      </c>
      <c r="M43" s="114" t="s">
        <v>26</v>
      </c>
      <c r="N43" s="114" t="s">
        <v>26</v>
      </c>
      <c r="O43" s="33">
        <v>3332.0</v>
      </c>
      <c r="P43" s="114" t="s">
        <v>26</v>
      </c>
      <c r="Q43" s="33">
        <f t="shared" si="3"/>
        <v>4049</v>
      </c>
      <c r="R43" s="17">
        <v>350.0</v>
      </c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20"/>
      <c r="B44" s="21"/>
      <c r="C44" s="22">
        <v>2.0</v>
      </c>
      <c r="D44" s="129" t="s">
        <v>149</v>
      </c>
      <c r="E44" s="91" t="s">
        <v>26</v>
      </c>
      <c r="F44" s="91" t="s">
        <v>26</v>
      </c>
      <c r="G44" s="91">
        <v>754.0</v>
      </c>
      <c r="H44" s="91" t="s">
        <v>26</v>
      </c>
      <c r="I44" s="34">
        <v>7965.0</v>
      </c>
      <c r="J44" s="91" t="s">
        <v>26</v>
      </c>
      <c r="K44" s="91" t="s">
        <v>26</v>
      </c>
      <c r="L44" s="91">
        <v>46.0</v>
      </c>
      <c r="M44" s="91" t="s">
        <v>26</v>
      </c>
      <c r="N44" s="91" t="s">
        <v>26</v>
      </c>
      <c r="O44" s="34">
        <v>5332.0</v>
      </c>
      <c r="P44" s="91" t="s">
        <v>26</v>
      </c>
      <c r="Q44" s="34">
        <f t="shared" si="3"/>
        <v>4359.5</v>
      </c>
      <c r="R44" s="23">
        <v>350.0</v>
      </c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20"/>
      <c r="B45" s="21"/>
      <c r="C45" s="22">
        <v>3.0</v>
      </c>
      <c r="D45" s="129" t="s">
        <v>150</v>
      </c>
      <c r="E45" s="91" t="s">
        <v>26</v>
      </c>
      <c r="F45" s="91" t="s">
        <v>26</v>
      </c>
      <c r="G45" s="34">
        <v>2216.0</v>
      </c>
      <c r="H45" s="91" t="s">
        <v>26</v>
      </c>
      <c r="I45" s="34">
        <v>12753.0</v>
      </c>
      <c r="J45" s="91" t="s">
        <v>26</v>
      </c>
      <c r="K45" s="91" t="s">
        <v>26</v>
      </c>
      <c r="L45" s="37">
        <v>2405.0</v>
      </c>
      <c r="M45" s="91" t="s">
        <v>26</v>
      </c>
      <c r="N45" s="91" t="s">
        <v>26</v>
      </c>
      <c r="O45" s="34">
        <v>3237.0</v>
      </c>
      <c r="P45" s="91" t="s">
        <v>26</v>
      </c>
      <c r="Q45" s="34">
        <f t="shared" si="3"/>
        <v>7484.5</v>
      </c>
      <c r="R45" s="23">
        <v>350.0</v>
      </c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20"/>
      <c r="B46" s="27"/>
      <c r="C46" s="22">
        <v>4.0</v>
      </c>
      <c r="D46" s="129" t="s">
        <v>151</v>
      </c>
      <c r="E46" s="91" t="s">
        <v>26</v>
      </c>
      <c r="F46" s="91" t="s">
        <v>26</v>
      </c>
      <c r="G46" s="34">
        <v>10751.0</v>
      </c>
      <c r="H46" s="91" t="s">
        <v>26</v>
      </c>
      <c r="I46" s="34">
        <v>14622.0</v>
      </c>
      <c r="J46" s="91" t="s">
        <v>26</v>
      </c>
      <c r="K46" s="91" t="s">
        <v>26</v>
      </c>
      <c r="L46" s="37">
        <v>2405.0</v>
      </c>
      <c r="M46" s="91" t="s">
        <v>26</v>
      </c>
      <c r="N46" s="91" t="s">
        <v>26</v>
      </c>
      <c r="O46" s="34">
        <v>2951.0</v>
      </c>
      <c r="P46" s="91" t="s">
        <v>26</v>
      </c>
      <c r="Q46" s="34">
        <f t="shared" si="3"/>
        <v>12686.5</v>
      </c>
      <c r="R46" s="23">
        <v>350.0</v>
      </c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17"/>
      <c r="H47" s="117"/>
      <c r="I47" s="117"/>
      <c r="J47" s="117"/>
      <c r="K47" s="117"/>
      <c r="L47" s="117"/>
      <c r="M47" s="117"/>
      <c r="N47" s="117"/>
      <c r="O47" s="117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97" t="s">
        <v>76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7" t="s">
        <v>155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B50:B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0.14"/>
    <col customWidth="1" min="5" max="11" width="10.71"/>
    <col customWidth="1" min="12" max="13" width="16.0"/>
    <col customWidth="1" min="14" max="14" width="13.57"/>
    <col customWidth="1" min="15" max="15" width="12.86"/>
    <col customWidth="1" hidden="1" min="16" max="16" width="2.14"/>
    <col customWidth="1" min="17" max="17" width="23.57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5" t="s">
        <v>14</v>
      </c>
      <c r="M4" s="85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156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60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31" t="s">
        <v>157</v>
      </c>
      <c r="E7" s="18">
        <v>0.053</v>
      </c>
      <c r="F7" s="18" t="s">
        <v>26</v>
      </c>
      <c r="G7" s="18" t="s">
        <v>26</v>
      </c>
      <c r="H7" s="18">
        <v>1.4</v>
      </c>
      <c r="I7" s="18" t="s">
        <v>26</v>
      </c>
      <c r="J7" s="18" t="s">
        <v>26</v>
      </c>
      <c r="K7" s="18">
        <v>7.2</v>
      </c>
      <c r="L7" s="18" t="s">
        <v>26</v>
      </c>
      <c r="M7" s="18" t="s">
        <v>26</v>
      </c>
      <c r="N7" s="18" t="s">
        <v>26</v>
      </c>
      <c r="O7" s="18">
        <v>7.8</v>
      </c>
      <c r="P7" s="18"/>
      <c r="Q7" s="40">
        <f>AVERAGE(E7,H7,K7,O7)</f>
        <v>4.11325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57" t="s">
        <v>158</v>
      </c>
      <c r="E8" s="24">
        <v>0.072</v>
      </c>
      <c r="F8" s="24" t="s">
        <v>26</v>
      </c>
      <c r="G8" s="24" t="s">
        <v>26</v>
      </c>
      <c r="H8" s="24">
        <v>1.29</v>
      </c>
      <c r="I8" s="24" t="s">
        <v>26</v>
      </c>
      <c r="J8" s="24" t="s">
        <v>26</v>
      </c>
      <c r="K8" s="24">
        <v>6.3</v>
      </c>
      <c r="L8" s="24" t="s">
        <v>26</v>
      </c>
      <c r="M8" s="24" t="s">
        <v>26</v>
      </c>
      <c r="N8" s="24" t="s">
        <v>26</v>
      </c>
      <c r="O8" s="24">
        <v>7.6</v>
      </c>
      <c r="P8" s="24"/>
      <c r="Q8" s="43">
        <f t="shared" ref="Q8:Q9" si="1">AVERAGE(E8,F8,G8,H8,I8,J8,K8,L8,M8,N8,O8,P8)</f>
        <v>3.8155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57" t="s">
        <v>159</v>
      </c>
      <c r="E9" s="24">
        <v>0.89</v>
      </c>
      <c r="F9" s="30" t="s">
        <v>26</v>
      </c>
      <c r="G9" s="30" t="s">
        <v>26</v>
      </c>
      <c r="H9" s="24">
        <v>1.26</v>
      </c>
      <c r="I9" s="30" t="s">
        <v>26</v>
      </c>
      <c r="J9" s="30" t="s">
        <v>26</v>
      </c>
      <c r="K9" s="24">
        <v>6.5</v>
      </c>
      <c r="L9" s="30" t="s">
        <v>26</v>
      </c>
      <c r="M9" s="30" t="s">
        <v>26</v>
      </c>
      <c r="N9" s="30" t="s">
        <v>26</v>
      </c>
      <c r="O9" s="24">
        <v>8.8</v>
      </c>
      <c r="P9" s="24"/>
      <c r="Q9" s="24">
        <f t="shared" si="1"/>
        <v>4.3625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31</v>
      </c>
      <c r="C10" s="16">
        <v>1.0</v>
      </c>
      <c r="D10" s="131" t="s">
        <v>157</v>
      </c>
      <c r="E10" s="28">
        <v>24.0</v>
      </c>
      <c r="F10" s="18" t="s">
        <v>26</v>
      </c>
      <c r="G10" s="18" t="s">
        <v>26</v>
      </c>
      <c r="H10" s="28" t="s">
        <v>64</v>
      </c>
      <c r="I10" s="18" t="s">
        <v>26</v>
      </c>
      <c r="J10" s="18" t="s">
        <v>26</v>
      </c>
      <c r="K10" s="28">
        <v>3.0</v>
      </c>
      <c r="L10" s="18" t="s">
        <v>26</v>
      </c>
      <c r="M10" s="18" t="s">
        <v>26</v>
      </c>
      <c r="N10" s="18" t="s">
        <v>26</v>
      </c>
      <c r="O10" s="28">
        <v>2.0</v>
      </c>
      <c r="P10" s="18"/>
      <c r="Q10" s="28">
        <f t="shared" ref="Q10:Q11" si="2">AVERAGE(E10)</f>
        <v>24</v>
      </c>
      <c r="R10" s="17">
        <v>7.0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57" t="s">
        <v>158</v>
      </c>
      <c r="E11" s="30">
        <v>14.0</v>
      </c>
      <c r="F11" s="24" t="s">
        <v>26</v>
      </c>
      <c r="G11" s="24" t="s">
        <v>26</v>
      </c>
      <c r="H11" s="30">
        <v>3.0</v>
      </c>
      <c r="I11" s="24" t="s">
        <v>26</v>
      </c>
      <c r="J11" s="24" t="s">
        <v>26</v>
      </c>
      <c r="K11" s="30">
        <v>5.0</v>
      </c>
      <c r="L11" s="24" t="s">
        <v>26</v>
      </c>
      <c r="M11" s="24" t="s">
        <v>26</v>
      </c>
      <c r="N11" s="24" t="s">
        <v>26</v>
      </c>
      <c r="O11" s="24" t="s">
        <v>64</v>
      </c>
      <c r="P11" s="24"/>
      <c r="Q11" s="30">
        <f t="shared" si="2"/>
        <v>14</v>
      </c>
      <c r="R11" s="23">
        <v>7.0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57" t="s">
        <v>159</v>
      </c>
      <c r="E12" s="30">
        <v>6.0</v>
      </c>
      <c r="F12" s="30" t="s">
        <v>26</v>
      </c>
      <c r="G12" s="30" t="s">
        <v>26</v>
      </c>
      <c r="H12" s="30">
        <v>3.0</v>
      </c>
      <c r="I12" s="30" t="s">
        <v>26</v>
      </c>
      <c r="J12" s="30" t="s">
        <v>26</v>
      </c>
      <c r="K12" s="30">
        <v>2.0</v>
      </c>
      <c r="L12" s="30" t="s">
        <v>26</v>
      </c>
      <c r="M12" s="30" t="s">
        <v>26</v>
      </c>
      <c r="N12" s="30" t="s">
        <v>26</v>
      </c>
      <c r="O12" s="30">
        <v>2.0</v>
      </c>
      <c r="P12" s="24"/>
      <c r="Q12" s="30">
        <f t="shared" ref="Q12:Q18" si="3">AVERAGE(E12,F12,G12,H12,I12,J12,K12,L12,M12,N12,O12,P12)</f>
        <v>3.25</v>
      </c>
      <c r="R12" s="23">
        <v>7.0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33</v>
      </c>
      <c r="C13" s="16">
        <v>1.0</v>
      </c>
      <c r="D13" s="131" t="s">
        <v>157</v>
      </c>
      <c r="E13" s="28">
        <v>115.0</v>
      </c>
      <c r="F13" s="18" t="s">
        <v>26</v>
      </c>
      <c r="G13" s="18" t="s">
        <v>26</v>
      </c>
      <c r="H13" s="28">
        <v>18.0</v>
      </c>
      <c r="I13" s="18" t="s">
        <v>26</v>
      </c>
      <c r="J13" s="18" t="s">
        <v>26</v>
      </c>
      <c r="K13" s="28">
        <v>33.0</v>
      </c>
      <c r="L13" s="18" t="s">
        <v>26</v>
      </c>
      <c r="M13" s="18" t="s">
        <v>26</v>
      </c>
      <c r="N13" s="18" t="s">
        <v>26</v>
      </c>
      <c r="O13" s="28">
        <v>12.0</v>
      </c>
      <c r="P13" s="18"/>
      <c r="Q13" s="28">
        <f t="shared" si="3"/>
        <v>44.5</v>
      </c>
      <c r="R13" s="17">
        <v>80.0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57" t="s">
        <v>158</v>
      </c>
      <c r="E14" s="30">
        <v>383.0</v>
      </c>
      <c r="F14" s="24" t="s">
        <v>26</v>
      </c>
      <c r="G14" s="24" t="s">
        <v>26</v>
      </c>
      <c r="H14" s="30">
        <v>34.0</v>
      </c>
      <c r="I14" s="24" t="s">
        <v>26</v>
      </c>
      <c r="J14" s="24" t="s">
        <v>26</v>
      </c>
      <c r="K14" s="30">
        <v>121.0</v>
      </c>
      <c r="L14" s="24" t="s">
        <v>26</v>
      </c>
      <c r="M14" s="24" t="s">
        <v>26</v>
      </c>
      <c r="N14" s="24" t="s">
        <v>26</v>
      </c>
      <c r="O14" s="30">
        <v>8.0</v>
      </c>
      <c r="P14" s="24"/>
      <c r="Q14" s="30">
        <f t="shared" si="3"/>
        <v>136.5</v>
      </c>
      <c r="R14" s="23">
        <v>80.0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57" t="s">
        <v>159</v>
      </c>
      <c r="E15" s="30">
        <v>150.0</v>
      </c>
      <c r="F15" s="30" t="s">
        <v>26</v>
      </c>
      <c r="G15" s="30" t="s">
        <v>26</v>
      </c>
      <c r="H15" s="30">
        <v>28.0</v>
      </c>
      <c r="I15" s="30" t="s">
        <v>26</v>
      </c>
      <c r="J15" s="30" t="s">
        <v>26</v>
      </c>
      <c r="K15" s="30">
        <v>133.0</v>
      </c>
      <c r="L15" s="30" t="s">
        <v>26</v>
      </c>
      <c r="M15" s="30" t="s">
        <v>26</v>
      </c>
      <c r="N15" s="30" t="s">
        <v>26</v>
      </c>
      <c r="O15" s="30">
        <v>12.0</v>
      </c>
      <c r="P15" s="24"/>
      <c r="Q15" s="30">
        <f t="shared" si="3"/>
        <v>80.75</v>
      </c>
      <c r="R15" s="23">
        <v>80.0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34</v>
      </c>
      <c r="C16" s="16">
        <v>1.0</v>
      </c>
      <c r="D16" s="131" t="s">
        <v>157</v>
      </c>
      <c r="E16" s="18">
        <v>26.4</v>
      </c>
      <c r="F16" s="18" t="s">
        <v>26</v>
      </c>
      <c r="G16" s="18" t="s">
        <v>26</v>
      </c>
      <c r="H16" s="18">
        <v>7.51</v>
      </c>
      <c r="I16" s="18" t="s">
        <v>26</v>
      </c>
      <c r="J16" s="18" t="s">
        <v>26</v>
      </c>
      <c r="K16" s="18">
        <v>7.42</v>
      </c>
      <c r="L16" s="18" t="s">
        <v>26</v>
      </c>
      <c r="M16" s="18" t="s">
        <v>26</v>
      </c>
      <c r="N16" s="18" t="s">
        <v>26</v>
      </c>
      <c r="O16" s="18">
        <v>7.42</v>
      </c>
      <c r="P16" s="18"/>
      <c r="Q16" s="18">
        <f t="shared" si="3"/>
        <v>12.1875</v>
      </c>
      <c r="R16" s="18" t="s">
        <v>35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57" t="s">
        <v>158</v>
      </c>
      <c r="E17" s="24">
        <v>27.4</v>
      </c>
      <c r="F17" s="24" t="s">
        <v>26</v>
      </c>
      <c r="G17" s="24" t="s">
        <v>26</v>
      </c>
      <c r="H17" s="24">
        <v>7.37</v>
      </c>
      <c r="I17" s="24" t="s">
        <v>26</v>
      </c>
      <c r="J17" s="24" t="s">
        <v>26</v>
      </c>
      <c r="K17" s="24">
        <v>7.24</v>
      </c>
      <c r="L17" s="24" t="s">
        <v>26</v>
      </c>
      <c r="M17" s="24" t="s">
        <v>26</v>
      </c>
      <c r="N17" s="24" t="s">
        <v>26</v>
      </c>
      <c r="O17" s="24">
        <v>7.5</v>
      </c>
      <c r="P17" s="24"/>
      <c r="Q17" s="24">
        <f t="shared" si="3"/>
        <v>12.3775</v>
      </c>
      <c r="R17" s="24" t="s">
        <v>35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57" t="s">
        <v>159</v>
      </c>
      <c r="E18" s="24">
        <v>27.7</v>
      </c>
      <c r="F18" s="30" t="s">
        <v>26</v>
      </c>
      <c r="G18" s="30" t="s">
        <v>26</v>
      </c>
      <c r="H18" s="24">
        <v>7.34</v>
      </c>
      <c r="I18" s="30" t="s">
        <v>26</v>
      </c>
      <c r="J18" s="30" t="s">
        <v>26</v>
      </c>
      <c r="K18" s="24">
        <v>7.17</v>
      </c>
      <c r="L18" s="30" t="s">
        <v>26</v>
      </c>
      <c r="M18" s="30" t="s">
        <v>26</v>
      </c>
      <c r="N18" s="30" t="s">
        <v>26</v>
      </c>
      <c r="O18" s="24">
        <v>7.45</v>
      </c>
      <c r="P18" s="24"/>
      <c r="Q18" s="24">
        <f t="shared" si="3"/>
        <v>12.415</v>
      </c>
      <c r="R18" s="24" t="s">
        <v>35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160</v>
      </c>
      <c r="C19" s="16">
        <v>1.0</v>
      </c>
      <c r="D19" s="131" t="s">
        <v>157</v>
      </c>
      <c r="E19" s="18" t="s">
        <v>26</v>
      </c>
      <c r="F19" s="18" t="s">
        <v>26</v>
      </c>
      <c r="G19" s="18" t="s">
        <v>26</v>
      </c>
      <c r="H19" s="18">
        <v>28.9</v>
      </c>
      <c r="I19" s="18" t="s">
        <v>26</v>
      </c>
      <c r="J19" s="18" t="s">
        <v>26</v>
      </c>
      <c r="K19" s="18">
        <v>27.8</v>
      </c>
      <c r="L19" s="18" t="s">
        <v>26</v>
      </c>
      <c r="M19" s="18" t="s">
        <v>26</v>
      </c>
      <c r="N19" s="18" t="s">
        <v>26</v>
      </c>
      <c r="O19" s="18">
        <v>26.8</v>
      </c>
      <c r="P19" s="18"/>
      <c r="Q19" s="18" t="s">
        <v>26</v>
      </c>
      <c r="R19" s="18" t="s">
        <v>37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57" t="s">
        <v>158</v>
      </c>
      <c r="E20" s="24" t="s">
        <v>26</v>
      </c>
      <c r="F20" s="24" t="s">
        <v>26</v>
      </c>
      <c r="G20" s="24" t="s">
        <v>26</v>
      </c>
      <c r="H20" s="24">
        <v>30.3</v>
      </c>
      <c r="I20" s="24" t="s">
        <v>26</v>
      </c>
      <c r="J20" s="24" t="s">
        <v>26</v>
      </c>
      <c r="K20" s="24">
        <v>28.1</v>
      </c>
      <c r="L20" s="24" t="s">
        <v>26</v>
      </c>
      <c r="M20" s="24" t="s">
        <v>26</v>
      </c>
      <c r="N20" s="24" t="s">
        <v>26</v>
      </c>
      <c r="O20" s="24">
        <v>28.5</v>
      </c>
      <c r="P20" s="24"/>
      <c r="Q20" s="24" t="s">
        <v>26</v>
      </c>
      <c r="R20" s="24" t="s">
        <v>37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57" t="s">
        <v>159</v>
      </c>
      <c r="E21" s="30" t="s">
        <v>26</v>
      </c>
      <c r="F21" s="30" t="s">
        <v>26</v>
      </c>
      <c r="G21" s="30" t="s">
        <v>26</v>
      </c>
      <c r="H21" s="24">
        <v>30.43</v>
      </c>
      <c r="I21" s="30" t="s">
        <v>26</v>
      </c>
      <c r="J21" s="30" t="s">
        <v>26</v>
      </c>
      <c r="K21" s="24">
        <v>28.0</v>
      </c>
      <c r="L21" s="30" t="s">
        <v>26</v>
      </c>
      <c r="M21" s="30" t="s">
        <v>26</v>
      </c>
      <c r="N21" s="30" t="s">
        <v>26</v>
      </c>
      <c r="O21" s="24">
        <v>29.1</v>
      </c>
      <c r="P21" s="24"/>
      <c r="Q21" s="30" t="s">
        <v>26</v>
      </c>
      <c r="R21" s="24" t="s">
        <v>37</v>
      </c>
      <c r="S21" s="100"/>
      <c r="T21" s="100"/>
      <c r="U21" s="100"/>
      <c r="V21" s="100"/>
      <c r="W21" s="100"/>
      <c r="X21" s="100"/>
      <c r="Y21" s="100"/>
      <c r="Z21" s="100"/>
    </row>
    <row r="22" ht="15.0" customHeight="1">
      <c r="A22" s="20"/>
      <c r="B22" s="15" t="s">
        <v>38</v>
      </c>
      <c r="C22" s="16">
        <v>1.0</v>
      </c>
      <c r="D22" s="131" t="s">
        <v>157</v>
      </c>
      <c r="E22" s="28">
        <v>20.0</v>
      </c>
      <c r="F22" s="18" t="s">
        <v>26</v>
      </c>
      <c r="G22" s="18" t="s">
        <v>26</v>
      </c>
      <c r="H22" s="18">
        <v>10.0</v>
      </c>
      <c r="I22" s="18" t="s">
        <v>26</v>
      </c>
      <c r="J22" s="18" t="s">
        <v>26</v>
      </c>
      <c r="K22" s="28">
        <v>10.0</v>
      </c>
      <c r="L22" s="18" t="s">
        <v>26</v>
      </c>
      <c r="M22" s="18" t="s">
        <v>26</v>
      </c>
      <c r="N22" s="18" t="s">
        <v>26</v>
      </c>
      <c r="O22" s="28">
        <v>5.0</v>
      </c>
      <c r="P22" s="18"/>
      <c r="Q22" s="28">
        <f t="shared" ref="Q22:Q24" si="4">AVERAGE(E22,F22,G22,H22,I22,J22,K22,L22,M22,N22,O22,P22)</f>
        <v>11.25</v>
      </c>
      <c r="R22" s="17">
        <v>75.0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57" t="s">
        <v>158</v>
      </c>
      <c r="E23" s="30">
        <v>20.0</v>
      </c>
      <c r="F23" s="24" t="s">
        <v>26</v>
      </c>
      <c r="G23" s="24" t="s">
        <v>26</v>
      </c>
      <c r="H23" s="24">
        <v>20.0</v>
      </c>
      <c r="I23" s="24" t="s">
        <v>26</v>
      </c>
      <c r="J23" s="24" t="s">
        <v>26</v>
      </c>
      <c r="K23" s="30">
        <v>25.0</v>
      </c>
      <c r="L23" s="24" t="s">
        <v>26</v>
      </c>
      <c r="M23" s="24" t="s">
        <v>26</v>
      </c>
      <c r="N23" s="24" t="s">
        <v>26</v>
      </c>
      <c r="O23" s="30">
        <v>5.0</v>
      </c>
      <c r="P23" s="24"/>
      <c r="Q23" s="30">
        <f t="shared" si="4"/>
        <v>17.5</v>
      </c>
      <c r="R23" s="23">
        <v>75.0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57" t="s">
        <v>159</v>
      </c>
      <c r="E24" s="30">
        <v>20.0</v>
      </c>
      <c r="F24" s="30" t="s">
        <v>26</v>
      </c>
      <c r="G24" s="30" t="s">
        <v>26</v>
      </c>
      <c r="H24" s="24">
        <v>20.0</v>
      </c>
      <c r="I24" s="30" t="s">
        <v>26</v>
      </c>
      <c r="J24" s="30" t="s">
        <v>26</v>
      </c>
      <c r="K24" s="30">
        <v>25.0</v>
      </c>
      <c r="L24" s="30" t="s">
        <v>26</v>
      </c>
      <c r="M24" s="30" t="s">
        <v>26</v>
      </c>
      <c r="N24" s="30" t="s">
        <v>26</v>
      </c>
      <c r="O24" s="30">
        <v>5.0</v>
      </c>
      <c r="P24" s="24"/>
      <c r="Q24" s="30">
        <f t="shared" si="4"/>
        <v>17.5</v>
      </c>
      <c r="R24" s="23">
        <v>75.0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40</v>
      </c>
      <c r="C25" s="16">
        <v>1.0</v>
      </c>
      <c r="D25" s="131" t="s">
        <v>157</v>
      </c>
      <c r="E25" s="33">
        <v>24000.0</v>
      </c>
      <c r="F25" s="18" t="s">
        <v>26</v>
      </c>
      <c r="G25" s="18" t="s">
        <v>26</v>
      </c>
      <c r="H25" s="33">
        <v>4900.0</v>
      </c>
      <c r="I25" s="18" t="s">
        <v>26</v>
      </c>
      <c r="J25" s="18" t="s">
        <v>26</v>
      </c>
      <c r="K25" s="32">
        <v>3500.0</v>
      </c>
      <c r="L25" s="18" t="s">
        <v>26</v>
      </c>
      <c r="M25" s="18" t="s">
        <v>26</v>
      </c>
      <c r="N25" s="18" t="s">
        <v>26</v>
      </c>
      <c r="O25" s="33">
        <v>7000.0</v>
      </c>
      <c r="P25" s="18"/>
      <c r="Q25" s="33">
        <f t="shared" ref="Q25:Q27" si="5">GEOMEAN(E25,F25,G25,H25,I25,J25,K25,L25,M25,N25,O25,P25)</f>
        <v>7326.445976</v>
      </c>
      <c r="R25" s="17">
        <v>200.0</v>
      </c>
      <c r="S25" s="130">
        <f>GEOMEAN(Q25,Q26,Q27)</f>
        <v>14905.00045</v>
      </c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57" t="s">
        <v>158</v>
      </c>
      <c r="E26" s="34">
        <v>110000.0</v>
      </c>
      <c r="F26" s="24" t="s">
        <v>26</v>
      </c>
      <c r="G26" s="24" t="s">
        <v>26</v>
      </c>
      <c r="H26" s="34">
        <v>35000.0</v>
      </c>
      <c r="I26" s="24" t="s">
        <v>26</v>
      </c>
      <c r="J26" s="24" t="s">
        <v>26</v>
      </c>
      <c r="K26" s="37">
        <v>16000.0</v>
      </c>
      <c r="L26" s="24" t="s">
        <v>26</v>
      </c>
      <c r="M26" s="24" t="s">
        <v>26</v>
      </c>
      <c r="N26" s="24" t="s">
        <v>26</v>
      </c>
      <c r="O26" s="34">
        <v>1400.0</v>
      </c>
      <c r="P26" s="24"/>
      <c r="Q26" s="34">
        <f t="shared" si="5"/>
        <v>17136.69973</v>
      </c>
      <c r="R26" s="23">
        <v>200.0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57" t="s">
        <v>159</v>
      </c>
      <c r="E27" s="34">
        <v>54000.0</v>
      </c>
      <c r="F27" s="30" t="s">
        <v>26</v>
      </c>
      <c r="G27" s="30" t="s">
        <v>26</v>
      </c>
      <c r="H27" s="34">
        <v>35000.0</v>
      </c>
      <c r="I27" s="30" t="s">
        <v>26</v>
      </c>
      <c r="J27" s="30" t="s">
        <v>26</v>
      </c>
      <c r="K27" s="37">
        <v>16000.0</v>
      </c>
      <c r="L27" s="30" t="s">
        <v>26</v>
      </c>
      <c r="M27" s="30" t="s">
        <v>26</v>
      </c>
      <c r="N27" s="30" t="s">
        <v>26</v>
      </c>
      <c r="O27" s="34">
        <v>16000.0</v>
      </c>
      <c r="P27" s="24"/>
      <c r="Q27" s="34">
        <f t="shared" si="5"/>
        <v>26373.96602</v>
      </c>
      <c r="R27" s="23">
        <v>200.0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161</v>
      </c>
      <c r="C28" s="16">
        <v>1.0</v>
      </c>
      <c r="D28" s="131" t="s">
        <v>157</v>
      </c>
      <c r="E28" s="40">
        <v>3.904</v>
      </c>
      <c r="F28" s="18" t="s">
        <v>26</v>
      </c>
      <c r="G28" s="18" t="s">
        <v>26</v>
      </c>
      <c r="H28" s="40">
        <v>0.626</v>
      </c>
      <c r="I28" s="18" t="s">
        <v>26</v>
      </c>
      <c r="J28" s="18" t="s">
        <v>26</v>
      </c>
      <c r="K28" s="65">
        <v>0.867</v>
      </c>
      <c r="L28" s="18" t="s">
        <v>26</v>
      </c>
      <c r="M28" s="18" t="s">
        <v>26</v>
      </c>
      <c r="N28" s="18" t="s">
        <v>26</v>
      </c>
      <c r="O28" s="40">
        <v>1.008</v>
      </c>
      <c r="P28" s="18"/>
      <c r="Q28" s="40">
        <f>AVERAGE(0.045,F28,G28,H28,I28,J28,K28,0.045,M28,N28,O28,P28)</f>
        <v>0.5182</v>
      </c>
      <c r="R28" s="17">
        <v>7.0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57" t="s">
        <v>158</v>
      </c>
      <c r="E29" s="43">
        <v>2.273</v>
      </c>
      <c r="F29" s="24" t="s">
        <v>26</v>
      </c>
      <c r="G29" s="24" t="s">
        <v>26</v>
      </c>
      <c r="H29" s="43">
        <v>0.491</v>
      </c>
      <c r="I29" s="24" t="s">
        <v>26</v>
      </c>
      <c r="J29" s="24" t="s">
        <v>26</v>
      </c>
      <c r="K29" s="43">
        <v>0.989</v>
      </c>
      <c r="L29" s="24" t="s">
        <v>26</v>
      </c>
      <c r="M29" s="24" t="s">
        <v>26</v>
      </c>
      <c r="N29" s="24" t="s">
        <v>26</v>
      </c>
      <c r="O29" s="43">
        <v>1.097</v>
      </c>
      <c r="P29" s="24"/>
      <c r="Q29" s="43">
        <f t="shared" ref="Q29:Q36" si="6">AVERAGE(E29,F29,G29,H29,I29,J29,K29,L29,M29,N29,O29,P29)</f>
        <v>1.2125</v>
      </c>
      <c r="R29" s="23">
        <v>7.0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57" t="s">
        <v>159</v>
      </c>
      <c r="E30" s="43">
        <v>1.353</v>
      </c>
      <c r="F30" s="30" t="s">
        <v>26</v>
      </c>
      <c r="G30" s="30" t="s">
        <v>26</v>
      </c>
      <c r="H30" s="43">
        <v>0.614</v>
      </c>
      <c r="I30" s="30" t="s">
        <v>26</v>
      </c>
      <c r="J30" s="30" t="s">
        <v>26</v>
      </c>
      <c r="K30" s="43">
        <v>1.21</v>
      </c>
      <c r="L30" s="30" t="s">
        <v>26</v>
      </c>
      <c r="M30" s="30" t="s">
        <v>26</v>
      </c>
      <c r="N30" s="30" t="s">
        <v>26</v>
      </c>
      <c r="O30" s="43">
        <v>0.933</v>
      </c>
      <c r="P30" s="24"/>
      <c r="Q30" s="43">
        <f t="shared" si="6"/>
        <v>1.0275</v>
      </c>
      <c r="R30" s="23">
        <v>7.0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162</v>
      </c>
      <c r="C31" s="16">
        <v>1.0</v>
      </c>
      <c r="D31" s="131" t="s">
        <v>157</v>
      </c>
      <c r="E31" s="40">
        <v>2.076</v>
      </c>
      <c r="F31" s="18" t="s">
        <v>26</v>
      </c>
      <c r="G31" s="18" t="s">
        <v>26</v>
      </c>
      <c r="H31" s="40">
        <v>0.045</v>
      </c>
      <c r="I31" s="18" t="s">
        <v>26</v>
      </c>
      <c r="J31" s="18" t="s">
        <v>26</v>
      </c>
      <c r="K31" s="40">
        <v>0.14</v>
      </c>
      <c r="L31" s="18" t="s">
        <v>26</v>
      </c>
      <c r="M31" s="18" t="s">
        <v>26</v>
      </c>
      <c r="N31" s="18" t="s">
        <v>26</v>
      </c>
      <c r="O31" s="40">
        <v>0.045</v>
      </c>
      <c r="P31" s="18"/>
      <c r="Q31" s="40">
        <f t="shared" si="6"/>
        <v>0.5765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57" t="s">
        <v>158</v>
      </c>
      <c r="E32" s="43">
        <v>0.617</v>
      </c>
      <c r="F32" s="24" t="s">
        <v>26</v>
      </c>
      <c r="G32" s="24" t="s">
        <v>26</v>
      </c>
      <c r="H32" s="43">
        <v>0.105</v>
      </c>
      <c r="I32" s="24" t="s">
        <v>26</v>
      </c>
      <c r="J32" s="24" t="s">
        <v>26</v>
      </c>
      <c r="K32" s="43">
        <v>0.27</v>
      </c>
      <c r="L32" s="24" t="s">
        <v>26</v>
      </c>
      <c r="M32" s="24" t="s">
        <v>26</v>
      </c>
      <c r="N32" s="24" t="s">
        <v>26</v>
      </c>
      <c r="O32" s="43">
        <v>0.067</v>
      </c>
      <c r="P32" s="24"/>
      <c r="Q32" s="43">
        <f t="shared" si="6"/>
        <v>0.26475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7"/>
      <c r="C33" s="22">
        <v>3.0</v>
      </c>
      <c r="D33" s="157" t="s">
        <v>159</v>
      </c>
      <c r="E33" s="43">
        <v>0.326</v>
      </c>
      <c r="F33" s="30" t="s">
        <v>26</v>
      </c>
      <c r="G33" s="30" t="s">
        <v>26</v>
      </c>
      <c r="H33" s="43">
        <v>0.138</v>
      </c>
      <c r="I33" s="30" t="s">
        <v>26</v>
      </c>
      <c r="J33" s="30" t="s">
        <v>26</v>
      </c>
      <c r="K33" s="43">
        <v>0.261</v>
      </c>
      <c r="L33" s="30" t="s">
        <v>26</v>
      </c>
      <c r="M33" s="30" t="s">
        <v>26</v>
      </c>
      <c r="N33" s="30" t="s">
        <v>26</v>
      </c>
      <c r="O33" s="43">
        <v>0.064</v>
      </c>
      <c r="P33" s="24"/>
      <c r="Q33" s="43">
        <f t="shared" si="6"/>
        <v>0.19725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15" t="s">
        <v>46</v>
      </c>
      <c r="C34" s="16">
        <v>1.0</v>
      </c>
      <c r="D34" s="131" t="s">
        <v>157</v>
      </c>
      <c r="E34" s="28">
        <v>7.0</v>
      </c>
      <c r="F34" s="18" t="s">
        <v>26</v>
      </c>
      <c r="G34" s="18" t="s">
        <v>26</v>
      </c>
      <c r="H34" s="28">
        <v>7.0</v>
      </c>
      <c r="I34" s="18" t="s">
        <v>26</v>
      </c>
      <c r="J34" s="18" t="s">
        <v>26</v>
      </c>
      <c r="K34" s="28">
        <v>11.0</v>
      </c>
      <c r="L34" s="18" t="s">
        <v>26</v>
      </c>
      <c r="M34" s="18" t="s">
        <v>26</v>
      </c>
      <c r="N34" s="18" t="s">
        <v>26</v>
      </c>
      <c r="O34" s="28">
        <v>18.0</v>
      </c>
      <c r="P34" s="18"/>
      <c r="Q34" s="28">
        <f t="shared" si="6"/>
        <v>10.75</v>
      </c>
      <c r="R34" s="17">
        <v>350.0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21"/>
      <c r="C35" s="22">
        <v>2.0</v>
      </c>
      <c r="D35" s="157" t="s">
        <v>158</v>
      </c>
      <c r="E35" s="30">
        <v>11.0</v>
      </c>
      <c r="F35" s="24" t="s">
        <v>26</v>
      </c>
      <c r="G35" s="24" t="s">
        <v>26</v>
      </c>
      <c r="H35" s="30">
        <v>10.0</v>
      </c>
      <c r="I35" s="24" t="s">
        <v>26</v>
      </c>
      <c r="J35" s="24" t="s">
        <v>26</v>
      </c>
      <c r="K35" s="30">
        <v>12.0</v>
      </c>
      <c r="L35" s="24" t="s">
        <v>26</v>
      </c>
      <c r="M35" s="24" t="s">
        <v>26</v>
      </c>
      <c r="N35" s="24" t="s">
        <v>26</v>
      </c>
      <c r="O35" s="30">
        <v>8.0</v>
      </c>
      <c r="P35" s="24"/>
      <c r="Q35" s="30">
        <f t="shared" si="6"/>
        <v>10.25</v>
      </c>
      <c r="R35" s="23">
        <v>350.0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7"/>
      <c r="C36" s="22">
        <v>3.0</v>
      </c>
      <c r="D36" s="157" t="s">
        <v>159</v>
      </c>
      <c r="E36" s="30">
        <v>13.0</v>
      </c>
      <c r="F36" s="30" t="s">
        <v>26</v>
      </c>
      <c r="G36" s="30" t="s">
        <v>26</v>
      </c>
      <c r="H36" s="30">
        <v>11.0</v>
      </c>
      <c r="I36" s="30" t="s">
        <v>26</v>
      </c>
      <c r="J36" s="30" t="s">
        <v>26</v>
      </c>
      <c r="K36" s="30">
        <v>10.0</v>
      </c>
      <c r="L36" s="30" t="s">
        <v>26</v>
      </c>
      <c r="M36" s="30" t="s">
        <v>26</v>
      </c>
      <c r="N36" s="30" t="s">
        <v>26</v>
      </c>
      <c r="O36" s="30">
        <v>9.0</v>
      </c>
      <c r="P36" s="24"/>
      <c r="Q36" s="30">
        <f t="shared" si="6"/>
        <v>10.75</v>
      </c>
      <c r="R36" s="23">
        <v>350.0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00"/>
      <c r="O37" s="100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7" t="s">
        <v>76</v>
      </c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00"/>
      <c r="O38" s="100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00"/>
      <c r="O39" s="100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7" t="s">
        <v>87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17"/>
      <c r="N40" s="100"/>
      <c r="O40" s="100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17"/>
      <c r="N41" s="100"/>
      <c r="O41" s="100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17"/>
      <c r="N42" s="100"/>
      <c r="O42" s="100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00"/>
      <c r="O43" s="100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00"/>
      <c r="O44" s="100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00"/>
      <c r="O45" s="100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00"/>
      <c r="O46" s="100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00"/>
      <c r="O47" s="100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00"/>
      <c r="O48" s="100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00"/>
      <c r="O49" s="100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00"/>
      <c r="O50" s="100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00"/>
      <c r="O51" s="100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00"/>
      <c r="O52" s="100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00"/>
      <c r="O53" s="100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00"/>
      <c r="O54" s="100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00"/>
      <c r="O55" s="100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00"/>
      <c r="O56" s="100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00"/>
      <c r="O57" s="100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00"/>
      <c r="O58" s="100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00"/>
      <c r="O59" s="100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00"/>
      <c r="O60" s="100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00"/>
      <c r="O61" s="100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00"/>
      <c r="O62" s="100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00"/>
      <c r="O63" s="100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00"/>
      <c r="O64" s="100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00"/>
      <c r="O65" s="100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00"/>
      <c r="O66" s="100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00"/>
      <c r="O67" s="100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00"/>
      <c r="O68" s="100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00"/>
      <c r="O69" s="100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00"/>
      <c r="O70" s="100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00"/>
      <c r="O71" s="100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00"/>
      <c r="O72" s="100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00"/>
      <c r="O73" s="100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00"/>
      <c r="O74" s="100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00"/>
      <c r="O75" s="100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00"/>
      <c r="O76" s="100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00"/>
      <c r="O77" s="100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00"/>
      <c r="O78" s="100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00"/>
      <c r="O79" s="100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00"/>
      <c r="O80" s="100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00"/>
      <c r="O81" s="100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00"/>
      <c r="O82" s="100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00"/>
      <c r="O83" s="100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00"/>
      <c r="O84" s="100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00"/>
      <c r="O85" s="100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00"/>
      <c r="O86" s="100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00"/>
      <c r="O87" s="100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00"/>
      <c r="O88" s="100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00"/>
      <c r="O89" s="100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00"/>
      <c r="O90" s="100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00"/>
      <c r="O91" s="100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00"/>
      <c r="O92" s="100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00"/>
      <c r="O93" s="100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00"/>
      <c r="O94" s="100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00"/>
      <c r="O95" s="100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00"/>
      <c r="O96" s="100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00"/>
      <c r="O97" s="100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00"/>
      <c r="O98" s="100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00"/>
      <c r="O99" s="100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00"/>
      <c r="O100" s="100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00"/>
      <c r="O101" s="100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00"/>
      <c r="O102" s="100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00"/>
      <c r="O103" s="100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00"/>
      <c r="O104" s="100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00"/>
      <c r="O105" s="100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00"/>
      <c r="O106" s="100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00"/>
      <c r="O107" s="100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00"/>
      <c r="O108" s="100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00"/>
      <c r="O109" s="100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00"/>
      <c r="O110" s="100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00"/>
      <c r="O111" s="100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00"/>
      <c r="O112" s="100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00"/>
      <c r="O113" s="100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00"/>
      <c r="O114" s="100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00"/>
      <c r="O115" s="100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00"/>
      <c r="O116" s="100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00"/>
      <c r="O117" s="100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00"/>
      <c r="O118" s="100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00"/>
      <c r="O119" s="100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00"/>
      <c r="O120" s="100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00"/>
      <c r="O121" s="100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00"/>
      <c r="O122" s="100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00"/>
      <c r="O123" s="100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00"/>
      <c r="O124" s="100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00"/>
      <c r="O125" s="100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00"/>
      <c r="O126" s="100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00"/>
      <c r="O127" s="100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00"/>
      <c r="O128" s="100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00"/>
      <c r="O129" s="100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00"/>
      <c r="O130" s="100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00"/>
      <c r="O131" s="100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00"/>
      <c r="O132" s="100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00"/>
      <c r="O133" s="100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00"/>
      <c r="O134" s="100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00"/>
      <c r="O135" s="100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00"/>
      <c r="O136" s="100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00"/>
      <c r="O137" s="100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00"/>
      <c r="O138" s="100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00"/>
      <c r="O139" s="100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00"/>
      <c r="O140" s="100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00"/>
      <c r="O141" s="100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00"/>
      <c r="O142" s="100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00"/>
      <c r="O143" s="100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00"/>
      <c r="O144" s="100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00"/>
      <c r="O145" s="100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00"/>
      <c r="O146" s="100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00"/>
      <c r="O147" s="100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00"/>
      <c r="O148" s="100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00"/>
      <c r="O149" s="100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00"/>
      <c r="O150" s="100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00"/>
      <c r="O151" s="100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00"/>
      <c r="O152" s="100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00"/>
      <c r="O153" s="100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00"/>
      <c r="O154" s="100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00"/>
      <c r="O155" s="100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00"/>
      <c r="O156" s="100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00"/>
      <c r="O157" s="100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00"/>
      <c r="O158" s="100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00"/>
      <c r="O159" s="100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00"/>
      <c r="O160" s="100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00"/>
      <c r="O161" s="100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00"/>
      <c r="O162" s="100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00"/>
      <c r="O163" s="100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00"/>
      <c r="O164" s="100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00"/>
      <c r="O165" s="100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00"/>
      <c r="O166" s="100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00"/>
      <c r="O167" s="100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00"/>
      <c r="O168" s="100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00"/>
      <c r="O169" s="100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00"/>
      <c r="O170" s="100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00"/>
      <c r="O171" s="100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00"/>
      <c r="O172" s="100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00"/>
      <c r="O173" s="100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00"/>
      <c r="O174" s="100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00"/>
      <c r="O175" s="100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00"/>
      <c r="O176" s="100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00"/>
      <c r="O177" s="100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00"/>
      <c r="O178" s="100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00"/>
      <c r="O179" s="100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00"/>
      <c r="O180" s="100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00"/>
      <c r="O181" s="100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00"/>
      <c r="O182" s="100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00"/>
      <c r="O183" s="100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00"/>
      <c r="O184" s="100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00"/>
      <c r="O185" s="100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00"/>
      <c r="O186" s="100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00"/>
      <c r="O187" s="100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00"/>
      <c r="O188" s="100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00"/>
      <c r="O189" s="100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00"/>
      <c r="O190" s="100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00"/>
      <c r="O191" s="100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00"/>
      <c r="O192" s="100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00"/>
      <c r="O193" s="100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00"/>
      <c r="O194" s="100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00"/>
      <c r="O195" s="100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00"/>
      <c r="O196" s="100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00"/>
      <c r="O197" s="100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00"/>
      <c r="O198" s="100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00"/>
      <c r="O199" s="100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00"/>
      <c r="O200" s="100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00"/>
      <c r="O201" s="100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00"/>
      <c r="O202" s="100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00"/>
      <c r="O203" s="100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00"/>
      <c r="O204" s="100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00"/>
      <c r="O205" s="100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00"/>
      <c r="O206" s="100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00"/>
      <c r="O207" s="100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00"/>
      <c r="O208" s="100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00"/>
      <c r="O209" s="100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00"/>
      <c r="O210" s="100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00"/>
      <c r="O211" s="100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00"/>
      <c r="O212" s="100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00"/>
      <c r="O213" s="100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00"/>
      <c r="O214" s="100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00"/>
      <c r="O215" s="100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00"/>
      <c r="O216" s="100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00"/>
      <c r="O217" s="100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00"/>
      <c r="O218" s="100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00"/>
      <c r="O219" s="100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00"/>
      <c r="O220" s="100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00"/>
      <c r="O221" s="100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00"/>
      <c r="O222" s="100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00"/>
      <c r="O223" s="100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00"/>
      <c r="O224" s="100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00"/>
      <c r="O225" s="100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00"/>
      <c r="O226" s="100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00"/>
      <c r="O227" s="100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00"/>
      <c r="O228" s="100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00"/>
      <c r="O229" s="100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00"/>
      <c r="O230" s="100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00"/>
      <c r="O231" s="100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00"/>
      <c r="O232" s="100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00"/>
      <c r="O233" s="100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00"/>
      <c r="O234" s="100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00"/>
      <c r="O235" s="100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00"/>
      <c r="O236" s="100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00"/>
      <c r="O237" s="100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00"/>
      <c r="O238" s="100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00"/>
      <c r="O239" s="100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00"/>
      <c r="O240" s="100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00"/>
      <c r="O241" s="100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00"/>
      <c r="O242" s="100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00"/>
      <c r="O243" s="100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00"/>
      <c r="O244" s="100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00"/>
      <c r="O245" s="100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00"/>
      <c r="O246" s="100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00"/>
      <c r="O247" s="100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00"/>
      <c r="O248" s="100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00"/>
      <c r="O249" s="100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00"/>
      <c r="O250" s="100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00"/>
      <c r="O251" s="100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00"/>
      <c r="O252" s="100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00"/>
      <c r="O253" s="100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00"/>
      <c r="O254" s="100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00"/>
      <c r="O255" s="100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00"/>
      <c r="O256" s="100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00"/>
      <c r="O257" s="100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00"/>
      <c r="O258" s="100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00"/>
      <c r="O259" s="100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00"/>
      <c r="O260" s="100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00"/>
      <c r="O261" s="100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00"/>
      <c r="O262" s="100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00"/>
      <c r="O263" s="100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00"/>
      <c r="O264" s="100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00"/>
      <c r="O265" s="100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00"/>
      <c r="O266" s="100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00"/>
      <c r="O267" s="100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00"/>
      <c r="O268" s="100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00"/>
      <c r="O269" s="100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00"/>
      <c r="O270" s="100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00"/>
      <c r="O271" s="100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00"/>
      <c r="O272" s="100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00"/>
      <c r="O273" s="100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00"/>
      <c r="O274" s="100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00"/>
      <c r="O275" s="100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00"/>
      <c r="O276" s="100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00"/>
      <c r="O277" s="100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00"/>
      <c r="O278" s="100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00"/>
      <c r="O279" s="100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00"/>
      <c r="O280" s="100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00"/>
      <c r="O281" s="100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00"/>
      <c r="O282" s="100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00"/>
      <c r="O283" s="100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00"/>
      <c r="O284" s="100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00"/>
      <c r="O285" s="100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00"/>
      <c r="O286" s="100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00"/>
      <c r="O287" s="100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00"/>
      <c r="O288" s="100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00"/>
      <c r="O289" s="100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00"/>
      <c r="O290" s="100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00"/>
      <c r="O291" s="100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00"/>
      <c r="O292" s="100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00"/>
      <c r="O293" s="100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00"/>
      <c r="O294" s="100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00"/>
      <c r="O295" s="100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00"/>
      <c r="O296" s="100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00"/>
      <c r="O297" s="100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00"/>
      <c r="O298" s="100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00"/>
      <c r="O299" s="100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00"/>
      <c r="O300" s="100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00"/>
      <c r="O301" s="100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00"/>
      <c r="O302" s="100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00"/>
      <c r="O303" s="100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00"/>
      <c r="O304" s="100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00"/>
      <c r="O305" s="100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00"/>
      <c r="O306" s="100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00"/>
      <c r="O307" s="100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00"/>
      <c r="O308" s="100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00"/>
      <c r="O309" s="100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00"/>
      <c r="O310" s="100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00"/>
      <c r="O311" s="100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00"/>
      <c r="O312" s="100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00"/>
      <c r="O313" s="100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00"/>
      <c r="O314" s="100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00"/>
      <c r="O315" s="100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00"/>
      <c r="O316" s="100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00"/>
      <c r="O317" s="100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00"/>
      <c r="O318" s="100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00"/>
      <c r="O319" s="100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00"/>
      <c r="O320" s="100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00"/>
      <c r="O321" s="100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00"/>
      <c r="O322" s="100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00"/>
      <c r="O323" s="100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00"/>
      <c r="O324" s="100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00"/>
      <c r="O325" s="100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00"/>
      <c r="O326" s="100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00"/>
      <c r="O327" s="100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00"/>
      <c r="O328" s="100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00"/>
      <c r="O329" s="100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00"/>
      <c r="O330" s="100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00"/>
      <c r="O331" s="100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00"/>
      <c r="O332" s="100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00"/>
      <c r="O333" s="100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00"/>
      <c r="O334" s="100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00"/>
      <c r="O335" s="100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00"/>
      <c r="O336" s="100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00"/>
      <c r="O337" s="100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00"/>
      <c r="O338" s="100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00"/>
      <c r="O339" s="100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00"/>
      <c r="O340" s="100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00"/>
      <c r="O341" s="100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00"/>
      <c r="O342" s="100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00"/>
      <c r="O343" s="100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00"/>
      <c r="O344" s="100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00"/>
      <c r="O345" s="100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00"/>
      <c r="O346" s="100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00"/>
      <c r="O347" s="100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00"/>
      <c r="O348" s="100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00"/>
      <c r="O349" s="100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00"/>
      <c r="O350" s="100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00"/>
      <c r="O351" s="100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00"/>
      <c r="O352" s="100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00"/>
      <c r="O353" s="100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00"/>
      <c r="O354" s="100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00"/>
      <c r="O355" s="100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00"/>
      <c r="O356" s="100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00"/>
      <c r="O357" s="100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00"/>
      <c r="O358" s="100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00"/>
      <c r="O359" s="100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00"/>
      <c r="O360" s="100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00"/>
      <c r="O361" s="100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00"/>
      <c r="O362" s="100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00"/>
      <c r="O363" s="100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00"/>
      <c r="O364" s="100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00"/>
      <c r="O365" s="100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00"/>
      <c r="O366" s="100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00"/>
      <c r="O367" s="100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00"/>
      <c r="O368" s="100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00"/>
      <c r="O369" s="100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00"/>
      <c r="O370" s="100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00"/>
      <c r="O371" s="100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00"/>
      <c r="O372" s="100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00"/>
      <c r="O373" s="100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00"/>
      <c r="O374" s="100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00"/>
      <c r="O375" s="100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00"/>
      <c r="O376" s="100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00"/>
      <c r="O377" s="100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00"/>
      <c r="O378" s="100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00"/>
      <c r="O379" s="100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00"/>
      <c r="O380" s="100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00"/>
      <c r="O381" s="100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00"/>
      <c r="O382" s="100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00"/>
      <c r="O383" s="100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00"/>
      <c r="O384" s="100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00"/>
      <c r="O385" s="100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00"/>
      <c r="O386" s="100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00"/>
      <c r="O387" s="100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00"/>
      <c r="O388" s="100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00"/>
      <c r="O389" s="100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00"/>
      <c r="O390" s="100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00"/>
      <c r="O391" s="100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00"/>
      <c r="O392" s="100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00"/>
      <c r="O393" s="100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00"/>
      <c r="O394" s="100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00"/>
      <c r="O395" s="100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00"/>
      <c r="O396" s="100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00"/>
      <c r="O397" s="100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00"/>
      <c r="O398" s="100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00"/>
      <c r="O399" s="100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00"/>
      <c r="O400" s="100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00"/>
      <c r="O401" s="100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00"/>
      <c r="O402" s="100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00"/>
      <c r="O403" s="100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00"/>
      <c r="O404" s="100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00"/>
      <c r="O405" s="100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00"/>
      <c r="O406" s="100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00"/>
      <c r="O407" s="100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00"/>
      <c r="O408" s="100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00"/>
      <c r="O409" s="100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00"/>
      <c r="O410" s="100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00"/>
      <c r="O411" s="100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00"/>
      <c r="O412" s="100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00"/>
      <c r="O413" s="100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00"/>
      <c r="O414" s="100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00"/>
      <c r="O415" s="100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00"/>
      <c r="O416" s="100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00"/>
      <c r="O417" s="100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00"/>
      <c r="O418" s="100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00"/>
      <c r="O419" s="100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00"/>
      <c r="O420" s="100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00"/>
      <c r="O421" s="100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00"/>
      <c r="O422" s="100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00"/>
      <c r="O423" s="100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00"/>
      <c r="O424" s="100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00"/>
      <c r="O425" s="100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00"/>
      <c r="O426" s="100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00"/>
      <c r="O427" s="100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00"/>
      <c r="O428" s="100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00"/>
      <c r="O429" s="100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00"/>
      <c r="O430" s="100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00"/>
      <c r="O431" s="100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00"/>
      <c r="O432" s="100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00"/>
      <c r="O433" s="100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00"/>
      <c r="O434" s="100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00"/>
      <c r="O435" s="100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00"/>
      <c r="O436" s="100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00"/>
      <c r="O437" s="100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00"/>
      <c r="O438" s="100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00"/>
      <c r="O439" s="100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00"/>
      <c r="O440" s="100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00"/>
      <c r="O441" s="100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00"/>
      <c r="O442" s="100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00"/>
      <c r="O443" s="100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00"/>
      <c r="O444" s="100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00"/>
      <c r="O445" s="100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00"/>
      <c r="O446" s="100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00"/>
      <c r="O447" s="100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00"/>
      <c r="O448" s="100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00"/>
      <c r="O449" s="100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00"/>
      <c r="O450" s="100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00"/>
      <c r="O451" s="100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00"/>
      <c r="O452" s="100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00"/>
      <c r="O453" s="100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00"/>
      <c r="O454" s="100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00"/>
      <c r="O455" s="100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00"/>
      <c r="O456" s="100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00"/>
      <c r="O457" s="100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00"/>
      <c r="O458" s="100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00"/>
      <c r="O459" s="100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00"/>
      <c r="O460" s="100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00"/>
      <c r="O461" s="100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00"/>
      <c r="O462" s="100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00"/>
      <c r="O463" s="100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00"/>
      <c r="O464" s="100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00"/>
      <c r="O465" s="100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00"/>
      <c r="O466" s="100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00"/>
      <c r="O467" s="100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00"/>
      <c r="O468" s="100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00"/>
      <c r="O469" s="100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00"/>
      <c r="O470" s="100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00"/>
      <c r="O471" s="100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00"/>
      <c r="O472" s="100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00"/>
      <c r="O473" s="100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00"/>
      <c r="O474" s="100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00"/>
      <c r="O475" s="100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00"/>
      <c r="O476" s="100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00"/>
      <c r="O477" s="100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00"/>
      <c r="O478" s="100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00"/>
      <c r="O479" s="100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00"/>
      <c r="O480" s="100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00"/>
      <c r="O481" s="100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00"/>
      <c r="O482" s="100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00"/>
      <c r="O483" s="100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00"/>
      <c r="O484" s="100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00"/>
      <c r="O485" s="100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00"/>
      <c r="O486" s="100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00"/>
      <c r="O487" s="100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00"/>
      <c r="O488" s="100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00"/>
      <c r="O489" s="100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00"/>
      <c r="O490" s="100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00"/>
      <c r="O491" s="100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00"/>
      <c r="O492" s="100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00"/>
      <c r="O493" s="100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00"/>
      <c r="O494" s="100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00"/>
      <c r="O495" s="100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00"/>
      <c r="O496" s="100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00"/>
      <c r="O497" s="100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00"/>
      <c r="O498" s="100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00"/>
      <c r="O499" s="100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00"/>
      <c r="O500" s="100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00"/>
      <c r="O501" s="100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00"/>
      <c r="O502" s="100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00"/>
      <c r="O503" s="100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00"/>
      <c r="O504" s="100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00"/>
      <c r="O505" s="100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00"/>
      <c r="O506" s="100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00"/>
      <c r="O507" s="100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00"/>
      <c r="O508" s="100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00"/>
      <c r="O509" s="100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00"/>
      <c r="O510" s="100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00"/>
      <c r="O511" s="100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00"/>
      <c r="O512" s="100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00"/>
      <c r="O513" s="100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00"/>
      <c r="O514" s="100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00"/>
      <c r="O515" s="100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00"/>
      <c r="O516" s="100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00"/>
      <c r="O517" s="100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00"/>
      <c r="O518" s="100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00"/>
      <c r="O519" s="100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00"/>
      <c r="O520" s="100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00"/>
      <c r="O521" s="100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00"/>
      <c r="O522" s="100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00"/>
      <c r="O523" s="100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00"/>
      <c r="O524" s="100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00"/>
      <c r="O525" s="100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00"/>
      <c r="O526" s="100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00"/>
      <c r="O527" s="100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00"/>
      <c r="O528" s="100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00"/>
      <c r="O529" s="100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00"/>
      <c r="O530" s="100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00"/>
      <c r="O531" s="100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00"/>
      <c r="O532" s="100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00"/>
      <c r="O533" s="100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00"/>
      <c r="O534" s="100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00"/>
      <c r="O535" s="100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00"/>
      <c r="O536" s="100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00"/>
      <c r="O537" s="100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00"/>
      <c r="O538" s="100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00"/>
      <c r="O539" s="100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00"/>
      <c r="O540" s="100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00"/>
      <c r="O541" s="100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00"/>
      <c r="O542" s="100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00"/>
      <c r="O543" s="100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00"/>
      <c r="O544" s="100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00"/>
      <c r="O545" s="100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00"/>
      <c r="O546" s="100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00"/>
      <c r="O547" s="100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00"/>
      <c r="O548" s="100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00"/>
      <c r="O549" s="100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00"/>
      <c r="O550" s="100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00"/>
      <c r="O551" s="100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00"/>
      <c r="O552" s="100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00"/>
      <c r="O553" s="100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00"/>
      <c r="O554" s="100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00"/>
      <c r="O555" s="100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00"/>
      <c r="O556" s="100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00"/>
      <c r="O557" s="100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00"/>
      <c r="O558" s="100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00"/>
      <c r="O559" s="100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00"/>
      <c r="O560" s="100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00"/>
      <c r="O561" s="100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00"/>
      <c r="O562" s="100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00"/>
      <c r="O563" s="100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00"/>
      <c r="O564" s="100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00"/>
      <c r="O565" s="100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00"/>
      <c r="O566" s="100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00"/>
      <c r="O567" s="100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00"/>
      <c r="O568" s="100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00"/>
      <c r="O569" s="100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00"/>
      <c r="O570" s="100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00"/>
      <c r="O571" s="100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00"/>
      <c r="O572" s="100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00"/>
      <c r="O573" s="100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00"/>
      <c r="O574" s="100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00"/>
      <c r="O575" s="100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00"/>
      <c r="O576" s="100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00"/>
      <c r="O577" s="100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00"/>
      <c r="O578" s="100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00"/>
      <c r="O579" s="100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00"/>
      <c r="O580" s="100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00"/>
      <c r="O581" s="100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00"/>
      <c r="O582" s="100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00"/>
      <c r="O583" s="100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00"/>
      <c r="O584" s="100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00"/>
      <c r="O585" s="100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00"/>
      <c r="O586" s="100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00"/>
      <c r="O587" s="100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00"/>
      <c r="O588" s="100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00"/>
      <c r="O589" s="100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00"/>
      <c r="O590" s="100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00"/>
      <c r="O591" s="100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00"/>
      <c r="O592" s="100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00"/>
      <c r="O593" s="100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00"/>
      <c r="O594" s="100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00"/>
      <c r="O595" s="100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00"/>
      <c r="O596" s="100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00"/>
      <c r="O597" s="100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00"/>
      <c r="O598" s="100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00"/>
      <c r="O599" s="100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00"/>
      <c r="O600" s="100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00"/>
      <c r="O601" s="100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00"/>
      <c r="O602" s="100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00"/>
      <c r="O603" s="100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00"/>
      <c r="O604" s="100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00"/>
      <c r="O605" s="100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00"/>
      <c r="O606" s="100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00"/>
      <c r="O607" s="100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00"/>
      <c r="O608" s="100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00"/>
      <c r="O609" s="100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00"/>
      <c r="O610" s="100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00"/>
      <c r="O611" s="100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00"/>
      <c r="O612" s="100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00"/>
      <c r="O613" s="100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00"/>
      <c r="O614" s="100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00"/>
      <c r="O615" s="100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00"/>
      <c r="O616" s="100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00"/>
      <c r="O617" s="100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00"/>
      <c r="O618" s="100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00"/>
      <c r="O619" s="100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00"/>
      <c r="O620" s="100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00"/>
      <c r="O621" s="100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00"/>
      <c r="O622" s="100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00"/>
      <c r="O623" s="100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00"/>
      <c r="O624" s="100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00"/>
      <c r="O625" s="100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00"/>
      <c r="O626" s="100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00"/>
      <c r="O627" s="100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00"/>
      <c r="O628" s="100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00"/>
      <c r="O629" s="100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00"/>
      <c r="O630" s="100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00"/>
      <c r="O631" s="100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00"/>
      <c r="O632" s="100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00"/>
      <c r="O633" s="100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00"/>
      <c r="O634" s="100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00"/>
      <c r="O635" s="100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00"/>
      <c r="O636" s="100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00"/>
      <c r="O637" s="100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00"/>
      <c r="O638" s="100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00"/>
      <c r="O639" s="100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00"/>
      <c r="O640" s="100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00"/>
      <c r="O641" s="100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00"/>
      <c r="O642" s="100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00"/>
      <c r="O643" s="100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00"/>
      <c r="O644" s="100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00"/>
      <c r="O645" s="100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00"/>
      <c r="O646" s="100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00"/>
      <c r="O647" s="100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00"/>
      <c r="O648" s="100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00"/>
      <c r="O649" s="100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00"/>
      <c r="O650" s="100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00"/>
      <c r="O651" s="100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00"/>
      <c r="O652" s="100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00"/>
      <c r="O653" s="100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00"/>
      <c r="O654" s="100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00"/>
      <c r="O655" s="100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00"/>
      <c r="O656" s="100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00"/>
      <c r="O657" s="100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00"/>
      <c r="O658" s="100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00"/>
      <c r="O659" s="100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00"/>
      <c r="O660" s="100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00"/>
      <c r="O661" s="100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00"/>
      <c r="O662" s="100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00"/>
      <c r="O663" s="100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00"/>
      <c r="O664" s="100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00"/>
      <c r="O665" s="100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00"/>
      <c r="O666" s="100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00"/>
      <c r="O667" s="100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00"/>
      <c r="O668" s="100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00"/>
      <c r="O669" s="100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00"/>
      <c r="O670" s="100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00"/>
      <c r="O671" s="100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00"/>
      <c r="O672" s="100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00"/>
      <c r="O673" s="100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00"/>
      <c r="O674" s="100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00"/>
      <c r="O675" s="100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00"/>
      <c r="O676" s="100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00"/>
      <c r="O677" s="100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00"/>
      <c r="O678" s="100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00"/>
      <c r="O679" s="100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00"/>
      <c r="O680" s="100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00"/>
      <c r="O681" s="100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00"/>
      <c r="O682" s="100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00"/>
      <c r="O683" s="100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00"/>
      <c r="O684" s="100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00"/>
      <c r="O685" s="100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00"/>
      <c r="O686" s="100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00"/>
      <c r="O687" s="100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00"/>
      <c r="O688" s="100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00"/>
      <c r="O689" s="100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00"/>
      <c r="O690" s="100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00"/>
      <c r="O691" s="100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00"/>
      <c r="O692" s="100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00"/>
      <c r="O693" s="100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00"/>
      <c r="O694" s="100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00"/>
      <c r="O695" s="100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00"/>
      <c r="O696" s="100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00"/>
      <c r="O697" s="100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00"/>
      <c r="O698" s="100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00"/>
      <c r="O699" s="100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00"/>
      <c r="O700" s="100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00"/>
      <c r="O701" s="100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00"/>
      <c r="O702" s="100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00"/>
      <c r="O703" s="100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00"/>
      <c r="O704" s="100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00"/>
      <c r="O705" s="100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00"/>
      <c r="O706" s="100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00"/>
      <c r="O707" s="100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00"/>
      <c r="O708" s="100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00"/>
      <c r="O709" s="100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00"/>
      <c r="O710" s="100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00"/>
      <c r="O711" s="100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00"/>
      <c r="O712" s="100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00"/>
      <c r="O713" s="100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00"/>
      <c r="O714" s="100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00"/>
      <c r="O715" s="100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00"/>
      <c r="O716" s="100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00"/>
      <c r="O717" s="100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00"/>
      <c r="O718" s="100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00"/>
      <c r="O719" s="100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00"/>
      <c r="O720" s="100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00"/>
      <c r="O721" s="100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00"/>
      <c r="O722" s="100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00"/>
      <c r="O723" s="100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00"/>
      <c r="O724" s="100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00"/>
      <c r="O725" s="100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00"/>
      <c r="O726" s="100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00"/>
      <c r="O727" s="100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00"/>
      <c r="O728" s="100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00"/>
      <c r="O729" s="100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00"/>
      <c r="O730" s="100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00"/>
      <c r="O731" s="100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00"/>
      <c r="O732" s="100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00"/>
      <c r="O733" s="100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00"/>
      <c r="O734" s="100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00"/>
      <c r="O735" s="100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00"/>
      <c r="O736" s="100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00"/>
      <c r="O737" s="100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00"/>
      <c r="O738" s="100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00"/>
      <c r="O739" s="100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00"/>
      <c r="O740" s="100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00"/>
      <c r="O741" s="100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00"/>
      <c r="O742" s="100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00"/>
      <c r="O743" s="100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00"/>
      <c r="O744" s="100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00"/>
      <c r="O745" s="100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00"/>
      <c r="O746" s="100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00"/>
      <c r="O747" s="100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00"/>
      <c r="O748" s="100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00"/>
      <c r="O749" s="100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00"/>
      <c r="O750" s="100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00"/>
      <c r="O751" s="100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00"/>
      <c r="O752" s="100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00"/>
      <c r="O753" s="100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00"/>
      <c r="O754" s="100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00"/>
      <c r="O755" s="100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00"/>
      <c r="O756" s="100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00"/>
      <c r="O757" s="100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00"/>
      <c r="O758" s="100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00"/>
      <c r="O759" s="100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00"/>
      <c r="O760" s="100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00"/>
      <c r="O761" s="100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00"/>
      <c r="O762" s="100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00"/>
      <c r="O763" s="100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00"/>
      <c r="O764" s="100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00"/>
      <c r="O765" s="100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00"/>
      <c r="O766" s="100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00"/>
      <c r="O767" s="100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00"/>
      <c r="O768" s="100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00"/>
      <c r="O769" s="100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00"/>
      <c r="O770" s="100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00"/>
      <c r="O771" s="100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00"/>
      <c r="O772" s="100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00"/>
      <c r="O773" s="100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00"/>
      <c r="O774" s="100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00"/>
      <c r="O775" s="100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00"/>
      <c r="O776" s="100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00"/>
      <c r="O777" s="100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00"/>
      <c r="O778" s="100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00"/>
      <c r="O779" s="100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00"/>
      <c r="O780" s="100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00"/>
      <c r="O781" s="100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00"/>
      <c r="O782" s="100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00"/>
      <c r="O783" s="100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00"/>
      <c r="O784" s="100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00"/>
      <c r="O785" s="100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00"/>
      <c r="O786" s="100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00"/>
      <c r="O787" s="100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00"/>
      <c r="O788" s="100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00"/>
      <c r="O789" s="100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00"/>
      <c r="O790" s="100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00"/>
      <c r="O791" s="100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00"/>
      <c r="O792" s="100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00"/>
      <c r="O793" s="100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00"/>
      <c r="O794" s="100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00"/>
      <c r="O795" s="100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00"/>
      <c r="O796" s="100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00"/>
      <c r="O797" s="100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00"/>
      <c r="O798" s="100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00"/>
      <c r="O799" s="100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00"/>
      <c r="O800" s="100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00"/>
      <c r="O801" s="100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00"/>
      <c r="O802" s="100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00"/>
      <c r="O803" s="100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00"/>
      <c r="O804" s="100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00"/>
      <c r="O805" s="100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00"/>
      <c r="O806" s="100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00"/>
      <c r="O807" s="100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00"/>
      <c r="O808" s="100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00"/>
      <c r="O809" s="100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00"/>
      <c r="O810" s="100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00"/>
      <c r="O811" s="100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00"/>
      <c r="O812" s="100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00"/>
      <c r="O813" s="100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00"/>
      <c r="O814" s="100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00"/>
      <c r="O815" s="100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00"/>
      <c r="O816" s="100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00"/>
      <c r="O817" s="100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00"/>
      <c r="O818" s="100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00"/>
      <c r="O819" s="100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00"/>
      <c r="O820" s="100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00"/>
      <c r="O821" s="100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00"/>
      <c r="O822" s="100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00"/>
      <c r="O823" s="100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00"/>
      <c r="O824" s="100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00"/>
      <c r="O825" s="100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00"/>
      <c r="O826" s="100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00"/>
      <c r="O827" s="100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00"/>
      <c r="O828" s="100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00"/>
      <c r="O829" s="100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00"/>
      <c r="O830" s="100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00"/>
      <c r="O831" s="100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00"/>
      <c r="O832" s="100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00"/>
      <c r="O833" s="100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00"/>
      <c r="O834" s="100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00"/>
      <c r="O835" s="100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00"/>
      <c r="O836" s="100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00"/>
      <c r="O837" s="100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00"/>
      <c r="O838" s="100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00"/>
      <c r="O839" s="100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00"/>
      <c r="O840" s="100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00"/>
      <c r="O841" s="100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00"/>
      <c r="O842" s="100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00"/>
      <c r="O843" s="100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00"/>
      <c r="O844" s="100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00"/>
      <c r="O845" s="100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00"/>
      <c r="O846" s="100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00"/>
      <c r="O847" s="100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00"/>
      <c r="O848" s="100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00"/>
      <c r="O849" s="100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00"/>
      <c r="O850" s="100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00"/>
      <c r="O851" s="100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00"/>
      <c r="O852" s="100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00"/>
      <c r="O853" s="100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00"/>
      <c r="O854" s="100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00"/>
      <c r="O855" s="100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00"/>
      <c r="O856" s="100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00"/>
      <c r="O857" s="100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00"/>
      <c r="O858" s="100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00"/>
      <c r="O859" s="100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00"/>
      <c r="O860" s="100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00"/>
      <c r="O861" s="100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00"/>
      <c r="O862" s="100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00"/>
      <c r="O863" s="100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00"/>
      <c r="O864" s="100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00"/>
      <c r="O865" s="100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00"/>
      <c r="O866" s="100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00"/>
      <c r="O867" s="100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00"/>
      <c r="O868" s="100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00"/>
      <c r="O869" s="100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00"/>
      <c r="O870" s="100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00"/>
      <c r="O871" s="100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00"/>
      <c r="O872" s="100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00"/>
      <c r="O873" s="100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00"/>
      <c r="O874" s="100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00"/>
      <c r="O875" s="100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00"/>
      <c r="O876" s="100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00"/>
      <c r="O877" s="100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00"/>
      <c r="O878" s="100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00"/>
      <c r="O879" s="100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00"/>
      <c r="O880" s="100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00"/>
      <c r="O881" s="100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00"/>
      <c r="O882" s="100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00"/>
      <c r="O883" s="100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00"/>
      <c r="O884" s="100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00"/>
      <c r="O885" s="100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00"/>
      <c r="O886" s="100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00"/>
      <c r="O887" s="100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00"/>
      <c r="O888" s="100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00"/>
      <c r="O889" s="100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00"/>
      <c r="O890" s="100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00"/>
      <c r="O891" s="100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00"/>
      <c r="O892" s="100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00"/>
      <c r="O893" s="100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00"/>
      <c r="O894" s="100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00"/>
      <c r="O895" s="100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00"/>
      <c r="O896" s="100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00"/>
      <c r="O897" s="100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00"/>
      <c r="O898" s="100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00"/>
      <c r="O899" s="100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00"/>
      <c r="O900" s="100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00"/>
      <c r="O901" s="100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00"/>
      <c r="O902" s="100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00"/>
      <c r="O903" s="100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00"/>
      <c r="O904" s="100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00"/>
      <c r="O905" s="100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00"/>
      <c r="O906" s="100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00"/>
      <c r="O907" s="100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00"/>
      <c r="O908" s="100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00"/>
      <c r="O909" s="100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00"/>
      <c r="O910" s="100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00"/>
      <c r="O911" s="100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00"/>
      <c r="O912" s="100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00"/>
      <c r="O913" s="100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00"/>
      <c r="O914" s="100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00"/>
      <c r="O915" s="100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00"/>
      <c r="O916" s="100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00"/>
      <c r="O917" s="100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00"/>
      <c r="O918" s="100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00"/>
      <c r="O919" s="100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00"/>
      <c r="O920" s="100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00"/>
      <c r="O921" s="100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00"/>
      <c r="O922" s="100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00"/>
      <c r="O923" s="100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00"/>
      <c r="O924" s="100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00"/>
      <c r="O925" s="100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00"/>
      <c r="O926" s="100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00"/>
      <c r="O927" s="100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00"/>
      <c r="O928" s="100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00"/>
      <c r="O929" s="100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00"/>
      <c r="O930" s="100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00"/>
      <c r="O931" s="100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00"/>
      <c r="O932" s="100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00"/>
      <c r="O933" s="100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00"/>
      <c r="O934" s="100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00"/>
      <c r="O935" s="100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00"/>
      <c r="O936" s="100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00"/>
      <c r="O937" s="100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00"/>
      <c r="O938" s="100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00"/>
      <c r="O939" s="100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00"/>
      <c r="O940" s="100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00"/>
      <c r="O941" s="100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00"/>
      <c r="O942" s="100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00"/>
      <c r="O943" s="100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00"/>
      <c r="O944" s="100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00"/>
      <c r="O945" s="100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00"/>
      <c r="O946" s="100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00"/>
      <c r="O947" s="100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00"/>
      <c r="O948" s="100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00"/>
      <c r="O949" s="100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00"/>
      <c r="O950" s="100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00"/>
      <c r="O951" s="100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00"/>
      <c r="O952" s="100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00"/>
      <c r="O953" s="100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00"/>
      <c r="O954" s="100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00"/>
      <c r="O955" s="100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00"/>
      <c r="O956" s="100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00"/>
      <c r="O957" s="100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00"/>
      <c r="O958" s="100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00"/>
      <c r="O959" s="100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00"/>
      <c r="O960" s="100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00"/>
      <c r="O961" s="100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00"/>
      <c r="O962" s="100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00"/>
      <c r="O963" s="100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00"/>
      <c r="O964" s="100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00"/>
      <c r="O965" s="100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00"/>
      <c r="O966" s="100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00"/>
      <c r="O967" s="100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00"/>
      <c r="O968" s="100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00"/>
      <c r="O969" s="100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00"/>
      <c r="O970" s="100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00"/>
      <c r="O971" s="100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00"/>
      <c r="O972" s="100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00"/>
      <c r="O973" s="100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00"/>
      <c r="O974" s="100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00"/>
      <c r="O975" s="100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00"/>
      <c r="O976" s="100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00"/>
      <c r="O977" s="100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00"/>
      <c r="O978" s="100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00"/>
      <c r="O979" s="100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00"/>
      <c r="O980" s="100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00"/>
      <c r="O981" s="100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00"/>
      <c r="O982" s="100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00"/>
      <c r="O983" s="100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00"/>
      <c r="O984" s="100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00"/>
      <c r="O985" s="100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00"/>
      <c r="O986" s="100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00"/>
      <c r="O987" s="100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00"/>
      <c r="O988" s="100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00"/>
      <c r="O989" s="100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00"/>
      <c r="O990" s="100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00"/>
      <c r="O991" s="100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00"/>
      <c r="O992" s="100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00"/>
      <c r="O993" s="100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00"/>
      <c r="O994" s="100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00"/>
      <c r="O995" s="100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00"/>
      <c r="O996" s="100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00"/>
      <c r="O997" s="100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00"/>
      <c r="O998" s="100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00"/>
      <c r="O999" s="100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00"/>
      <c r="O1000" s="100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43"/>
    <col customWidth="1" min="5" max="9" width="10.71"/>
    <col customWidth="1" min="10" max="10" width="12.71"/>
    <col customWidth="1" min="11" max="11" width="10.71"/>
    <col customWidth="1" min="12" max="12" width="12.43"/>
    <col customWidth="1" min="13" max="17" width="17.71"/>
    <col customWidth="1" min="18" max="18" width="7.14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6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1" t="s">
        <v>163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0"/>
      <c r="T5" s="100"/>
      <c r="U5" s="100"/>
      <c r="V5" s="100"/>
      <c r="W5" s="100"/>
      <c r="X5" s="100"/>
      <c r="Y5" s="100"/>
      <c r="Z5" s="100"/>
    </row>
    <row r="6">
      <c r="A6" s="103" t="s">
        <v>164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14" t="s">
        <v>23</v>
      </c>
      <c r="B7" s="15" t="s">
        <v>24</v>
      </c>
      <c r="C7" s="16">
        <v>1.0</v>
      </c>
      <c r="D7" s="131" t="str">
        <f>'[1]A-SF-M-S WQMA'!$B$14</f>
        <v>#REF!</v>
      </c>
      <c r="E7" s="114">
        <v>4.93</v>
      </c>
      <c r="F7" s="114">
        <v>2.96</v>
      </c>
      <c r="G7" s="18">
        <v>3.54</v>
      </c>
      <c r="H7" s="18">
        <v>2.64</v>
      </c>
      <c r="I7" s="114">
        <v>4.38</v>
      </c>
      <c r="J7" s="114">
        <v>2.39</v>
      </c>
      <c r="K7" s="18">
        <v>4.36</v>
      </c>
      <c r="L7" s="114">
        <v>2.99</v>
      </c>
      <c r="M7" s="114">
        <v>3.68</v>
      </c>
      <c r="N7" s="114">
        <v>3.15</v>
      </c>
      <c r="O7" s="18">
        <v>0.51</v>
      </c>
      <c r="P7" s="18">
        <v>1.8</v>
      </c>
      <c r="Q7" s="19">
        <f t="shared" ref="Q7:Q48" si="1">AVERAGE(E7,F7,G7,H7,I7,J7,K7,L7,M7,N7,O7,P7)</f>
        <v>3.110833333</v>
      </c>
      <c r="R7" s="17">
        <v>5.0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158"/>
      <c r="B8" s="21"/>
      <c r="C8" s="159">
        <v>3.0</v>
      </c>
      <c r="D8" s="160" t="str">
        <f>'[1]A-SF-M-S WQMA'!$B$15</f>
        <v>#REF!</v>
      </c>
      <c r="E8" s="135">
        <v>5.32</v>
      </c>
      <c r="F8" s="135">
        <v>3.46</v>
      </c>
      <c r="G8" s="25">
        <v>3.76</v>
      </c>
      <c r="H8" s="24">
        <v>4.43</v>
      </c>
      <c r="I8" s="24">
        <v>4.66</v>
      </c>
      <c r="J8" s="24">
        <v>5.2</v>
      </c>
      <c r="K8" s="25">
        <v>5.37</v>
      </c>
      <c r="L8" s="24">
        <v>3.01</v>
      </c>
      <c r="M8" s="135">
        <v>4.27</v>
      </c>
      <c r="N8" s="135">
        <v>3.22</v>
      </c>
      <c r="O8" s="25">
        <v>4.58</v>
      </c>
      <c r="P8" s="25">
        <v>2.18</v>
      </c>
      <c r="Q8" s="26">
        <f t="shared" si="1"/>
        <v>4.121666667</v>
      </c>
      <c r="R8" s="23">
        <v>5.0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58"/>
      <c r="B9" s="21"/>
      <c r="C9" s="159">
        <v>4.0</v>
      </c>
      <c r="D9" s="160" t="str">
        <f>'[1]A-SF-M-S WQMA'!$B$16</f>
        <v>#REF!</v>
      </c>
      <c r="E9" s="135">
        <v>2.13</v>
      </c>
      <c r="F9" s="135">
        <v>3.43</v>
      </c>
      <c r="G9" s="25">
        <v>1.61</v>
      </c>
      <c r="H9" s="24">
        <v>0.7</v>
      </c>
      <c r="I9" s="91">
        <v>2.77</v>
      </c>
      <c r="J9" s="91">
        <v>1.25</v>
      </c>
      <c r="K9" s="25">
        <v>1.16</v>
      </c>
      <c r="L9" s="24">
        <v>1.99</v>
      </c>
      <c r="M9" s="135">
        <v>1.33</v>
      </c>
      <c r="N9" s="25">
        <v>0.15</v>
      </c>
      <c r="O9" s="25">
        <v>0.0</v>
      </c>
      <c r="P9" s="25">
        <v>0.18</v>
      </c>
      <c r="Q9" s="26">
        <f t="shared" si="1"/>
        <v>1.391666667</v>
      </c>
      <c r="R9" s="23">
        <v>5.0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158"/>
      <c r="B10" s="21"/>
      <c r="C10" s="159">
        <v>5.0</v>
      </c>
      <c r="D10" s="160" t="str">
        <f>'[1]A-SF-M-S WQMA'!$B$17</f>
        <v>#REF!</v>
      </c>
      <c r="E10" s="25">
        <v>2.55</v>
      </c>
      <c r="F10" s="135">
        <v>0.78</v>
      </c>
      <c r="G10" s="25">
        <v>2.16</v>
      </c>
      <c r="H10" s="24">
        <v>5.07</v>
      </c>
      <c r="I10" s="24">
        <v>4.49</v>
      </c>
      <c r="J10" s="24">
        <v>1.34</v>
      </c>
      <c r="K10" s="25">
        <v>1.27</v>
      </c>
      <c r="L10" s="24">
        <v>0.99</v>
      </c>
      <c r="M10" s="135">
        <v>1.66</v>
      </c>
      <c r="N10" s="135">
        <v>0.32</v>
      </c>
      <c r="O10" s="25">
        <v>0.0</v>
      </c>
      <c r="P10" s="25">
        <v>0.7</v>
      </c>
      <c r="Q10" s="26">
        <f t="shared" si="1"/>
        <v>1.7775</v>
      </c>
      <c r="R10" s="23">
        <v>5.0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158"/>
      <c r="B11" s="21"/>
      <c r="C11" s="159">
        <v>6.0</v>
      </c>
      <c r="D11" s="160" t="str">
        <f>'[1]A-SF-M-S WQMA'!$B$18</f>
        <v>#REF!</v>
      </c>
      <c r="E11" s="135">
        <v>2.22</v>
      </c>
      <c r="F11" s="135">
        <v>1.83</v>
      </c>
      <c r="G11" s="25">
        <v>2.77</v>
      </c>
      <c r="H11" s="24">
        <v>2.62</v>
      </c>
      <c r="I11" s="24">
        <v>4.4</v>
      </c>
      <c r="J11" s="91">
        <v>1.75</v>
      </c>
      <c r="K11" s="25">
        <v>5.88</v>
      </c>
      <c r="L11" s="24">
        <v>4.36</v>
      </c>
      <c r="M11" s="135">
        <v>4.44</v>
      </c>
      <c r="N11" s="135">
        <v>0.75</v>
      </c>
      <c r="O11" s="25">
        <v>1.09</v>
      </c>
      <c r="P11" s="25">
        <v>0.9</v>
      </c>
      <c r="Q11" s="26">
        <f t="shared" si="1"/>
        <v>2.750833333</v>
      </c>
      <c r="R11" s="23">
        <v>5.0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1"/>
      <c r="C12" s="22">
        <v>7.0</v>
      </c>
      <c r="D12" s="157" t="str">
        <f>'[1]A-SF-M-S WQMA'!$B$19</f>
        <v>#REF!</v>
      </c>
      <c r="E12" s="91">
        <v>2.54</v>
      </c>
      <c r="F12" s="25">
        <v>2.94</v>
      </c>
      <c r="G12" s="25">
        <v>2.83</v>
      </c>
      <c r="H12" s="24">
        <v>3.21</v>
      </c>
      <c r="I12" s="24">
        <v>4.02</v>
      </c>
      <c r="J12" s="24">
        <v>3.9</v>
      </c>
      <c r="K12" s="25">
        <v>4.23</v>
      </c>
      <c r="L12" s="24">
        <v>3.56</v>
      </c>
      <c r="M12" s="135">
        <v>3.06</v>
      </c>
      <c r="N12" s="25">
        <v>0.5</v>
      </c>
      <c r="O12" s="25">
        <v>1.88</v>
      </c>
      <c r="P12" s="25">
        <v>0.76</v>
      </c>
      <c r="Q12" s="26">
        <f t="shared" si="1"/>
        <v>2.785833333</v>
      </c>
      <c r="R12" s="23">
        <v>5.0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27"/>
      <c r="C13" s="22">
        <v>8.0</v>
      </c>
      <c r="D13" s="157" t="str">
        <f>'[1]A-SF-M-S WQMA'!$B$20</f>
        <v>#REF!</v>
      </c>
      <c r="E13" s="91">
        <v>2.61</v>
      </c>
      <c r="F13" s="25">
        <v>2.96</v>
      </c>
      <c r="G13" s="25">
        <v>2.88</v>
      </c>
      <c r="H13" s="24">
        <v>2.55</v>
      </c>
      <c r="I13" s="91">
        <v>3.88</v>
      </c>
      <c r="J13" s="91">
        <v>4.02</v>
      </c>
      <c r="K13" s="25">
        <v>4.1</v>
      </c>
      <c r="L13" s="24">
        <v>3.25</v>
      </c>
      <c r="M13" s="135">
        <v>3.91</v>
      </c>
      <c r="N13" s="25">
        <v>2.61</v>
      </c>
      <c r="O13" s="25">
        <v>1.48</v>
      </c>
      <c r="P13" s="25">
        <v>0.8</v>
      </c>
      <c r="Q13" s="26">
        <f t="shared" si="1"/>
        <v>2.920833333</v>
      </c>
      <c r="R13" s="23">
        <v>5.0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15" t="s">
        <v>31</v>
      </c>
      <c r="C14" s="16">
        <v>1.0</v>
      </c>
      <c r="D14" s="131" t="str">
        <f>'[1]A-SF-M-S WQMA'!$B$14</f>
        <v>#REF!</v>
      </c>
      <c r="E14" s="28">
        <v>3.0</v>
      </c>
      <c r="F14" s="114">
        <v>5.0</v>
      </c>
      <c r="G14" s="114">
        <v>49.0</v>
      </c>
      <c r="H14" s="114">
        <v>67.0</v>
      </c>
      <c r="I14" s="28">
        <v>3.0</v>
      </c>
      <c r="J14" s="114">
        <v>169.0</v>
      </c>
      <c r="K14" s="28">
        <v>10.0</v>
      </c>
      <c r="L14" s="28">
        <v>16.0</v>
      </c>
      <c r="M14" s="114">
        <v>9.0</v>
      </c>
      <c r="N14" s="114">
        <v>10.0</v>
      </c>
      <c r="O14" s="114">
        <v>41.0</v>
      </c>
      <c r="P14" s="114">
        <v>3.0</v>
      </c>
      <c r="Q14" s="161">
        <f t="shared" si="1"/>
        <v>32.08333333</v>
      </c>
      <c r="R14" s="17">
        <v>7.0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1"/>
      <c r="C15" s="159">
        <v>3.0</v>
      </c>
      <c r="D15" s="160" t="str">
        <f>'[1]A-SF-M-S WQMA'!$B$15</f>
        <v>#REF!</v>
      </c>
      <c r="E15" s="105">
        <v>5.0</v>
      </c>
      <c r="F15" s="162" t="s">
        <v>64</v>
      </c>
      <c r="G15" s="135">
        <v>25.0</v>
      </c>
      <c r="H15" s="30">
        <v>3.0</v>
      </c>
      <c r="I15" s="30">
        <v>3.0</v>
      </c>
      <c r="J15" s="30">
        <v>18.0</v>
      </c>
      <c r="K15" s="105">
        <v>13.0</v>
      </c>
      <c r="L15" s="30">
        <v>5.0</v>
      </c>
      <c r="M15" s="135">
        <v>6.0</v>
      </c>
      <c r="N15" s="135">
        <v>19.0</v>
      </c>
      <c r="O15" s="135">
        <v>19.0</v>
      </c>
      <c r="P15" s="135">
        <v>3.0</v>
      </c>
      <c r="Q15" s="137">
        <f t="shared" si="1"/>
        <v>10.81818182</v>
      </c>
      <c r="R15" s="23">
        <v>7.0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21"/>
      <c r="C16" s="159">
        <v>4.0</v>
      </c>
      <c r="D16" s="160" t="str">
        <f>'[1]A-SF-M-S WQMA'!$B$16</f>
        <v>#REF!</v>
      </c>
      <c r="E16" s="105">
        <v>22.0</v>
      </c>
      <c r="F16" s="135">
        <v>19.0</v>
      </c>
      <c r="G16" s="135">
        <v>17.0</v>
      </c>
      <c r="H16" s="91">
        <v>18.0</v>
      </c>
      <c r="I16" s="30">
        <v>16.0</v>
      </c>
      <c r="J16" s="91">
        <v>48.0</v>
      </c>
      <c r="K16" s="105">
        <v>37.0</v>
      </c>
      <c r="L16" s="30">
        <v>17.0</v>
      </c>
      <c r="M16" s="135">
        <v>18.0</v>
      </c>
      <c r="N16" s="135">
        <v>27.0</v>
      </c>
      <c r="O16" s="135">
        <v>114.0</v>
      </c>
      <c r="P16" s="135">
        <v>78.0</v>
      </c>
      <c r="Q16" s="31">
        <f t="shared" si="1"/>
        <v>35.91666667</v>
      </c>
      <c r="R16" s="23">
        <v>7.0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159">
        <v>5.0</v>
      </c>
      <c r="D17" s="160" t="str">
        <f>'[1]A-SF-M-S WQMA'!$B$17</f>
        <v>#REF!</v>
      </c>
      <c r="E17" s="105">
        <v>8.0</v>
      </c>
      <c r="F17" s="135">
        <v>11.0</v>
      </c>
      <c r="G17" s="135">
        <v>23.0</v>
      </c>
      <c r="H17" s="30">
        <v>19.0</v>
      </c>
      <c r="I17" s="30">
        <v>14.0</v>
      </c>
      <c r="J17" s="30">
        <v>112.0</v>
      </c>
      <c r="K17" s="105">
        <v>63.0</v>
      </c>
      <c r="L17" s="30">
        <v>25.0</v>
      </c>
      <c r="M17" s="39">
        <v>32.0</v>
      </c>
      <c r="N17" s="135">
        <v>20.0</v>
      </c>
      <c r="O17" s="135">
        <v>110.0</v>
      </c>
      <c r="P17" s="135">
        <v>25.0</v>
      </c>
      <c r="Q17" s="31">
        <f t="shared" si="1"/>
        <v>38.5</v>
      </c>
      <c r="R17" s="23">
        <v>7.0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1"/>
      <c r="C18" s="159">
        <v>6.0</v>
      </c>
      <c r="D18" s="160" t="str">
        <f>'[1]A-SF-M-S WQMA'!$B$18</f>
        <v>#REF!</v>
      </c>
      <c r="E18" s="105">
        <v>16.0</v>
      </c>
      <c r="F18" s="135">
        <v>10.0</v>
      </c>
      <c r="G18" s="135">
        <v>20.0</v>
      </c>
      <c r="H18" s="30">
        <v>22.0</v>
      </c>
      <c r="I18" s="30">
        <v>10.0</v>
      </c>
      <c r="J18" s="91">
        <v>24.0</v>
      </c>
      <c r="K18" s="105">
        <v>15.0</v>
      </c>
      <c r="L18" s="30">
        <v>9.0</v>
      </c>
      <c r="M18" s="39">
        <v>9.0</v>
      </c>
      <c r="N18" s="135">
        <v>16.0</v>
      </c>
      <c r="O18" s="135">
        <v>35.0</v>
      </c>
      <c r="P18" s="135">
        <v>19.0</v>
      </c>
      <c r="Q18" s="31">
        <f t="shared" si="1"/>
        <v>17.08333333</v>
      </c>
      <c r="R18" s="23">
        <v>7.0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21"/>
      <c r="C19" s="22">
        <v>7.0</v>
      </c>
      <c r="D19" s="157" t="str">
        <f>'[1]A-SF-M-S WQMA'!$B$19</f>
        <v>#REF!</v>
      </c>
      <c r="E19" s="30">
        <v>22.0</v>
      </c>
      <c r="F19" s="135">
        <v>10.0</v>
      </c>
      <c r="G19" s="135">
        <v>40.0</v>
      </c>
      <c r="H19" s="30">
        <v>42.0</v>
      </c>
      <c r="I19" s="30">
        <v>12.0</v>
      </c>
      <c r="J19" s="30">
        <v>27.0</v>
      </c>
      <c r="K19" s="105">
        <v>14.0</v>
      </c>
      <c r="L19" s="30">
        <v>14.0</v>
      </c>
      <c r="M19" s="39">
        <v>8.0</v>
      </c>
      <c r="N19" s="135">
        <v>7.0</v>
      </c>
      <c r="O19" s="135">
        <v>21.0</v>
      </c>
      <c r="P19" s="135">
        <v>22.0</v>
      </c>
      <c r="Q19" s="31">
        <f t="shared" si="1"/>
        <v>19.91666667</v>
      </c>
      <c r="R19" s="23">
        <v>7.0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7"/>
      <c r="C20" s="22">
        <v>8.0</v>
      </c>
      <c r="D20" s="157" t="str">
        <f>'[1]A-SF-M-S WQMA'!$B$20</f>
        <v>#REF!</v>
      </c>
      <c r="E20" s="30">
        <v>11.0</v>
      </c>
      <c r="F20" s="135">
        <v>17.0</v>
      </c>
      <c r="G20" s="135">
        <v>40.0</v>
      </c>
      <c r="H20" s="91">
        <v>12.0</v>
      </c>
      <c r="I20" s="30">
        <v>18.0</v>
      </c>
      <c r="J20" s="91">
        <v>15.0</v>
      </c>
      <c r="K20" s="105">
        <v>53.0</v>
      </c>
      <c r="L20" s="30">
        <v>5.0</v>
      </c>
      <c r="M20" s="39">
        <v>53.0</v>
      </c>
      <c r="N20" s="135">
        <v>5.0</v>
      </c>
      <c r="O20" s="135">
        <v>24.0</v>
      </c>
      <c r="P20" s="135">
        <v>35.0</v>
      </c>
      <c r="Q20" s="31">
        <f t="shared" si="1"/>
        <v>24</v>
      </c>
      <c r="R20" s="23">
        <v>7.0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15" t="s">
        <v>33</v>
      </c>
      <c r="C21" s="16">
        <v>1.0</v>
      </c>
      <c r="D21" s="131" t="str">
        <f>'[1]A-SF-M-S WQMA'!$B$14</f>
        <v>#REF!</v>
      </c>
      <c r="E21" s="114">
        <v>13.0</v>
      </c>
      <c r="F21" s="114">
        <v>24.0</v>
      </c>
      <c r="G21" s="114">
        <v>65.0</v>
      </c>
      <c r="H21" s="28">
        <v>35.0</v>
      </c>
      <c r="I21" s="28">
        <v>28.0</v>
      </c>
      <c r="J21" s="114">
        <v>36.0</v>
      </c>
      <c r="K21" s="114">
        <v>16.0</v>
      </c>
      <c r="L21" s="28">
        <v>219.0</v>
      </c>
      <c r="M21" s="32">
        <v>37.0</v>
      </c>
      <c r="N21" s="114">
        <v>59.0</v>
      </c>
      <c r="O21" s="114">
        <v>16.0</v>
      </c>
      <c r="P21" s="114">
        <v>70.0</v>
      </c>
      <c r="Q21" s="29">
        <f t="shared" si="1"/>
        <v>51.5</v>
      </c>
      <c r="R21" s="17">
        <v>80.0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21"/>
      <c r="C22" s="159">
        <v>3.0</v>
      </c>
      <c r="D22" s="160" t="str">
        <f>'[1]A-SF-M-S WQMA'!$B$15</f>
        <v>#REF!</v>
      </c>
      <c r="E22" s="135">
        <v>42.0</v>
      </c>
      <c r="F22" s="135">
        <v>32.0</v>
      </c>
      <c r="G22" s="135">
        <v>68.0</v>
      </c>
      <c r="H22" s="30">
        <v>33.0</v>
      </c>
      <c r="I22" s="30">
        <v>25.0</v>
      </c>
      <c r="J22" s="30">
        <v>181.0</v>
      </c>
      <c r="K22" s="135">
        <v>88.0</v>
      </c>
      <c r="L22" s="30">
        <v>143.0</v>
      </c>
      <c r="M22" s="39">
        <v>110.0</v>
      </c>
      <c r="N22" s="135">
        <v>238.0</v>
      </c>
      <c r="O22" s="135">
        <v>98.0</v>
      </c>
      <c r="P22" s="135">
        <v>65.0</v>
      </c>
      <c r="Q22" s="31">
        <f t="shared" si="1"/>
        <v>93.58333333</v>
      </c>
      <c r="R22" s="23">
        <v>80.0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159">
        <v>4.0</v>
      </c>
      <c r="D23" s="160" t="str">
        <f>'[1]A-SF-M-S WQMA'!$B$16</f>
        <v>#REF!</v>
      </c>
      <c r="E23" s="135">
        <v>4.0</v>
      </c>
      <c r="F23" s="135">
        <v>4.0</v>
      </c>
      <c r="G23" s="135">
        <v>116.0</v>
      </c>
      <c r="H23" s="30">
        <v>11.0</v>
      </c>
      <c r="I23" s="30">
        <v>26.0</v>
      </c>
      <c r="J23" s="91">
        <v>11.0</v>
      </c>
      <c r="K23" s="135">
        <v>8.0</v>
      </c>
      <c r="L23" s="30">
        <v>9.0</v>
      </c>
      <c r="M23" s="135">
        <v>5.0</v>
      </c>
      <c r="N23" s="135">
        <v>11.0</v>
      </c>
      <c r="O23" s="135">
        <v>19.0</v>
      </c>
      <c r="P23" s="135">
        <v>54.0</v>
      </c>
      <c r="Q23" s="31">
        <f t="shared" si="1"/>
        <v>23.16666667</v>
      </c>
      <c r="R23" s="23">
        <v>80.0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1"/>
      <c r="C24" s="159">
        <v>5.0</v>
      </c>
      <c r="D24" s="160" t="str">
        <f>'[1]A-SF-M-S WQMA'!$B$17</f>
        <v>#REF!</v>
      </c>
      <c r="E24" s="135">
        <v>28.0</v>
      </c>
      <c r="F24" s="135">
        <v>16.0</v>
      </c>
      <c r="G24" s="135">
        <v>23.0</v>
      </c>
      <c r="H24" s="30">
        <v>24.0</v>
      </c>
      <c r="I24" s="30">
        <v>31.0</v>
      </c>
      <c r="J24" s="30">
        <v>15.0</v>
      </c>
      <c r="K24" s="135">
        <v>11.0</v>
      </c>
      <c r="L24" s="30">
        <v>7.0</v>
      </c>
      <c r="M24" s="135">
        <v>15.0</v>
      </c>
      <c r="N24" s="135">
        <v>16.0</v>
      </c>
      <c r="O24" s="135">
        <v>12.0</v>
      </c>
      <c r="P24" s="135">
        <v>60.0</v>
      </c>
      <c r="Q24" s="31">
        <f t="shared" si="1"/>
        <v>21.5</v>
      </c>
      <c r="R24" s="23">
        <v>80.0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21"/>
      <c r="C25" s="159">
        <v>6.0</v>
      </c>
      <c r="D25" s="160" t="str">
        <f>'[1]A-SF-M-S WQMA'!$B$18</f>
        <v>#REF!</v>
      </c>
      <c r="E25" s="135">
        <v>28.0</v>
      </c>
      <c r="F25" s="135">
        <v>30.0</v>
      </c>
      <c r="G25" s="135">
        <v>29.0</v>
      </c>
      <c r="H25" s="30">
        <v>27.0</v>
      </c>
      <c r="I25" s="30">
        <v>38.0</v>
      </c>
      <c r="J25" s="91">
        <v>14.0</v>
      </c>
      <c r="K25" s="135">
        <v>32.0</v>
      </c>
      <c r="L25" s="30">
        <v>17.0</v>
      </c>
      <c r="M25" s="135">
        <v>7.0</v>
      </c>
      <c r="N25" s="135">
        <v>35.0</v>
      </c>
      <c r="O25" s="135">
        <v>13.0</v>
      </c>
      <c r="P25" s="135">
        <v>93.0</v>
      </c>
      <c r="Q25" s="31">
        <f t="shared" si="1"/>
        <v>30.25</v>
      </c>
      <c r="R25" s="23">
        <v>80.0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7.0</v>
      </c>
      <c r="D26" s="157" t="str">
        <f>'[1]A-SF-M-S WQMA'!$B$19</f>
        <v>#REF!</v>
      </c>
      <c r="E26" s="91">
        <v>295.0</v>
      </c>
      <c r="F26" s="135">
        <v>153.0</v>
      </c>
      <c r="G26" s="135">
        <v>88.0</v>
      </c>
      <c r="H26" s="30">
        <v>75.0</v>
      </c>
      <c r="I26" s="30">
        <v>88.0</v>
      </c>
      <c r="J26" s="30">
        <v>62.0</v>
      </c>
      <c r="K26" s="135">
        <v>44.0</v>
      </c>
      <c r="L26" s="30">
        <v>31.0</v>
      </c>
      <c r="M26" s="135">
        <v>3.0</v>
      </c>
      <c r="N26" s="135">
        <v>395.0</v>
      </c>
      <c r="O26" s="135">
        <v>83.0</v>
      </c>
      <c r="P26" s="135">
        <v>65.0</v>
      </c>
      <c r="Q26" s="31">
        <f t="shared" si="1"/>
        <v>115.1666667</v>
      </c>
      <c r="R26" s="23">
        <v>80.0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8.0</v>
      </c>
      <c r="D27" s="157" t="str">
        <f>'[1]A-SF-M-S WQMA'!$B$20</f>
        <v>#REF!</v>
      </c>
      <c r="E27" s="91">
        <v>116.0</v>
      </c>
      <c r="F27" s="135">
        <v>154.0</v>
      </c>
      <c r="G27" s="135">
        <v>98.0</v>
      </c>
      <c r="H27" s="30">
        <v>93.0</v>
      </c>
      <c r="I27" s="30">
        <v>93.0</v>
      </c>
      <c r="J27" s="91">
        <v>65.0</v>
      </c>
      <c r="K27" s="135">
        <v>45.0</v>
      </c>
      <c r="L27" s="30">
        <v>34.0</v>
      </c>
      <c r="M27" s="135">
        <v>25.0</v>
      </c>
      <c r="N27" s="135">
        <v>395.0</v>
      </c>
      <c r="O27" s="135">
        <v>120.0</v>
      </c>
      <c r="P27" s="135">
        <v>108.0</v>
      </c>
      <c r="Q27" s="31">
        <f t="shared" si="1"/>
        <v>112.1666667</v>
      </c>
      <c r="R27" s="23">
        <v>80.0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34</v>
      </c>
      <c r="C28" s="16">
        <v>1.0</v>
      </c>
      <c r="D28" s="131" t="str">
        <f>'[1]A-SF-M-S WQMA'!$B$14</f>
        <v>#REF!</v>
      </c>
      <c r="E28" s="114">
        <v>8.01</v>
      </c>
      <c r="F28" s="114">
        <v>8.17</v>
      </c>
      <c r="G28" s="18">
        <v>7.54</v>
      </c>
      <c r="H28" s="18">
        <v>6.89</v>
      </c>
      <c r="I28" s="114">
        <v>7.01</v>
      </c>
      <c r="J28" s="114">
        <v>7.85</v>
      </c>
      <c r="K28" s="18">
        <v>7.28</v>
      </c>
      <c r="L28" s="18">
        <v>7.0</v>
      </c>
      <c r="M28" s="114">
        <v>7.11</v>
      </c>
      <c r="N28" s="114">
        <v>6.99</v>
      </c>
      <c r="O28" s="18">
        <v>7.08</v>
      </c>
      <c r="P28" s="18">
        <v>6.98</v>
      </c>
      <c r="Q28" s="19">
        <f t="shared" si="1"/>
        <v>7.325833333</v>
      </c>
      <c r="R28" s="65" t="s">
        <v>35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159">
        <v>3.0</v>
      </c>
      <c r="D29" s="160" t="str">
        <f>'[1]A-SF-M-S WQMA'!$B$15</f>
        <v>#REF!</v>
      </c>
      <c r="E29" s="25">
        <v>8.0</v>
      </c>
      <c r="F29" s="135">
        <v>8.18</v>
      </c>
      <c r="G29" s="25">
        <v>7.56</v>
      </c>
      <c r="H29" s="24">
        <v>6.9</v>
      </c>
      <c r="I29" s="24">
        <v>7.03</v>
      </c>
      <c r="J29" s="24">
        <v>7.74</v>
      </c>
      <c r="K29" s="25">
        <v>7.07</v>
      </c>
      <c r="L29" s="24">
        <v>7.21</v>
      </c>
      <c r="M29" s="135">
        <v>6.95</v>
      </c>
      <c r="N29" s="135">
        <v>6.97</v>
      </c>
      <c r="O29" s="25">
        <v>7.12</v>
      </c>
      <c r="P29" s="25">
        <v>6.94</v>
      </c>
      <c r="Q29" s="26">
        <f t="shared" si="1"/>
        <v>7.305833333</v>
      </c>
      <c r="R29" s="66" t="s">
        <v>35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1"/>
      <c r="C30" s="159">
        <v>4.0</v>
      </c>
      <c r="D30" s="160" t="str">
        <f>'[1]A-SF-M-S WQMA'!$B$16</f>
        <v>#REF!</v>
      </c>
      <c r="E30" s="135">
        <v>7.99</v>
      </c>
      <c r="F30" s="135">
        <v>8.22</v>
      </c>
      <c r="G30" s="25">
        <v>7.55</v>
      </c>
      <c r="H30" s="24">
        <v>6.9</v>
      </c>
      <c r="I30" s="91">
        <v>6.94</v>
      </c>
      <c r="J30" s="91">
        <v>7.81</v>
      </c>
      <c r="K30" s="25">
        <v>7.18</v>
      </c>
      <c r="L30" s="24">
        <v>7.0</v>
      </c>
      <c r="M30" s="135">
        <v>6.97</v>
      </c>
      <c r="N30" s="135">
        <v>7.01</v>
      </c>
      <c r="O30" s="25">
        <v>7.18</v>
      </c>
      <c r="P30" s="25">
        <v>6.98</v>
      </c>
      <c r="Q30" s="26">
        <f t="shared" si="1"/>
        <v>7.310833333</v>
      </c>
      <c r="R30" s="66" t="s">
        <v>35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21"/>
      <c r="C31" s="159">
        <v>5.0</v>
      </c>
      <c r="D31" s="160" t="str">
        <f>'[1]A-SF-M-S WQMA'!$B$17</f>
        <v>#REF!</v>
      </c>
      <c r="E31" s="135">
        <v>8.01</v>
      </c>
      <c r="F31" s="25">
        <v>8.2</v>
      </c>
      <c r="G31" s="25">
        <v>7.53</v>
      </c>
      <c r="H31" s="24">
        <v>6.95</v>
      </c>
      <c r="I31" s="24">
        <v>7.01</v>
      </c>
      <c r="J31" s="24">
        <v>7.12</v>
      </c>
      <c r="K31" s="25">
        <v>7.03</v>
      </c>
      <c r="L31" s="24">
        <v>6.99</v>
      </c>
      <c r="M31" s="135">
        <v>6.93</v>
      </c>
      <c r="N31" s="25">
        <v>7.02</v>
      </c>
      <c r="O31" s="25">
        <v>7.2</v>
      </c>
      <c r="P31" s="25">
        <v>7.0</v>
      </c>
      <c r="Q31" s="26">
        <f t="shared" si="1"/>
        <v>7.249166667</v>
      </c>
      <c r="R31" s="66" t="s">
        <v>35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159">
        <v>6.0</v>
      </c>
      <c r="D32" s="160" t="str">
        <f>'[1]A-SF-M-S WQMA'!$B$18</f>
        <v>#REF!</v>
      </c>
      <c r="E32" s="25">
        <v>8.0</v>
      </c>
      <c r="F32" s="135">
        <v>8.19</v>
      </c>
      <c r="G32" s="25">
        <v>7.5</v>
      </c>
      <c r="H32" s="24">
        <v>6.97</v>
      </c>
      <c r="I32" s="91">
        <v>6.97</v>
      </c>
      <c r="J32" s="91">
        <v>8.01</v>
      </c>
      <c r="K32" s="25">
        <v>6.8</v>
      </c>
      <c r="L32" s="24">
        <v>6.98</v>
      </c>
      <c r="M32" s="135">
        <v>6.98</v>
      </c>
      <c r="N32" s="25">
        <v>7.08</v>
      </c>
      <c r="O32" s="25">
        <v>7.21</v>
      </c>
      <c r="P32" s="25">
        <v>7.01</v>
      </c>
      <c r="Q32" s="26">
        <f t="shared" si="1"/>
        <v>7.308333333</v>
      </c>
      <c r="R32" s="66" t="s">
        <v>35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1"/>
      <c r="C33" s="22">
        <v>7.0</v>
      </c>
      <c r="D33" s="157" t="str">
        <f>'[1]A-SF-M-S WQMA'!$B$19</f>
        <v>#REF!</v>
      </c>
      <c r="E33" s="91">
        <v>7.95</v>
      </c>
      <c r="F33" s="135">
        <v>8.18</v>
      </c>
      <c r="G33" s="25">
        <v>7.52</v>
      </c>
      <c r="H33" s="24">
        <v>7.04</v>
      </c>
      <c r="I33" s="24">
        <v>6.99</v>
      </c>
      <c r="J33" s="24">
        <v>7.78</v>
      </c>
      <c r="K33" s="25">
        <v>7.23</v>
      </c>
      <c r="L33" s="24">
        <v>6.97</v>
      </c>
      <c r="M33" s="135">
        <v>7.05</v>
      </c>
      <c r="N33" s="135">
        <v>7.19</v>
      </c>
      <c r="O33" s="25">
        <v>7.28</v>
      </c>
      <c r="P33" s="25">
        <v>7.04</v>
      </c>
      <c r="Q33" s="26">
        <f t="shared" si="1"/>
        <v>7.351666667</v>
      </c>
      <c r="R33" s="66" t="s">
        <v>35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20"/>
      <c r="B34" s="27"/>
      <c r="C34" s="22">
        <v>8.0</v>
      </c>
      <c r="D34" s="157" t="str">
        <f>'[1]A-SF-M-S WQMA'!$B$20</f>
        <v>#REF!</v>
      </c>
      <c r="E34" s="24">
        <v>7.98</v>
      </c>
      <c r="F34" s="135">
        <v>8.16</v>
      </c>
      <c r="G34" s="25">
        <v>7.52</v>
      </c>
      <c r="H34" s="24">
        <v>7.02</v>
      </c>
      <c r="I34" s="91">
        <v>6.97</v>
      </c>
      <c r="J34" s="24">
        <v>7.8</v>
      </c>
      <c r="K34" s="25">
        <v>7.16</v>
      </c>
      <c r="L34" s="24">
        <v>6.95</v>
      </c>
      <c r="M34" s="135">
        <v>7.07</v>
      </c>
      <c r="N34" s="135">
        <v>7.13</v>
      </c>
      <c r="O34" s="25">
        <v>7.33</v>
      </c>
      <c r="P34" s="25">
        <v>7.06</v>
      </c>
      <c r="Q34" s="26">
        <f t="shared" si="1"/>
        <v>7.345833333</v>
      </c>
      <c r="R34" s="66" t="s">
        <v>35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15" t="s">
        <v>165</v>
      </c>
      <c r="C35" s="16">
        <v>1.0</v>
      </c>
      <c r="D35" s="131" t="str">
        <f>'[1]A-SF-M-S WQMA'!$B$14</f>
        <v>#REF!</v>
      </c>
      <c r="E35" s="18">
        <v>25.9</v>
      </c>
      <c r="F35" s="18">
        <v>28.94</v>
      </c>
      <c r="G35" s="18">
        <v>26.45</v>
      </c>
      <c r="H35" s="145">
        <v>29.6</v>
      </c>
      <c r="I35" s="18">
        <v>31.95</v>
      </c>
      <c r="J35" s="114">
        <v>29.89</v>
      </c>
      <c r="K35" s="18">
        <v>30.8</v>
      </c>
      <c r="L35" s="114">
        <v>27.55</v>
      </c>
      <c r="M35" s="114">
        <v>30.18</v>
      </c>
      <c r="N35" s="18">
        <v>27.05</v>
      </c>
      <c r="O35" s="18">
        <v>28.0</v>
      </c>
      <c r="P35" s="18">
        <v>25.6</v>
      </c>
      <c r="Q35" s="19">
        <f t="shared" si="1"/>
        <v>28.4925</v>
      </c>
      <c r="R35" s="65" t="s">
        <v>37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1"/>
      <c r="C36" s="159">
        <v>3.0</v>
      </c>
      <c r="D36" s="160" t="str">
        <f>'[1]A-SF-M-S WQMA'!$B$15</f>
        <v>#REF!</v>
      </c>
      <c r="E36" s="25">
        <v>26.6</v>
      </c>
      <c r="F36" s="25">
        <v>29.0</v>
      </c>
      <c r="G36" s="25">
        <v>25.65</v>
      </c>
      <c r="H36" s="147">
        <v>29.6</v>
      </c>
      <c r="I36" s="24">
        <v>31.9</v>
      </c>
      <c r="J36" s="24">
        <v>30.15</v>
      </c>
      <c r="K36" s="25">
        <v>31.75</v>
      </c>
      <c r="L36" s="24">
        <v>27.39</v>
      </c>
      <c r="M36" s="135">
        <v>28.75</v>
      </c>
      <c r="N36" s="163">
        <v>28.35</v>
      </c>
      <c r="O36" s="25">
        <v>28.2</v>
      </c>
      <c r="P36" s="25">
        <v>24.6</v>
      </c>
      <c r="Q36" s="26">
        <f t="shared" si="1"/>
        <v>28.495</v>
      </c>
      <c r="R36" s="66" t="s">
        <v>37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20"/>
      <c r="B37" s="21"/>
      <c r="C37" s="159">
        <v>4.0</v>
      </c>
      <c r="D37" s="160" t="str">
        <f>'[1]A-SF-M-S WQMA'!$B$16</f>
        <v>#REF!</v>
      </c>
      <c r="E37" s="25">
        <v>26.0</v>
      </c>
      <c r="F37" s="135">
        <v>28.68</v>
      </c>
      <c r="G37" s="25">
        <v>26.7</v>
      </c>
      <c r="H37" s="147">
        <v>31.4</v>
      </c>
      <c r="I37" s="24">
        <v>31.8</v>
      </c>
      <c r="J37" s="24">
        <v>28.5</v>
      </c>
      <c r="K37" s="25">
        <v>28.6</v>
      </c>
      <c r="L37" s="24">
        <v>29.0</v>
      </c>
      <c r="M37" s="135">
        <v>28.4</v>
      </c>
      <c r="N37" s="25">
        <v>27.62</v>
      </c>
      <c r="O37" s="25">
        <v>28.2</v>
      </c>
      <c r="P37" s="25">
        <v>26.0</v>
      </c>
      <c r="Q37" s="26">
        <f t="shared" si="1"/>
        <v>28.40833333</v>
      </c>
      <c r="R37" s="66" t="s">
        <v>37</v>
      </c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20"/>
      <c r="B38" s="21"/>
      <c r="C38" s="159">
        <v>5.0</v>
      </c>
      <c r="D38" s="160" t="str">
        <f>'[1]A-SF-M-S WQMA'!$B$17</f>
        <v>#REF!</v>
      </c>
      <c r="E38" s="25">
        <v>25.63</v>
      </c>
      <c r="F38" s="25">
        <v>25.6</v>
      </c>
      <c r="G38" s="25">
        <v>28.9</v>
      </c>
      <c r="H38" s="147">
        <v>28.18</v>
      </c>
      <c r="I38" s="24">
        <v>31.34</v>
      </c>
      <c r="J38" s="24">
        <v>29.5</v>
      </c>
      <c r="K38" s="25">
        <v>29.35</v>
      </c>
      <c r="L38" s="24">
        <v>28.28</v>
      </c>
      <c r="M38" s="135">
        <v>29.33</v>
      </c>
      <c r="N38" s="25">
        <v>27.6</v>
      </c>
      <c r="O38" s="25">
        <v>26.95</v>
      </c>
      <c r="P38" s="25">
        <v>25.1</v>
      </c>
      <c r="Q38" s="26">
        <f t="shared" si="1"/>
        <v>27.98</v>
      </c>
      <c r="R38" s="66" t="s">
        <v>37</v>
      </c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20"/>
      <c r="B39" s="21"/>
      <c r="C39" s="159">
        <v>6.0</v>
      </c>
      <c r="D39" s="160" t="str">
        <f>'[1]A-SF-M-S WQMA'!$B$18</f>
        <v>#REF!</v>
      </c>
      <c r="E39" s="25">
        <v>24.23</v>
      </c>
      <c r="F39" s="25">
        <v>28.5</v>
      </c>
      <c r="G39" s="25">
        <v>28.65</v>
      </c>
      <c r="H39" s="147">
        <v>29.25</v>
      </c>
      <c r="I39" s="24">
        <v>30.95</v>
      </c>
      <c r="J39" s="91">
        <v>29.75</v>
      </c>
      <c r="K39" s="25">
        <v>30.98</v>
      </c>
      <c r="L39" s="24">
        <v>28.48</v>
      </c>
      <c r="M39" s="135">
        <v>29.05</v>
      </c>
      <c r="N39" s="25">
        <v>27.4</v>
      </c>
      <c r="O39" s="25">
        <v>28.6</v>
      </c>
      <c r="P39" s="25">
        <v>24.8</v>
      </c>
      <c r="Q39" s="26">
        <f t="shared" si="1"/>
        <v>28.38666667</v>
      </c>
      <c r="R39" s="66" t="s">
        <v>37</v>
      </c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20"/>
      <c r="B40" s="21"/>
      <c r="C40" s="22">
        <v>7.0</v>
      </c>
      <c r="D40" s="157" t="str">
        <f>'[1]A-SF-M-S WQMA'!$B$19</f>
        <v>#REF!</v>
      </c>
      <c r="E40" s="24">
        <v>26.3</v>
      </c>
      <c r="F40" s="25">
        <v>26.1</v>
      </c>
      <c r="G40" s="25">
        <v>28.5</v>
      </c>
      <c r="H40" s="147">
        <v>29.55</v>
      </c>
      <c r="I40" s="24">
        <v>31.92</v>
      </c>
      <c r="J40" s="24">
        <v>29.83</v>
      </c>
      <c r="K40" s="25">
        <v>29.32</v>
      </c>
      <c r="L40" s="24">
        <v>28.8</v>
      </c>
      <c r="M40" s="25">
        <v>30.2</v>
      </c>
      <c r="N40" s="25">
        <v>27.2</v>
      </c>
      <c r="O40" s="25">
        <v>28.9</v>
      </c>
      <c r="P40" s="25">
        <v>24.6</v>
      </c>
      <c r="Q40" s="26">
        <f t="shared" si="1"/>
        <v>28.435</v>
      </c>
      <c r="R40" s="66" t="s">
        <v>37</v>
      </c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20"/>
      <c r="B41" s="27"/>
      <c r="C41" s="22">
        <v>8.0</v>
      </c>
      <c r="D41" s="157" t="str">
        <f>'[1]A-SF-M-S WQMA'!$B$20</f>
        <v>#REF!</v>
      </c>
      <c r="E41" s="24">
        <v>26.2</v>
      </c>
      <c r="F41" s="135">
        <v>27.48</v>
      </c>
      <c r="G41" s="25">
        <v>28.2</v>
      </c>
      <c r="H41" s="147">
        <v>30.0</v>
      </c>
      <c r="I41" s="24">
        <v>31.8</v>
      </c>
      <c r="J41" s="91">
        <v>30.45</v>
      </c>
      <c r="K41" s="25">
        <v>29.15</v>
      </c>
      <c r="L41" s="24">
        <v>28.7</v>
      </c>
      <c r="M41" s="135">
        <v>29.38</v>
      </c>
      <c r="N41" s="135">
        <v>27.1</v>
      </c>
      <c r="O41" s="25">
        <v>28.35</v>
      </c>
      <c r="P41" s="25">
        <v>24.3</v>
      </c>
      <c r="Q41" s="26">
        <f t="shared" si="1"/>
        <v>28.42583333</v>
      </c>
      <c r="R41" s="66" t="s">
        <v>37</v>
      </c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20"/>
      <c r="B42" s="15" t="s">
        <v>38</v>
      </c>
      <c r="C42" s="16">
        <v>1.0</v>
      </c>
      <c r="D42" s="131" t="str">
        <f>'[1]A-SF-M-S WQMA'!$B$14</f>
        <v>#REF!</v>
      </c>
      <c r="E42" s="114">
        <v>20.0</v>
      </c>
      <c r="F42" s="114">
        <v>10.0</v>
      </c>
      <c r="G42" s="114">
        <v>15.0</v>
      </c>
      <c r="H42" s="28">
        <v>20.0</v>
      </c>
      <c r="I42" s="28">
        <v>15.0</v>
      </c>
      <c r="J42" s="114">
        <v>30.0</v>
      </c>
      <c r="K42" s="28">
        <v>15.0</v>
      </c>
      <c r="L42" s="28">
        <v>30.0</v>
      </c>
      <c r="M42" s="114">
        <v>10.0</v>
      </c>
      <c r="N42" s="114">
        <v>15.0</v>
      </c>
      <c r="O42" s="114">
        <v>15.0</v>
      </c>
      <c r="P42" s="114">
        <v>15.0</v>
      </c>
      <c r="Q42" s="29">
        <f t="shared" si="1"/>
        <v>17.5</v>
      </c>
      <c r="R42" s="17">
        <v>75.0</v>
      </c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20"/>
      <c r="B43" s="21"/>
      <c r="C43" s="159">
        <v>3.0</v>
      </c>
      <c r="D43" s="160" t="str">
        <f>'[1]A-SF-M-S WQMA'!$B$15</f>
        <v>#REF!</v>
      </c>
      <c r="E43" s="135">
        <v>20.0</v>
      </c>
      <c r="F43" s="135">
        <v>15.0</v>
      </c>
      <c r="G43" s="135">
        <v>20.0</v>
      </c>
      <c r="H43" s="30">
        <v>20.0</v>
      </c>
      <c r="I43" s="30">
        <v>15.0</v>
      </c>
      <c r="J43" s="30">
        <v>10.0</v>
      </c>
      <c r="K43" s="105">
        <v>15.0</v>
      </c>
      <c r="L43" s="30">
        <v>30.0</v>
      </c>
      <c r="M43" s="135">
        <v>10.0</v>
      </c>
      <c r="N43" s="135">
        <v>15.0</v>
      </c>
      <c r="O43" s="135">
        <v>5.0</v>
      </c>
      <c r="P43" s="135">
        <v>15.0</v>
      </c>
      <c r="Q43" s="31">
        <f t="shared" si="1"/>
        <v>15.83333333</v>
      </c>
      <c r="R43" s="23">
        <v>75.0</v>
      </c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20"/>
      <c r="B44" s="21"/>
      <c r="C44" s="159">
        <v>4.0</v>
      </c>
      <c r="D44" s="160" t="str">
        <f>'[1]A-SF-M-S WQMA'!$B$16</f>
        <v>#REF!</v>
      </c>
      <c r="E44" s="135">
        <v>40.0</v>
      </c>
      <c r="F44" s="135">
        <v>40.0</v>
      </c>
      <c r="G44" s="135">
        <v>75.0</v>
      </c>
      <c r="H44" s="30">
        <v>40.0</v>
      </c>
      <c r="I44" s="30">
        <v>50.0</v>
      </c>
      <c r="J44" s="91">
        <v>40.0</v>
      </c>
      <c r="K44" s="105">
        <v>75.0</v>
      </c>
      <c r="L44" s="30">
        <v>125.0</v>
      </c>
      <c r="M44" s="135">
        <v>50.0</v>
      </c>
      <c r="N44" s="135">
        <v>40.0</v>
      </c>
      <c r="O44" s="135">
        <v>30.0</v>
      </c>
      <c r="P44" s="135">
        <v>30.0</v>
      </c>
      <c r="Q44" s="31">
        <f t="shared" si="1"/>
        <v>52.91666667</v>
      </c>
      <c r="R44" s="23">
        <v>75.0</v>
      </c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20"/>
      <c r="B45" s="21"/>
      <c r="C45" s="159">
        <v>5.0</v>
      </c>
      <c r="D45" s="160" t="str">
        <f>'[1]A-SF-M-S WQMA'!$B$17</f>
        <v>#REF!</v>
      </c>
      <c r="E45" s="135">
        <v>50.0</v>
      </c>
      <c r="F45" s="135">
        <v>60.0</v>
      </c>
      <c r="G45" s="135">
        <v>60.0</v>
      </c>
      <c r="H45" s="30">
        <v>50.0</v>
      </c>
      <c r="I45" s="30">
        <v>40.0</v>
      </c>
      <c r="J45" s="30">
        <v>40.0</v>
      </c>
      <c r="K45" s="105">
        <v>75.0</v>
      </c>
      <c r="L45" s="30">
        <v>100.0</v>
      </c>
      <c r="M45" s="135">
        <v>40.0</v>
      </c>
      <c r="N45" s="135">
        <v>30.0</v>
      </c>
      <c r="O45" s="135">
        <v>30.0</v>
      </c>
      <c r="P45" s="135">
        <v>40.0</v>
      </c>
      <c r="Q45" s="31">
        <f t="shared" si="1"/>
        <v>51.25</v>
      </c>
      <c r="R45" s="23">
        <v>75.0</v>
      </c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20"/>
      <c r="B46" s="21"/>
      <c r="C46" s="159">
        <v>6.0</v>
      </c>
      <c r="D46" s="160" t="str">
        <f>'[1]A-SF-M-S WQMA'!$B$18</f>
        <v>#REF!</v>
      </c>
      <c r="E46" s="135">
        <v>50.0</v>
      </c>
      <c r="F46" s="135">
        <v>60.0</v>
      </c>
      <c r="G46" s="135">
        <v>60.0</v>
      </c>
      <c r="H46" s="30">
        <v>50.0</v>
      </c>
      <c r="I46" s="30">
        <v>40.0</v>
      </c>
      <c r="J46" s="91">
        <v>60.0</v>
      </c>
      <c r="K46" s="105">
        <v>60.0</v>
      </c>
      <c r="L46" s="30">
        <v>80.0</v>
      </c>
      <c r="M46" s="135">
        <v>50.0</v>
      </c>
      <c r="N46" s="135">
        <v>30.0</v>
      </c>
      <c r="O46" s="135">
        <v>30.0</v>
      </c>
      <c r="P46" s="135">
        <v>30.0</v>
      </c>
      <c r="Q46" s="31">
        <f t="shared" si="1"/>
        <v>50</v>
      </c>
      <c r="R46" s="23">
        <v>75.0</v>
      </c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20"/>
      <c r="B47" s="21"/>
      <c r="C47" s="22">
        <v>7.0</v>
      </c>
      <c r="D47" s="157" t="str">
        <f>'[1]A-SF-M-S WQMA'!$B$19</f>
        <v>#REF!</v>
      </c>
      <c r="E47" s="91">
        <v>40.0</v>
      </c>
      <c r="F47" s="135">
        <v>40.0</v>
      </c>
      <c r="G47" s="135">
        <v>60.0</v>
      </c>
      <c r="H47" s="30">
        <v>40.0</v>
      </c>
      <c r="I47" s="30">
        <v>30.0</v>
      </c>
      <c r="J47" s="30">
        <v>40.0</v>
      </c>
      <c r="K47" s="105">
        <v>50.0</v>
      </c>
      <c r="L47" s="30">
        <v>60.0</v>
      </c>
      <c r="M47" s="135">
        <v>40.0</v>
      </c>
      <c r="N47" s="135">
        <v>30.0</v>
      </c>
      <c r="O47" s="135">
        <v>30.0</v>
      </c>
      <c r="P47" s="135">
        <v>30.0</v>
      </c>
      <c r="Q47" s="31">
        <f t="shared" si="1"/>
        <v>40.83333333</v>
      </c>
      <c r="R47" s="23">
        <v>75.0</v>
      </c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20"/>
      <c r="B48" s="27"/>
      <c r="C48" s="22">
        <v>8.0</v>
      </c>
      <c r="D48" s="157" t="str">
        <f>'[1]A-SF-M-S WQMA'!$B$20</f>
        <v>#REF!</v>
      </c>
      <c r="E48" s="91">
        <v>40.0</v>
      </c>
      <c r="F48" s="135">
        <v>40.0</v>
      </c>
      <c r="G48" s="135">
        <v>60.0</v>
      </c>
      <c r="H48" s="30">
        <v>40.0</v>
      </c>
      <c r="I48" s="30">
        <v>30.0</v>
      </c>
      <c r="J48" s="91">
        <v>40.0</v>
      </c>
      <c r="K48" s="105">
        <v>50.0</v>
      </c>
      <c r="L48" s="30">
        <v>60.0</v>
      </c>
      <c r="M48" s="135">
        <v>40.0</v>
      </c>
      <c r="N48" s="135">
        <v>20.0</v>
      </c>
      <c r="O48" s="135">
        <v>30.0</v>
      </c>
      <c r="P48" s="135">
        <v>30.0</v>
      </c>
      <c r="Q48" s="31">
        <f t="shared" si="1"/>
        <v>40</v>
      </c>
      <c r="R48" s="23">
        <v>75.0</v>
      </c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20"/>
      <c r="B49" s="15" t="s">
        <v>40</v>
      </c>
      <c r="C49" s="16">
        <v>1.0</v>
      </c>
      <c r="D49" s="131" t="str">
        <f>'[1]A-SF-M-S WQMA'!$B$14</f>
        <v>#REF!</v>
      </c>
      <c r="E49" s="28">
        <v>92000.0</v>
      </c>
      <c r="F49" s="32">
        <v>33000.0</v>
      </c>
      <c r="G49" s="164">
        <v>49000.0</v>
      </c>
      <c r="H49" s="32">
        <v>2400000.0</v>
      </c>
      <c r="I49" s="32">
        <v>4900.0</v>
      </c>
      <c r="J49" s="32">
        <v>1600000.0</v>
      </c>
      <c r="K49" s="33">
        <v>54000.0</v>
      </c>
      <c r="L49" s="33">
        <v>540000.0</v>
      </c>
      <c r="M49" s="32">
        <v>1600000.0</v>
      </c>
      <c r="N49" s="32">
        <v>1700000.0</v>
      </c>
      <c r="O49" s="32">
        <v>490000.0</v>
      </c>
      <c r="P49" s="32">
        <v>140.0</v>
      </c>
      <c r="Q49" s="35">
        <f t="shared" ref="Q49:Q55" si="2">GEOMEAN(E49,F49,G49,H49,I49,J49,K49,L49,M49,N49,O49,P49)</f>
        <v>125475.4632</v>
      </c>
      <c r="R49" s="17">
        <v>200.0</v>
      </c>
      <c r="S49" s="130">
        <f>GEOMEAN(Q49:Q55)</f>
        <v>129864.4963</v>
      </c>
      <c r="T49" s="100"/>
      <c r="U49" s="100"/>
      <c r="V49" s="100"/>
      <c r="W49" s="100"/>
      <c r="X49" s="100"/>
      <c r="Y49" s="100"/>
      <c r="Z49" s="100"/>
    </row>
    <row r="50" ht="15.75" customHeight="1">
      <c r="A50" s="20"/>
      <c r="B50" s="21"/>
      <c r="C50" s="159">
        <v>3.0</v>
      </c>
      <c r="D50" s="160" t="str">
        <f>'[1]A-SF-M-S WQMA'!$B$15</f>
        <v>#REF!</v>
      </c>
      <c r="E50" s="105">
        <v>7900.0</v>
      </c>
      <c r="F50" s="39">
        <v>49000.0</v>
      </c>
      <c r="G50" s="165">
        <v>49000.0</v>
      </c>
      <c r="H50" s="24">
        <v>7900.0</v>
      </c>
      <c r="I50" s="34">
        <v>7000.0</v>
      </c>
      <c r="J50" s="30">
        <v>33000.0</v>
      </c>
      <c r="K50" s="106">
        <v>17000.0</v>
      </c>
      <c r="L50" s="34">
        <v>170000.0</v>
      </c>
      <c r="M50" s="39">
        <v>79000.0</v>
      </c>
      <c r="N50" s="39">
        <v>790000.0</v>
      </c>
      <c r="O50" s="39">
        <v>78000.0</v>
      </c>
      <c r="P50" s="39">
        <v>79.0</v>
      </c>
      <c r="Q50" s="38">
        <f t="shared" si="2"/>
        <v>24104.28962</v>
      </c>
      <c r="R50" s="23">
        <v>200.0</v>
      </c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20"/>
      <c r="B51" s="21"/>
      <c r="C51" s="159">
        <v>4.0</v>
      </c>
      <c r="D51" s="160" t="str">
        <f>'[1]A-SF-M-S WQMA'!$B$16</f>
        <v>#REF!</v>
      </c>
      <c r="E51" s="105">
        <v>220000.0</v>
      </c>
      <c r="F51" s="39">
        <v>1600000.0</v>
      </c>
      <c r="G51" s="165">
        <v>2400000.0</v>
      </c>
      <c r="H51" s="37">
        <v>3500000.0</v>
      </c>
      <c r="I51" s="34">
        <v>920000.0</v>
      </c>
      <c r="J51" s="37">
        <v>2400000.0</v>
      </c>
      <c r="K51" s="106">
        <v>920000.0</v>
      </c>
      <c r="L51" s="34">
        <v>1700000.0</v>
      </c>
      <c r="M51" s="39">
        <v>3500000.0</v>
      </c>
      <c r="N51" s="39">
        <v>2400000.0</v>
      </c>
      <c r="O51" s="39">
        <v>5400000.0</v>
      </c>
      <c r="P51" s="39">
        <v>700.0</v>
      </c>
      <c r="Q51" s="38">
        <f t="shared" si="2"/>
        <v>910407.3133</v>
      </c>
      <c r="R51" s="23">
        <v>200.0</v>
      </c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20"/>
      <c r="B52" s="21"/>
      <c r="C52" s="159">
        <v>5.0</v>
      </c>
      <c r="D52" s="160" t="str">
        <f>'[1]A-SF-M-S WQMA'!$B$17</f>
        <v>#REF!</v>
      </c>
      <c r="E52" s="105">
        <v>170000.0</v>
      </c>
      <c r="F52" s="39">
        <v>49000.0</v>
      </c>
      <c r="G52" s="165">
        <v>70000.0</v>
      </c>
      <c r="H52" s="34">
        <v>4900.0</v>
      </c>
      <c r="I52" s="34">
        <v>4900.0</v>
      </c>
      <c r="J52" s="30">
        <v>9200000.0</v>
      </c>
      <c r="K52" s="106">
        <v>94000.0</v>
      </c>
      <c r="L52" s="34">
        <v>920000.0</v>
      </c>
      <c r="M52" s="39">
        <v>920000.0</v>
      </c>
      <c r="N52" s="39">
        <v>1700000.0</v>
      </c>
      <c r="O52" s="39">
        <v>130000.0</v>
      </c>
      <c r="P52" s="39">
        <v>49000.0</v>
      </c>
      <c r="Q52" s="38">
        <f t="shared" si="2"/>
        <v>148058.919</v>
      </c>
      <c r="R52" s="23">
        <v>200.0</v>
      </c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20"/>
      <c r="B53" s="21"/>
      <c r="C53" s="159">
        <v>6.0</v>
      </c>
      <c r="D53" s="160" t="str">
        <f>'[1]A-SF-M-S WQMA'!$B$18</f>
        <v>#REF!</v>
      </c>
      <c r="E53" s="105">
        <v>92000.0</v>
      </c>
      <c r="F53" s="39">
        <v>33000.0</v>
      </c>
      <c r="G53" s="165">
        <v>110000.0</v>
      </c>
      <c r="H53" s="34">
        <v>4900.0</v>
      </c>
      <c r="I53" s="34">
        <v>4900.0</v>
      </c>
      <c r="J53" s="37">
        <v>540000.0</v>
      </c>
      <c r="K53" s="106">
        <v>35000.0</v>
      </c>
      <c r="L53" s="34">
        <v>240000.0</v>
      </c>
      <c r="M53" s="39">
        <v>130000.0</v>
      </c>
      <c r="N53" s="39">
        <v>3500000.0</v>
      </c>
      <c r="O53" s="39">
        <v>130000.0</v>
      </c>
      <c r="P53" s="39">
        <v>49000.0</v>
      </c>
      <c r="Q53" s="38">
        <f t="shared" si="2"/>
        <v>82904.07422</v>
      </c>
      <c r="R53" s="23">
        <v>200.0</v>
      </c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20"/>
      <c r="B54" s="21"/>
      <c r="C54" s="22">
        <v>7.0</v>
      </c>
      <c r="D54" s="157" t="str">
        <f>'[1]A-SF-M-S WQMA'!$B$19</f>
        <v>#REF!</v>
      </c>
      <c r="E54" s="30">
        <v>2400000.0</v>
      </c>
      <c r="F54" s="39">
        <v>700000.0</v>
      </c>
      <c r="G54" s="165">
        <v>110000.0</v>
      </c>
      <c r="H54" s="34">
        <v>170000.0</v>
      </c>
      <c r="I54" s="34">
        <v>2300.0</v>
      </c>
      <c r="J54" s="34">
        <v>350000.0</v>
      </c>
      <c r="K54" s="106">
        <v>92000.0</v>
      </c>
      <c r="L54" s="34">
        <v>49000.0</v>
      </c>
      <c r="M54" s="39">
        <v>49000.0</v>
      </c>
      <c r="N54" s="39">
        <v>480000.0</v>
      </c>
      <c r="O54" s="39">
        <v>230000.0</v>
      </c>
      <c r="P54" s="39">
        <v>790000.0</v>
      </c>
      <c r="Q54" s="38">
        <f t="shared" si="2"/>
        <v>167485.3827</v>
      </c>
      <c r="R54" s="23">
        <v>200.0</v>
      </c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20"/>
      <c r="B55" s="27"/>
      <c r="C55" s="22">
        <v>8.0</v>
      </c>
      <c r="D55" s="157" t="str">
        <f>'[1]A-SF-M-S WQMA'!$B$20</f>
        <v>#REF!</v>
      </c>
      <c r="E55" s="30">
        <v>920000.0</v>
      </c>
      <c r="F55" s="39">
        <v>1600000.0</v>
      </c>
      <c r="G55" s="165">
        <v>79000.0</v>
      </c>
      <c r="H55" s="34">
        <v>24000.0</v>
      </c>
      <c r="I55" s="34">
        <v>2300.0</v>
      </c>
      <c r="J55" s="37">
        <v>79000.0</v>
      </c>
      <c r="K55" s="106">
        <v>92000.0</v>
      </c>
      <c r="L55" s="34">
        <v>49000.0</v>
      </c>
      <c r="M55" s="39">
        <v>79000.0</v>
      </c>
      <c r="N55" s="39">
        <v>330000.0</v>
      </c>
      <c r="O55" s="39">
        <v>230000.0</v>
      </c>
      <c r="P55" s="39">
        <v>230000.0</v>
      </c>
      <c r="Q55" s="38">
        <f t="shared" si="2"/>
        <v>110041.5773</v>
      </c>
      <c r="R55" s="23">
        <v>200.0</v>
      </c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20"/>
      <c r="B56" s="15" t="s">
        <v>166</v>
      </c>
      <c r="C56" s="16">
        <v>1.0</v>
      </c>
      <c r="D56" s="131" t="str">
        <f>'[1]A-SF-M-S WQMA'!$B$14</f>
        <v>#REF!</v>
      </c>
      <c r="E56" s="40">
        <v>0.688</v>
      </c>
      <c r="F56" s="114">
        <v>1.988</v>
      </c>
      <c r="G56" s="40">
        <v>1.654</v>
      </c>
      <c r="H56" s="166" t="s">
        <v>42</v>
      </c>
      <c r="I56" s="40">
        <v>0.471</v>
      </c>
      <c r="J56" s="166" t="s">
        <v>42</v>
      </c>
      <c r="K56" s="114">
        <v>0.53</v>
      </c>
      <c r="L56" s="40">
        <v>1.511</v>
      </c>
      <c r="M56" s="40">
        <v>1.53</v>
      </c>
      <c r="N56" s="114">
        <v>1.358</v>
      </c>
      <c r="O56" s="114">
        <v>1.332</v>
      </c>
      <c r="P56" s="114">
        <v>1.347</v>
      </c>
      <c r="Q56" s="41">
        <f t="shared" ref="Q56:Q76" si="3">AVERAGE(E56,F56,G56,H56,I56,J56,K56,L56,M56,N56,O56,P56)</f>
        <v>1.2409</v>
      </c>
      <c r="R56" s="17">
        <v>7.0</v>
      </c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20"/>
      <c r="B57" s="21"/>
      <c r="C57" s="159">
        <v>3.0</v>
      </c>
      <c r="D57" s="160" t="str">
        <f>'[1]A-SF-M-S WQMA'!$B$15</f>
        <v>#REF!</v>
      </c>
      <c r="E57" s="42">
        <v>2.225</v>
      </c>
      <c r="F57" s="135">
        <v>1.931</v>
      </c>
      <c r="G57" s="42">
        <v>1.735</v>
      </c>
      <c r="H57" s="167">
        <v>0.152</v>
      </c>
      <c r="I57" s="43">
        <v>0.306</v>
      </c>
      <c r="J57" s="43">
        <v>1.179</v>
      </c>
      <c r="K57" s="135">
        <v>1.165</v>
      </c>
      <c r="L57" s="43">
        <v>1.871</v>
      </c>
      <c r="M57" s="42">
        <v>1.646</v>
      </c>
      <c r="N57" s="135">
        <v>1.758</v>
      </c>
      <c r="O57" s="135">
        <v>1.473</v>
      </c>
      <c r="P57" s="135">
        <v>1.174</v>
      </c>
      <c r="Q57" s="44">
        <f t="shared" si="3"/>
        <v>1.384583333</v>
      </c>
      <c r="R57" s="23">
        <v>7.0</v>
      </c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20"/>
      <c r="B58" s="21"/>
      <c r="C58" s="159">
        <v>4.0</v>
      </c>
      <c r="D58" s="160" t="str">
        <f>'[1]A-SF-M-S WQMA'!$B$16</f>
        <v>#REF!</v>
      </c>
      <c r="E58" s="42">
        <v>0.31</v>
      </c>
      <c r="F58" s="135">
        <v>0.374</v>
      </c>
      <c r="G58" s="42">
        <v>0.45</v>
      </c>
      <c r="H58" s="167" t="s">
        <v>42</v>
      </c>
      <c r="I58" s="43">
        <v>0.134</v>
      </c>
      <c r="J58" s="42" t="s">
        <v>42</v>
      </c>
      <c r="K58" s="135" t="s">
        <v>42</v>
      </c>
      <c r="L58" s="43" t="s">
        <v>42</v>
      </c>
      <c r="M58" s="42">
        <v>0.297</v>
      </c>
      <c r="N58" s="43" t="s">
        <v>42</v>
      </c>
      <c r="O58" s="42" t="s">
        <v>42</v>
      </c>
      <c r="P58" s="162" t="s">
        <v>167</v>
      </c>
      <c r="Q58" s="44">
        <f t="shared" si="3"/>
        <v>0.313</v>
      </c>
      <c r="R58" s="23">
        <v>7.0</v>
      </c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20"/>
      <c r="B59" s="21"/>
      <c r="C59" s="159">
        <v>5.0</v>
      </c>
      <c r="D59" s="160" t="str">
        <f>'[1]A-SF-M-S WQMA'!$B$17</f>
        <v>#REF!</v>
      </c>
      <c r="E59" s="42">
        <v>0.393</v>
      </c>
      <c r="F59" s="135">
        <v>0.374</v>
      </c>
      <c r="G59" s="42" t="s">
        <v>42</v>
      </c>
      <c r="H59" s="167">
        <v>0.133</v>
      </c>
      <c r="I59" s="43">
        <v>0.123</v>
      </c>
      <c r="J59" s="42" t="s">
        <v>42</v>
      </c>
      <c r="K59" s="135" t="s">
        <v>42</v>
      </c>
      <c r="L59" s="43" t="s">
        <v>42</v>
      </c>
      <c r="M59" s="42">
        <v>0.158</v>
      </c>
      <c r="N59" s="43" t="s">
        <v>42</v>
      </c>
      <c r="O59" s="42" t="s">
        <v>42</v>
      </c>
      <c r="P59" s="162" t="s">
        <v>168</v>
      </c>
      <c r="Q59" s="44">
        <f t="shared" si="3"/>
        <v>0.2362</v>
      </c>
      <c r="R59" s="23">
        <v>7.0</v>
      </c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20"/>
      <c r="B60" s="21"/>
      <c r="C60" s="159">
        <v>6.0</v>
      </c>
      <c r="D60" s="160" t="str">
        <f>'[1]A-SF-M-S WQMA'!$B$18</f>
        <v>#REF!</v>
      </c>
      <c r="E60" s="42">
        <v>0.493</v>
      </c>
      <c r="F60" s="135">
        <v>0.389</v>
      </c>
      <c r="G60" s="42" t="s">
        <v>42</v>
      </c>
      <c r="H60" s="167">
        <v>0.136</v>
      </c>
      <c r="I60" s="43">
        <v>0.116</v>
      </c>
      <c r="J60" s="42" t="s">
        <v>42</v>
      </c>
      <c r="K60" s="135" t="s">
        <v>42</v>
      </c>
      <c r="L60" s="43" t="s">
        <v>42</v>
      </c>
      <c r="M60" s="42">
        <v>0.217</v>
      </c>
      <c r="N60" s="43" t="s">
        <v>42</v>
      </c>
      <c r="O60" s="42" t="s">
        <v>42</v>
      </c>
      <c r="P60" s="162" t="s">
        <v>169</v>
      </c>
      <c r="Q60" s="44">
        <f t="shared" si="3"/>
        <v>0.2702</v>
      </c>
      <c r="R60" s="23">
        <v>7.0</v>
      </c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20"/>
      <c r="B61" s="21"/>
      <c r="C61" s="22">
        <v>7.0</v>
      </c>
      <c r="D61" s="157" t="str">
        <f>'[1]A-SF-M-S WQMA'!$B$19</f>
        <v>#REF!</v>
      </c>
      <c r="E61" s="43">
        <v>1.107</v>
      </c>
      <c r="F61" s="135">
        <v>0.947</v>
      </c>
      <c r="G61" s="42">
        <v>0.252</v>
      </c>
      <c r="H61" s="167">
        <v>0.139</v>
      </c>
      <c r="I61" s="147">
        <v>0.2</v>
      </c>
      <c r="J61" s="42" t="s">
        <v>42</v>
      </c>
      <c r="K61" s="135" t="s">
        <v>42</v>
      </c>
      <c r="L61" s="43">
        <v>0.542</v>
      </c>
      <c r="M61" s="42">
        <v>0.346</v>
      </c>
      <c r="N61" s="42">
        <v>1.351</v>
      </c>
      <c r="O61" s="42">
        <v>0.176</v>
      </c>
      <c r="P61" s="135">
        <v>0.395</v>
      </c>
      <c r="Q61" s="44">
        <f t="shared" si="3"/>
        <v>0.5455</v>
      </c>
      <c r="R61" s="23">
        <v>7.0</v>
      </c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20"/>
      <c r="B62" s="27"/>
      <c r="C62" s="22">
        <v>8.0</v>
      </c>
      <c r="D62" s="157" t="str">
        <f>'[1]A-SF-M-S WQMA'!$B$20</f>
        <v>#REF!</v>
      </c>
      <c r="E62" s="43">
        <v>1.186</v>
      </c>
      <c r="F62" s="135">
        <v>0.965</v>
      </c>
      <c r="G62" s="42">
        <v>0.131</v>
      </c>
      <c r="H62" s="167">
        <v>0.121</v>
      </c>
      <c r="I62" s="43">
        <v>0.235</v>
      </c>
      <c r="J62" s="42" t="s">
        <v>42</v>
      </c>
      <c r="K62" s="135" t="s">
        <v>42</v>
      </c>
      <c r="L62" s="43">
        <v>0.583</v>
      </c>
      <c r="M62" s="42">
        <v>0.206</v>
      </c>
      <c r="N62" s="42">
        <v>1.309</v>
      </c>
      <c r="O62" s="42">
        <v>0.32</v>
      </c>
      <c r="P62" s="135">
        <v>0.442</v>
      </c>
      <c r="Q62" s="44">
        <f t="shared" si="3"/>
        <v>0.5498</v>
      </c>
      <c r="R62" s="23">
        <v>7.0</v>
      </c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20"/>
      <c r="B63" s="15" t="s">
        <v>170</v>
      </c>
      <c r="C63" s="16">
        <v>1.0</v>
      </c>
      <c r="D63" s="131" t="str">
        <f>'[1]A-SF-M-S WQMA'!$B$14</f>
        <v>#REF!</v>
      </c>
      <c r="E63" s="114">
        <v>0.991</v>
      </c>
      <c r="F63" s="114">
        <v>0.524</v>
      </c>
      <c r="G63" s="166">
        <v>0.775</v>
      </c>
      <c r="H63" s="166">
        <v>1.63</v>
      </c>
      <c r="I63" s="114">
        <v>0.609</v>
      </c>
      <c r="J63" s="114">
        <v>2.185</v>
      </c>
      <c r="K63" s="114">
        <v>0.891</v>
      </c>
      <c r="L63" s="40">
        <v>0.655</v>
      </c>
      <c r="M63" s="40">
        <v>0.622</v>
      </c>
      <c r="N63" s="40">
        <v>1.691</v>
      </c>
      <c r="O63" s="114">
        <v>0.797</v>
      </c>
      <c r="P63" s="114">
        <v>0.566</v>
      </c>
      <c r="Q63" s="41">
        <f t="shared" si="3"/>
        <v>0.9946666667</v>
      </c>
      <c r="R63" s="17">
        <v>0.5</v>
      </c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20"/>
      <c r="B64" s="21"/>
      <c r="C64" s="159">
        <v>3.0</v>
      </c>
      <c r="D64" s="160" t="str">
        <f>'[1]A-SF-M-S WQMA'!$B$15</f>
        <v>#REF!</v>
      </c>
      <c r="E64" s="42">
        <v>0.579</v>
      </c>
      <c r="F64" s="135">
        <v>0.589</v>
      </c>
      <c r="G64" s="168">
        <v>0.702</v>
      </c>
      <c r="H64" s="167">
        <v>0.638</v>
      </c>
      <c r="I64" s="43">
        <v>0.601</v>
      </c>
      <c r="J64" s="43">
        <v>1.076</v>
      </c>
      <c r="K64" s="135">
        <v>0.502</v>
      </c>
      <c r="L64" s="43">
        <v>0.935</v>
      </c>
      <c r="M64" s="42">
        <v>0.792</v>
      </c>
      <c r="N64" s="42">
        <v>1.042</v>
      </c>
      <c r="O64" s="135">
        <v>0.455</v>
      </c>
      <c r="P64" s="135">
        <v>0.506</v>
      </c>
      <c r="Q64" s="44">
        <f t="shared" si="3"/>
        <v>0.7014166667</v>
      </c>
      <c r="R64" s="23">
        <v>0.5</v>
      </c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20"/>
      <c r="B65" s="21"/>
      <c r="C65" s="159">
        <v>4.0</v>
      </c>
      <c r="D65" s="160" t="str">
        <f>'[1]A-SF-M-S WQMA'!$B$16</f>
        <v>#REF!</v>
      </c>
      <c r="E65" s="135">
        <v>1.858</v>
      </c>
      <c r="F65" s="135">
        <v>1.929</v>
      </c>
      <c r="G65" s="168">
        <v>2.921</v>
      </c>
      <c r="H65" s="167">
        <v>2.102</v>
      </c>
      <c r="I65" s="91">
        <v>1.936</v>
      </c>
      <c r="J65" s="43">
        <v>1.85</v>
      </c>
      <c r="K65" s="135">
        <v>1.811</v>
      </c>
      <c r="L65" s="43">
        <v>1.529</v>
      </c>
      <c r="M65" s="42">
        <v>2.032</v>
      </c>
      <c r="N65" s="42">
        <v>1.029</v>
      </c>
      <c r="O65" s="135">
        <v>1.474</v>
      </c>
      <c r="P65" s="42">
        <v>1.615</v>
      </c>
      <c r="Q65" s="44">
        <f t="shared" si="3"/>
        <v>1.8405</v>
      </c>
      <c r="R65" s="23">
        <v>0.5</v>
      </c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20"/>
      <c r="B66" s="21"/>
      <c r="C66" s="159">
        <v>5.0</v>
      </c>
      <c r="D66" s="160" t="str">
        <f>'[1]A-SF-M-S WQMA'!$B$17</f>
        <v>#REF!</v>
      </c>
      <c r="E66" s="135">
        <v>0.875</v>
      </c>
      <c r="F66" s="42">
        <v>1.24</v>
      </c>
      <c r="G66" s="168">
        <v>1.776</v>
      </c>
      <c r="H66" s="167">
        <v>1.274</v>
      </c>
      <c r="I66" s="43">
        <v>1.108</v>
      </c>
      <c r="J66" s="43">
        <v>1.286</v>
      </c>
      <c r="K66" s="135">
        <v>1.222</v>
      </c>
      <c r="L66" s="43">
        <v>0.982</v>
      </c>
      <c r="M66" s="42">
        <v>1.612</v>
      </c>
      <c r="N66" s="42">
        <v>0.718</v>
      </c>
      <c r="O66" s="135">
        <v>1.023</v>
      </c>
      <c r="P66" s="135">
        <v>0.429</v>
      </c>
      <c r="Q66" s="44">
        <f t="shared" si="3"/>
        <v>1.12875</v>
      </c>
      <c r="R66" s="23">
        <v>0.5</v>
      </c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20"/>
      <c r="B67" s="21"/>
      <c r="C67" s="159">
        <v>6.0</v>
      </c>
      <c r="D67" s="160" t="str">
        <f>'[1]A-SF-M-S WQMA'!$B$18</f>
        <v>#REF!</v>
      </c>
      <c r="E67" s="135">
        <v>1.309</v>
      </c>
      <c r="F67" s="135">
        <v>1.188</v>
      </c>
      <c r="G67" s="168">
        <v>1.746</v>
      </c>
      <c r="H67" s="167">
        <v>1.352</v>
      </c>
      <c r="I67" s="91">
        <v>1.099</v>
      </c>
      <c r="J67" s="91">
        <v>1.447</v>
      </c>
      <c r="K67" s="42">
        <v>0.94</v>
      </c>
      <c r="L67" s="43">
        <v>1.072</v>
      </c>
      <c r="M67" s="42">
        <v>1.395</v>
      </c>
      <c r="N67" s="42">
        <v>0.755</v>
      </c>
      <c r="O67" s="135">
        <v>0.873</v>
      </c>
      <c r="P67" s="42">
        <v>0.51</v>
      </c>
      <c r="Q67" s="44">
        <f t="shared" si="3"/>
        <v>1.1405</v>
      </c>
      <c r="R67" s="23">
        <v>0.5</v>
      </c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20"/>
      <c r="B68" s="21"/>
      <c r="C68" s="22">
        <v>7.0</v>
      </c>
      <c r="D68" s="157" t="str">
        <f>'[1]A-SF-M-S WQMA'!$B$19</f>
        <v>#REF!</v>
      </c>
      <c r="E68" s="91">
        <v>0.862</v>
      </c>
      <c r="F68" s="135">
        <v>0.953</v>
      </c>
      <c r="G68" s="168">
        <v>0.626</v>
      </c>
      <c r="H68" s="167">
        <v>0.813</v>
      </c>
      <c r="I68" s="43">
        <v>0.721</v>
      </c>
      <c r="J68" s="43">
        <v>1.04</v>
      </c>
      <c r="K68" s="135">
        <v>0.915</v>
      </c>
      <c r="L68" s="43">
        <v>0.558</v>
      </c>
      <c r="M68" s="42">
        <v>0.733</v>
      </c>
      <c r="N68" s="42">
        <v>1.167</v>
      </c>
      <c r="O68" s="135">
        <v>0.726</v>
      </c>
      <c r="P68" s="135">
        <v>0.424</v>
      </c>
      <c r="Q68" s="44">
        <f t="shared" si="3"/>
        <v>0.7948333333</v>
      </c>
      <c r="R68" s="23">
        <v>0.5</v>
      </c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20"/>
      <c r="B69" s="27"/>
      <c r="C69" s="22">
        <v>8.0</v>
      </c>
      <c r="D69" s="157" t="str">
        <f>'[1]A-SF-M-S WQMA'!$B$20</f>
        <v>#REF!</v>
      </c>
      <c r="E69" s="91">
        <v>0.813</v>
      </c>
      <c r="F69" s="135">
        <v>1.147</v>
      </c>
      <c r="G69" s="168">
        <v>0.643</v>
      </c>
      <c r="H69" s="167">
        <v>0.81</v>
      </c>
      <c r="I69" s="91">
        <v>0.721</v>
      </c>
      <c r="J69" s="91">
        <v>0.991</v>
      </c>
      <c r="K69" s="135">
        <v>0.932</v>
      </c>
      <c r="L69" s="43">
        <v>0.588</v>
      </c>
      <c r="M69" s="42">
        <v>0.907</v>
      </c>
      <c r="N69" s="42">
        <v>1.204</v>
      </c>
      <c r="O69" s="135">
        <v>0.722</v>
      </c>
      <c r="P69" s="135">
        <v>0.388</v>
      </c>
      <c r="Q69" s="44">
        <f t="shared" si="3"/>
        <v>0.8221666667</v>
      </c>
      <c r="R69" s="23">
        <v>0.5</v>
      </c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20"/>
      <c r="B70" s="15" t="s">
        <v>46</v>
      </c>
      <c r="C70" s="16">
        <v>1.0</v>
      </c>
      <c r="D70" s="131" t="str">
        <f>'[1]A-SF-M-S WQMA'!$B$14</f>
        <v>#REF!</v>
      </c>
      <c r="E70" s="32">
        <v>29.0</v>
      </c>
      <c r="F70" s="114">
        <v>23.0</v>
      </c>
      <c r="G70" s="32">
        <v>25.0</v>
      </c>
      <c r="H70" s="33">
        <v>25.0</v>
      </c>
      <c r="I70" s="33">
        <v>25.0</v>
      </c>
      <c r="J70" s="114">
        <v>35.0</v>
      </c>
      <c r="K70" s="32">
        <v>30.0</v>
      </c>
      <c r="L70" s="28">
        <v>19.0</v>
      </c>
      <c r="M70" s="114">
        <v>20.0</v>
      </c>
      <c r="N70" s="114">
        <v>24.0</v>
      </c>
      <c r="O70" s="114">
        <v>152.0</v>
      </c>
      <c r="P70" s="114">
        <v>35.0</v>
      </c>
      <c r="Q70" s="35">
        <f t="shared" si="3"/>
        <v>36.83333333</v>
      </c>
      <c r="R70" s="17">
        <v>350.0</v>
      </c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20"/>
      <c r="B71" s="21"/>
      <c r="C71" s="159">
        <v>3.0</v>
      </c>
      <c r="D71" s="160" t="str">
        <f>'[1]A-SF-M-S WQMA'!$B$15</f>
        <v>#REF!</v>
      </c>
      <c r="E71" s="39">
        <v>22.0</v>
      </c>
      <c r="F71" s="135">
        <v>24.0</v>
      </c>
      <c r="G71" s="39">
        <v>24.0</v>
      </c>
      <c r="H71" s="34">
        <v>25.0</v>
      </c>
      <c r="I71" s="34">
        <v>25.0</v>
      </c>
      <c r="J71" s="30">
        <v>22.0</v>
      </c>
      <c r="K71" s="39">
        <v>25.0</v>
      </c>
      <c r="L71" s="30">
        <v>17.0</v>
      </c>
      <c r="M71" s="135">
        <v>16.0</v>
      </c>
      <c r="N71" s="135">
        <v>19.0</v>
      </c>
      <c r="O71" s="135">
        <v>162.0</v>
      </c>
      <c r="P71" s="135">
        <v>47.0</v>
      </c>
      <c r="Q71" s="38">
        <f t="shared" si="3"/>
        <v>35.66666667</v>
      </c>
      <c r="R71" s="23">
        <v>350.0</v>
      </c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20"/>
      <c r="B72" s="21"/>
      <c r="C72" s="159">
        <v>4.0</v>
      </c>
      <c r="D72" s="160" t="str">
        <f>'[1]A-SF-M-S WQMA'!$B$16</f>
        <v>#REF!</v>
      </c>
      <c r="E72" s="169">
        <v>4.0</v>
      </c>
      <c r="F72" s="135">
        <v>4.0</v>
      </c>
      <c r="G72" s="39">
        <v>7.0</v>
      </c>
      <c r="H72" s="34">
        <v>4.0</v>
      </c>
      <c r="I72" s="34">
        <v>45.0</v>
      </c>
      <c r="J72" s="91">
        <v>32.0</v>
      </c>
      <c r="K72" s="135">
        <v>6.0</v>
      </c>
      <c r="L72" s="30">
        <v>24.0</v>
      </c>
      <c r="M72" s="135">
        <v>28.0</v>
      </c>
      <c r="N72" s="135">
        <v>33.0</v>
      </c>
      <c r="O72" s="135">
        <v>152.0</v>
      </c>
      <c r="P72" s="162" t="s">
        <v>171</v>
      </c>
      <c r="Q72" s="38">
        <f t="shared" si="3"/>
        <v>30.81818182</v>
      </c>
      <c r="R72" s="23">
        <v>350.0</v>
      </c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20"/>
      <c r="B73" s="21"/>
      <c r="C73" s="159">
        <v>5.0</v>
      </c>
      <c r="D73" s="160" t="str">
        <f>'[1]A-SF-M-S WQMA'!$B$17</f>
        <v>#REF!</v>
      </c>
      <c r="E73" s="39">
        <v>33.0</v>
      </c>
      <c r="F73" s="135">
        <v>16.0</v>
      </c>
      <c r="G73" s="39">
        <v>41.0</v>
      </c>
      <c r="H73" s="34">
        <v>1061.0</v>
      </c>
      <c r="I73" s="34">
        <v>6727.0</v>
      </c>
      <c r="J73" s="30">
        <v>2.0</v>
      </c>
      <c r="K73" s="135">
        <v>589.0</v>
      </c>
      <c r="L73" s="30">
        <v>30.0</v>
      </c>
      <c r="M73" s="135">
        <v>49.0</v>
      </c>
      <c r="N73" s="135">
        <v>57.0</v>
      </c>
      <c r="O73" s="135">
        <v>276.0</v>
      </c>
      <c r="P73" s="39">
        <v>4618.0</v>
      </c>
      <c r="Q73" s="38">
        <f t="shared" si="3"/>
        <v>1124.916667</v>
      </c>
      <c r="R73" s="23">
        <v>350.0</v>
      </c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20"/>
      <c r="B74" s="21"/>
      <c r="C74" s="159">
        <v>6.0</v>
      </c>
      <c r="D74" s="160" t="str">
        <f>'[1]A-SF-M-S WQMA'!$B$18</f>
        <v>#REF!</v>
      </c>
      <c r="E74" s="39">
        <v>156.0</v>
      </c>
      <c r="F74" s="135">
        <v>30.0</v>
      </c>
      <c r="G74" s="39">
        <v>519.0</v>
      </c>
      <c r="H74" s="34">
        <v>3584.0</v>
      </c>
      <c r="I74" s="34">
        <v>6914.0</v>
      </c>
      <c r="J74" s="91">
        <v>9.0</v>
      </c>
      <c r="K74" s="39">
        <v>2428.0</v>
      </c>
      <c r="L74" s="30">
        <v>93.0</v>
      </c>
      <c r="M74" s="135">
        <v>248.0</v>
      </c>
      <c r="N74" s="135">
        <v>57.0</v>
      </c>
      <c r="O74" s="135">
        <v>714.0</v>
      </c>
      <c r="P74" s="39">
        <v>4903.0</v>
      </c>
      <c r="Q74" s="38">
        <f t="shared" si="3"/>
        <v>1637.916667</v>
      </c>
      <c r="R74" s="23">
        <v>350.0</v>
      </c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20"/>
      <c r="B75" s="21"/>
      <c r="C75" s="22">
        <v>7.0</v>
      </c>
      <c r="D75" s="157" t="str">
        <f>'[1]A-SF-M-S WQMA'!$B$19</f>
        <v>#REF!</v>
      </c>
      <c r="E75" s="37">
        <v>971.0</v>
      </c>
      <c r="F75" s="39">
        <v>153.0</v>
      </c>
      <c r="G75" s="39">
        <v>1556.0</v>
      </c>
      <c r="H75" s="34">
        <v>4998.0</v>
      </c>
      <c r="I75" s="34">
        <v>10838.0</v>
      </c>
      <c r="J75" s="30">
        <v>33.0</v>
      </c>
      <c r="K75" s="39">
        <v>6319.0</v>
      </c>
      <c r="L75" s="30">
        <v>566.0</v>
      </c>
      <c r="M75" s="39">
        <v>1019.0</v>
      </c>
      <c r="N75" s="135">
        <v>243.0</v>
      </c>
      <c r="O75" s="39">
        <v>1209.0</v>
      </c>
      <c r="P75" s="39">
        <v>4808.0</v>
      </c>
      <c r="Q75" s="38">
        <f t="shared" si="3"/>
        <v>2726.083333</v>
      </c>
      <c r="R75" s="23">
        <v>350.0</v>
      </c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20"/>
      <c r="B76" s="27"/>
      <c r="C76" s="22">
        <v>8.0</v>
      </c>
      <c r="D76" s="157" t="str">
        <f>'[1]A-SF-M-S WQMA'!$B$20</f>
        <v>#REF!</v>
      </c>
      <c r="E76" s="37">
        <v>839.0</v>
      </c>
      <c r="F76" s="39">
        <v>154.0</v>
      </c>
      <c r="G76" s="39">
        <v>1533.0</v>
      </c>
      <c r="H76" s="34">
        <v>5116.0</v>
      </c>
      <c r="I76" s="34">
        <v>10464.0</v>
      </c>
      <c r="J76" s="91">
        <v>39.0</v>
      </c>
      <c r="K76" s="39">
        <v>6649.0</v>
      </c>
      <c r="L76" s="30">
        <v>566.0</v>
      </c>
      <c r="M76" s="39">
        <v>1000.0</v>
      </c>
      <c r="N76" s="135">
        <v>238.0</v>
      </c>
      <c r="O76" s="135">
        <v>924.0</v>
      </c>
      <c r="P76" s="39">
        <v>4618.0</v>
      </c>
      <c r="Q76" s="38">
        <f t="shared" si="3"/>
        <v>2678.333333</v>
      </c>
      <c r="R76" s="23">
        <v>350.0</v>
      </c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17"/>
      <c r="O77" s="117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97" t="s">
        <v>155</v>
      </c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17"/>
      <c r="O78" s="117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17"/>
      <c r="O79" s="117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17"/>
      <c r="O80" s="117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70"/>
      <c r="F81" s="100"/>
      <c r="G81" s="100"/>
      <c r="H81" s="100"/>
      <c r="I81" s="100"/>
      <c r="J81" s="100"/>
      <c r="K81" s="100"/>
      <c r="L81" s="117"/>
      <c r="M81" s="117"/>
      <c r="N81" s="117"/>
      <c r="O81" s="117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17"/>
      <c r="O82" s="117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17"/>
      <c r="O83" s="117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17"/>
      <c r="O84" s="117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17"/>
      <c r="O85" s="117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17"/>
      <c r="O86" s="117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17"/>
      <c r="O87" s="117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17"/>
      <c r="O88" s="117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17"/>
      <c r="O89" s="117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17"/>
      <c r="O90" s="117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17"/>
      <c r="O91" s="117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17"/>
      <c r="O92" s="117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17"/>
      <c r="O93" s="117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17"/>
      <c r="O94" s="117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17"/>
      <c r="O95" s="117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17"/>
      <c r="O96" s="117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17"/>
      <c r="O97" s="117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17"/>
      <c r="O98" s="117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17"/>
      <c r="O99" s="117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17"/>
      <c r="O100" s="117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17"/>
      <c r="O101" s="117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17"/>
      <c r="O102" s="117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17"/>
      <c r="O103" s="117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17"/>
      <c r="O104" s="117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17"/>
      <c r="O105" s="117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17"/>
      <c r="O106" s="117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17"/>
      <c r="O107" s="117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17"/>
      <c r="O108" s="117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17"/>
      <c r="O109" s="117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17"/>
      <c r="O110" s="117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17"/>
      <c r="O111" s="117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17"/>
      <c r="O112" s="117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17"/>
      <c r="O113" s="117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17"/>
      <c r="O114" s="117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17"/>
      <c r="O115" s="117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17"/>
      <c r="O116" s="117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17"/>
      <c r="O117" s="117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17"/>
      <c r="O118" s="117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17"/>
      <c r="O119" s="117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17"/>
      <c r="O120" s="117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17"/>
      <c r="O121" s="117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17"/>
      <c r="O122" s="117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17"/>
      <c r="O123" s="117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17"/>
      <c r="O124" s="117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17"/>
      <c r="O125" s="117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17"/>
      <c r="O126" s="117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17"/>
      <c r="O127" s="117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17"/>
      <c r="O128" s="117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17"/>
      <c r="O129" s="117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17"/>
      <c r="O130" s="117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17"/>
      <c r="O131" s="117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17"/>
      <c r="O132" s="117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17"/>
      <c r="O133" s="117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17"/>
      <c r="O134" s="117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17"/>
      <c r="O135" s="117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17"/>
      <c r="O136" s="117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17"/>
      <c r="O137" s="117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17"/>
      <c r="O138" s="117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17"/>
      <c r="O139" s="117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17"/>
      <c r="O140" s="117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17"/>
      <c r="O141" s="117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17"/>
      <c r="O142" s="117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17"/>
      <c r="O143" s="117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17"/>
      <c r="O144" s="117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17"/>
      <c r="O145" s="117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17"/>
      <c r="O146" s="117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17"/>
      <c r="O147" s="117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17"/>
      <c r="O148" s="117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17"/>
      <c r="O149" s="117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17"/>
      <c r="O150" s="117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17"/>
      <c r="O151" s="117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17"/>
      <c r="O152" s="117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17"/>
      <c r="O153" s="117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17"/>
      <c r="O154" s="117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17"/>
      <c r="O155" s="117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17"/>
      <c r="O156" s="117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17"/>
      <c r="O157" s="117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17"/>
      <c r="O158" s="117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17"/>
      <c r="O159" s="117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17"/>
      <c r="O160" s="117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17"/>
      <c r="O161" s="117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17"/>
      <c r="O162" s="117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17"/>
      <c r="O163" s="117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17"/>
      <c r="O164" s="117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17"/>
      <c r="O165" s="117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17"/>
      <c r="O166" s="117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17"/>
      <c r="O167" s="117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17"/>
      <c r="O168" s="117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17"/>
      <c r="O169" s="117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17"/>
      <c r="O170" s="117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17"/>
      <c r="O171" s="117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17"/>
      <c r="O172" s="117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17"/>
      <c r="O173" s="117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17"/>
      <c r="O174" s="117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17"/>
      <c r="O175" s="117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17"/>
      <c r="O176" s="117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17"/>
      <c r="O177" s="117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17"/>
      <c r="O178" s="117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17"/>
      <c r="O179" s="117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17"/>
      <c r="O180" s="117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17"/>
      <c r="O181" s="117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17"/>
      <c r="O182" s="117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17"/>
      <c r="O183" s="117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17"/>
      <c r="O184" s="117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17"/>
      <c r="O185" s="117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17"/>
      <c r="O186" s="117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17"/>
      <c r="O187" s="117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17"/>
      <c r="O188" s="117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17"/>
      <c r="O189" s="117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17"/>
      <c r="O190" s="117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17"/>
      <c r="O191" s="117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17"/>
      <c r="O192" s="117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17"/>
      <c r="O193" s="117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17"/>
      <c r="O194" s="117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17"/>
      <c r="O195" s="117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17"/>
      <c r="O196" s="117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17"/>
      <c r="O197" s="117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17"/>
      <c r="O198" s="117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17"/>
      <c r="O199" s="117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17"/>
      <c r="O200" s="117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17"/>
      <c r="O201" s="117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17"/>
      <c r="O202" s="117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17"/>
      <c r="O203" s="117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17"/>
      <c r="O204" s="117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17"/>
      <c r="O205" s="117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17"/>
      <c r="O206" s="117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17"/>
      <c r="O207" s="117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17"/>
      <c r="O208" s="117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17"/>
      <c r="O209" s="117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17"/>
      <c r="O210" s="117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17"/>
      <c r="O211" s="117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17"/>
      <c r="O212" s="117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17"/>
      <c r="O213" s="117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17"/>
      <c r="O214" s="117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17"/>
      <c r="O215" s="117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17"/>
      <c r="O216" s="117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17"/>
      <c r="O217" s="117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17"/>
      <c r="O218" s="117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17"/>
      <c r="O219" s="117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17"/>
      <c r="O220" s="117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17"/>
      <c r="O221" s="117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17"/>
      <c r="O222" s="117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17"/>
      <c r="O223" s="117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17"/>
      <c r="O224" s="117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17"/>
      <c r="O225" s="117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17"/>
      <c r="O226" s="117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17"/>
      <c r="O227" s="117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17"/>
      <c r="O228" s="117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17"/>
      <c r="O229" s="117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17"/>
      <c r="O230" s="117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17"/>
      <c r="O231" s="117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17"/>
      <c r="O232" s="117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17"/>
      <c r="O233" s="117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17"/>
      <c r="O234" s="117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17"/>
      <c r="O235" s="117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17"/>
      <c r="O236" s="117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17"/>
      <c r="O237" s="117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17"/>
      <c r="O238" s="117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17"/>
      <c r="O239" s="117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17"/>
      <c r="O240" s="117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17"/>
      <c r="O241" s="117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17"/>
      <c r="O242" s="117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17"/>
      <c r="O243" s="117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17"/>
      <c r="O244" s="117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17"/>
      <c r="O245" s="117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17"/>
      <c r="O246" s="117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17"/>
      <c r="O247" s="117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17"/>
      <c r="O248" s="117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17"/>
      <c r="O249" s="117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17"/>
      <c r="O250" s="117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17"/>
      <c r="O251" s="117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17"/>
      <c r="O252" s="117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17"/>
      <c r="O253" s="117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17"/>
      <c r="O254" s="117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17"/>
      <c r="O255" s="117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17"/>
      <c r="O256" s="117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17"/>
      <c r="O257" s="117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17"/>
      <c r="O258" s="117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17"/>
      <c r="O259" s="117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17"/>
      <c r="O260" s="117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17"/>
      <c r="O261" s="117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17"/>
      <c r="O262" s="117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17"/>
      <c r="O263" s="117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17"/>
      <c r="O264" s="117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17"/>
      <c r="O265" s="117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17"/>
      <c r="O266" s="117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17"/>
      <c r="O267" s="117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17"/>
      <c r="O268" s="117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17"/>
      <c r="O269" s="117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17"/>
      <c r="O270" s="117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17"/>
      <c r="O271" s="117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17"/>
      <c r="O272" s="117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17"/>
      <c r="O273" s="117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17"/>
      <c r="O274" s="117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17"/>
      <c r="O275" s="117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17"/>
      <c r="O276" s="117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17"/>
      <c r="O277" s="117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17"/>
      <c r="O278" s="117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17"/>
      <c r="O279" s="117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17"/>
      <c r="O280" s="117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17"/>
      <c r="O281" s="117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17"/>
      <c r="O282" s="117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17"/>
      <c r="O283" s="117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17"/>
      <c r="O284" s="117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17"/>
      <c r="O285" s="117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17"/>
      <c r="O286" s="117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17"/>
      <c r="O287" s="117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17"/>
      <c r="O288" s="117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17"/>
      <c r="O289" s="117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17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17"/>
      <c r="O291" s="117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17"/>
      <c r="O292" s="117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17"/>
      <c r="O293" s="117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17"/>
      <c r="O294" s="117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17"/>
      <c r="O295" s="117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17"/>
      <c r="O296" s="117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17"/>
      <c r="O297" s="117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17"/>
      <c r="O298" s="117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17"/>
      <c r="O299" s="117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17"/>
      <c r="O300" s="117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17"/>
      <c r="O301" s="117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17"/>
      <c r="O302" s="117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17"/>
      <c r="O303" s="117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17"/>
      <c r="O304" s="117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17"/>
      <c r="O305" s="117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17"/>
      <c r="O306" s="117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17"/>
      <c r="O307" s="117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17"/>
      <c r="O308" s="117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17"/>
      <c r="O309" s="117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17"/>
      <c r="O310" s="117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17"/>
      <c r="O311" s="117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17"/>
      <c r="O312" s="117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17"/>
      <c r="O313" s="117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17"/>
      <c r="O314" s="117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17"/>
      <c r="O315" s="117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17"/>
      <c r="O316" s="117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17"/>
      <c r="O317" s="117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17"/>
      <c r="O318" s="117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17"/>
      <c r="O319" s="117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17"/>
      <c r="O320" s="117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17"/>
      <c r="O321" s="117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17"/>
      <c r="O322" s="117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17"/>
      <c r="O323" s="117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17"/>
      <c r="O324" s="117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17"/>
      <c r="O325" s="117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17"/>
      <c r="O326" s="117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17"/>
      <c r="O327" s="117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17"/>
      <c r="O328" s="117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17"/>
      <c r="O329" s="117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17"/>
      <c r="O330" s="117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17"/>
      <c r="O331" s="117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17"/>
      <c r="O332" s="117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17"/>
      <c r="O333" s="117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17"/>
      <c r="O334" s="117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17"/>
      <c r="O335" s="117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17"/>
      <c r="O336" s="117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17"/>
      <c r="O337" s="117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17"/>
      <c r="O338" s="117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17"/>
      <c r="O339" s="117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17"/>
      <c r="O340" s="117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17"/>
      <c r="O341" s="117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17"/>
      <c r="O342" s="117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17"/>
      <c r="O343" s="117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17"/>
      <c r="O344" s="117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17"/>
      <c r="O345" s="117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17"/>
      <c r="O346" s="117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17"/>
      <c r="O347" s="117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17"/>
      <c r="O348" s="117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17"/>
      <c r="O349" s="117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17"/>
      <c r="O350" s="117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17"/>
      <c r="O351" s="117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17"/>
      <c r="O352" s="117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17"/>
      <c r="O353" s="117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17"/>
      <c r="O354" s="117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17"/>
      <c r="O355" s="117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17"/>
      <c r="O356" s="117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17"/>
      <c r="O357" s="117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17"/>
      <c r="O358" s="117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17"/>
      <c r="O359" s="117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17"/>
      <c r="O360" s="117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17"/>
      <c r="O361" s="117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17"/>
      <c r="O362" s="117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17"/>
      <c r="O363" s="117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17"/>
      <c r="O364" s="117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17"/>
      <c r="O365" s="117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17"/>
      <c r="O366" s="117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17"/>
      <c r="O367" s="117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17"/>
      <c r="O368" s="117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17"/>
      <c r="O369" s="117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17"/>
      <c r="O370" s="117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17"/>
      <c r="O371" s="117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17"/>
      <c r="O372" s="117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17"/>
      <c r="O373" s="117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17"/>
      <c r="O374" s="117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17"/>
      <c r="O375" s="117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17"/>
      <c r="O376" s="117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17"/>
      <c r="O377" s="117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17"/>
      <c r="O378" s="117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17"/>
      <c r="O379" s="117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17"/>
      <c r="O380" s="117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17"/>
      <c r="O381" s="117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17"/>
      <c r="O382" s="117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17"/>
      <c r="O383" s="117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17"/>
      <c r="O384" s="117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17"/>
      <c r="O385" s="117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17"/>
      <c r="O386" s="117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17"/>
      <c r="O387" s="117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17"/>
      <c r="O388" s="117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17"/>
      <c r="O389" s="117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17"/>
      <c r="O390" s="117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17"/>
      <c r="O391" s="117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17"/>
      <c r="O392" s="117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17"/>
      <c r="O393" s="117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17"/>
      <c r="O394" s="117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17"/>
      <c r="O395" s="117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17"/>
      <c r="O396" s="117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17"/>
      <c r="O397" s="117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17"/>
      <c r="O398" s="117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17"/>
      <c r="O399" s="117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17"/>
      <c r="O400" s="117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17"/>
      <c r="O401" s="117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17"/>
      <c r="O402" s="117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17"/>
      <c r="O403" s="117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17"/>
      <c r="O404" s="117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17"/>
      <c r="O405" s="117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17"/>
      <c r="O406" s="117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17"/>
      <c r="O407" s="117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17"/>
      <c r="O408" s="117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17"/>
      <c r="O409" s="117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17"/>
      <c r="O410" s="117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17"/>
      <c r="O411" s="117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17"/>
      <c r="O412" s="117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17"/>
      <c r="O413" s="117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17"/>
      <c r="O414" s="117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17"/>
      <c r="O415" s="117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17"/>
      <c r="O416" s="117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17"/>
      <c r="O417" s="117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17"/>
      <c r="O418" s="117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17"/>
      <c r="O419" s="117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17"/>
      <c r="O420" s="117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17"/>
      <c r="O421" s="117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17"/>
      <c r="O422" s="117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17"/>
      <c r="O423" s="117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17"/>
      <c r="O424" s="117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17"/>
      <c r="O425" s="117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17"/>
      <c r="O426" s="117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17"/>
      <c r="O427" s="117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17"/>
      <c r="O428" s="117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17"/>
      <c r="O429" s="117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17"/>
      <c r="O430" s="117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17"/>
      <c r="O431" s="117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17"/>
      <c r="O432" s="117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17"/>
      <c r="O433" s="117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17"/>
      <c r="O434" s="117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17"/>
      <c r="O435" s="117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17"/>
      <c r="O436" s="117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17"/>
      <c r="O437" s="117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17"/>
      <c r="O438" s="117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17"/>
      <c r="O439" s="117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17"/>
      <c r="O440" s="117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17"/>
      <c r="O441" s="117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17"/>
      <c r="O442" s="117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17"/>
      <c r="O443" s="117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17"/>
      <c r="O444" s="117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17"/>
      <c r="O445" s="117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17"/>
      <c r="O446" s="117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17"/>
      <c r="O447" s="117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17"/>
      <c r="O448" s="117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17"/>
      <c r="O449" s="117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17"/>
      <c r="O450" s="117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17"/>
      <c r="O451" s="117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17"/>
      <c r="O452" s="117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17"/>
      <c r="O453" s="117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17"/>
      <c r="O454" s="117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17"/>
      <c r="O455" s="117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17"/>
      <c r="O456" s="117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17"/>
      <c r="O457" s="117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17"/>
      <c r="O458" s="117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17"/>
      <c r="O459" s="117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17"/>
      <c r="O460" s="117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17"/>
      <c r="O461" s="117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17"/>
      <c r="O462" s="117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17"/>
      <c r="O463" s="117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17"/>
      <c r="O464" s="117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17"/>
      <c r="O465" s="117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17"/>
      <c r="O466" s="117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17"/>
      <c r="O467" s="117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17"/>
      <c r="O468" s="117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17"/>
      <c r="O469" s="117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17"/>
      <c r="O470" s="117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17"/>
      <c r="O471" s="117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17"/>
      <c r="O472" s="117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17"/>
      <c r="O473" s="117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17"/>
      <c r="O474" s="117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17"/>
      <c r="O475" s="117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17"/>
      <c r="O476" s="117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17"/>
      <c r="O477" s="117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17"/>
      <c r="O478" s="117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17"/>
      <c r="O479" s="117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17"/>
      <c r="O480" s="117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17"/>
      <c r="O481" s="117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17"/>
      <c r="O482" s="117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17"/>
      <c r="O483" s="117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17"/>
      <c r="O484" s="117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17"/>
      <c r="O485" s="117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17"/>
      <c r="O486" s="117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17"/>
      <c r="O487" s="117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17"/>
      <c r="O488" s="117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17"/>
      <c r="O489" s="117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17"/>
      <c r="O490" s="117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17"/>
      <c r="O491" s="117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17"/>
      <c r="O492" s="117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17"/>
      <c r="O493" s="117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17"/>
      <c r="O494" s="117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17"/>
      <c r="O495" s="117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17"/>
      <c r="O496" s="117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17"/>
      <c r="O497" s="117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17"/>
      <c r="O498" s="117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17"/>
      <c r="O499" s="117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17"/>
      <c r="O500" s="117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17"/>
      <c r="O501" s="117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17"/>
      <c r="O502" s="117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17"/>
      <c r="O503" s="117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17"/>
      <c r="O504" s="117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17"/>
      <c r="O505" s="117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17"/>
      <c r="O506" s="117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17"/>
      <c r="O507" s="117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17"/>
      <c r="O508" s="117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17"/>
      <c r="O509" s="117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17"/>
      <c r="O510" s="117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17"/>
      <c r="O511" s="117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17"/>
      <c r="O512" s="117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17"/>
      <c r="O513" s="117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17"/>
      <c r="O514" s="117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17"/>
      <c r="O515" s="117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17"/>
      <c r="O516" s="117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17"/>
      <c r="O517" s="117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17"/>
      <c r="O518" s="117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17"/>
      <c r="O519" s="117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17"/>
      <c r="O520" s="117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17"/>
      <c r="O521" s="117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17"/>
      <c r="O522" s="117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17"/>
      <c r="O523" s="117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17"/>
      <c r="O524" s="117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17"/>
      <c r="O525" s="117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17"/>
      <c r="O526" s="117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17"/>
      <c r="O527" s="117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17"/>
      <c r="O528" s="117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17"/>
      <c r="O529" s="117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17"/>
      <c r="O530" s="117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17"/>
      <c r="O531" s="117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17"/>
      <c r="O532" s="117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17"/>
      <c r="O533" s="117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17"/>
      <c r="O534" s="117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17"/>
      <c r="O535" s="117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17"/>
      <c r="O536" s="117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17"/>
      <c r="O537" s="117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17"/>
      <c r="O538" s="117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17"/>
      <c r="O539" s="117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17"/>
      <c r="O540" s="117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17"/>
      <c r="O541" s="117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17"/>
      <c r="O542" s="117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17"/>
      <c r="O543" s="117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17"/>
      <c r="O544" s="117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17"/>
      <c r="O545" s="117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17"/>
      <c r="O546" s="117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17"/>
      <c r="O547" s="117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17"/>
      <c r="O548" s="117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17"/>
      <c r="O549" s="117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17"/>
      <c r="O550" s="117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17"/>
      <c r="O551" s="117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17"/>
      <c r="O552" s="117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17"/>
      <c r="O553" s="117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17"/>
      <c r="O554" s="117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17"/>
      <c r="O555" s="117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17"/>
      <c r="O556" s="117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17"/>
      <c r="O557" s="117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17"/>
      <c r="O558" s="117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17"/>
      <c r="O559" s="117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17"/>
      <c r="O560" s="117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17"/>
      <c r="O561" s="117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17"/>
      <c r="O562" s="117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17"/>
      <c r="O563" s="117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17"/>
      <c r="O564" s="117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17"/>
      <c r="O565" s="117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17"/>
      <c r="O566" s="117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17"/>
      <c r="O567" s="117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17"/>
      <c r="O568" s="117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17"/>
      <c r="O569" s="117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17"/>
      <c r="O570" s="117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17"/>
      <c r="O571" s="117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17"/>
      <c r="O572" s="117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17"/>
      <c r="O573" s="117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17"/>
      <c r="O574" s="117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17"/>
      <c r="O575" s="117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17"/>
      <c r="O576" s="117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17"/>
      <c r="O577" s="117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17"/>
      <c r="O578" s="117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17"/>
      <c r="O579" s="117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17"/>
      <c r="O580" s="117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17"/>
      <c r="O581" s="117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17"/>
      <c r="O582" s="117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17"/>
      <c r="O583" s="117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17"/>
      <c r="O584" s="117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17"/>
      <c r="O585" s="117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17"/>
      <c r="O586" s="117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17"/>
      <c r="O587" s="117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17"/>
      <c r="O588" s="117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17"/>
      <c r="O589" s="117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17"/>
      <c r="O590" s="117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17"/>
      <c r="O591" s="117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17"/>
      <c r="O592" s="117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17"/>
      <c r="O593" s="117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17"/>
      <c r="O594" s="117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17"/>
      <c r="O595" s="117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17"/>
      <c r="O596" s="117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17"/>
      <c r="O597" s="117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17"/>
      <c r="O598" s="117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17"/>
      <c r="O599" s="117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17"/>
      <c r="O600" s="117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17"/>
      <c r="O601" s="117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17"/>
      <c r="O602" s="117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17"/>
      <c r="O603" s="117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17"/>
      <c r="O604" s="117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17"/>
      <c r="O605" s="117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17"/>
      <c r="O606" s="117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17"/>
      <c r="O607" s="117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17"/>
      <c r="O608" s="117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17"/>
      <c r="O609" s="117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17"/>
      <c r="O610" s="117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17"/>
      <c r="O611" s="117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17"/>
      <c r="O612" s="117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17"/>
      <c r="O613" s="117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17"/>
      <c r="O614" s="117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17"/>
      <c r="O615" s="117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17"/>
      <c r="O616" s="117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17"/>
      <c r="O617" s="117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17"/>
      <c r="O618" s="117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17"/>
      <c r="O619" s="117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17"/>
      <c r="O620" s="117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17"/>
      <c r="O621" s="117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17"/>
      <c r="O622" s="117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17"/>
      <c r="O623" s="117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17"/>
      <c r="O624" s="117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17"/>
      <c r="O625" s="117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17"/>
      <c r="O626" s="117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17"/>
      <c r="O627" s="117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17"/>
      <c r="O628" s="117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17"/>
      <c r="O629" s="117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17"/>
      <c r="O630" s="117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17"/>
      <c r="O631" s="117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17"/>
      <c r="O632" s="117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17"/>
      <c r="O633" s="117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17"/>
      <c r="O634" s="117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17"/>
      <c r="O635" s="117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17"/>
      <c r="O636" s="117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17"/>
      <c r="O637" s="117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17"/>
      <c r="O638" s="117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17"/>
      <c r="O639" s="117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17"/>
      <c r="O640" s="117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17"/>
      <c r="O641" s="117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17"/>
      <c r="O642" s="117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17"/>
      <c r="O643" s="117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17"/>
      <c r="O644" s="117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17"/>
      <c r="O645" s="117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17"/>
      <c r="O646" s="117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17"/>
      <c r="O647" s="117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17"/>
      <c r="O648" s="117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17"/>
      <c r="O649" s="117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17"/>
      <c r="O650" s="117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17"/>
      <c r="O651" s="117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17"/>
      <c r="O652" s="117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17"/>
      <c r="O653" s="117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17"/>
      <c r="O654" s="117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17"/>
      <c r="O655" s="117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17"/>
      <c r="O656" s="117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17"/>
      <c r="O657" s="117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17"/>
      <c r="O658" s="117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17"/>
      <c r="O659" s="117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17"/>
      <c r="O660" s="117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17"/>
      <c r="O661" s="117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17"/>
      <c r="O662" s="117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17"/>
      <c r="O663" s="117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17"/>
      <c r="O664" s="117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17"/>
      <c r="O665" s="117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17"/>
      <c r="O666" s="117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17"/>
      <c r="O667" s="117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17"/>
      <c r="O668" s="117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17"/>
      <c r="O669" s="117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17"/>
      <c r="O670" s="117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17"/>
      <c r="O671" s="117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17"/>
      <c r="O672" s="117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17"/>
      <c r="O673" s="117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17"/>
      <c r="O674" s="117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17"/>
      <c r="O675" s="117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17"/>
      <c r="O676" s="117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17"/>
      <c r="O677" s="117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17"/>
      <c r="O678" s="117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17"/>
      <c r="O679" s="117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17"/>
      <c r="O680" s="117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17"/>
      <c r="O681" s="117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17"/>
      <c r="O682" s="117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17"/>
      <c r="O683" s="117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17"/>
      <c r="O684" s="117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17"/>
      <c r="O685" s="117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17"/>
      <c r="O686" s="117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17"/>
      <c r="O687" s="117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17"/>
      <c r="O688" s="117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17"/>
      <c r="O689" s="117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17"/>
      <c r="O690" s="117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17"/>
      <c r="O691" s="117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17"/>
      <c r="O692" s="117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17"/>
      <c r="O693" s="117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17"/>
      <c r="O694" s="117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17"/>
      <c r="O695" s="117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17"/>
      <c r="O696" s="117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17"/>
      <c r="O697" s="117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17"/>
      <c r="O698" s="117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17"/>
      <c r="O699" s="117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17"/>
      <c r="O700" s="117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17"/>
      <c r="O701" s="117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17"/>
      <c r="O702" s="117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17"/>
      <c r="O703" s="117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17"/>
      <c r="O704" s="117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17"/>
      <c r="O705" s="117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17"/>
      <c r="O706" s="117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17"/>
      <c r="O707" s="117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17"/>
      <c r="O708" s="117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17"/>
      <c r="O709" s="117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17"/>
      <c r="O710" s="117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17"/>
      <c r="O711" s="117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17"/>
      <c r="O712" s="117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17"/>
      <c r="O713" s="117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17"/>
      <c r="O714" s="117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17"/>
      <c r="O715" s="117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17"/>
      <c r="O716" s="117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17"/>
      <c r="O717" s="117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17"/>
      <c r="O718" s="117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17"/>
      <c r="O719" s="117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17"/>
      <c r="O720" s="117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17"/>
      <c r="O721" s="117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17"/>
      <c r="O722" s="117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17"/>
      <c r="O723" s="117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17"/>
      <c r="O724" s="117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17"/>
      <c r="O725" s="117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17"/>
      <c r="O726" s="117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17"/>
      <c r="O727" s="117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17"/>
      <c r="O728" s="117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17"/>
      <c r="O729" s="117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17"/>
      <c r="O730" s="117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17"/>
      <c r="O731" s="117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17"/>
      <c r="O732" s="117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17"/>
      <c r="O733" s="117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17"/>
      <c r="O734" s="117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17"/>
      <c r="O735" s="117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17"/>
      <c r="O736" s="117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17"/>
      <c r="O737" s="117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17"/>
      <c r="O738" s="117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17"/>
      <c r="O739" s="117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17"/>
      <c r="O740" s="117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17"/>
      <c r="O741" s="117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17"/>
      <c r="O742" s="117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17"/>
      <c r="O743" s="117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17"/>
      <c r="O744" s="117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17"/>
      <c r="O745" s="117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17"/>
      <c r="O746" s="117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17"/>
      <c r="O747" s="117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17"/>
      <c r="O748" s="117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17"/>
      <c r="O749" s="117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17"/>
      <c r="O750" s="117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17"/>
      <c r="O751" s="117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17"/>
      <c r="O752" s="117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17"/>
      <c r="O753" s="117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17"/>
      <c r="O754" s="117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17"/>
      <c r="O755" s="117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17"/>
      <c r="O756" s="117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17"/>
      <c r="O757" s="117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17"/>
      <c r="O758" s="117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17"/>
      <c r="O759" s="117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17"/>
      <c r="O760" s="117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17"/>
      <c r="O761" s="117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17"/>
      <c r="O762" s="117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17"/>
      <c r="O763" s="117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17"/>
      <c r="O764" s="117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17"/>
      <c r="O765" s="117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17"/>
      <c r="O766" s="117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17"/>
      <c r="O767" s="117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17"/>
      <c r="O768" s="117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17"/>
      <c r="O769" s="117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17"/>
      <c r="O770" s="117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17"/>
      <c r="O771" s="117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17"/>
      <c r="O772" s="117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17"/>
      <c r="O773" s="117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17"/>
      <c r="O774" s="117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17"/>
      <c r="O775" s="117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17"/>
      <c r="O776" s="117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17"/>
      <c r="O777" s="117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17"/>
      <c r="O778" s="117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17"/>
      <c r="O779" s="117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17"/>
      <c r="O780" s="117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17"/>
      <c r="O781" s="117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17"/>
      <c r="O782" s="117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17"/>
      <c r="O783" s="117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17"/>
      <c r="O784" s="117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17"/>
      <c r="O785" s="117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17"/>
      <c r="O786" s="117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17"/>
      <c r="O787" s="117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17"/>
      <c r="O788" s="117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17"/>
      <c r="O789" s="117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17"/>
      <c r="O790" s="117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17"/>
      <c r="O791" s="117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17"/>
      <c r="O792" s="117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17"/>
      <c r="O793" s="117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17"/>
      <c r="O794" s="117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17"/>
      <c r="O795" s="117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17"/>
      <c r="O796" s="117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17"/>
      <c r="O797" s="117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17"/>
      <c r="O798" s="117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17"/>
      <c r="O799" s="117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17"/>
      <c r="O800" s="117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17"/>
      <c r="O801" s="117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17"/>
      <c r="O802" s="117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17"/>
      <c r="O803" s="117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17"/>
      <c r="O804" s="117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17"/>
      <c r="O805" s="117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17"/>
      <c r="O806" s="117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17"/>
      <c r="O807" s="117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17"/>
      <c r="O808" s="117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17"/>
      <c r="O809" s="117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17"/>
      <c r="O810" s="117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17"/>
      <c r="O811" s="117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17"/>
      <c r="O812" s="117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17"/>
      <c r="O813" s="117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17"/>
      <c r="O814" s="117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17"/>
      <c r="O815" s="117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17"/>
      <c r="O816" s="117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17"/>
      <c r="O817" s="117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17"/>
      <c r="O818" s="117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17"/>
      <c r="O819" s="117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17"/>
      <c r="O820" s="117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17"/>
      <c r="O821" s="117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17"/>
      <c r="O822" s="117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17"/>
      <c r="O823" s="117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17"/>
      <c r="O824" s="117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17"/>
      <c r="O825" s="117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17"/>
      <c r="O826" s="117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17"/>
      <c r="O827" s="117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17"/>
      <c r="O828" s="117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17"/>
      <c r="O829" s="117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17"/>
      <c r="O830" s="117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17"/>
      <c r="O831" s="117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17"/>
      <c r="O832" s="117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17"/>
      <c r="O833" s="117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17"/>
      <c r="O834" s="117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17"/>
      <c r="O835" s="117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17"/>
      <c r="O836" s="117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17"/>
      <c r="O837" s="117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17"/>
      <c r="O838" s="117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17"/>
      <c r="O839" s="117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17"/>
      <c r="O840" s="117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17"/>
      <c r="O841" s="117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17"/>
      <c r="O842" s="117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17"/>
      <c r="O843" s="117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17"/>
      <c r="O844" s="117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17"/>
      <c r="O845" s="117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17"/>
      <c r="O846" s="117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17"/>
      <c r="O847" s="117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17"/>
      <c r="O848" s="117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17"/>
      <c r="O849" s="117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17"/>
      <c r="O850" s="117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17"/>
      <c r="O851" s="117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17"/>
      <c r="O852" s="117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17"/>
      <c r="O853" s="117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17"/>
      <c r="O854" s="117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17"/>
      <c r="O855" s="117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17"/>
      <c r="O856" s="117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17"/>
      <c r="O857" s="117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17"/>
      <c r="O858" s="117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17"/>
      <c r="O859" s="117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17"/>
      <c r="O860" s="117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17"/>
      <c r="O861" s="117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17"/>
      <c r="O862" s="117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17"/>
      <c r="O863" s="117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17"/>
      <c r="O864" s="117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17"/>
      <c r="O865" s="117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17"/>
      <c r="O866" s="117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17"/>
      <c r="O867" s="117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17"/>
      <c r="O868" s="117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17"/>
      <c r="O869" s="117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17"/>
      <c r="O870" s="117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17"/>
      <c r="O871" s="117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17"/>
      <c r="O872" s="117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17"/>
      <c r="O873" s="117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17"/>
      <c r="O874" s="117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17"/>
      <c r="O875" s="117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17"/>
      <c r="O876" s="117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17"/>
      <c r="O877" s="117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17"/>
      <c r="O878" s="117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17"/>
      <c r="O879" s="117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17"/>
      <c r="O880" s="117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17"/>
      <c r="O881" s="117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17"/>
      <c r="O882" s="117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17"/>
      <c r="O883" s="117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17"/>
      <c r="O884" s="117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17"/>
      <c r="O885" s="117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17"/>
      <c r="O886" s="117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17"/>
      <c r="O887" s="117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17"/>
      <c r="O888" s="117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17"/>
      <c r="O889" s="117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17"/>
      <c r="O890" s="117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17"/>
      <c r="O891" s="117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17"/>
      <c r="O892" s="117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17"/>
      <c r="O893" s="117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17"/>
      <c r="O894" s="117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17"/>
      <c r="O895" s="117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17"/>
      <c r="O896" s="117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17"/>
      <c r="O897" s="117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17"/>
      <c r="O898" s="117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17"/>
      <c r="O899" s="117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17"/>
      <c r="O900" s="117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17"/>
      <c r="O901" s="117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17"/>
      <c r="O902" s="117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17"/>
      <c r="O903" s="117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17"/>
      <c r="O904" s="117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17"/>
      <c r="O905" s="117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17"/>
      <c r="O906" s="117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17"/>
      <c r="O907" s="117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17"/>
      <c r="O908" s="117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17"/>
      <c r="O909" s="117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17"/>
      <c r="O910" s="117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17"/>
      <c r="O911" s="117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17"/>
      <c r="O912" s="117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17"/>
      <c r="O913" s="117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17"/>
      <c r="O914" s="117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17"/>
      <c r="O915" s="117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17"/>
      <c r="O916" s="117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17"/>
      <c r="O917" s="117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17"/>
      <c r="O918" s="117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17"/>
      <c r="O919" s="117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17"/>
      <c r="O920" s="117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17"/>
      <c r="O921" s="117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17"/>
      <c r="O922" s="117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17"/>
      <c r="O923" s="117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17"/>
      <c r="O924" s="117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17"/>
      <c r="O925" s="117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17"/>
      <c r="O926" s="117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17"/>
      <c r="O927" s="117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17"/>
      <c r="O928" s="117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17"/>
      <c r="O929" s="117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17"/>
      <c r="O930" s="117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17"/>
      <c r="O931" s="117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17"/>
      <c r="O932" s="117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17"/>
      <c r="O933" s="117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17"/>
      <c r="O934" s="117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17"/>
      <c r="O935" s="117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17"/>
      <c r="O936" s="117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17"/>
      <c r="O937" s="117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17"/>
      <c r="O938" s="117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17"/>
      <c r="O939" s="117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17"/>
      <c r="O940" s="117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17"/>
      <c r="O941" s="117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17"/>
      <c r="O942" s="117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17"/>
      <c r="O943" s="117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17"/>
      <c r="O944" s="117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17"/>
      <c r="O945" s="117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17"/>
      <c r="O946" s="117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17"/>
      <c r="O947" s="117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17"/>
      <c r="O948" s="117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17"/>
      <c r="O949" s="117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17"/>
      <c r="O950" s="117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17"/>
      <c r="O951" s="117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17"/>
      <c r="O952" s="117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17"/>
      <c r="O953" s="117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17"/>
      <c r="O954" s="117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17"/>
      <c r="O955" s="117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17"/>
      <c r="O956" s="117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17"/>
      <c r="O957" s="117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17"/>
      <c r="O958" s="117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17"/>
      <c r="O959" s="117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17"/>
      <c r="O960" s="117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17"/>
      <c r="O961" s="117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17"/>
      <c r="O962" s="117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17"/>
      <c r="O963" s="117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17"/>
      <c r="O964" s="117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17"/>
      <c r="O965" s="117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17"/>
      <c r="O966" s="117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17"/>
      <c r="O967" s="117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17"/>
      <c r="O968" s="117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17"/>
      <c r="O969" s="117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17"/>
      <c r="O970" s="117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17"/>
      <c r="O971" s="117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17"/>
      <c r="O972" s="117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17"/>
      <c r="O973" s="117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17"/>
      <c r="O974" s="117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17"/>
      <c r="O975" s="117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17"/>
      <c r="O976" s="117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17"/>
      <c r="O977" s="117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17"/>
      <c r="O978" s="117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17"/>
      <c r="O979" s="117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17"/>
      <c r="O980" s="117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17"/>
      <c r="O981" s="117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17"/>
      <c r="O982" s="117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17"/>
      <c r="O983" s="117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17"/>
      <c r="O984" s="117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17"/>
      <c r="O985" s="117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17"/>
      <c r="O986" s="117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17"/>
      <c r="O987" s="117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17"/>
      <c r="O988" s="117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17"/>
      <c r="O989" s="117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17"/>
      <c r="O990" s="117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17"/>
      <c r="O991" s="117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17"/>
      <c r="O992" s="117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17"/>
      <c r="O993" s="117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17"/>
      <c r="O994" s="117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17"/>
      <c r="O995" s="117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17"/>
      <c r="O996" s="117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17"/>
      <c r="O997" s="117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17"/>
      <c r="O998" s="117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17"/>
      <c r="O999" s="117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17"/>
      <c r="O1000" s="117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7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A81:E81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9.29"/>
    <col customWidth="1" min="5" max="11" width="10.71"/>
    <col customWidth="1" min="12" max="12" width="8.14"/>
    <col customWidth="1" min="13" max="13" width="11.43"/>
    <col customWidth="1" min="14" max="14" width="8.71"/>
    <col customWidth="1" min="15" max="15" width="10.86"/>
    <col customWidth="1" min="16" max="16" width="10.71"/>
    <col customWidth="1" min="17" max="17" width="23.57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78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172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173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173" t="s">
        <v>174</v>
      </c>
      <c r="E7" s="89">
        <v>1.15</v>
      </c>
      <c r="F7" s="89">
        <v>2.01</v>
      </c>
      <c r="G7" s="89">
        <v>4.03</v>
      </c>
      <c r="H7" s="89">
        <v>0.71</v>
      </c>
      <c r="I7" s="89">
        <v>0.67</v>
      </c>
      <c r="J7" s="89">
        <v>4.73</v>
      </c>
      <c r="K7" s="90">
        <v>1.04</v>
      </c>
      <c r="L7" s="89" t="s">
        <v>26</v>
      </c>
      <c r="M7" s="90">
        <v>2.45</v>
      </c>
      <c r="N7" s="90">
        <v>2.9</v>
      </c>
      <c r="O7" s="90">
        <v>2.5</v>
      </c>
      <c r="P7" s="89">
        <v>3.2</v>
      </c>
      <c r="Q7" s="174">
        <f t="shared" ref="Q7:Q21" si="1">AVERAGE(E7,F7,G7,H7,I7,J7,K7,L7,M7,N7,O7,P7)</f>
        <v>2.308181818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75" t="s">
        <v>175</v>
      </c>
      <c r="E8" s="91">
        <v>0.99</v>
      </c>
      <c r="F8" s="91">
        <v>2.44</v>
      </c>
      <c r="G8" s="91">
        <v>4.58</v>
      </c>
      <c r="H8" s="91">
        <v>0.71</v>
      </c>
      <c r="I8" s="91">
        <v>0.65</v>
      </c>
      <c r="J8" s="91">
        <v>3.65</v>
      </c>
      <c r="K8" s="24">
        <v>1.0</v>
      </c>
      <c r="L8" s="91" t="s">
        <v>26</v>
      </c>
      <c r="M8" s="24">
        <v>2.68</v>
      </c>
      <c r="N8" s="24">
        <v>3.6</v>
      </c>
      <c r="O8" s="24">
        <v>1.3</v>
      </c>
      <c r="P8" s="91">
        <v>2.1</v>
      </c>
      <c r="Q8" s="176">
        <f t="shared" si="1"/>
        <v>2.154545455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75" t="s">
        <v>176</v>
      </c>
      <c r="E9" s="91">
        <v>0.97</v>
      </c>
      <c r="F9" s="24">
        <v>2.21</v>
      </c>
      <c r="G9" s="91">
        <v>4.3</v>
      </c>
      <c r="H9" s="24">
        <v>0.7</v>
      </c>
      <c r="I9" s="24">
        <v>0.5</v>
      </c>
      <c r="J9" s="24">
        <v>4.87</v>
      </c>
      <c r="K9" s="24">
        <v>1.04</v>
      </c>
      <c r="L9" s="91" t="s">
        <v>26</v>
      </c>
      <c r="M9" s="91">
        <v>2.55</v>
      </c>
      <c r="N9" s="24">
        <v>2.0</v>
      </c>
      <c r="O9" s="24">
        <v>1.7</v>
      </c>
      <c r="P9" s="91">
        <v>3.5</v>
      </c>
      <c r="Q9" s="176">
        <f t="shared" si="1"/>
        <v>2.212727273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177" t="s">
        <v>174</v>
      </c>
      <c r="E10" s="89">
        <v>25.0</v>
      </c>
      <c r="F10" s="89">
        <v>27.0</v>
      </c>
      <c r="G10" s="89">
        <v>113.0</v>
      </c>
      <c r="H10" s="89">
        <v>57.0</v>
      </c>
      <c r="I10" s="89">
        <v>36.0</v>
      </c>
      <c r="J10" s="89">
        <v>72.0</v>
      </c>
      <c r="K10" s="89">
        <v>17.0</v>
      </c>
      <c r="L10" s="89" t="s">
        <v>26</v>
      </c>
      <c r="M10" s="114">
        <v>18.0</v>
      </c>
      <c r="N10" s="114">
        <v>10.0</v>
      </c>
      <c r="O10" s="114">
        <v>26.0</v>
      </c>
      <c r="P10" s="114">
        <v>41.0</v>
      </c>
      <c r="Q10" s="178">
        <f t="shared" si="1"/>
        <v>40.18181818</v>
      </c>
      <c r="R10" s="17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75" t="s">
        <v>175</v>
      </c>
      <c r="E11" s="91">
        <v>30.0</v>
      </c>
      <c r="F11" s="91">
        <v>34.0</v>
      </c>
      <c r="G11" s="91">
        <v>118.0</v>
      </c>
      <c r="H11" s="91">
        <v>86.0</v>
      </c>
      <c r="I11" s="91">
        <v>32.0</v>
      </c>
      <c r="J11" s="91">
        <v>61.0</v>
      </c>
      <c r="K11" s="91">
        <v>18.0</v>
      </c>
      <c r="L11" s="91" t="s">
        <v>26</v>
      </c>
      <c r="M11" s="91">
        <v>15.0</v>
      </c>
      <c r="N11" s="91">
        <v>15.0</v>
      </c>
      <c r="O11" s="91">
        <v>18.0</v>
      </c>
      <c r="P11" s="91">
        <v>35.0</v>
      </c>
      <c r="Q11" s="179">
        <f t="shared" si="1"/>
        <v>42</v>
      </c>
      <c r="R11" s="23">
        <v>50.0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75" t="s">
        <v>176</v>
      </c>
      <c r="E12" s="91">
        <v>16.0</v>
      </c>
      <c r="F12" s="30">
        <v>28.0</v>
      </c>
      <c r="G12" s="91">
        <v>105.0</v>
      </c>
      <c r="H12" s="30">
        <v>43.0</v>
      </c>
      <c r="I12" s="30">
        <v>30.0</v>
      </c>
      <c r="J12" s="30">
        <v>85.0</v>
      </c>
      <c r="K12" s="30">
        <v>27.0</v>
      </c>
      <c r="L12" s="91" t="s">
        <v>26</v>
      </c>
      <c r="M12" s="91">
        <v>13.0</v>
      </c>
      <c r="N12" s="91">
        <v>11.0</v>
      </c>
      <c r="O12" s="91">
        <v>20.0</v>
      </c>
      <c r="P12" s="91">
        <v>33.0</v>
      </c>
      <c r="Q12" s="179">
        <f t="shared" si="1"/>
        <v>37.36363636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177" t="s">
        <v>174</v>
      </c>
      <c r="E13" s="89">
        <v>7.32</v>
      </c>
      <c r="F13" s="89">
        <v>6.88</v>
      </c>
      <c r="G13" s="89">
        <v>7.92</v>
      </c>
      <c r="H13" s="89">
        <v>7.78</v>
      </c>
      <c r="I13" s="89">
        <v>7.16</v>
      </c>
      <c r="J13" s="89">
        <v>7.21</v>
      </c>
      <c r="K13" s="89">
        <v>7.14</v>
      </c>
      <c r="L13" s="89" t="s">
        <v>26</v>
      </c>
      <c r="M13" s="114">
        <v>7.45</v>
      </c>
      <c r="N13" s="18">
        <v>6.2</v>
      </c>
      <c r="O13" s="114">
        <v>7.83</v>
      </c>
      <c r="P13" s="18">
        <v>7.0</v>
      </c>
      <c r="Q13" s="174">
        <f t="shared" si="1"/>
        <v>7.262727273</v>
      </c>
      <c r="R13" s="65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75" t="s">
        <v>175</v>
      </c>
      <c r="E14" s="91">
        <v>7.53</v>
      </c>
      <c r="F14" s="91">
        <v>6.86</v>
      </c>
      <c r="G14" s="91">
        <v>9.91</v>
      </c>
      <c r="H14" s="91">
        <v>7.76</v>
      </c>
      <c r="I14" s="91">
        <v>7.14</v>
      </c>
      <c r="J14" s="24">
        <v>7.0</v>
      </c>
      <c r="K14" s="91">
        <v>7.17</v>
      </c>
      <c r="L14" s="91" t="s">
        <v>26</v>
      </c>
      <c r="M14" s="24">
        <v>7.5</v>
      </c>
      <c r="N14" s="24">
        <v>6.94</v>
      </c>
      <c r="O14" s="91">
        <v>7.63</v>
      </c>
      <c r="P14" s="24">
        <v>7.0</v>
      </c>
      <c r="Q14" s="176">
        <f t="shared" si="1"/>
        <v>7.494545455</v>
      </c>
      <c r="R14" s="66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75" t="s">
        <v>176</v>
      </c>
      <c r="E15" s="91">
        <v>7.46</v>
      </c>
      <c r="F15" s="24">
        <v>6.83</v>
      </c>
      <c r="G15" s="91">
        <v>7.94</v>
      </c>
      <c r="H15" s="24">
        <v>7.86</v>
      </c>
      <c r="I15" s="24">
        <v>7.2</v>
      </c>
      <c r="J15" s="24">
        <v>7.26</v>
      </c>
      <c r="K15" s="24">
        <v>7.2</v>
      </c>
      <c r="L15" s="91" t="s">
        <v>26</v>
      </c>
      <c r="M15" s="91">
        <v>7.44</v>
      </c>
      <c r="N15" s="24">
        <v>6.5</v>
      </c>
      <c r="O15" s="91">
        <v>7.52</v>
      </c>
      <c r="P15" s="24">
        <v>7.0</v>
      </c>
      <c r="Q15" s="176">
        <f t="shared" si="1"/>
        <v>7.291818182</v>
      </c>
      <c r="R15" s="66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178</v>
      </c>
      <c r="C16" s="16">
        <v>1.0</v>
      </c>
      <c r="D16" s="177" t="s">
        <v>174</v>
      </c>
      <c r="E16" s="90">
        <v>26.1</v>
      </c>
      <c r="F16" s="90">
        <v>27.6</v>
      </c>
      <c r="G16" s="89">
        <v>31.5</v>
      </c>
      <c r="H16" s="90">
        <v>29.8</v>
      </c>
      <c r="I16" s="90">
        <v>32.3</v>
      </c>
      <c r="J16" s="90">
        <v>31.8</v>
      </c>
      <c r="K16" s="89">
        <v>31.68</v>
      </c>
      <c r="L16" s="89" t="s">
        <v>26</v>
      </c>
      <c r="M16" s="18">
        <v>30.4</v>
      </c>
      <c r="N16" s="18">
        <v>30.1</v>
      </c>
      <c r="O16" s="114">
        <v>29.81</v>
      </c>
      <c r="P16" s="18">
        <v>30.0</v>
      </c>
      <c r="Q16" s="174">
        <f t="shared" si="1"/>
        <v>30.09909091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75" t="s">
        <v>175</v>
      </c>
      <c r="E17" s="24">
        <v>26.6</v>
      </c>
      <c r="F17" s="91">
        <v>28.33</v>
      </c>
      <c r="G17" s="91">
        <v>31.95</v>
      </c>
      <c r="H17" s="24">
        <v>30.0</v>
      </c>
      <c r="I17" s="24">
        <v>31.9</v>
      </c>
      <c r="J17" s="24">
        <v>32.0</v>
      </c>
      <c r="K17" s="24">
        <v>31.5</v>
      </c>
      <c r="L17" s="91" t="s">
        <v>26</v>
      </c>
      <c r="M17" s="24">
        <v>30.45</v>
      </c>
      <c r="N17" s="24">
        <v>30.47</v>
      </c>
      <c r="O17" s="24">
        <v>29.72</v>
      </c>
      <c r="P17" s="24">
        <v>30.0</v>
      </c>
      <c r="Q17" s="176">
        <f t="shared" si="1"/>
        <v>30.26545455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>
      <c r="A18" s="20"/>
      <c r="B18" s="27"/>
      <c r="C18" s="22">
        <v>3.0</v>
      </c>
      <c r="D18" s="175" t="s">
        <v>176</v>
      </c>
      <c r="E18" s="24">
        <v>26.28</v>
      </c>
      <c r="F18" s="24">
        <v>28.2</v>
      </c>
      <c r="G18" s="91">
        <v>32.2</v>
      </c>
      <c r="H18" s="24">
        <v>30.1</v>
      </c>
      <c r="I18" s="24">
        <v>32.8</v>
      </c>
      <c r="J18" s="24">
        <v>31.8</v>
      </c>
      <c r="K18" s="24">
        <v>31.58</v>
      </c>
      <c r="L18" s="91" t="s">
        <v>26</v>
      </c>
      <c r="M18" s="24">
        <v>30.43</v>
      </c>
      <c r="N18" s="91">
        <v>30.3</v>
      </c>
      <c r="O18" s="91">
        <v>29.63</v>
      </c>
      <c r="P18" s="24">
        <v>30.0</v>
      </c>
      <c r="Q18" s="176">
        <f t="shared" si="1"/>
        <v>30.30181818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177" t="s">
        <v>174</v>
      </c>
      <c r="E19" s="89">
        <v>5.0</v>
      </c>
      <c r="F19" s="89">
        <v>5.0</v>
      </c>
      <c r="G19" s="89">
        <v>10.0</v>
      </c>
      <c r="H19" s="89">
        <v>10.0</v>
      </c>
      <c r="I19" s="89">
        <v>5.0</v>
      </c>
      <c r="J19" s="89">
        <v>10.0</v>
      </c>
      <c r="K19" s="89">
        <v>15.0</v>
      </c>
      <c r="L19" s="89" t="s">
        <v>26</v>
      </c>
      <c r="M19" s="114">
        <v>10.0</v>
      </c>
      <c r="N19" s="114">
        <v>3.0</v>
      </c>
      <c r="O19" s="114">
        <v>10.0</v>
      </c>
      <c r="P19" s="114">
        <v>10.0</v>
      </c>
      <c r="Q19" s="178">
        <f t="shared" si="1"/>
        <v>8.454545455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175" t="s">
        <v>175</v>
      </c>
      <c r="E20" s="91">
        <v>5.0</v>
      </c>
      <c r="F20" s="91">
        <v>10.0</v>
      </c>
      <c r="G20" s="91">
        <v>10.0</v>
      </c>
      <c r="H20" s="91">
        <v>10.0</v>
      </c>
      <c r="I20" s="91">
        <v>5.0</v>
      </c>
      <c r="J20" s="91">
        <v>10.0</v>
      </c>
      <c r="K20" s="91">
        <v>15.0</v>
      </c>
      <c r="L20" s="91" t="s">
        <v>26</v>
      </c>
      <c r="M20" s="91">
        <v>10.0</v>
      </c>
      <c r="N20" s="91">
        <v>3.0</v>
      </c>
      <c r="O20" s="91">
        <v>5.0</v>
      </c>
      <c r="P20" s="91">
        <v>10.0</v>
      </c>
      <c r="Q20" s="179">
        <f t="shared" si="1"/>
        <v>8.454545455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75" t="s">
        <v>176</v>
      </c>
      <c r="E21" s="91">
        <v>10.0</v>
      </c>
      <c r="F21" s="30">
        <v>10.0</v>
      </c>
      <c r="G21" s="91">
        <v>10.0</v>
      </c>
      <c r="H21" s="91">
        <v>10.0</v>
      </c>
      <c r="I21" s="30">
        <v>5.0</v>
      </c>
      <c r="J21" s="30">
        <v>10.0</v>
      </c>
      <c r="K21" s="30">
        <v>10.0</v>
      </c>
      <c r="L21" s="91" t="s">
        <v>26</v>
      </c>
      <c r="M21" s="91">
        <v>10.0</v>
      </c>
      <c r="N21" s="91">
        <v>3.0</v>
      </c>
      <c r="O21" s="91">
        <v>5.0</v>
      </c>
      <c r="P21" s="91">
        <v>15.0</v>
      </c>
      <c r="Q21" s="179">
        <f t="shared" si="1"/>
        <v>8.909090909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177" t="s">
        <v>174</v>
      </c>
      <c r="E22" s="164">
        <v>49.0</v>
      </c>
      <c r="F22" s="89">
        <v>33.0</v>
      </c>
      <c r="G22" s="89">
        <v>78.0</v>
      </c>
      <c r="H22" s="89">
        <v>49.0</v>
      </c>
      <c r="I22" s="89">
        <v>79.0</v>
      </c>
      <c r="J22" s="94">
        <v>350.0</v>
      </c>
      <c r="K22" s="89">
        <v>130.0</v>
      </c>
      <c r="L22" s="89" t="s">
        <v>26</v>
      </c>
      <c r="M22" s="32">
        <v>17000.0</v>
      </c>
      <c r="N22" s="114">
        <v>4.5</v>
      </c>
      <c r="O22" s="114">
        <v>23.0</v>
      </c>
      <c r="P22" s="32">
        <v>2400.0</v>
      </c>
      <c r="Q22" s="180">
        <f t="shared" ref="Q22:Q24" si="2">GEOMEAN(E22,F22,G22,H22,I22,J22,K22,L22,M22,N22,O22,P22)</f>
        <v>122.5703504</v>
      </c>
      <c r="R22" s="17">
        <v>100.0</v>
      </c>
      <c r="S22" s="181">
        <f>geomean(Q22:Q24)</f>
        <v>205.8095906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75" t="s">
        <v>175</v>
      </c>
      <c r="E23" s="182">
        <v>130.0</v>
      </c>
      <c r="F23" s="91">
        <v>33.0</v>
      </c>
      <c r="G23" s="91">
        <v>23.0</v>
      </c>
      <c r="H23" s="91">
        <v>33.0</v>
      </c>
      <c r="I23" s="91">
        <v>49.0</v>
      </c>
      <c r="J23" s="34">
        <v>3500.0</v>
      </c>
      <c r="K23" s="91">
        <v>280.0</v>
      </c>
      <c r="L23" s="91" t="s">
        <v>26</v>
      </c>
      <c r="M23" s="37">
        <v>54000.0</v>
      </c>
      <c r="N23" s="91">
        <v>350.0</v>
      </c>
      <c r="O23" s="91">
        <v>49.0</v>
      </c>
      <c r="P23" s="37">
        <v>920.0</v>
      </c>
      <c r="Q23" s="183">
        <f t="shared" si="2"/>
        <v>237.1158746</v>
      </c>
      <c r="R23" s="2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75" t="s">
        <v>176</v>
      </c>
      <c r="E24" s="182">
        <v>240.0</v>
      </c>
      <c r="F24" s="30">
        <v>33.0</v>
      </c>
      <c r="G24" s="91">
        <v>145.0</v>
      </c>
      <c r="H24" s="30">
        <v>23.0</v>
      </c>
      <c r="I24" s="30">
        <v>240.0</v>
      </c>
      <c r="J24" s="34">
        <v>940.0</v>
      </c>
      <c r="K24" s="30">
        <v>240.0</v>
      </c>
      <c r="L24" s="91" t="s">
        <v>26</v>
      </c>
      <c r="M24" s="37">
        <v>46000.0</v>
      </c>
      <c r="N24" s="37">
        <v>1600.0</v>
      </c>
      <c r="O24" s="91">
        <v>70.0</v>
      </c>
      <c r="P24" s="37">
        <v>240.0</v>
      </c>
      <c r="Q24" s="183">
        <f t="shared" si="2"/>
        <v>299.9513138</v>
      </c>
      <c r="R24" s="23">
        <v>100.0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180</v>
      </c>
      <c r="C25" s="16">
        <v>1.0</v>
      </c>
      <c r="D25" s="177" t="s">
        <v>174</v>
      </c>
      <c r="E25" s="89">
        <v>0.439</v>
      </c>
      <c r="F25" s="89" t="s">
        <v>42</v>
      </c>
      <c r="G25" s="89" t="s">
        <v>42</v>
      </c>
      <c r="H25" s="96">
        <v>0.33</v>
      </c>
      <c r="I25" s="89" t="s">
        <v>42</v>
      </c>
      <c r="J25" s="89">
        <v>0.442</v>
      </c>
      <c r="K25" s="89" t="s">
        <v>42</v>
      </c>
      <c r="L25" s="89" t="s">
        <v>26</v>
      </c>
      <c r="M25" s="114">
        <v>0.15</v>
      </c>
      <c r="N25" s="89" t="s">
        <v>42</v>
      </c>
      <c r="O25" s="114">
        <v>0.177</v>
      </c>
      <c r="P25" s="184" t="s">
        <v>181</v>
      </c>
      <c r="Q25" s="185">
        <f t="shared" ref="Q25:Q27" si="3">AVERAGE(E25,F25,G25,H25,I25,J25,K25,L25,0.045,N25,O25,P25)</f>
        <v>0.2866</v>
      </c>
      <c r="R25" s="17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75" t="s">
        <v>175</v>
      </c>
      <c r="E26" s="91">
        <v>0.215</v>
      </c>
      <c r="F26" s="91" t="s">
        <v>42</v>
      </c>
      <c r="G26" s="91" t="s">
        <v>42</v>
      </c>
      <c r="H26" s="43">
        <v>0.214</v>
      </c>
      <c r="I26" s="91">
        <v>0.063</v>
      </c>
      <c r="J26" s="91">
        <v>0.151</v>
      </c>
      <c r="K26" s="91" t="s">
        <v>42</v>
      </c>
      <c r="L26" s="91" t="s">
        <v>26</v>
      </c>
      <c r="M26" s="91">
        <v>0.048</v>
      </c>
      <c r="N26" s="91" t="s">
        <v>42</v>
      </c>
      <c r="O26" s="91">
        <v>0.483</v>
      </c>
      <c r="P26" s="186" t="s">
        <v>182</v>
      </c>
      <c r="Q26" s="187">
        <f t="shared" si="3"/>
        <v>0.1951666667</v>
      </c>
      <c r="R26" s="2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75" t="s">
        <v>176</v>
      </c>
      <c r="E27" s="43">
        <v>0.141</v>
      </c>
      <c r="F27" s="24" t="s">
        <v>42</v>
      </c>
      <c r="G27" s="24" t="s">
        <v>42</v>
      </c>
      <c r="H27" s="43">
        <v>0.19</v>
      </c>
      <c r="I27" s="24">
        <v>0.207</v>
      </c>
      <c r="J27" s="43">
        <v>0.226</v>
      </c>
      <c r="K27" s="24" t="s">
        <v>42</v>
      </c>
      <c r="L27" s="91" t="s">
        <v>26</v>
      </c>
      <c r="M27" s="43">
        <v>0.211</v>
      </c>
      <c r="N27" s="24" t="s">
        <v>42</v>
      </c>
      <c r="O27" s="91">
        <v>0.102</v>
      </c>
      <c r="P27" s="186" t="s">
        <v>183</v>
      </c>
      <c r="Q27" s="187">
        <f t="shared" si="3"/>
        <v>0.1518333333</v>
      </c>
      <c r="R27" s="2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184</v>
      </c>
      <c r="C28" s="16">
        <v>1.0</v>
      </c>
      <c r="D28" s="177" t="s">
        <v>174</v>
      </c>
      <c r="E28" s="89">
        <v>0.157</v>
      </c>
      <c r="F28" s="96">
        <v>0.16</v>
      </c>
      <c r="G28" s="89">
        <v>0.053</v>
      </c>
      <c r="H28" s="96">
        <v>0.164</v>
      </c>
      <c r="I28" s="89">
        <v>0.089</v>
      </c>
      <c r="J28" s="89">
        <v>0.209</v>
      </c>
      <c r="K28" s="96">
        <v>0.27</v>
      </c>
      <c r="L28" s="89" t="s">
        <v>26</v>
      </c>
      <c r="M28" s="114">
        <v>0.16</v>
      </c>
      <c r="N28" s="40">
        <v>0.333</v>
      </c>
      <c r="O28" s="114">
        <v>0.271</v>
      </c>
      <c r="P28" s="114">
        <v>0.311</v>
      </c>
      <c r="Q28" s="185">
        <f t="shared" ref="Q28:Q30" si="4">AVERAGE(E28,F28,G28,H28,I28,J28,K28,L28,M28,N28,O28,P28)</f>
        <v>0.1979090909</v>
      </c>
      <c r="R28" s="17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75" t="s">
        <v>175</v>
      </c>
      <c r="E29" s="91">
        <v>0.162</v>
      </c>
      <c r="F29" s="91">
        <v>0.167</v>
      </c>
      <c r="G29" s="91">
        <v>0.044</v>
      </c>
      <c r="H29" s="43">
        <v>0.128</v>
      </c>
      <c r="I29" s="91">
        <v>0.134</v>
      </c>
      <c r="J29" s="91">
        <v>0.213</v>
      </c>
      <c r="K29" s="43">
        <v>0.288</v>
      </c>
      <c r="L29" s="91" t="s">
        <v>26</v>
      </c>
      <c r="M29" s="43">
        <v>0.149</v>
      </c>
      <c r="N29" s="43">
        <v>0.458</v>
      </c>
      <c r="O29" s="91">
        <v>0.157</v>
      </c>
      <c r="P29" s="91">
        <v>0.273</v>
      </c>
      <c r="Q29" s="187">
        <f t="shared" si="4"/>
        <v>0.1975454545</v>
      </c>
      <c r="R29" s="2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75" t="s">
        <v>176</v>
      </c>
      <c r="E30" s="91">
        <v>0.185</v>
      </c>
      <c r="F30" s="43">
        <v>0.15</v>
      </c>
      <c r="G30" s="91">
        <v>0.067</v>
      </c>
      <c r="H30" s="43">
        <v>0.197</v>
      </c>
      <c r="I30" s="24">
        <v>0.136</v>
      </c>
      <c r="J30" s="43">
        <v>0.201</v>
      </c>
      <c r="K30" s="43">
        <v>0.256</v>
      </c>
      <c r="L30" s="91" t="s">
        <v>26</v>
      </c>
      <c r="M30" s="91">
        <v>0.216</v>
      </c>
      <c r="N30" s="43">
        <v>0.426</v>
      </c>
      <c r="O30" s="91">
        <v>0.264</v>
      </c>
      <c r="P30" s="91">
        <v>0.258</v>
      </c>
      <c r="Q30" s="187">
        <f t="shared" si="4"/>
        <v>0.2141818182</v>
      </c>
      <c r="R30" s="2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177" t="s">
        <v>174</v>
      </c>
      <c r="E31" s="188"/>
      <c r="F31" s="89" t="s">
        <v>26</v>
      </c>
      <c r="G31" s="188"/>
      <c r="H31" s="184" t="s">
        <v>185</v>
      </c>
      <c r="I31" s="188"/>
      <c r="J31" s="188"/>
      <c r="K31" s="188"/>
      <c r="L31" s="188"/>
      <c r="M31" s="188"/>
      <c r="N31" s="189"/>
      <c r="O31" s="189"/>
      <c r="P31" s="189"/>
      <c r="Q31" s="41" t="str">
        <f t="shared" ref="Q31:Q33" si="5">AVERAGE(I31)</f>
        <v>#DIV/0!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175" t="s">
        <v>175</v>
      </c>
      <c r="E32" s="20"/>
      <c r="F32" s="91" t="s">
        <v>26</v>
      </c>
      <c r="G32" s="20"/>
      <c r="H32" s="186" t="s">
        <v>186</v>
      </c>
      <c r="I32" s="20"/>
      <c r="J32" s="20"/>
      <c r="K32" s="20"/>
      <c r="L32" s="20"/>
      <c r="M32" s="20"/>
      <c r="N32" s="190"/>
      <c r="O32" s="190"/>
      <c r="P32" s="190"/>
      <c r="Q32" s="44" t="str">
        <f t="shared" si="5"/>
        <v>#DIV/0!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175" t="s">
        <v>176</v>
      </c>
      <c r="E33" s="20"/>
      <c r="F33" s="24" t="s">
        <v>26</v>
      </c>
      <c r="G33" s="20"/>
      <c r="H33" s="186" t="s">
        <v>187</v>
      </c>
      <c r="I33" s="20"/>
      <c r="J33" s="20"/>
      <c r="K33" s="20"/>
      <c r="L33" s="20"/>
      <c r="M33" s="20"/>
      <c r="N33" s="190"/>
      <c r="O33" s="190"/>
      <c r="P33" s="190"/>
      <c r="Q33" s="44" t="str">
        <f t="shared" si="5"/>
        <v>#DIV/0!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17"/>
      <c r="M34" s="117"/>
      <c r="N34" s="117"/>
      <c r="O34" s="117"/>
      <c r="P34" s="117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0" customHeight="1">
      <c r="A35" s="107" t="s">
        <v>188</v>
      </c>
      <c r="E35" s="100"/>
      <c r="F35" s="100"/>
      <c r="G35" s="100"/>
      <c r="H35" s="100"/>
      <c r="I35" s="100"/>
      <c r="J35" s="100"/>
      <c r="K35" s="100"/>
      <c r="L35" s="117"/>
      <c r="M35" s="117"/>
      <c r="N35" s="117"/>
      <c r="O35" s="117"/>
      <c r="P35" s="117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E36" s="100"/>
      <c r="F36" s="100"/>
      <c r="G36" s="100"/>
      <c r="H36" s="100"/>
      <c r="I36" s="100"/>
      <c r="J36" s="100"/>
      <c r="K36" s="100"/>
      <c r="L36" s="117"/>
      <c r="M36" s="117"/>
      <c r="N36" s="117"/>
      <c r="O36" s="117"/>
      <c r="P36" s="117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45"/>
      <c r="C37" s="100"/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17"/>
      <c r="O37" s="117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17"/>
      <c r="O38" s="117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17"/>
      <c r="O39" s="117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17"/>
      <c r="N40" s="117"/>
      <c r="O40" s="117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17"/>
      <c r="N41" s="117"/>
      <c r="O41" s="117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17"/>
      <c r="N42" s="117"/>
      <c r="O42" s="117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17"/>
      <c r="O43" s="117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17"/>
      <c r="O44" s="117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17"/>
      <c r="O45" s="117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17"/>
      <c r="O46" s="117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17"/>
      <c r="O47" s="117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17"/>
      <c r="O48" s="117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17"/>
      <c r="O49" s="117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17"/>
      <c r="O50" s="117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17"/>
      <c r="O51" s="117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17"/>
      <c r="O52" s="117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17"/>
      <c r="O53" s="117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17"/>
      <c r="O54" s="117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17"/>
      <c r="O55" s="117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17"/>
      <c r="O56" s="117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17"/>
      <c r="O57" s="117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17"/>
      <c r="O58" s="117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17"/>
      <c r="O59" s="117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17"/>
      <c r="O60" s="117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17"/>
      <c r="O61" s="117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17"/>
      <c r="O62" s="117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17"/>
      <c r="O63" s="117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17"/>
      <c r="O64" s="117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17"/>
      <c r="O65" s="117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17"/>
      <c r="O66" s="117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17"/>
      <c r="O67" s="117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17"/>
      <c r="O68" s="117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17"/>
      <c r="O69" s="117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17"/>
      <c r="O70" s="117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17"/>
      <c r="O71" s="117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17"/>
      <c r="O72" s="117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17"/>
      <c r="O73" s="117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17"/>
      <c r="O74" s="117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17"/>
      <c r="O75" s="117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17"/>
      <c r="O76" s="117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17"/>
      <c r="O77" s="117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17"/>
      <c r="O78" s="117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17"/>
      <c r="O79" s="117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17"/>
      <c r="O80" s="117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17"/>
      <c r="O81" s="117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17"/>
      <c r="O82" s="117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17"/>
      <c r="O83" s="117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17"/>
      <c r="O84" s="117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17"/>
      <c r="O85" s="117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17"/>
      <c r="O86" s="117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17"/>
      <c r="O87" s="117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17"/>
      <c r="O88" s="117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17"/>
      <c r="O89" s="117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17"/>
      <c r="O90" s="117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17"/>
      <c r="O91" s="117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17"/>
      <c r="O92" s="117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17"/>
      <c r="O93" s="117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17"/>
      <c r="O94" s="117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17"/>
      <c r="O95" s="117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17"/>
      <c r="O96" s="117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17"/>
      <c r="O97" s="117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17"/>
      <c r="O98" s="117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17"/>
      <c r="O99" s="117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17"/>
      <c r="O100" s="117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17"/>
      <c r="O101" s="117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17"/>
      <c r="O102" s="117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17"/>
      <c r="O103" s="117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17"/>
      <c r="O104" s="117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17"/>
      <c r="O105" s="117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17"/>
      <c r="O106" s="117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17"/>
      <c r="O107" s="117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17"/>
      <c r="O108" s="117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17"/>
      <c r="O109" s="117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17"/>
      <c r="O110" s="117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17"/>
      <c r="O111" s="117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17"/>
      <c r="O112" s="117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17"/>
      <c r="O113" s="117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17"/>
      <c r="O114" s="117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17"/>
      <c r="O115" s="117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17"/>
      <c r="O116" s="117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17"/>
      <c r="O117" s="117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17"/>
      <c r="O118" s="117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17"/>
      <c r="O119" s="117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17"/>
      <c r="O120" s="117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17"/>
      <c r="O121" s="117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17"/>
      <c r="O122" s="117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17"/>
      <c r="O123" s="117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17"/>
      <c r="O124" s="117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17"/>
      <c r="O125" s="117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17"/>
      <c r="O126" s="117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17"/>
      <c r="O127" s="117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17"/>
      <c r="O128" s="117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17"/>
      <c r="O129" s="117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17"/>
      <c r="O130" s="117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17"/>
      <c r="O131" s="117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17"/>
      <c r="O132" s="117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17"/>
      <c r="O133" s="117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17"/>
      <c r="O134" s="117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17"/>
      <c r="O135" s="117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17"/>
      <c r="O136" s="117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17"/>
      <c r="O137" s="117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17"/>
      <c r="O138" s="117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17"/>
      <c r="O139" s="117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17"/>
      <c r="O140" s="117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17"/>
      <c r="O141" s="117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17"/>
      <c r="O142" s="117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17"/>
      <c r="O143" s="117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17"/>
      <c r="O144" s="117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17"/>
      <c r="O145" s="117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17"/>
      <c r="O146" s="117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17"/>
      <c r="O147" s="117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17"/>
      <c r="O148" s="117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17"/>
      <c r="O149" s="117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17"/>
      <c r="O150" s="117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17"/>
      <c r="O151" s="117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17"/>
      <c r="O152" s="117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17"/>
      <c r="O153" s="117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17"/>
      <c r="O154" s="117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17"/>
      <c r="O155" s="117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17"/>
      <c r="O156" s="117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17"/>
      <c r="O157" s="117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17"/>
      <c r="O158" s="117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17"/>
      <c r="O159" s="117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17"/>
      <c r="O160" s="117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17"/>
      <c r="O161" s="117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17"/>
      <c r="O162" s="117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17"/>
      <c r="O163" s="117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17"/>
      <c r="O164" s="117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17"/>
      <c r="O165" s="117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17"/>
      <c r="O166" s="117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17"/>
      <c r="O167" s="117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17"/>
      <c r="O168" s="117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17"/>
      <c r="O169" s="117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17"/>
      <c r="O170" s="117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17"/>
      <c r="O171" s="117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17"/>
      <c r="O172" s="117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17"/>
      <c r="O173" s="117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17"/>
      <c r="O174" s="117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17"/>
      <c r="O175" s="117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17"/>
      <c r="O176" s="117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17"/>
      <c r="O177" s="117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17"/>
      <c r="O178" s="117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17"/>
      <c r="O179" s="117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17"/>
      <c r="O180" s="117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17"/>
      <c r="O181" s="117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17"/>
      <c r="O182" s="117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17"/>
      <c r="O183" s="117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17"/>
      <c r="O184" s="117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17"/>
      <c r="O185" s="117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17"/>
      <c r="O186" s="117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17"/>
      <c r="O187" s="117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17"/>
      <c r="O188" s="117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17"/>
      <c r="O189" s="117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17"/>
      <c r="O190" s="117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17"/>
      <c r="O191" s="117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17"/>
      <c r="O192" s="117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17"/>
      <c r="O193" s="117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17"/>
      <c r="O194" s="117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17"/>
      <c r="O195" s="117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17"/>
      <c r="O196" s="117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17"/>
      <c r="O197" s="117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17"/>
      <c r="O198" s="117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17"/>
      <c r="O199" s="117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17"/>
      <c r="O200" s="117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17"/>
      <c r="O201" s="117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17"/>
      <c r="O202" s="117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17"/>
      <c r="O203" s="117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17"/>
      <c r="O204" s="117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17"/>
      <c r="O205" s="117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17"/>
      <c r="O206" s="117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17"/>
      <c r="O207" s="117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17"/>
      <c r="O208" s="117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17"/>
      <c r="O209" s="117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17"/>
      <c r="O210" s="117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17"/>
      <c r="O211" s="117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17"/>
      <c r="O212" s="117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17"/>
      <c r="O213" s="117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17"/>
      <c r="O214" s="117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17"/>
      <c r="O215" s="117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17"/>
      <c r="O216" s="117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17"/>
      <c r="O217" s="117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17"/>
      <c r="O218" s="117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17"/>
      <c r="O219" s="117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17"/>
      <c r="O220" s="117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17"/>
      <c r="O221" s="117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17"/>
      <c r="O222" s="117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17"/>
      <c r="O223" s="117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17"/>
      <c r="O224" s="117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17"/>
      <c r="O225" s="117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17"/>
      <c r="O226" s="117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17"/>
      <c r="O227" s="117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17"/>
      <c r="O228" s="117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17"/>
      <c r="O229" s="117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17"/>
      <c r="O230" s="117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17"/>
      <c r="O231" s="117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17"/>
      <c r="O232" s="117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17"/>
      <c r="O233" s="117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17"/>
      <c r="O234" s="117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17"/>
      <c r="O235" s="117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17"/>
      <c r="O236" s="117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17"/>
      <c r="O237" s="117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17"/>
      <c r="O238" s="117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17"/>
      <c r="O239" s="117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17"/>
      <c r="O240" s="117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17"/>
      <c r="O241" s="117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17"/>
      <c r="O242" s="117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17"/>
      <c r="O243" s="117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17"/>
      <c r="O244" s="117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17"/>
      <c r="O245" s="117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17"/>
      <c r="O246" s="117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17"/>
      <c r="O247" s="117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17"/>
      <c r="O248" s="117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17"/>
      <c r="O249" s="117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17"/>
      <c r="O250" s="117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17"/>
      <c r="O251" s="117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17"/>
      <c r="O252" s="117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17"/>
      <c r="O253" s="117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17"/>
      <c r="O254" s="117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17"/>
      <c r="O255" s="117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17"/>
      <c r="O256" s="117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17"/>
      <c r="O257" s="117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17"/>
      <c r="O258" s="117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17"/>
      <c r="O259" s="117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17"/>
      <c r="O260" s="117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17"/>
      <c r="O261" s="117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17"/>
      <c r="O262" s="117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17"/>
      <c r="O263" s="117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17"/>
      <c r="O264" s="117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17"/>
      <c r="O265" s="117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17"/>
      <c r="O266" s="117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17"/>
      <c r="O267" s="117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17"/>
      <c r="O268" s="117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17"/>
      <c r="O269" s="117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17"/>
      <c r="O270" s="117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17"/>
      <c r="O271" s="117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17"/>
      <c r="O272" s="117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17"/>
      <c r="O273" s="117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17"/>
      <c r="O274" s="117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17"/>
      <c r="O275" s="117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17"/>
      <c r="O276" s="117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17"/>
      <c r="O277" s="117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17"/>
      <c r="O278" s="117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17"/>
      <c r="O279" s="117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17"/>
      <c r="O280" s="117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17"/>
      <c r="O281" s="117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17"/>
      <c r="O282" s="117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17"/>
      <c r="O283" s="117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17"/>
      <c r="O284" s="117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17"/>
      <c r="O285" s="117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17"/>
      <c r="O286" s="117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17"/>
      <c r="O287" s="117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17"/>
      <c r="O288" s="117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17"/>
      <c r="O289" s="117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17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17"/>
      <c r="O291" s="117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17"/>
      <c r="O292" s="117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17"/>
      <c r="O293" s="117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17"/>
      <c r="O294" s="117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17"/>
      <c r="O295" s="117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17"/>
      <c r="O296" s="117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17"/>
      <c r="O297" s="117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17"/>
      <c r="O298" s="117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17"/>
      <c r="O299" s="117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17"/>
      <c r="O300" s="117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17"/>
      <c r="O301" s="117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17"/>
      <c r="O302" s="117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17"/>
      <c r="O303" s="117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17"/>
      <c r="O304" s="117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17"/>
      <c r="O305" s="117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17"/>
      <c r="O306" s="117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17"/>
      <c r="O307" s="117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17"/>
      <c r="O308" s="117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17"/>
      <c r="O309" s="117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17"/>
      <c r="O310" s="117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17"/>
      <c r="O311" s="117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17"/>
      <c r="O312" s="117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17"/>
      <c r="O313" s="117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17"/>
      <c r="O314" s="117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17"/>
      <c r="O315" s="117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17"/>
      <c r="O316" s="117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17"/>
      <c r="O317" s="117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17"/>
      <c r="O318" s="117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17"/>
      <c r="O319" s="117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17"/>
      <c r="O320" s="117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17"/>
      <c r="O321" s="117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17"/>
      <c r="O322" s="117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17"/>
      <c r="O323" s="117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17"/>
      <c r="O324" s="117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17"/>
      <c r="O325" s="117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17"/>
      <c r="O326" s="117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17"/>
      <c r="O327" s="117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17"/>
      <c r="O328" s="117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17"/>
      <c r="O329" s="117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17"/>
      <c r="O330" s="117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17"/>
      <c r="O331" s="117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17"/>
      <c r="O332" s="117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17"/>
      <c r="O333" s="117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17"/>
      <c r="O334" s="117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17"/>
      <c r="O335" s="117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17"/>
      <c r="O336" s="117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17"/>
      <c r="O337" s="117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17"/>
      <c r="O338" s="117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17"/>
      <c r="O339" s="117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17"/>
      <c r="O340" s="117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17"/>
      <c r="O341" s="117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17"/>
      <c r="O342" s="117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17"/>
      <c r="O343" s="117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17"/>
      <c r="O344" s="117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17"/>
      <c r="O345" s="117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17"/>
      <c r="O346" s="117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17"/>
      <c r="O347" s="117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17"/>
      <c r="O348" s="117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17"/>
      <c r="O349" s="117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17"/>
      <c r="O350" s="117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17"/>
      <c r="O351" s="117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17"/>
      <c r="O352" s="117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17"/>
      <c r="O353" s="117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17"/>
      <c r="O354" s="117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17"/>
      <c r="O355" s="117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17"/>
      <c r="O356" s="117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17"/>
      <c r="O357" s="117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17"/>
      <c r="O358" s="117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17"/>
      <c r="O359" s="117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17"/>
      <c r="O360" s="117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17"/>
      <c r="O361" s="117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17"/>
      <c r="O362" s="117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17"/>
      <c r="O363" s="117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17"/>
      <c r="O364" s="117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17"/>
      <c r="O365" s="117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17"/>
      <c r="O366" s="117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17"/>
      <c r="O367" s="117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17"/>
      <c r="O368" s="117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17"/>
      <c r="O369" s="117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17"/>
      <c r="O370" s="117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17"/>
      <c r="O371" s="117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17"/>
      <c r="O372" s="117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17"/>
      <c r="O373" s="117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17"/>
      <c r="O374" s="117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17"/>
      <c r="O375" s="117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17"/>
      <c r="O376" s="117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17"/>
      <c r="O377" s="117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17"/>
      <c r="O378" s="117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17"/>
      <c r="O379" s="117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17"/>
      <c r="O380" s="117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17"/>
      <c r="O381" s="117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17"/>
      <c r="O382" s="117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17"/>
      <c r="O383" s="117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17"/>
      <c r="O384" s="117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17"/>
      <c r="O385" s="117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17"/>
      <c r="O386" s="117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17"/>
      <c r="O387" s="117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17"/>
      <c r="O388" s="117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17"/>
      <c r="O389" s="117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17"/>
      <c r="O390" s="117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17"/>
      <c r="O391" s="117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17"/>
      <c r="O392" s="117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17"/>
      <c r="O393" s="117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17"/>
      <c r="O394" s="117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17"/>
      <c r="O395" s="117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17"/>
      <c r="O396" s="117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17"/>
      <c r="O397" s="117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17"/>
      <c r="O398" s="117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17"/>
      <c r="O399" s="117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17"/>
      <c r="O400" s="117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17"/>
      <c r="O401" s="117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17"/>
      <c r="O402" s="117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17"/>
      <c r="O403" s="117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17"/>
      <c r="O404" s="117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17"/>
      <c r="O405" s="117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17"/>
      <c r="O406" s="117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17"/>
      <c r="O407" s="117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17"/>
      <c r="O408" s="117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17"/>
      <c r="O409" s="117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17"/>
      <c r="O410" s="117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17"/>
      <c r="O411" s="117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17"/>
      <c r="O412" s="117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17"/>
      <c r="O413" s="117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17"/>
      <c r="O414" s="117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17"/>
      <c r="O415" s="117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17"/>
      <c r="O416" s="117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17"/>
      <c r="O417" s="117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17"/>
      <c r="O418" s="117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17"/>
      <c r="O419" s="117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17"/>
      <c r="O420" s="117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17"/>
      <c r="O421" s="117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17"/>
      <c r="O422" s="117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17"/>
      <c r="O423" s="117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17"/>
      <c r="O424" s="117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17"/>
      <c r="O425" s="117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17"/>
      <c r="O426" s="117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17"/>
      <c r="O427" s="117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17"/>
      <c r="O428" s="117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17"/>
      <c r="O429" s="117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17"/>
      <c r="O430" s="117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17"/>
      <c r="O431" s="117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17"/>
      <c r="O432" s="117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17"/>
      <c r="O433" s="117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17"/>
      <c r="O434" s="117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17"/>
      <c r="O435" s="117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17"/>
      <c r="O436" s="117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17"/>
      <c r="O437" s="117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17"/>
      <c r="O438" s="117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17"/>
      <c r="O439" s="117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17"/>
      <c r="O440" s="117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17"/>
      <c r="O441" s="117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17"/>
      <c r="O442" s="117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17"/>
      <c r="O443" s="117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17"/>
      <c r="O444" s="117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17"/>
      <c r="O445" s="117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17"/>
      <c r="O446" s="117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17"/>
      <c r="O447" s="117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17"/>
      <c r="O448" s="117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17"/>
      <c r="O449" s="117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17"/>
      <c r="O450" s="117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17"/>
      <c r="O451" s="117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17"/>
      <c r="O452" s="117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17"/>
      <c r="O453" s="117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17"/>
      <c r="O454" s="117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17"/>
      <c r="O455" s="117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17"/>
      <c r="O456" s="117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17"/>
      <c r="O457" s="117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17"/>
      <c r="O458" s="117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17"/>
      <c r="O459" s="117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17"/>
      <c r="O460" s="117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17"/>
      <c r="O461" s="117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17"/>
      <c r="O462" s="117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17"/>
      <c r="O463" s="117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17"/>
      <c r="O464" s="117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17"/>
      <c r="O465" s="117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17"/>
      <c r="O466" s="117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17"/>
      <c r="O467" s="117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17"/>
      <c r="O468" s="117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17"/>
      <c r="O469" s="117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17"/>
      <c r="O470" s="117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17"/>
      <c r="O471" s="117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17"/>
      <c r="O472" s="117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17"/>
      <c r="O473" s="117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17"/>
      <c r="O474" s="117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17"/>
      <c r="O475" s="117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17"/>
      <c r="O476" s="117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17"/>
      <c r="O477" s="117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17"/>
      <c r="O478" s="117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17"/>
      <c r="O479" s="117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17"/>
      <c r="O480" s="117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17"/>
      <c r="O481" s="117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17"/>
      <c r="O482" s="117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17"/>
      <c r="O483" s="117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17"/>
      <c r="O484" s="117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17"/>
      <c r="O485" s="117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17"/>
      <c r="O486" s="117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17"/>
      <c r="O487" s="117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17"/>
      <c r="O488" s="117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17"/>
      <c r="O489" s="117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17"/>
      <c r="O490" s="117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17"/>
      <c r="O491" s="117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17"/>
      <c r="O492" s="117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17"/>
      <c r="O493" s="117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17"/>
      <c r="O494" s="117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17"/>
      <c r="O495" s="117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17"/>
      <c r="O496" s="117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17"/>
      <c r="O497" s="117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17"/>
      <c r="O498" s="117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17"/>
      <c r="O499" s="117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17"/>
      <c r="O500" s="117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17"/>
      <c r="O501" s="117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17"/>
      <c r="O502" s="117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17"/>
      <c r="O503" s="117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17"/>
      <c r="O504" s="117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17"/>
      <c r="O505" s="117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17"/>
      <c r="O506" s="117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17"/>
      <c r="O507" s="117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17"/>
      <c r="O508" s="117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17"/>
      <c r="O509" s="117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17"/>
      <c r="O510" s="117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17"/>
      <c r="O511" s="117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17"/>
      <c r="O512" s="117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17"/>
      <c r="O513" s="117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17"/>
      <c r="O514" s="117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17"/>
      <c r="O515" s="117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17"/>
      <c r="O516" s="117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17"/>
      <c r="O517" s="117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17"/>
      <c r="O518" s="117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17"/>
      <c r="O519" s="117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17"/>
      <c r="O520" s="117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17"/>
      <c r="O521" s="117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17"/>
      <c r="O522" s="117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17"/>
      <c r="O523" s="117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17"/>
      <c r="O524" s="117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17"/>
      <c r="O525" s="117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17"/>
      <c r="O526" s="117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17"/>
      <c r="O527" s="117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17"/>
      <c r="O528" s="117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17"/>
      <c r="O529" s="117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17"/>
      <c r="O530" s="117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17"/>
      <c r="O531" s="117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17"/>
      <c r="O532" s="117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17"/>
      <c r="O533" s="117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17"/>
      <c r="O534" s="117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17"/>
      <c r="O535" s="117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17"/>
      <c r="O536" s="117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17"/>
      <c r="O537" s="117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17"/>
      <c r="O538" s="117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17"/>
      <c r="O539" s="117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17"/>
      <c r="O540" s="117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17"/>
      <c r="O541" s="117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17"/>
      <c r="O542" s="117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17"/>
      <c r="O543" s="117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17"/>
      <c r="O544" s="117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17"/>
      <c r="O545" s="117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17"/>
      <c r="O546" s="117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17"/>
      <c r="O547" s="117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17"/>
      <c r="O548" s="117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17"/>
      <c r="O549" s="117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17"/>
      <c r="O550" s="117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17"/>
      <c r="O551" s="117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17"/>
      <c r="O552" s="117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17"/>
      <c r="O553" s="117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17"/>
      <c r="O554" s="117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17"/>
      <c r="O555" s="117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17"/>
      <c r="O556" s="117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17"/>
      <c r="O557" s="117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17"/>
      <c r="O558" s="117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17"/>
      <c r="O559" s="117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17"/>
      <c r="O560" s="117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17"/>
      <c r="O561" s="117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17"/>
      <c r="O562" s="117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17"/>
      <c r="O563" s="117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17"/>
      <c r="O564" s="117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17"/>
      <c r="O565" s="117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17"/>
      <c r="O566" s="117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17"/>
      <c r="O567" s="117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17"/>
      <c r="O568" s="117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17"/>
      <c r="O569" s="117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17"/>
      <c r="O570" s="117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17"/>
      <c r="O571" s="117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17"/>
      <c r="O572" s="117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17"/>
      <c r="O573" s="117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17"/>
      <c r="O574" s="117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17"/>
      <c r="O575" s="117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17"/>
      <c r="O576" s="117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17"/>
      <c r="O577" s="117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17"/>
      <c r="O578" s="117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17"/>
      <c r="O579" s="117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17"/>
      <c r="O580" s="117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17"/>
      <c r="O581" s="117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17"/>
      <c r="O582" s="117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17"/>
      <c r="O583" s="117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17"/>
      <c r="O584" s="117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17"/>
      <c r="O585" s="117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17"/>
      <c r="O586" s="117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17"/>
      <c r="O587" s="117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17"/>
      <c r="O588" s="117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17"/>
      <c r="O589" s="117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17"/>
      <c r="O590" s="117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17"/>
      <c r="O591" s="117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17"/>
      <c r="O592" s="117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17"/>
      <c r="O593" s="117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17"/>
      <c r="O594" s="117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17"/>
      <c r="O595" s="117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17"/>
      <c r="O596" s="117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17"/>
      <c r="O597" s="117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17"/>
      <c r="O598" s="117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17"/>
      <c r="O599" s="117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17"/>
      <c r="O600" s="117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17"/>
      <c r="O601" s="117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17"/>
      <c r="O602" s="117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17"/>
      <c r="O603" s="117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17"/>
      <c r="O604" s="117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17"/>
      <c r="O605" s="117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17"/>
      <c r="O606" s="117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17"/>
      <c r="O607" s="117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17"/>
      <c r="O608" s="117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17"/>
      <c r="O609" s="117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17"/>
      <c r="O610" s="117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17"/>
      <c r="O611" s="117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17"/>
      <c r="O612" s="117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17"/>
      <c r="O613" s="117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17"/>
      <c r="O614" s="117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17"/>
      <c r="O615" s="117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17"/>
      <c r="O616" s="117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17"/>
      <c r="O617" s="117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17"/>
      <c r="O618" s="117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17"/>
      <c r="O619" s="117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17"/>
      <c r="O620" s="117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17"/>
      <c r="O621" s="117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17"/>
      <c r="O622" s="117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17"/>
      <c r="O623" s="117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17"/>
      <c r="O624" s="117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17"/>
      <c r="O625" s="117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17"/>
      <c r="O626" s="117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17"/>
      <c r="O627" s="117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17"/>
      <c r="O628" s="117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17"/>
      <c r="O629" s="117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17"/>
      <c r="O630" s="117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17"/>
      <c r="O631" s="117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17"/>
      <c r="O632" s="117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17"/>
      <c r="O633" s="117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17"/>
      <c r="O634" s="117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17"/>
      <c r="O635" s="117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17"/>
      <c r="O636" s="117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17"/>
      <c r="O637" s="117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17"/>
      <c r="O638" s="117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17"/>
      <c r="O639" s="117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17"/>
      <c r="O640" s="117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17"/>
      <c r="O641" s="117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17"/>
      <c r="O642" s="117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17"/>
      <c r="O643" s="117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17"/>
      <c r="O644" s="117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17"/>
      <c r="O645" s="117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17"/>
      <c r="O646" s="117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17"/>
      <c r="O647" s="117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17"/>
      <c r="O648" s="117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17"/>
      <c r="O649" s="117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17"/>
      <c r="O650" s="117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17"/>
      <c r="O651" s="117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17"/>
      <c r="O652" s="117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17"/>
      <c r="O653" s="117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17"/>
      <c r="O654" s="117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17"/>
      <c r="O655" s="117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17"/>
      <c r="O656" s="117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17"/>
      <c r="O657" s="117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17"/>
      <c r="O658" s="117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17"/>
      <c r="O659" s="117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17"/>
      <c r="O660" s="117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17"/>
      <c r="O661" s="117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17"/>
      <c r="O662" s="117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17"/>
      <c r="O663" s="117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17"/>
      <c r="O664" s="117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17"/>
      <c r="O665" s="117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17"/>
      <c r="O666" s="117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17"/>
      <c r="O667" s="117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17"/>
      <c r="O668" s="117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17"/>
      <c r="O669" s="117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17"/>
      <c r="O670" s="117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17"/>
      <c r="O671" s="117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17"/>
      <c r="O672" s="117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17"/>
      <c r="O673" s="117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17"/>
      <c r="O674" s="117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17"/>
      <c r="O675" s="117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17"/>
      <c r="O676" s="117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17"/>
      <c r="O677" s="117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17"/>
      <c r="O678" s="117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17"/>
      <c r="O679" s="117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17"/>
      <c r="O680" s="117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17"/>
      <c r="O681" s="117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17"/>
      <c r="O682" s="117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17"/>
      <c r="O683" s="117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17"/>
      <c r="O684" s="117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17"/>
      <c r="O685" s="117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17"/>
      <c r="O686" s="117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17"/>
      <c r="O687" s="117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17"/>
      <c r="O688" s="117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17"/>
      <c r="O689" s="117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17"/>
      <c r="O690" s="117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17"/>
      <c r="O691" s="117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17"/>
      <c r="O692" s="117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17"/>
      <c r="O693" s="117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17"/>
      <c r="O694" s="117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17"/>
      <c r="O695" s="117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17"/>
      <c r="O696" s="117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17"/>
      <c r="O697" s="117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17"/>
      <c r="O698" s="117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17"/>
      <c r="O699" s="117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17"/>
      <c r="O700" s="117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17"/>
      <c r="O701" s="117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17"/>
      <c r="O702" s="117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17"/>
      <c r="O703" s="117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17"/>
      <c r="O704" s="117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17"/>
      <c r="O705" s="117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17"/>
      <c r="O706" s="117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17"/>
      <c r="O707" s="117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17"/>
      <c r="O708" s="117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17"/>
      <c r="O709" s="117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17"/>
      <c r="O710" s="117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17"/>
      <c r="O711" s="117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17"/>
      <c r="O712" s="117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17"/>
      <c r="O713" s="117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17"/>
      <c r="O714" s="117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17"/>
      <c r="O715" s="117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17"/>
      <c r="O716" s="117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17"/>
      <c r="O717" s="117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17"/>
      <c r="O718" s="117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17"/>
      <c r="O719" s="117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17"/>
      <c r="O720" s="117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17"/>
      <c r="O721" s="117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17"/>
      <c r="O722" s="117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17"/>
      <c r="O723" s="117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17"/>
      <c r="O724" s="117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17"/>
      <c r="O725" s="117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17"/>
      <c r="O726" s="117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17"/>
      <c r="O727" s="117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17"/>
      <c r="O728" s="117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17"/>
      <c r="O729" s="117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17"/>
      <c r="O730" s="117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17"/>
      <c r="O731" s="117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17"/>
      <c r="O732" s="117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17"/>
      <c r="O733" s="117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17"/>
      <c r="O734" s="117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17"/>
      <c r="O735" s="117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17"/>
      <c r="O736" s="117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17"/>
      <c r="O737" s="117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17"/>
      <c r="O738" s="117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17"/>
      <c r="O739" s="117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17"/>
      <c r="O740" s="117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17"/>
      <c r="O741" s="117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17"/>
      <c r="O742" s="117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17"/>
      <c r="O743" s="117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17"/>
      <c r="O744" s="117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17"/>
      <c r="O745" s="117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17"/>
      <c r="O746" s="117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17"/>
      <c r="O747" s="117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17"/>
      <c r="O748" s="117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17"/>
      <c r="O749" s="117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17"/>
      <c r="O750" s="117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17"/>
      <c r="O751" s="117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17"/>
      <c r="O752" s="117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17"/>
      <c r="O753" s="117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17"/>
      <c r="O754" s="117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17"/>
      <c r="O755" s="117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17"/>
      <c r="O756" s="117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17"/>
      <c r="O757" s="117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17"/>
      <c r="O758" s="117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17"/>
      <c r="O759" s="117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17"/>
      <c r="O760" s="117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17"/>
      <c r="O761" s="117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17"/>
      <c r="O762" s="117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17"/>
      <c r="O763" s="117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17"/>
      <c r="O764" s="117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17"/>
      <c r="O765" s="117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17"/>
      <c r="O766" s="117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17"/>
      <c r="O767" s="117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17"/>
      <c r="O768" s="117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17"/>
      <c r="O769" s="117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17"/>
      <c r="O770" s="117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17"/>
      <c r="O771" s="117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17"/>
      <c r="O772" s="117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17"/>
      <c r="O773" s="117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17"/>
      <c r="O774" s="117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17"/>
      <c r="O775" s="117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17"/>
      <c r="O776" s="117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17"/>
      <c r="O777" s="117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17"/>
      <c r="O778" s="117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17"/>
      <c r="O779" s="117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17"/>
      <c r="O780" s="117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17"/>
      <c r="O781" s="117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17"/>
      <c r="O782" s="117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17"/>
      <c r="O783" s="117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17"/>
      <c r="O784" s="117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17"/>
      <c r="O785" s="117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17"/>
      <c r="O786" s="117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17"/>
      <c r="O787" s="117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17"/>
      <c r="O788" s="117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17"/>
      <c r="O789" s="117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17"/>
      <c r="O790" s="117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17"/>
      <c r="O791" s="117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17"/>
      <c r="O792" s="117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17"/>
      <c r="O793" s="117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17"/>
      <c r="O794" s="117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17"/>
      <c r="O795" s="117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17"/>
      <c r="O796" s="117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17"/>
      <c r="O797" s="117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17"/>
      <c r="O798" s="117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17"/>
      <c r="O799" s="117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17"/>
      <c r="O800" s="117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17"/>
      <c r="O801" s="117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17"/>
      <c r="O802" s="117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17"/>
      <c r="O803" s="117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17"/>
      <c r="O804" s="117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17"/>
      <c r="O805" s="117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17"/>
      <c r="O806" s="117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17"/>
      <c r="O807" s="117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17"/>
      <c r="O808" s="117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17"/>
      <c r="O809" s="117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17"/>
      <c r="O810" s="117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17"/>
      <c r="O811" s="117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17"/>
      <c r="O812" s="117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17"/>
      <c r="O813" s="117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17"/>
      <c r="O814" s="117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17"/>
      <c r="O815" s="117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17"/>
      <c r="O816" s="117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17"/>
      <c r="O817" s="117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17"/>
      <c r="O818" s="117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17"/>
      <c r="O819" s="117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17"/>
      <c r="O820" s="117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17"/>
      <c r="O821" s="117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17"/>
      <c r="O822" s="117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17"/>
      <c r="O823" s="117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17"/>
      <c r="O824" s="117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17"/>
      <c r="O825" s="117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17"/>
      <c r="O826" s="117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17"/>
      <c r="O827" s="117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17"/>
      <c r="O828" s="117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17"/>
      <c r="O829" s="117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17"/>
      <c r="O830" s="117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17"/>
      <c r="O831" s="117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17"/>
      <c r="O832" s="117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17"/>
      <c r="O833" s="117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17"/>
      <c r="O834" s="117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17"/>
      <c r="O835" s="117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17"/>
      <c r="O836" s="117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17"/>
      <c r="O837" s="117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17"/>
      <c r="O838" s="117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17"/>
      <c r="O839" s="117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17"/>
      <c r="O840" s="117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17"/>
      <c r="O841" s="117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17"/>
      <c r="O842" s="117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17"/>
      <c r="O843" s="117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17"/>
      <c r="O844" s="117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17"/>
      <c r="O845" s="117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17"/>
      <c r="O846" s="117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17"/>
      <c r="O847" s="117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17"/>
      <c r="O848" s="117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17"/>
      <c r="O849" s="117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17"/>
      <c r="O850" s="117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17"/>
      <c r="O851" s="117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17"/>
      <c r="O852" s="117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17"/>
      <c r="O853" s="117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17"/>
      <c r="O854" s="117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17"/>
      <c r="O855" s="117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17"/>
      <c r="O856" s="117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17"/>
      <c r="O857" s="117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17"/>
      <c r="O858" s="117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17"/>
      <c r="O859" s="117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17"/>
      <c r="O860" s="117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17"/>
      <c r="O861" s="117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17"/>
      <c r="O862" s="117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17"/>
      <c r="O863" s="117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17"/>
      <c r="O864" s="117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17"/>
      <c r="O865" s="117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17"/>
      <c r="O866" s="117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17"/>
      <c r="O867" s="117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17"/>
      <c r="O868" s="117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17"/>
      <c r="O869" s="117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17"/>
      <c r="O870" s="117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17"/>
      <c r="O871" s="117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17"/>
      <c r="O872" s="117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17"/>
      <c r="O873" s="117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17"/>
      <c r="O874" s="117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17"/>
      <c r="O875" s="117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17"/>
      <c r="O876" s="117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17"/>
      <c r="O877" s="117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17"/>
      <c r="O878" s="117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17"/>
      <c r="O879" s="117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17"/>
      <c r="O880" s="117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17"/>
      <c r="O881" s="117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17"/>
      <c r="O882" s="117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17"/>
      <c r="O883" s="117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17"/>
      <c r="O884" s="117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17"/>
      <c r="O885" s="117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17"/>
      <c r="O886" s="117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17"/>
      <c r="O887" s="117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17"/>
      <c r="O888" s="117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17"/>
      <c r="O889" s="117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17"/>
      <c r="O890" s="117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17"/>
      <c r="O891" s="117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17"/>
      <c r="O892" s="117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17"/>
      <c r="O893" s="117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17"/>
      <c r="O894" s="117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17"/>
      <c r="O895" s="117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17"/>
      <c r="O896" s="117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17"/>
      <c r="O897" s="117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17"/>
      <c r="O898" s="117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17"/>
      <c r="O899" s="117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17"/>
      <c r="O900" s="117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17"/>
      <c r="O901" s="117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17"/>
      <c r="O902" s="117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17"/>
      <c r="O903" s="117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17"/>
      <c r="O904" s="117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17"/>
      <c r="O905" s="117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17"/>
      <c r="O906" s="117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17"/>
      <c r="O907" s="117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17"/>
      <c r="O908" s="117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17"/>
      <c r="O909" s="117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17"/>
      <c r="O910" s="117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17"/>
      <c r="O911" s="117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17"/>
      <c r="O912" s="117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17"/>
      <c r="O913" s="117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17"/>
      <c r="O914" s="117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17"/>
      <c r="O915" s="117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17"/>
      <c r="O916" s="117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17"/>
      <c r="O917" s="117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17"/>
      <c r="O918" s="117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17"/>
      <c r="O919" s="117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17"/>
      <c r="O920" s="117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17"/>
      <c r="O921" s="117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17"/>
      <c r="O922" s="117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17"/>
      <c r="O923" s="117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17"/>
      <c r="O924" s="117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17"/>
      <c r="O925" s="117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17"/>
      <c r="O926" s="117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17"/>
      <c r="O927" s="117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17"/>
      <c r="O928" s="117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17"/>
      <c r="O929" s="117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17"/>
      <c r="O930" s="117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17"/>
      <c r="O931" s="117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17"/>
      <c r="O932" s="117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17"/>
      <c r="O933" s="117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17"/>
      <c r="O934" s="117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17"/>
      <c r="O935" s="117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17"/>
      <c r="O936" s="117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17"/>
      <c r="O937" s="117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17"/>
      <c r="O938" s="117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17"/>
      <c r="O939" s="117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17"/>
      <c r="O940" s="117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17"/>
      <c r="O941" s="117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17"/>
      <c r="O942" s="117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17"/>
      <c r="O943" s="117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17"/>
      <c r="O944" s="117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17"/>
      <c r="O945" s="117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17"/>
      <c r="O946" s="117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17"/>
      <c r="O947" s="117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17"/>
      <c r="O948" s="117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17"/>
      <c r="O949" s="117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17"/>
      <c r="O950" s="117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17"/>
      <c r="O951" s="117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17"/>
      <c r="O952" s="117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17"/>
      <c r="O953" s="117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17"/>
      <c r="O954" s="117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17"/>
      <c r="O955" s="117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17"/>
      <c r="O956" s="117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17"/>
      <c r="O957" s="117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17"/>
      <c r="O958" s="117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17"/>
      <c r="O959" s="117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17"/>
      <c r="O960" s="117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17"/>
      <c r="O961" s="117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17"/>
      <c r="O962" s="117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17"/>
      <c r="O963" s="117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17"/>
      <c r="O964" s="117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17"/>
      <c r="O965" s="117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17"/>
      <c r="O966" s="117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17"/>
      <c r="O967" s="117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17"/>
      <c r="O968" s="117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17"/>
      <c r="O969" s="117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17"/>
      <c r="O970" s="117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17"/>
      <c r="O971" s="117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17"/>
      <c r="O972" s="117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17"/>
      <c r="O973" s="117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17"/>
      <c r="O974" s="117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17"/>
      <c r="O975" s="117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17"/>
      <c r="O976" s="117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17"/>
      <c r="O977" s="117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17"/>
      <c r="O978" s="117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17"/>
      <c r="O979" s="117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17"/>
      <c r="O980" s="117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17"/>
      <c r="O981" s="117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17"/>
      <c r="O982" s="117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17"/>
      <c r="O983" s="117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17"/>
      <c r="O984" s="117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17"/>
      <c r="O985" s="117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17"/>
      <c r="O986" s="117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17"/>
      <c r="O987" s="117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17"/>
      <c r="O988" s="117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17"/>
      <c r="O989" s="117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17"/>
      <c r="O990" s="117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17"/>
      <c r="O991" s="117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17"/>
      <c r="O992" s="117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17"/>
      <c r="O993" s="117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17"/>
      <c r="O994" s="117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17"/>
      <c r="O995" s="117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17"/>
      <c r="O996" s="117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17"/>
      <c r="O997" s="117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17"/>
      <c r="O998" s="117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17"/>
      <c r="O999" s="117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17"/>
      <c r="O1000" s="117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D36"/>
    <mergeCell ref="A37:B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7.14"/>
    <col customWidth="1" min="5" max="11" width="10.71"/>
    <col customWidth="1" min="12" max="12" width="8.57"/>
    <col customWidth="1" min="13" max="14" width="11.14"/>
    <col customWidth="1" min="15" max="15" width="10.86"/>
    <col customWidth="1" min="16" max="16" width="10.71"/>
    <col customWidth="1" min="17" max="17" width="27.0"/>
    <col customWidth="1" min="18" max="18" width="14.0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91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189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173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88" t="s">
        <v>190</v>
      </c>
      <c r="E7" s="90">
        <v>1.1</v>
      </c>
      <c r="F7" s="90">
        <v>2.44</v>
      </c>
      <c r="G7" s="90">
        <v>4.8</v>
      </c>
      <c r="H7" s="89">
        <v>0.94</v>
      </c>
      <c r="I7" s="89">
        <v>0.67</v>
      </c>
      <c r="J7" s="90">
        <v>0.66</v>
      </c>
      <c r="K7" s="89">
        <v>0.92</v>
      </c>
      <c r="L7" s="90">
        <v>4.5</v>
      </c>
      <c r="M7" s="90">
        <v>5.38</v>
      </c>
      <c r="N7" s="90">
        <v>5.2</v>
      </c>
      <c r="O7" s="90">
        <v>2.2</v>
      </c>
      <c r="P7" s="89">
        <v>3.8</v>
      </c>
      <c r="Q7" s="174">
        <f t="shared" ref="Q7:Q21" si="1">AVERAGE(E7,F7,G7,H7,I7,J7,K7,L7,M7,N7,O7,P7)</f>
        <v>2.7175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53" t="s">
        <v>191</v>
      </c>
      <c r="E8" s="91">
        <v>1.11</v>
      </c>
      <c r="F8" s="24">
        <v>4.1</v>
      </c>
      <c r="G8" s="24">
        <v>4.9</v>
      </c>
      <c r="H8" s="91">
        <v>1.04</v>
      </c>
      <c r="I8" s="91">
        <v>0.65</v>
      </c>
      <c r="J8" s="24">
        <v>0.8</v>
      </c>
      <c r="K8" s="24">
        <v>0.98</v>
      </c>
      <c r="L8" s="24">
        <v>5.8</v>
      </c>
      <c r="M8" s="24">
        <v>5.94</v>
      </c>
      <c r="N8" s="24">
        <v>4.8</v>
      </c>
      <c r="O8" s="24">
        <v>4.7</v>
      </c>
      <c r="P8" s="91">
        <v>3.9</v>
      </c>
      <c r="Q8" s="176">
        <f t="shared" si="1"/>
        <v>3.226666667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53" t="s">
        <v>192</v>
      </c>
      <c r="E9" s="24">
        <v>0.81</v>
      </c>
      <c r="F9" s="91">
        <v>3.65</v>
      </c>
      <c r="G9" s="24">
        <v>5.5</v>
      </c>
      <c r="H9" s="24">
        <v>0.93</v>
      </c>
      <c r="I9" s="24">
        <v>0.65</v>
      </c>
      <c r="J9" s="24">
        <v>0.85</v>
      </c>
      <c r="K9" s="91">
        <v>1.04</v>
      </c>
      <c r="L9" s="24">
        <v>5.3</v>
      </c>
      <c r="M9" s="24">
        <v>5.93</v>
      </c>
      <c r="N9" s="24">
        <v>5.1</v>
      </c>
      <c r="O9" s="24">
        <v>3.0</v>
      </c>
      <c r="P9" s="91">
        <v>4.1</v>
      </c>
      <c r="Q9" s="176">
        <f t="shared" si="1"/>
        <v>3.071666667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49" t="s">
        <v>190</v>
      </c>
      <c r="E10" s="89">
        <v>28.0</v>
      </c>
      <c r="F10" s="92">
        <v>28.0</v>
      </c>
      <c r="G10" s="114">
        <v>26.0</v>
      </c>
      <c r="H10" s="89">
        <v>39.0</v>
      </c>
      <c r="I10" s="89">
        <v>59.0</v>
      </c>
      <c r="J10" s="89">
        <v>10.0</v>
      </c>
      <c r="K10" s="114">
        <v>19.0</v>
      </c>
      <c r="L10" s="114">
        <v>38.0</v>
      </c>
      <c r="M10" s="114">
        <v>26.0</v>
      </c>
      <c r="N10" s="114">
        <v>53.0</v>
      </c>
      <c r="O10" s="89">
        <v>33.0</v>
      </c>
      <c r="P10" s="114">
        <v>39.0</v>
      </c>
      <c r="Q10" s="178">
        <f t="shared" si="1"/>
        <v>33.16666667</v>
      </c>
      <c r="R10" s="17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53" t="s">
        <v>191</v>
      </c>
      <c r="E11" s="30">
        <v>35.0</v>
      </c>
      <c r="F11" s="30">
        <v>17.0</v>
      </c>
      <c r="G11" s="91">
        <v>45.0</v>
      </c>
      <c r="H11" s="91">
        <v>36.0</v>
      </c>
      <c r="I11" s="91">
        <v>53.0</v>
      </c>
      <c r="J11" s="91">
        <v>29.0</v>
      </c>
      <c r="K11" s="91">
        <v>19.0</v>
      </c>
      <c r="L11" s="91">
        <v>33.0</v>
      </c>
      <c r="M11" s="91">
        <v>31.0</v>
      </c>
      <c r="N11" s="91">
        <v>48.0</v>
      </c>
      <c r="O11" s="91">
        <v>25.0</v>
      </c>
      <c r="P11" s="91">
        <v>92.0</v>
      </c>
      <c r="Q11" s="179">
        <f t="shared" si="1"/>
        <v>38.58333333</v>
      </c>
      <c r="R11" s="23">
        <v>50.0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53" t="s">
        <v>192</v>
      </c>
      <c r="E12" s="30">
        <v>127.0</v>
      </c>
      <c r="F12" s="91">
        <v>26.0</v>
      </c>
      <c r="G12" s="30">
        <v>43.0</v>
      </c>
      <c r="H12" s="30">
        <v>40.0</v>
      </c>
      <c r="I12" s="30">
        <v>45.0</v>
      </c>
      <c r="J12" s="30">
        <v>41.0</v>
      </c>
      <c r="K12" s="91">
        <v>29.0</v>
      </c>
      <c r="L12" s="91">
        <v>21.0</v>
      </c>
      <c r="M12" s="91">
        <v>27.0</v>
      </c>
      <c r="N12" s="91">
        <v>351.0</v>
      </c>
      <c r="O12" s="91">
        <v>31.0</v>
      </c>
      <c r="P12" s="91">
        <v>53.0</v>
      </c>
      <c r="Q12" s="179">
        <f t="shared" si="1"/>
        <v>69.5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49" t="s">
        <v>190</v>
      </c>
      <c r="E13" s="89">
        <v>7.87</v>
      </c>
      <c r="F13" s="90">
        <v>7.38</v>
      </c>
      <c r="G13" s="192">
        <v>7.66</v>
      </c>
      <c r="H13" s="89">
        <v>7.92</v>
      </c>
      <c r="I13" s="90">
        <v>7.1</v>
      </c>
      <c r="J13" s="89">
        <v>6.61</v>
      </c>
      <c r="K13" s="114">
        <v>7.54</v>
      </c>
      <c r="L13" s="114">
        <v>7.92</v>
      </c>
      <c r="M13" s="18">
        <v>7.6</v>
      </c>
      <c r="N13" s="114">
        <v>7.52</v>
      </c>
      <c r="O13" s="89">
        <v>7.99</v>
      </c>
      <c r="P13" s="18">
        <v>7.0</v>
      </c>
      <c r="Q13" s="174">
        <f t="shared" si="1"/>
        <v>7.509166667</v>
      </c>
      <c r="R13" s="193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53" t="s">
        <v>191</v>
      </c>
      <c r="E14" s="24">
        <v>7.57</v>
      </c>
      <c r="F14" s="24">
        <v>7.32</v>
      </c>
      <c r="G14" s="194">
        <v>7.68</v>
      </c>
      <c r="H14" s="91">
        <v>7.93</v>
      </c>
      <c r="I14" s="91">
        <v>7.06</v>
      </c>
      <c r="J14" s="91">
        <v>6.56</v>
      </c>
      <c r="K14" s="91">
        <v>7.54</v>
      </c>
      <c r="L14" s="91">
        <v>7.96</v>
      </c>
      <c r="M14" s="24">
        <v>7.7</v>
      </c>
      <c r="N14" s="91">
        <v>7.14</v>
      </c>
      <c r="O14" s="91">
        <v>7.86</v>
      </c>
      <c r="P14" s="24">
        <v>7.0</v>
      </c>
      <c r="Q14" s="176">
        <f t="shared" si="1"/>
        <v>7.443333333</v>
      </c>
      <c r="R14" s="195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53" t="s">
        <v>192</v>
      </c>
      <c r="E15" s="24">
        <v>7.37</v>
      </c>
      <c r="F15" s="91">
        <v>7.34</v>
      </c>
      <c r="G15" s="194">
        <v>7.55</v>
      </c>
      <c r="H15" s="24">
        <v>7.89</v>
      </c>
      <c r="I15" s="24">
        <v>7.05</v>
      </c>
      <c r="J15" s="24">
        <v>6.54</v>
      </c>
      <c r="K15" s="24">
        <v>7.4</v>
      </c>
      <c r="L15" s="91">
        <v>7.94</v>
      </c>
      <c r="M15" s="24">
        <v>7.67</v>
      </c>
      <c r="N15" s="91">
        <v>7.51</v>
      </c>
      <c r="O15" s="91">
        <v>7.92</v>
      </c>
      <c r="P15" s="24">
        <v>7.0</v>
      </c>
      <c r="Q15" s="176">
        <f t="shared" si="1"/>
        <v>7.431666667</v>
      </c>
      <c r="R15" s="195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193</v>
      </c>
      <c r="C16" s="16">
        <v>1.0</v>
      </c>
      <c r="D16" s="49" t="s">
        <v>190</v>
      </c>
      <c r="E16" s="89">
        <v>26.78</v>
      </c>
      <c r="F16" s="90">
        <v>26.7</v>
      </c>
      <c r="G16" s="18">
        <v>31.0</v>
      </c>
      <c r="H16" s="90">
        <v>29.4</v>
      </c>
      <c r="I16" s="90">
        <v>32.0</v>
      </c>
      <c r="J16" s="90">
        <v>31.9</v>
      </c>
      <c r="K16" s="18">
        <v>30.0</v>
      </c>
      <c r="L16" s="18" t="s">
        <v>70</v>
      </c>
      <c r="M16" s="18">
        <v>30.4</v>
      </c>
      <c r="N16" s="18">
        <v>28.56</v>
      </c>
      <c r="O16" s="90">
        <v>29.56</v>
      </c>
      <c r="P16" s="18">
        <v>28.0</v>
      </c>
      <c r="Q16" s="174">
        <f t="shared" si="1"/>
        <v>29.48181818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53" t="s">
        <v>191</v>
      </c>
      <c r="E17" s="24">
        <v>28.38</v>
      </c>
      <c r="F17" s="24">
        <v>26.93</v>
      </c>
      <c r="G17" s="24">
        <v>31.0</v>
      </c>
      <c r="H17" s="24">
        <v>30.43</v>
      </c>
      <c r="I17" s="24">
        <v>31.8</v>
      </c>
      <c r="J17" s="24">
        <v>31.9</v>
      </c>
      <c r="K17" s="24">
        <v>30.38</v>
      </c>
      <c r="L17" s="24" t="s">
        <v>70</v>
      </c>
      <c r="M17" s="24">
        <v>30.05</v>
      </c>
      <c r="N17" s="24">
        <v>28.59</v>
      </c>
      <c r="O17" s="24">
        <v>29.54</v>
      </c>
      <c r="P17" s="24">
        <v>28.0</v>
      </c>
      <c r="Q17" s="176">
        <f t="shared" si="1"/>
        <v>29.72727273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53" t="s">
        <v>192</v>
      </c>
      <c r="E18" s="24">
        <v>28.25</v>
      </c>
      <c r="F18" s="24">
        <v>27.0</v>
      </c>
      <c r="G18" s="24">
        <v>31.0</v>
      </c>
      <c r="H18" s="24">
        <v>30.9</v>
      </c>
      <c r="I18" s="24">
        <v>32.5</v>
      </c>
      <c r="J18" s="24">
        <v>31.15</v>
      </c>
      <c r="K18" s="24">
        <v>30.0</v>
      </c>
      <c r="L18" s="24" t="s">
        <v>70</v>
      </c>
      <c r="M18" s="24">
        <v>30.4</v>
      </c>
      <c r="N18" s="24">
        <v>28.7</v>
      </c>
      <c r="O18" s="24">
        <v>29.61</v>
      </c>
      <c r="P18" s="24">
        <v>28.0</v>
      </c>
      <c r="Q18" s="176">
        <f t="shared" si="1"/>
        <v>29.77363636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49" t="s">
        <v>190</v>
      </c>
      <c r="E19" s="89">
        <v>20.0</v>
      </c>
      <c r="F19" s="92">
        <v>15.0</v>
      </c>
      <c r="G19" s="114">
        <v>15.0</v>
      </c>
      <c r="H19" s="89">
        <v>10.0</v>
      </c>
      <c r="I19" s="89">
        <v>10.0</v>
      </c>
      <c r="J19" s="89">
        <v>10.0</v>
      </c>
      <c r="K19" s="114">
        <v>30.0</v>
      </c>
      <c r="L19" s="114">
        <v>25.0</v>
      </c>
      <c r="M19" s="114">
        <v>20.0</v>
      </c>
      <c r="N19" s="114">
        <v>25.0</v>
      </c>
      <c r="O19" s="89">
        <v>15.0</v>
      </c>
      <c r="P19" s="114">
        <v>30.0</v>
      </c>
      <c r="Q19" s="178">
        <f t="shared" si="1"/>
        <v>18.75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53" t="s">
        <v>191</v>
      </c>
      <c r="E20" s="30">
        <v>20.0</v>
      </c>
      <c r="F20" s="30">
        <v>15.0</v>
      </c>
      <c r="G20" s="91">
        <v>20.0</v>
      </c>
      <c r="H20" s="91">
        <v>10.0</v>
      </c>
      <c r="I20" s="91">
        <v>10.0</v>
      </c>
      <c r="J20" s="91">
        <v>10.0</v>
      </c>
      <c r="K20" s="91">
        <v>40.0</v>
      </c>
      <c r="L20" s="91">
        <v>25.0</v>
      </c>
      <c r="M20" s="91">
        <v>20.0</v>
      </c>
      <c r="N20" s="91">
        <v>20.0</v>
      </c>
      <c r="O20" s="91">
        <v>15.0</v>
      </c>
      <c r="P20" s="91">
        <v>30.0</v>
      </c>
      <c r="Q20" s="179">
        <f t="shared" si="1"/>
        <v>19.58333333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53" t="s">
        <v>192</v>
      </c>
      <c r="E21" s="30">
        <v>15.0</v>
      </c>
      <c r="F21" s="91">
        <v>15.0</v>
      </c>
      <c r="G21" s="196">
        <v>20.0</v>
      </c>
      <c r="H21" s="30">
        <v>10.0</v>
      </c>
      <c r="I21" s="30">
        <v>10.0</v>
      </c>
      <c r="J21" s="30">
        <v>10.0</v>
      </c>
      <c r="K21" s="91">
        <v>25.0</v>
      </c>
      <c r="L21" s="91">
        <v>25.0</v>
      </c>
      <c r="M21" s="91">
        <v>20.0</v>
      </c>
      <c r="N21" s="91">
        <v>25.0</v>
      </c>
      <c r="O21" s="91">
        <v>15.0</v>
      </c>
      <c r="P21" s="91">
        <v>20.0</v>
      </c>
      <c r="Q21" s="179">
        <f t="shared" si="1"/>
        <v>17.5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49" t="s">
        <v>190</v>
      </c>
      <c r="E22" s="93">
        <v>1700.0</v>
      </c>
      <c r="F22" s="92">
        <v>130.0</v>
      </c>
      <c r="G22" s="164">
        <v>79.0</v>
      </c>
      <c r="H22" s="89">
        <v>350.0</v>
      </c>
      <c r="I22" s="89">
        <v>130.0</v>
      </c>
      <c r="J22" s="93">
        <v>540.0</v>
      </c>
      <c r="K22" s="32">
        <v>260.0</v>
      </c>
      <c r="L22" s="32">
        <v>2400.0</v>
      </c>
      <c r="M22" s="32">
        <v>3500.0</v>
      </c>
      <c r="N22" s="32">
        <v>9200.0</v>
      </c>
      <c r="O22" s="93">
        <v>350.0</v>
      </c>
      <c r="P22" s="32">
        <v>2400.0</v>
      </c>
      <c r="Q22" s="197">
        <f t="shared" ref="Q22:Q24" si="2">GEOMEAN(E22,F22,G22,H22,I22,J22,K22,L22,M22,N22,O22,P22)</f>
        <v>663.20128</v>
      </c>
      <c r="R22" s="17">
        <v>100.0</v>
      </c>
      <c r="S22" s="130">
        <f>geomean(Q22:Q24)</f>
        <v>747.2647423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53" t="s">
        <v>191</v>
      </c>
      <c r="E23" s="34">
        <v>5400.0</v>
      </c>
      <c r="F23" s="30">
        <v>540.0</v>
      </c>
      <c r="G23" s="182">
        <v>2400.0</v>
      </c>
      <c r="H23" s="91">
        <v>350.0</v>
      </c>
      <c r="I23" s="91">
        <v>240.0</v>
      </c>
      <c r="J23" s="91">
        <v>49.0</v>
      </c>
      <c r="K23" s="39">
        <v>920.0</v>
      </c>
      <c r="L23" s="37">
        <v>3500.0</v>
      </c>
      <c r="M23" s="39">
        <v>2400.0</v>
      </c>
      <c r="N23" s="39">
        <v>3500.0</v>
      </c>
      <c r="O23" s="37">
        <v>920.0</v>
      </c>
      <c r="P23" s="39" t="s">
        <v>194</v>
      </c>
      <c r="Q23" s="198">
        <f t="shared" si="2"/>
        <v>970.1843907</v>
      </c>
      <c r="R23" s="2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53" t="s">
        <v>192</v>
      </c>
      <c r="E24" s="34">
        <v>240.0</v>
      </c>
      <c r="F24" s="91">
        <v>540.0</v>
      </c>
      <c r="G24" s="182">
        <v>130.0</v>
      </c>
      <c r="H24" s="30">
        <v>240.0</v>
      </c>
      <c r="I24" s="30">
        <v>350.0</v>
      </c>
      <c r="J24" s="30">
        <v>70.0</v>
      </c>
      <c r="K24" s="39">
        <v>3500.0</v>
      </c>
      <c r="L24" s="37">
        <v>5400.0</v>
      </c>
      <c r="M24" s="39">
        <v>920.0</v>
      </c>
      <c r="N24" s="39">
        <v>3500.0</v>
      </c>
      <c r="O24" s="91">
        <v>540.0</v>
      </c>
      <c r="P24" s="39">
        <v>1700.0</v>
      </c>
      <c r="Q24" s="198">
        <f t="shared" si="2"/>
        <v>648.5206905</v>
      </c>
      <c r="R24" s="23">
        <v>100.0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195</v>
      </c>
      <c r="C25" s="16">
        <v>1.0</v>
      </c>
      <c r="D25" s="49" t="s">
        <v>190</v>
      </c>
      <c r="E25" s="89">
        <v>0.718</v>
      </c>
      <c r="F25" s="96">
        <v>0.415</v>
      </c>
      <c r="G25" s="114">
        <v>0.309</v>
      </c>
      <c r="H25" s="89" t="s">
        <v>42</v>
      </c>
      <c r="I25" s="89">
        <v>0.419</v>
      </c>
      <c r="J25" s="89">
        <v>0.168</v>
      </c>
      <c r="K25" s="140">
        <v>0.543</v>
      </c>
      <c r="L25" s="114">
        <v>0.773</v>
      </c>
      <c r="M25" s="40">
        <v>1.01</v>
      </c>
      <c r="N25" s="114">
        <v>0.753</v>
      </c>
      <c r="O25" s="89">
        <v>0.164</v>
      </c>
      <c r="P25" s="114">
        <v>0.647</v>
      </c>
      <c r="Q25" s="185">
        <f t="shared" ref="Q25:Q30" si="3">AVERAGE(E25,F25,G25,H25,I25,J25,K25,L25,M25,N25,O25,P25)</f>
        <v>0.5380909091</v>
      </c>
      <c r="R25" s="17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53" t="s">
        <v>191</v>
      </c>
      <c r="E26" s="43">
        <v>0.768</v>
      </c>
      <c r="F26" s="43">
        <v>0.448</v>
      </c>
      <c r="G26" s="91">
        <v>0.235</v>
      </c>
      <c r="H26" s="91" t="s">
        <v>42</v>
      </c>
      <c r="I26" s="91">
        <v>0.239</v>
      </c>
      <c r="J26" s="91">
        <v>0.157</v>
      </c>
      <c r="K26" s="141">
        <v>0.615</v>
      </c>
      <c r="L26" s="91">
        <v>1.018</v>
      </c>
      <c r="M26" s="91">
        <v>1.645</v>
      </c>
      <c r="N26" s="91">
        <v>0.681</v>
      </c>
      <c r="O26" s="91" t="s">
        <v>42</v>
      </c>
      <c r="P26" s="91">
        <v>0.521</v>
      </c>
      <c r="Q26" s="187">
        <f t="shared" si="3"/>
        <v>0.6327</v>
      </c>
      <c r="R26" s="2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53" t="s">
        <v>192</v>
      </c>
      <c r="E27" s="43">
        <v>0.537</v>
      </c>
      <c r="F27" s="91">
        <v>0.732</v>
      </c>
      <c r="G27" s="91">
        <v>0.331</v>
      </c>
      <c r="H27" s="24" t="s">
        <v>42</v>
      </c>
      <c r="I27" s="43">
        <v>0.349</v>
      </c>
      <c r="J27" s="43">
        <v>0.288</v>
      </c>
      <c r="K27" s="141">
        <v>0.554</v>
      </c>
      <c r="L27" s="91">
        <v>1.01</v>
      </c>
      <c r="M27" s="91">
        <v>1.756</v>
      </c>
      <c r="N27" s="91">
        <v>0.447</v>
      </c>
      <c r="O27" s="91" t="s">
        <v>42</v>
      </c>
      <c r="P27" s="43">
        <v>0.603</v>
      </c>
      <c r="Q27" s="187">
        <f t="shared" si="3"/>
        <v>0.6607</v>
      </c>
      <c r="R27" s="2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196</v>
      </c>
      <c r="C28" s="16">
        <v>1.0</v>
      </c>
      <c r="D28" s="49" t="s">
        <v>190</v>
      </c>
      <c r="E28" s="89">
        <v>0.153</v>
      </c>
      <c r="F28" s="96">
        <v>0.206</v>
      </c>
      <c r="G28" s="40">
        <v>0.149</v>
      </c>
      <c r="H28" s="96">
        <v>0.341</v>
      </c>
      <c r="I28" s="89">
        <v>0.269</v>
      </c>
      <c r="J28" s="89">
        <v>0.177</v>
      </c>
      <c r="K28" s="40">
        <v>0.209</v>
      </c>
      <c r="L28" s="114">
        <v>0.247</v>
      </c>
      <c r="M28" s="40">
        <v>0.147</v>
      </c>
      <c r="N28" s="114">
        <v>0.145</v>
      </c>
      <c r="O28" s="89">
        <v>0.405</v>
      </c>
      <c r="P28" s="114">
        <v>0.29</v>
      </c>
      <c r="Q28" s="185">
        <f t="shared" si="3"/>
        <v>0.2281666667</v>
      </c>
      <c r="R28" s="17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53" t="s">
        <v>191</v>
      </c>
      <c r="E29" s="43">
        <v>0.166</v>
      </c>
      <c r="F29" s="43">
        <v>0.136</v>
      </c>
      <c r="G29" s="43">
        <v>0.167</v>
      </c>
      <c r="H29" s="43">
        <v>0.258</v>
      </c>
      <c r="I29" s="91">
        <v>0.198</v>
      </c>
      <c r="J29" s="91">
        <v>0.199</v>
      </c>
      <c r="K29" s="43">
        <v>0.207</v>
      </c>
      <c r="L29" s="91">
        <v>0.233</v>
      </c>
      <c r="M29" s="43">
        <v>0.163</v>
      </c>
      <c r="N29" s="43">
        <v>0.142</v>
      </c>
      <c r="O29" s="91">
        <v>0.353</v>
      </c>
      <c r="P29" s="91">
        <v>0.256</v>
      </c>
      <c r="Q29" s="187">
        <f t="shared" si="3"/>
        <v>0.2065</v>
      </c>
      <c r="R29" s="2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53" t="s">
        <v>192</v>
      </c>
      <c r="E30" s="43">
        <v>0.344</v>
      </c>
      <c r="F30" s="91">
        <v>0.124</v>
      </c>
      <c r="G30" s="43">
        <v>0.157</v>
      </c>
      <c r="H30" s="43">
        <v>0.2</v>
      </c>
      <c r="I30" s="43">
        <v>0.163</v>
      </c>
      <c r="J30" s="24">
        <v>0.225</v>
      </c>
      <c r="K30" s="43">
        <v>0.209</v>
      </c>
      <c r="L30" s="91">
        <v>0.216</v>
      </c>
      <c r="M30" s="91">
        <v>0.227</v>
      </c>
      <c r="N30" s="91">
        <v>0.337</v>
      </c>
      <c r="O30" s="91">
        <v>0.293</v>
      </c>
      <c r="P30" s="91">
        <v>0.314</v>
      </c>
      <c r="Q30" s="187">
        <f t="shared" si="3"/>
        <v>0.2340833333</v>
      </c>
      <c r="R30" s="2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49" t="s">
        <v>190</v>
      </c>
      <c r="E31" s="188"/>
      <c r="F31" s="188"/>
      <c r="G31" s="114"/>
      <c r="H31" s="199">
        <v>0.223</v>
      </c>
      <c r="I31" s="188"/>
      <c r="J31" s="188"/>
      <c r="K31" s="188"/>
      <c r="L31" s="188"/>
      <c r="M31" s="188"/>
      <c r="N31" s="188"/>
      <c r="O31" s="188"/>
      <c r="P31" s="188"/>
      <c r="Q31" s="41" t="str">
        <f t="shared" ref="Q31:Q33" si="4">AVERAGE(I31)</f>
        <v>#DIV/0!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53" t="s">
        <v>191</v>
      </c>
      <c r="E32" s="20"/>
      <c r="F32" s="20"/>
      <c r="G32" s="91"/>
      <c r="H32" s="200">
        <v>0.246</v>
      </c>
      <c r="I32" s="20"/>
      <c r="J32" s="20"/>
      <c r="K32" s="20"/>
      <c r="L32" s="20"/>
      <c r="M32" s="20"/>
      <c r="N32" s="20"/>
      <c r="O32" s="20"/>
      <c r="P32" s="20"/>
      <c r="Q32" s="44" t="str">
        <f t="shared" si="4"/>
        <v>#DIV/0!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53" t="s">
        <v>192</v>
      </c>
      <c r="E33" s="20"/>
      <c r="F33" s="20"/>
      <c r="G33" s="91"/>
      <c r="H33" s="200">
        <v>0.322</v>
      </c>
      <c r="I33" s="20"/>
      <c r="J33" s="20"/>
      <c r="K33" s="20"/>
      <c r="L33" s="20"/>
      <c r="M33" s="20"/>
      <c r="N33" s="20"/>
      <c r="O33" s="20"/>
      <c r="P33" s="20"/>
      <c r="Q33" s="44" t="str">
        <f t="shared" si="4"/>
        <v>#DIV/0!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97" t="s">
        <v>197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7" t="s">
        <v>198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71"/>
    <col customWidth="1" min="5" max="9" width="10.71"/>
    <col customWidth="1" min="10" max="10" width="11.57"/>
    <col customWidth="1" min="11" max="11" width="10.71"/>
    <col customWidth="1" min="12" max="12" width="9.71"/>
    <col customWidth="1" min="13" max="13" width="15.71"/>
    <col customWidth="1" min="14" max="14" width="13.29"/>
    <col customWidth="1" min="15" max="15" width="10.86"/>
    <col customWidth="1" min="16" max="16" width="11.29"/>
    <col customWidth="1" min="17" max="17" width="27.14"/>
    <col customWidth="1" min="18" max="18" width="10.57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201" t="s">
        <v>15</v>
      </c>
      <c r="N4" s="172" t="s">
        <v>16</v>
      </c>
      <c r="O4" s="172" t="s">
        <v>17</v>
      </c>
      <c r="P4" s="172" t="s">
        <v>18</v>
      </c>
      <c r="Q4" s="191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199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173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88" t="s">
        <v>200</v>
      </c>
      <c r="E7" s="89">
        <v>3.64</v>
      </c>
      <c r="F7" s="90">
        <v>3.44</v>
      </c>
      <c r="G7" s="89">
        <v>3.28</v>
      </c>
      <c r="H7" s="89">
        <v>3.86</v>
      </c>
      <c r="I7" s="89">
        <v>5.25</v>
      </c>
      <c r="J7" s="90">
        <v>4.12</v>
      </c>
      <c r="K7" s="89">
        <v>5.19</v>
      </c>
      <c r="L7" s="52">
        <v>4.13</v>
      </c>
      <c r="M7" s="90">
        <v>2.41</v>
      </c>
      <c r="N7" s="90">
        <v>3.21</v>
      </c>
      <c r="O7" s="90">
        <v>3.1</v>
      </c>
      <c r="P7" s="90">
        <v>1.81</v>
      </c>
      <c r="Q7" s="174">
        <f t="shared" ref="Q7:Q21" si="1">AVERAGE(E7,F7,G7,H7,I7,J7,K7,L7,M7,N7,O7,P7)</f>
        <v>3.62</v>
      </c>
      <c r="R7" s="202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53" t="s">
        <v>201</v>
      </c>
      <c r="E8" s="91">
        <v>4.61</v>
      </c>
      <c r="F8" s="24">
        <v>4.3</v>
      </c>
      <c r="G8" s="91">
        <v>4.79</v>
      </c>
      <c r="H8" s="91">
        <v>4.59</v>
      </c>
      <c r="I8" s="91">
        <v>5.12</v>
      </c>
      <c r="J8" s="91">
        <v>4.23</v>
      </c>
      <c r="K8" s="91">
        <v>5.09</v>
      </c>
      <c r="L8" s="56">
        <v>4.21</v>
      </c>
      <c r="M8" s="24">
        <v>2.19</v>
      </c>
      <c r="N8" s="24">
        <v>3.41</v>
      </c>
      <c r="O8" s="24">
        <v>3.18</v>
      </c>
      <c r="P8" s="24">
        <v>1.9</v>
      </c>
      <c r="Q8" s="176">
        <f t="shared" si="1"/>
        <v>3.968333333</v>
      </c>
      <c r="R8" s="203">
        <v>6.0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53" t="s">
        <v>202</v>
      </c>
      <c r="E9" s="91">
        <v>4.19</v>
      </c>
      <c r="F9" s="91">
        <v>4.07</v>
      </c>
      <c r="G9" s="91">
        <v>4.39</v>
      </c>
      <c r="H9" s="91">
        <v>3.89</v>
      </c>
      <c r="I9" s="91">
        <v>5.38</v>
      </c>
      <c r="J9" s="91">
        <v>4.29</v>
      </c>
      <c r="K9" s="91">
        <v>5.06</v>
      </c>
      <c r="L9" s="56">
        <v>4.18</v>
      </c>
      <c r="M9" s="91">
        <v>2.17</v>
      </c>
      <c r="N9" s="91">
        <v>4.35</v>
      </c>
      <c r="O9" s="91">
        <v>3.09</v>
      </c>
      <c r="P9" s="91">
        <v>1.76</v>
      </c>
      <c r="Q9" s="176">
        <f t="shared" si="1"/>
        <v>3.901666667</v>
      </c>
      <c r="R9" s="20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49" t="s">
        <v>200</v>
      </c>
      <c r="E10" s="114">
        <v>18.0</v>
      </c>
      <c r="F10" s="114">
        <v>26.0</v>
      </c>
      <c r="G10" s="89">
        <v>98.0</v>
      </c>
      <c r="H10" s="89">
        <v>29.0</v>
      </c>
      <c r="I10" s="89">
        <v>39.0</v>
      </c>
      <c r="J10" s="114">
        <v>10.0</v>
      </c>
      <c r="K10" s="114">
        <v>27.0</v>
      </c>
      <c r="L10" s="114">
        <v>6.0</v>
      </c>
      <c r="M10" s="114">
        <v>13.0</v>
      </c>
      <c r="N10" s="114">
        <v>52.0</v>
      </c>
      <c r="O10" s="114">
        <v>13.0</v>
      </c>
      <c r="P10" s="89">
        <v>27.0</v>
      </c>
      <c r="Q10" s="178">
        <f t="shared" si="1"/>
        <v>29.83333333</v>
      </c>
      <c r="R10" s="204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53" t="s">
        <v>201</v>
      </c>
      <c r="E11" s="91">
        <v>22.0</v>
      </c>
      <c r="F11" s="91">
        <v>34.0</v>
      </c>
      <c r="G11" s="91">
        <v>130.0</v>
      </c>
      <c r="H11" s="91">
        <v>41.0</v>
      </c>
      <c r="I11" s="91">
        <v>40.0</v>
      </c>
      <c r="J11" s="91">
        <v>22.0</v>
      </c>
      <c r="K11" s="91">
        <v>30.0</v>
      </c>
      <c r="L11" s="91">
        <v>10.0</v>
      </c>
      <c r="M11" s="91">
        <v>13.0</v>
      </c>
      <c r="N11" s="91">
        <v>45.0</v>
      </c>
      <c r="O11" s="91">
        <v>12.0</v>
      </c>
      <c r="P11" s="91">
        <v>53.0</v>
      </c>
      <c r="Q11" s="179">
        <f t="shared" si="1"/>
        <v>37.66666667</v>
      </c>
      <c r="R11" s="203">
        <v>50.0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53" t="s">
        <v>202</v>
      </c>
      <c r="E12" s="91">
        <v>29.0</v>
      </c>
      <c r="F12" s="91">
        <v>36.0</v>
      </c>
      <c r="G12" s="91">
        <v>78.0</v>
      </c>
      <c r="H12" s="91">
        <v>51.0</v>
      </c>
      <c r="I12" s="91">
        <v>49.0</v>
      </c>
      <c r="J12" s="91">
        <v>17.0</v>
      </c>
      <c r="K12" s="91">
        <v>38.0</v>
      </c>
      <c r="L12" s="91">
        <v>11.0</v>
      </c>
      <c r="M12" s="91">
        <v>10.0</v>
      </c>
      <c r="N12" s="91">
        <v>35.0</v>
      </c>
      <c r="O12" s="91">
        <v>11.0</v>
      </c>
      <c r="P12" s="91">
        <v>39.0</v>
      </c>
      <c r="Q12" s="179">
        <f t="shared" si="1"/>
        <v>33.66666667</v>
      </c>
      <c r="R12" s="20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49" t="s">
        <v>200</v>
      </c>
      <c r="E13" s="89">
        <v>8.15</v>
      </c>
      <c r="F13" s="114">
        <v>8.18</v>
      </c>
      <c r="G13" s="89">
        <v>7.76</v>
      </c>
      <c r="H13" s="89">
        <v>7.17</v>
      </c>
      <c r="I13" s="89">
        <v>7.11</v>
      </c>
      <c r="J13" s="114">
        <v>7.09</v>
      </c>
      <c r="K13" s="114">
        <v>7.03</v>
      </c>
      <c r="L13" s="52">
        <v>7.03</v>
      </c>
      <c r="M13" s="90">
        <v>7.07</v>
      </c>
      <c r="N13" s="90">
        <v>7.05</v>
      </c>
      <c r="O13" s="90">
        <v>7.29</v>
      </c>
      <c r="P13" s="90">
        <v>7.01</v>
      </c>
      <c r="Q13" s="174">
        <f t="shared" si="1"/>
        <v>7.328333333</v>
      </c>
      <c r="R13" s="193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53" t="s">
        <v>201</v>
      </c>
      <c r="E14" s="91">
        <v>8.14</v>
      </c>
      <c r="F14" s="91">
        <v>8.17</v>
      </c>
      <c r="G14" s="91">
        <v>7.77</v>
      </c>
      <c r="H14" s="91">
        <v>7.16</v>
      </c>
      <c r="I14" s="91">
        <v>7.03</v>
      </c>
      <c r="J14" s="91">
        <v>7.08</v>
      </c>
      <c r="K14" s="91">
        <v>7.05</v>
      </c>
      <c r="L14" s="56">
        <v>7.1</v>
      </c>
      <c r="M14" s="24">
        <v>7.06</v>
      </c>
      <c r="N14" s="24">
        <v>7.04</v>
      </c>
      <c r="O14" s="24">
        <v>7.26</v>
      </c>
      <c r="P14" s="24">
        <v>6.99</v>
      </c>
      <c r="Q14" s="176">
        <f t="shared" si="1"/>
        <v>7.320833333</v>
      </c>
      <c r="R14" s="195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53" t="s">
        <v>202</v>
      </c>
      <c r="E15" s="91">
        <v>8.14</v>
      </c>
      <c r="F15" s="91">
        <v>8.19</v>
      </c>
      <c r="G15" s="91">
        <v>7.93</v>
      </c>
      <c r="H15" s="91">
        <v>7.13</v>
      </c>
      <c r="I15" s="91">
        <v>7.09</v>
      </c>
      <c r="J15" s="91">
        <v>7.12</v>
      </c>
      <c r="K15" s="91">
        <v>7.07</v>
      </c>
      <c r="L15" s="56">
        <v>7.08</v>
      </c>
      <c r="M15" s="91">
        <v>7.09</v>
      </c>
      <c r="N15" s="91">
        <v>7.01</v>
      </c>
      <c r="O15" s="91">
        <v>7.25</v>
      </c>
      <c r="P15" s="91">
        <v>6.87</v>
      </c>
      <c r="Q15" s="176">
        <f t="shared" si="1"/>
        <v>7.330833333</v>
      </c>
      <c r="R15" s="195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203</v>
      </c>
      <c r="C16" s="16">
        <v>1.0</v>
      </c>
      <c r="D16" s="49" t="s">
        <v>200</v>
      </c>
      <c r="E16" s="89">
        <v>27.28</v>
      </c>
      <c r="F16" s="18">
        <v>27.6</v>
      </c>
      <c r="G16" s="89">
        <v>29.68</v>
      </c>
      <c r="H16" s="90">
        <v>28.6</v>
      </c>
      <c r="I16" s="90">
        <v>29.8</v>
      </c>
      <c r="J16" s="18">
        <v>30.28</v>
      </c>
      <c r="K16" s="18">
        <v>26.8</v>
      </c>
      <c r="L16" s="52">
        <v>28.05</v>
      </c>
      <c r="M16" s="90">
        <v>28.0</v>
      </c>
      <c r="N16" s="90">
        <v>27.28</v>
      </c>
      <c r="O16" s="90">
        <v>30.4</v>
      </c>
      <c r="P16" s="90">
        <v>29.1</v>
      </c>
      <c r="Q16" s="174">
        <f t="shared" si="1"/>
        <v>28.5725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53" t="s">
        <v>201</v>
      </c>
      <c r="E17" s="91">
        <v>28.45</v>
      </c>
      <c r="F17" s="24">
        <v>28.8</v>
      </c>
      <c r="G17" s="91">
        <v>29.83</v>
      </c>
      <c r="H17" s="24">
        <v>29.4</v>
      </c>
      <c r="I17" s="24">
        <v>29.7</v>
      </c>
      <c r="J17" s="24">
        <v>30.34</v>
      </c>
      <c r="K17" s="24">
        <v>27.3</v>
      </c>
      <c r="L17" s="56">
        <v>29.3</v>
      </c>
      <c r="M17" s="24">
        <v>28.2</v>
      </c>
      <c r="N17" s="24">
        <v>28.45</v>
      </c>
      <c r="O17" s="24">
        <v>31.0</v>
      </c>
      <c r="P17" s="24">
        <v>29.2</v>
      </c>
      <c r="Q17" s="176">
        <f t="shared" si="1"/>
        <v>29.16416667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53" t="s">
        <v>202</v>
      </c>
      <c r="E18" s="91">
        <v>28.95</v>
      </c>
      <c r="F18" s="24">
        <v>27.8</v>
      </c>
      <c r="G18" s="91">
        <v>30.06</v>
      </c>
      <c r="H18" s="24">
        <v>29.6</v>
      </c>
      <c r="I18" s="24">
        <v>29.8</v>
      </c>
      <c r="J18" s="24">
        <v>30.58</v>
      </c>
      <c r="K18" s="24">
        <v>27.4</v>
      </c>
      <c r="L18" s="56">
        <v>29.3</v>
      </c>
      <c r="M18" s="24">
        <v>28.5</v>
      </c>
      <c r="N18" s="24">
        <v>28.95</v>
      </c>
      <c r="O18" s="91">
        <v>30.7</v>
      </c>
      <c r="P18" s="91">
        <v>29.16</v>
      </c>
      <c r="Q18" s="176">
        <f t="shared" si="1"/>
        <v>29.23333333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49" t="s">
        <v>200</v>
      </c>
      <c r="E19" s="114">
        <v>20.0</v>
      </c>
      <c r="F19" s="114">
        <v>10.0</v>
      </c>
      <c r="G19" s="89">
        <v>10.0</v>
      </c>
      <c r="H19" s="89">
        <v>3.0</v>
      </c>
      <c r="I19" s="89">
        <v>5.0</v>
      </c>
      <c r="J19" s="114">
        <v>10.0</v>
      </c>
      <c r="K19" s="114">
        <v>5.0</v>
      </c>
      <c r="L19" s="114">
        <v>15.0</v>
      </c>
      <c r="M19" s="114">
        <v>5.0</v>
      </c>
      <c r="N19" s="114">
        <v>10.0</v>
      </c>
      <c r="O19" s="114">
        <v>5.0</v>
      </c>
      <c r="P19" s="89">
        <v>10.0</v>
      </c>
      <c r="Q19" s="178">
        <f t="shared" si="1"/>
        <v>9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 ht="15.0" customHeight="1">
      <c r="A20" s="20"/>
      <c r="B20" s="21"/>
      <c r="C20" s="22">
        <v>2.0</v>
      </c>
      <c r="D20" s="53" t="s">
        <v>201</v>
      </c>
      <c r="E20" s="91">
        <v>20.0</v>
      </c>
      <c r="F20" s="91">
        <v>10.0</v>
      </c>
      <c r="G20" s="91">
        <v>15.0</v>
      </c>
      <c r="H20" s="91">
        <v>3.0</v>
      </c>
      <c r="I20" s="91">
        <v>5.0</v>
      </c>
      <c r="J20" s="91">
        <v>10.0</v>
      </c>
      <c r="K20" s="91">
        <v>5.0</v>
      </c>
      <c r="L20" s="91">
        <v>10.0</v>
      </c>
      <c r="M20" s="91">
        <v>5.0</v>
      </c>
      <c r="N20" s="91">
        <v>10.0</v>
      </c>
      <c r="O20" s="91">
        <v>5.0</v>
      </c>
      <c r="P20" s="91">
        <v>15.0</v>
      </c>
      <c r="Q20" s="179">
        <f t="shared" si="1"/>
        <v>9.416666667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7.25" customHeight="1">
      <c r="A21" s="20"/>
      <c r="B21" s="27"/>
      <c r="C21" s="22">
        <v>3.0</v>
      </c>
      <c r="D21" s="53" t="s">
        <v>202</v>
      </c>
      <c r="E21" s="91">
        <v>20.0</v>
      </c>
      <c r="F21" s="91">
        <v>10.0</v>
      </c>
      <c r="G21" s="91">
        <v>15.0</v>
      </c>
      <c r="H21" s="91">
        <v>3.0</v>
      </c>
      <c r="I21" s="91">
        <v>5.0</v>
      </c>
      <c r="J21" s="91">
        <v>10.0</v>
      </c>
      <c r="K21" s="91">
        <v>5.0</v>
      </c>
      <c r="L21" s="91">
        <v>10.0</v>
      </c>
      <c r="M21" s="91">
        <v>5.0</v>
      </c>
      <c r="N21" s="91">
        <v>10.0</v>
      </c>
      <c r="O21" s="91">
        <v>5.0</v>
      </c>
      <c r="P21" s="91">
        <v>15.0</v>
      </c>
      <c r="Q21" s="179">
        <f t="shared" si="1"/>
        <v>9.416666667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49" t="s">
        <v>200</v>
      </c>
      <c r="E22" s="164">
        <v>35000.0</v>
      </c>
      <c r="F22" s="32">
        <v>24000.0</v>
      </c>
      <c r="G22" s="93">
        <v>5400.0</v>
      </c>
      <c r="H22" s="93">
        <v>160000.0</v>
      </c>
      <c r="I22" s="93">
        <v>240000.0</v>
      </c>
      <c r="J22" s="32">
        <v>24000.0</v>
      </c>
      <c r="K22" s="32">
        <v>350000.0</v>
      </c>
      <c r="L22" s="32">
        <v>540000.0</v>
      </c>
      <c r="M22" s="32">
        <v>920000.0</v>
      </c>
      <c r="N22" s="32">
        <v>920.0</v>
      </c>
      <c r="O22" s="32">
        <v>350000.0</v>
      </c>
      <c r="P22" s="93">
        <v>24000.0</v>
      </c>
      <c r="Q22" s="180">
        <f t="shared" ref="Q22:Q24" si="2">GEOMEAN(E22,F22,G22,H22,I22,J22,K22,L22,M22,N22,O22,P22)</f>
        <v>64932.33512</v>
      </c>
      <c r="R22" s="204">
        <v>100.0</v>
      </c>
      <c r="S22" s="181">
        <f>geomean(Q22:Q24)</f>
        <v>15697.84904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53" t="s">
        <v>201</v>
      </c>
      <c r="E23" s="182">
        <v>54000.0</v>
      </c>
      <c r="F23" s="37">
        <v>17000.0</v>
      </c>
      <c r="G23" s="91">
        <v>130.0</v>
      </c>
      <c r="H23" s="91">
        <v>790.0</v>
      </c>
      <c r="I23" s="91">
        <v>490.0</v>
      </c>
      <c r="J23" s="37">
        <v>790.0</v>
      </c>
      <c r="K23" s="37">
        <v>140000.0</v>
      </c>
      <c r="L23" s="37">
        <v>170000.0</v>
      </c>
      <c r="M23" s="37">
        <v>920000.0</v>
      </c>
      <c r="N23" s="37">
        <v>540.0</v>
      </c>
      <c r="O23" s="37">
        <v>17000.0</v>
      </c>
      <c r="P23" s="37">
        <v>13000.0</v>
      </c>
      <c r="Q23" s="183">
        <f t="shared" si="2"/>
        <v>8221.459584</v>
      </c>
      <c r="R23" s="20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53" t="s">
        <v>202</v>
      </c>
      <c r="E24" s="182">
        <v>54000.0</v>
      </c>
      <c r="F24" s="37">
        <v>9200.0</v>
      </c>
      <c r="G24" s="91">
        <v>460.0</v>
      </c>
      <c r="H24" s="34">
        <v>2400.0</v>
      </c>
      <c r="I24" s="91">
        <v>230.0</v>
      </c>
      <c r="J24" s="37">
        <v>790.0</v>
      </c>
      <c r="K24" s="37">
        <v>170000.0</v>
      </c>
      <c r="L24" s="37">
        <v>54000.0</v>
      </c>
      <c r="M24" s="37">
        <v>110000.0</v>
      </c>
      <c r="N24" s="37">
        <v>350.0</v>
      </c>
      <c r="O24" s="37">
        <v>35000.0</v>
      </c>
      <c r="P24" s="37">
        <v>17000.0</v>
      </c>
      <c r="Q24" s="183">
        <f t="shared" si="2"/>
        <v>7246.203009</v>
      </c>
      <c r="R24" s="203">
        <v>100.0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204</v>
      </c>
      <c r="C25" s="16">
        <v>1.0</v>
      </c>
      <c r="D25" s="49" t="s">
        <v>200</v>
      </c>
      <c r="E25" s="114">
        <v>0.386</v>
      </c>
      <c r="F25" s="114" t="s">
        <v>42</v>
      </c>
      <c r="G25" s="89">
        <v>0.333</v>
      </c>
      <c r="H25" s="89" t="s">
        <v>42</v>
      </c>
      <c r="I25" s="89" t="s">
        <v>42</v>
      </c>
      <c r="J25" s="114" t="s">
        <v>42</v>
      </c>
      <c r="K25" s="114">
        <v>0.257</v>
      </c>
      <c r="L25" s="114">
        <v>0.403</v>
      </c>
      <c r="M25" s="114">
        <v>1.104</v>
      </c>
      <c r="N25" s="114">
        <v>0.489</v>
      </c>
      <c r="O25" s="114" t="s">
        <v>42</v>
      </c>
      <c r="P25" s="89">
        <v>0.441</v>
      </c>
      <c r="Q25" s="185">
        <f>AVERAGE(0.045,F25,G25,H25,I25,J25,K25,L25,0.045,N25,O25,P25)</f>
        <v>0.2875714286</v>
      </c>
      <c r="R25" s="204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53" t="s">
        <v>201</v>
      </c>
      <c r="E26" s="91">
        <v>0.681</v>
      </c>
      <c r="F26" s="43" t="s">
        <v>42</v>
      </c>
      <c r="G26" s="91">
        <v>0.734</v>
      </c>
      <c r="H26" s="91" t="s">
        <v>42</v>
      </c>
      <c r="I26" s="91" t="s">
        <v>42</v>
      </c>
      <c r="J26" s="91" t="s">
        <v>42</v>
      </c>
      <c r="K26" s="91">
        <v>0.162</v>
      </c>
      <c r="L26" s="91">
        <v>0.479</v>
      </c>
      <c r="M26" s="91">
        <v>0.906</v>
      </c>
      <c r="N26" s="91">
        <v>0.229</v>
      </c>
      <c r="O26" s="91" t="s">
        <v>42</v>
      </c>
      <c r="P26" s="43">
        <v>0.24</v>
      </c>
      <c r="Q26" s="187">
        <f>AVERAGE(0.045,F26,G26,H26,I26,J26,K26,L26,M26,N26,O26,P26)</f>
        <v>0.3992857143</v>
      </c>
      <c r="R26" s="20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53" t="s">
        <v>202</v>
      </c>
      <c r="E27" s="91">
        <v>0.412</v>
      </c>
      <c r="F27" s="91" t="s">
        <v>42</v>
      </c>
      <c r="G27" s="91">
        <v>0.308</v>
      </c>
      <c r="H27" s="91" t="s">
        <v>42</v>
      </c>
      <c r="I27" s="91" t="s">
        <v>42</v>
      </c>
      <c r="J27" s="91" t="s">
        <v>42</v>
      </c>
      <c r="K27" s="91">
        <v>0.215</v>
      </c>
      <c r="L27" s="91">
        <v>0.628</v>
      </c>
      <c r="M27" s="91">
        <v>0.934</v>
      </c>
      <c r="N27" s="43">
        <v>0.674</v>
      </c>
      <c r="O27" s="91" t="s">
        <v>42</v>
      </c>
      <c r="P27" s="91">
        <v>0.595</v>
      </c>
      <c r="Q27" s="187">
        <f>AVERAGE(E27,F27,G27,H27,I27,0.045,K27,L27,0.045,N27,O27,P27)</f>
        <v>0.36525</v>
      </c>
      <c r="R27" s="20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205</v>
      </c>
      <c r="C28" s="16">
        <v>1.0</v>
      </c>
      <c r="D28" s="49" t="s">
        <v>200</v>
      </c>
      <c r="E28" s="114">
        <v>0.121</v>
      </c>
      <c r="F28" s="114">
        <v>0.104</v>
      </c>
      <c r="G28" s="89">
        <v>0.108</v>
      </c>
      <c r="H28" s="89" t="s">
        <v>206</v>
      </c>
      <c r="I28" s="89">
        <v>0.073</v>
      </c>
      <c r="J28" s="40">
        <v>0.11</v>
      </c>
      <c r="K28" s="114">
        <v>0.109</v>
      </c>
      <c r="L28" s="114">
        <v>0.091</v>
      </c>
      <c r="M28" s="114">
        <v>0.07</v>
      </c>
      <c r="N28" s="114">
        <v>0.147</v>
      </c>
      <c r="O28" s="114">
        <v>0.096</v>
      </c>
      <c r="P28" s="89">
        <v>0.137</v>
      </c>
      <c r="Q28" s="185">
        <f t="shared" ref="Q28:Q30" si="3">AVERAGE(E28,F28,G28,H28,I28,J28,K28,L28,M28,N28,O28,P28)</f>
        <v>0.106</v>
      </c>
      <c r="R28" s="204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53" t="s">
        <v>201</v>
      </c>
      <c r="E29" s="91">
        <v>0.172</v>
      </c>
      <c r="F29" s="91">
        <v>0.164</v>
      </c>
      <c r="G29" s="91">
        <v>0.144</v>
      </c>
      <c r="H29" s="91" t="s">
        <v>206</v>
      </c>
      <c r="I29" s="91">
        <v>0.073</v>
      </c>
      <c r="J29" s="91">
        <v>0.108</v>
      </c>
      <c r="K29" s="91">
        <v>0.111</v>
      </c>
      <c r="L29" s="91">
        <v>0.096</v>
      </c>
      <c r="M29" s="43">
        <v>0.073</v>
      </c>
      <c r="N29" s="91">
        <v>0.176</v>
      </c>
      <c r="O29" s="91">
        <v>0.104</v>
      </c>
      <c r="P29" s="91">
        <v>0.188</v>
      </c>
      <c r="Q29" s="187">
        <f t="shared" si="3"/>
        <v>0.1280909091</v>
      </c>
      <c r="R29" s="20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53" t="s">
        <v>202</v>
      </c>
      <c r="E30" s="91">
        <v>0.151</v>
      </c>
      <c r="F30" s="91">
        <v>0.179</v>
      </c>
      <c r="G30" s="91">
        <v>0.136</v>
      </c>
      <c r="H30" s="91" t="s">
        <v>206</v>
      </c>
      <c r="I30" s="91">
        <v>0.084</v>
      </c>
      <c r="J30" s="91">
        <v>0.102</v>
      </c>
      <c r="K30" s="91">
        <v>0.075</v>
      </c>
      <c r="L30" s="91">
        <v>0.093</v>
      </c>
      <c r="M30" s="91">
        <v>0.111</v>
      </c>
      <c r="N30" s="91">
        <v>0.179</v>
      </c>
      <c r="O30" s="91">
        <v>0.115</v>
      </c>
      <c r="P30" s="91">
        <v>0.184</v>
      </c>
      <c r="Q30" s="187">
        <f t="shared" si="3"/>
        <v>0.1280909091</v>
      </c>
      <c r="R30" s="20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133" t="s">
        <v>200</v>
      </c>
      <c r="E31" s="188"/>
      <c r="F31" s="188"/>
      <c r="G31" s="188"/>
      <c r="H31" s="205">
        <v>0.065</v>
      </c>
      <c r="I31" s="188"/>
      <c r="J31" s="188"/>
      <c r="K31" s="188"/>
      <c r="L31" s="188"/>
      <c r="M31" s="188"/>
      <c r="N31" s="188"/>
      <c r="O31" s="188"/>
      <c r="P31" s="188"/>
      <c r="Q31" s="41" t="str">
        <f t="shared" ref="Q31:Q33" si="4">AVERAGE(I31)</f>
        <v>#DIV/0!</v>
      </c>
      <c r="R31" s="17">
        <v>0.5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134" t="s">
        <v>201</v>
      </c>
      <c r="E32" s="20"/>
      <c r="F32" s="20"/>
      <c r="G32" s="20"/>
      <c r="H32" s="206">
        <v>0.053</v>
      </c>
      <c r="I32" s="20"/>
      <c r="J32" s="20"/>
      <c r="K32" s="20"/>
      <c r="L32" s="20"/>
      <c r="M32" s="20"/>
      <c r="N32" s="20"/>
      <c r="O32" s="20"/>
      <c r="P32" s="20"/>
      <c r="Q32" s="44" t="str">
        <f t="shared" si="4"/>
        <v>#DIV/0!</v>
      </c>
      <c r="R32" s="23">
        <v>0.5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134" t="s">
        <v>202</v>
      </c>
      <c r="E33" s="20"/>
      <c r="F33" s="20"/>
      <c r="G33" s="20"/>
      <c r="H33" s="206">
        <v>0.061</v>
      </c>
      <c r="I33" s="20"/>
      <c r="J33" s="20"/>
      <c r="K33" s="20"/>
      <c r="L33" s="20"/>
      <c r="M33" s="20"/>
      <c r="N33" s="20"/>
      <c r="O33" s="20"/>
      <c r="P33" s="20"/>
      <c r="Q33" s="44" t="str">
        <f t="shared" si="4"/>
        <v>#DIV/0!</v>
      </c>
      <c r="R33" s="23">
        <v>0.5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17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97" t="s">
        <v>207</v>
      </c>
      <c r="D35" s="100"/>
      <c r="E35" s="100"/>
      <c r="F35" s="100"/>
      <c r="G35" s="100"/>
      <c r="H35" s="100"/>
      <c r="I35" s="100"/>
      <c r="J35" s="100"/>
      <c r="K35" s="100"/>
      <c r="L35" s="117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D36" s="100"/>
      <c r="E36" s="100"/>
      <c r="F36" s="100"/>
      <c r="G36" s="100"/>
      <c r="H36" s="100"/>
      <c r="I36" s="100"/>
      <c r="J36" s="100"/>
      <c r="K36" s="100"/>
      <c r="L36" s="117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4.25" customHeight="1">
      <c r="A37" s="207" t="s">
        <v>208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17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17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17"/>
      <c r="M39" s="100"/>
      <c r="N39" s="100"/>
      <c r="O39" s="100"/>
      <c r="P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00"/>
      <c r="N40" s="100"/>
      <c r="O40" s="100"/>
      <c r="P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00"/>
      <c r="N41" s="100"/>
      <c r="O41" s="100"/>
      <c r="P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00"/>
      <c r="N42" s="100"/>
      <c r="O42" s="100"/>
      <c r="P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00"/>
      <c r="N43" s="100"/>
      <c r="O43" s="100"/>
      <c r="P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00"/>
      <c r="N44" s="100"/>
      <c r="O44" s="100"/>
      <c r="P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00"/>
      <c r="N45" s="100"/>
      <c r="O45" s="100"/>
      <c r="P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00"/>
      <c r="N46" s="100"/>
      <c r="O46" s="100"/>
      <c r="P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00"/>
      <c r="N47" s="100"/>
      <c r="O47" s="100"/>
      <c r="P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00"/>
      <c r="N48" s="100"/>
      <c r="O48" s="100"/>
      <c r="P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00"/>
      <c r="N49" s="100"/>
      <c r="O49" s="100"/>
      <c r="P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00"/>
      <c r="N50" s="100"/>
      <c r="O50" s="100"/>
      <c r="P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00"/>
      <c r="N51" s="100"/>
      <c r="O51" s="100"/>
      <c r="P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00"/>
      <c r="N52" s="100"/>
      <c r="O52" s="100"/>
      <c r="P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00"/>
      <c r="N53" s="100"/>
      <c r="O53" s="100"/>
      <c r="P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00"/>
      <c r="N54" s="100"/>
      <c r="O54" s="100"/>
      <c r="P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00"/>
      <c r="N55" s="100"/>
      <c r="O55" s="100"/>
      <c r="P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00"/>
      <c r="N56" s="100"/>
      <c r="O56" s="100"/>
      <c r="P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00"/>
      <c r="N57" s="100"/>
      <c r="O57" s="100"/>
      <c r="P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00"/>
      <c r="N58" s="100"/>
      <c r="O58" s="100"/>
      <c r="P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00"/>
      <c r="N59" s="100"/>
      <c r="O59" s="100"/>
      <c r="P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00"/>
      <c r="N60" s="100"/>
      <c r="O60" s="100"/>
      <c r="P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00"/>
      <c r="N61" s="100"/>
      <c r="O61" s="100"/>
      <c r="P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00"/>
      <c r="N62" s="100"/>
      <c r="O62" s="100"/>
      <c r="P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00"/>
      <c r="N63" s="100"/>
      <c r="O63" s="100"/>
      <c r="P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00"/>
      <c r="N64" s="100"/>
      <c r="O64" s="100"/>
      <c r="P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00"/>
      <c r="N65" s="100"/>
      <c r="O65" s="100"/>
      <c r="P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00"/>
      <c r="N66" s="100"/>
      <c r="O66" s="100"/>
      <c r="P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00"/>
      <c r="N67" s="100"/>
      <c r="O67" s="100"/>
      <c r="P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00"/>
      <c r="N68" s="100"/>
      <c r="O68" s="100"/>
      <c r="P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00"/>
      <c r="N69" s="100"/>
      <c r="O69" s="100"/>
      <c r="P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00"/>
      <c r="N70" s="100"/>
      <c r="O70" s="100"/>
      <c r="P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00"/>
      <c r="N71" s="100"/>
      <c r="O71" s="100"/>
      <c r="P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00"/>
      <c r="N72" s="100"/>
      <c r="O72" s="100"/>
      <c r="P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00"/>
      <c r="N73" s="100"/>
      <c r="O73" s="100"/>
      <c r="P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00"/>
      <c r="N74" s="100"/>
      <c r="O74" s="100"/>
      <c r="P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00"/>
      <c r="N75" s="100"/>
      <c r="O75" s="100"/>
      <c r="P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00"/>
      <c r="N76" s="100"/>
      <c r="O76" s="100"/>
      <c r="P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00"/>
      <c r="N77" s="100"/>
      <c r="O77" s="100"/>
      <c r="P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00"/>
      <c r="N78" s="100"/>
      <c r="O78" s="100"/>
      <c r="P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00"/>
      <c r="N79" s="100"/>
      <c r="O79" s="100"/>
      <c r="P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00"/>
      <c r="N80" s="100"/>
      <c r="O80" s="100"/>
      <c r="P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00"/>
      <c r="N81" s="100"/>
      <c r="O81" s="100"/>
      <c r="P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00"/>
      <c r="N82" s="100"/>
      <c r="O82" s="100"/>
      <c r="P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00"/>
      <c r="N83" s="100"/>
      <c r="O83" s="100"/>
      <c r="P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00"/>
      <c r="N84" s="100"/>
      <c r="O84" s="100"/>
      <c r="P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00"/>
      <c r="N85" s="100"/>
      <c r="O85" s="100"/>
      <c r="P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00"/>
      <c r="N86" s="100"/>
      <c r="O86" s="100"/>
      <c r="P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00"/>
      <c r="N87" s="100"/>
      <c r="O87" s="100"/>
      <c r="P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00"/>
      <c r="N88" s="100"/>
      <c r="O88" s="100"/>
      <c r="P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00"/>
      <c r="N89" s="100"/>
      <c r="O89" s="100"/>
      <c r="P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00"/>
      <c r="N90" s="100"/>
      <c r="O90" s="100"/>
      <c r="P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00"/>
      <c r="N91" s="100"/>
      <c r="O91" s="100"/>
      <c r="P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00"/>
      <c r="N92" s="100"/>
      <c r="O92" s="100"/>
      <c r="P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00"/>
      <c r="N93" s="100"/>
      <c r="O93" s="100"/>
      <c r="P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00"/>
      <c r="N94" s="100"/>
      <c r="O94" s="100"/>
      <c r="P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00"/>
      <c r="N95" s="100"/>
      <c r="O95" s="100"/>
      <c r="P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00"/>
      <c r="N96" s="100"/>
      <c r="O96" s="100"/>
      <c r="P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00"/>
      <c r="N97" s="100"/>
      <c r="O97" s="100"/>
      <c r="P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00"/>
      <c r="N98" s="100"/>
      <c r="O98" s="100"/>
      <c r="P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00"/>
      <c r="N99" s="100"/>
      <c r="O99" s="100"/>
      <c r="P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00"/>
      <c r="N100" s="100"/>
      <c r="O100" s="100"/>
      <c r="P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00"/>
      <c r="N101" s="100"/>
      <c r="O101" s="100"/>
      <c r="P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00"/>
      <c r="N102" s="100"/>
      <c r="O102" s="100"/>
      <c r="P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00"/>
      <c r="N103" s="100"/>
      <c r="O103" s="100"/>
      <c r="P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00"/>
      <c r="N104" s="100"/>
      <c r="O104" s="100"/>
      <c r="P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00"/>
      <c r="N105" s="100"/>
      <c r="O105" s="100"/>
      <c r="P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00"/>
      <c r="N106" s="100"/>
      <c r="O106" s="100"/>
      <c r="P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00"/>
      <c r="N107" s="100"/>
      <c r="O107" s="100"/>
      <c r="P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00"/>
      <c r="N108" s="100"/>
      <c r="O108" s="100"/>
      <c r="P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00"/>
      <c r="N109" s="100"/>
      <c r="O109" s="100"/>
      <c r="P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00"/>
      <c r="N110" s="100"/>
      <c r="O110" s="100"/>
      <c r="P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00"/>
      <c r="N111" s="100"/>
      <c r="O111" s="100"/>
      <c r="P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00"/>
      <c r="N112" s="100"/>
      <c r="O112" s="100"/>
      <c r="P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00"/>
      <c r="N113" s="100"/>
      <c r="O113" s="100"/>
      <c r="P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00"/>
      <c r="N114" s="100"/>
      <c r="O114" s="100"/>
      <c r="P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00"/>
      <c r="N115" s="100"/>
      <c r="O115" s="100"/>
      <c r="P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00"/>
      <c r="N116" s="100"/>
      <c r="O116" s="100"/>
      <c r="P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00"/>
      <c r="N117" s="100"/>
      <c r="O117" s="100"/>
      <c r="P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00"/>
      <c r="N118" s="100"/>
      <c r="O118" s="100"/>
      <c r="P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00"/>
      <c r="N119" s="100"/>
      <c r="O119" s="100"/>
      <c r="P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00"/>
      <c r="N120" s="100"/>
      <c r="O120" s="100"/>
      <c r="P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00"/>
      <c r="N121" s="100"/>
      <c r="O121" s="100"/>
      <c r="P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00"/>
      <c r="N122" s="100"/>
      <c r="O122" s="100"/>
      <c r="P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00"/>
      <c r="N123" s="100"/>
      <c r="O123" s="100"/>
      <c r="P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00"/>
      <c r="N124" s="100"/>
      <c r="O124" s="100"/>
      <c r="P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00"/>
      <c r="N125" s="100"/>
      <c r="O125" s="100"/>
      <c r="P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00"/>
      <c r="N126" s="100"/>
      <c r="O126" s="100"/>
      <c r="P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00"/>
      <c r="N127" s="100"/>
      <c r="O127" s="100"/>
      <c r="P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00"/>
      <c r="N128" s="100"/>
      <c r="O128" s="100"/>
      <c r="P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00"/>
      <c r="N129" s="100"/>
      <c r="O129" s="100"/>
      <c r="P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00"/>
      <c r="N130" s="100"/>
      <c r="O130" s="100"/>
      <c r="P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00"/>
      <c r="N131" s="100"/>
      <c r="O131" s="100"/>
      <c r="P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00"/>
      <c r="N132" s="100"/>
      <c r="O132" s="100"/>
      <c r="P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00"/>
      <c r="N133" s="100"/>
      <c r="O133" s="100"/>
      <c r="P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00"/>
      <c r="N134" s="100"/>
      <c r="O134" s="100"/>
      <c r="P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00"/>
      <c r="N135" s="100"/>
      <c r="O135" s="100"/>
      <c r="P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00"/>
      <c r="N136" s="100"/>
      <c r="O136" s="100"/>
      <c r="P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00"/>
      <c r="N137" s="100"/>
      <c r="O137" s="100"/>
      <c r="P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00"/>
      <c r="N138" s="100"/>
      <c r="O138" s="100"/>
      <c r="P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00"/>
      <c r="N139" s="100"/>
      <c r="O139" s="100"/>
      <c r="P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00"/>
      <c r="N140" s="100"/>
      <c r="O140" s="100"/>
      <c r="P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00"/>
      <c r="N141" s="100"/>
      <c r="O141" s="100"/>
      <c r="P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00"/>
      <c r="N142" s="100"/>
      <c r="O142" s="100"/>
      <c r="P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00"/>
      <c r="N143" s="100"/>
      <c r="O143" s="100"/>
      <c r="P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00"/>
      <c r="N144" s="100"/>
      <c r="O144" s="100"/>
      <c r="P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00"/>
      <c r="N145" s="100"/>
      <c r="O145" s="100"/>
      <c r="P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00"/>
      <c r="N146" s="100"/>
      <c r="O146" s="100"/>
      <c r="P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00"/>
      <c r="N147" s="100"/>
      <c r="O147" s="100"/>
      <c r="P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00"/>
      <c r="N148" s="100"/>
      <c r="O148" s="100"/>
      <c r="P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00"/>
      <c r="N149" s="100"/>
      <c r="O149" s="100"/>
      <c r="P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00"/>
      <c r="N150" s="100"/>
      <c r="O150" s="100"/>
      <c r="P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00"/>
      <c r="N151" s="100"/>
      <c r="O151" s="100"/>
      <c r="P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00"/>
      <c r="N152" s="100"/>
      <c r="O152" s="100"/>
      <c r="P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00"/>
      <c r="N153" s="100"/>
      <c r="O153" s="100"/>
      <c r="P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00"/>
      <c r="N154" s="100"/>
      <c r="O154" s="100"/>
      <c r="P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00"/>
      <c r="N155" s="100"/>
      <c r="O155" s="100"/>
      <c r="P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00"/>
      <c r="N156" s="100"/>
      <c r="O156" s="100"/>
      <c r="P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00"/>
      <c r="N157" s="100"/>
      <c r="O157" s="100"/>
      <c r="P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00"/>
      <c r="N158" s="100"/>
      <c r="O158" s="100"/>
      <c r="P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00"/>
      <c r="N159" s="100"/>
      <c r="O159" s="100"/>
      <c r="P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00"/>
      <c r="N160" s="100"/>
      <c r="O160" s="100"/>
      <c r="P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00"/>
      <c r="N161" s="100"/>
      <c r="O161" s="100"/>
      <c r="P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00"/>
      <c r="N162" s="100"/>
      <c r="O162" s="100"/>
      <c r="P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00"/>
      <c r="N163" s="100"/>
      <c r="O163" s="100"/>
      <c r="P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00"/>
      <c r="N164" s="100"/>
      <c r="O164" s="100"/>
      <c r="P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00"/>
      <c r="N165" s="100"/>
      <c r="O165" s="100"/>
      <c r="P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00"/>
      <c r="N166" s="100"/>
      <c r="O166" s="100"/>
      <c r="P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00"/>
      <c r="N167" s="100"/>
      <c r="O167" s="100"/>
      <c r="P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00"/>
      <c r="N168" s="100"/>
      <c r="O168" s="100"/>
      <c r="P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00"/>
      <c r="N169" s="100"/>
      <c r="O169" s="100"/>
      <c r="P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00"/>
      <c r="N170" s="100"/>
      <c r="O170" s="100"/>
      <c r="P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00"/>
      <c r="N171" s="100"/>
      <c r="O171" s="100"/>
      <c r="P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00"/>
      <c r="N172" s="100"/>
      <c r="O172" s="100"/>
      <c r="P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00"/>
      <c r="N173" s="100"/>
      <c r="O173" s="100"/>
      <c r="P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00"/>
      <c r="N174" s="100"/>
      <c r="O174" s="100"/>
      <c r="P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00"/>
      <c r="N175" s="100"/>
      <c r="O175" s="100"/>
      <c r="P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00"/>
      <c r="N176" s="100"/>
      <c r="O176" s="100"/>
      <c r="P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00"/>
      <c r="N177" s="100"/>
      <c r="O177" s="100"/>
      <c r="P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00"/>
      <c r="N178" s="100"/>
      <c r="O178" s="100"/>
      <c r="P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00"/>
      <c r="N179" s="100"/>
      <c r="O179" s="100"/>
      <c r="P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00"/>
      <c r="N180" s="100"/>
      <c r="O180" s="100"/>
      <c r="P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00"/>
      <c r="N181" s="100"/>
      <c r="O181" s="100"/>
      <c r="P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00"/>
      <c r="N182" s="100"/>
      <c r="O182" s="100"/>
      <c r="P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00"/>
      <c r="N183" s="100"/>
      <c r="O183" s="100"/>
      <c r="P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00"/>
      <c r="N184" s="100"/>
      <c r="O184" s="100"/>
      <c r="P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00"/>
      <c r="N185" s="100"/>
      <c r="O185" s="100"/>
      <c r="P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00"/>
      <c r="N186" s="100"/>
      <c r="O186" s="100"/>
      <c r="P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00"/>
      <c r="N187" s="100"/>
      <c r="O187" s="100"/>
      <c r="P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00"/>
      <c r="N188" s="100"/>
      <c r="O188" s="100"/>
      <c r="P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00"/>
      <c r="N189" s="100"/>
      <c r="O189" s="100"/>
      <c r="P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00"/>
      <c r="N190" s="100"/>
      <c r="O190" s="100"/>
      <c r="P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00"/>
      <c r="N191" s="100"/>
      <c r="O191" s="100"/>
      <c r="P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00"/>
      <c r="N192" s="100"/>
      <c r="O192" s="100"/>
      <c r="P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00"/>
      <c r="N193" s="100"/>
      <c r="O193" s="100"/>
      <c r="P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00"/>
      <c r="N194" s="100"/>
      <c r="O194" s="100"/>
      <c r="P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00"/>
      <c r="N195" s="100"/>
      <c r="O195" s="100"/>
      <c r="P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00"/>
      <c r="N196" s="100"/>
      <c r="O196" s="100"/>
      <c r="P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00"/>
      <c r="N197" s="100"/>
      <c r="O197" s="100"/>
      <c r="P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00"/>
      <c r="N198" s="100"/>
      <c r="O198" s="100"/>
      <c r="P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00"/>
      <c r="N199" s="100"/>
      <c r="O199" s="100"/>
      <c r="P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00"/>
      <c r="N200" s="100"/>
      <c r="O200" s="100"/>
      <c r="P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00"/>
      <c r="N201" s="100"/>
      <c r="O201" s="100"/>
      <c r="P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00"/>
      <c r="N202" s="100"/>
      <c r="O202" s="100"/>
      <c r="P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00"/>
      <c r="N203" s="100"/>
      <c r="O203" s="100"/>
      <c r="P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00"/>
      <c r="N204" s="100"/>
      <c r="O204" s="100"/>
      <c r="P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00"/>
      <c r="N205" s="100"/>
      <c r="O205" s="100"/>
      <c r="P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00"/>
      <c r="N206" s="100"/>
      <c r="O206" s="100"/>
      <c r="P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00"/>
      <c r="N207" s="100"/>
      <c r="O207" s="100"/>
      <c r="P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00"/>
      <c r="N208" s="100"/>
      <c r="O208" s="100"/>
      <c r="P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00"/>
      <c r="N209" s="100"/>
      <c r="O209" s="100"/>
      <c r="P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00"/>
      <c r="N210" s="100"/>
      <c r="O210" s="100"/>
      <c r="P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00"/>
      <c r="N211" s="100"/>
      <c r="O211" s="100"/>
      <c r="P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00"/>
      <c r="N212" s="100"/>
      <c r="O212" s="100"/>
      <c r="P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00"/>
      <c r="N213" s="100"/>
      <c r="O213" s="100"/>
      <c r="P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00"/>
      <c r="N214" s="100"/>
      <c r="O214" s="100"/>
      <c r="P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00"/>
      <c r="N215" s="100"/>
      <c r="O215" s="100"/>
      <c r="P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00"/>
      <c r="N216" s="100"/>
      <c r="O216" s="100"/>
      <c r="P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00"/>
      <c r="N217" s="100"/>
      <c r="O217" s="100"/>
      <c r="P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00"/>
      <c r="N218" s="100"/>
      <c r="O218" s="100"/>
      <c r="P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00"/>
      <c r="N219" s="100"/>
      <c r="O219" s="100"/>
      <c r="P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00"/>
      <c r="N220" s="100"/>
      <c r="O220" s="100"/>
      <c r="P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00"/>
      <c r="N221" s="100"/>
      <c r="O221" s="100"/>
      <c r="P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00"/>
      <c r="N222" s="100"/>
      <c r="O222" s="100"/>
      <c r="P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00"/>
      <c r="N223" s="100"/>
      <c r="O223" s="100"/>
      <c r="P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00"/>
      <c r="N224" s="100"/>
      <c r="O224" s="100"/>
      <c r="P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00"/>
      <c r="N225" s="100"/>
      <c r="O225" s="100"/>
      <c r="P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00"/>
      <c r="N226" s="100"/>
      <c r="O226" s="100"/>
      <c r="P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00"/>
      <c r="N227" s="100"/>
      <c r="O227" s="100"/>
      <c r="P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00"/>
      <c r="N228" s="100"/>
      <c r="O228" s="100"/>
      <c r="P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00"/>
      <c r="N229" s="100"/>
      <c r="O229" s="100"/>
      <c r="P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00"/>
      <c r="N230" s="100"/>
      <c r="O230" s="100"/>
      <c r="P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00"/>
      <c r="N231" s="100"/>
      <c r="O231" s="100"/>
      <c r="P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00"/>
      <c r="N232" s="100"/>
      <c r="O232" s="100"/>
      <c r="P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00"/>
      <c r="N233" s="100"/>
      <c r="O233" s="100"/>
      <c r="P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00"/>
      <c r="N234" s="100"/>
      <c r="O234" s="100"/>
      <c r="P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00"/>
      <c r="N235" s="100"/>
      <c r="O235" s="100"/>
      <c r="P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00"/>
      <c r="N236" s="100"/>
      <c r="O236" s="100"/>
      <c r="P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00"/>
      <c r="N237" s="100"/>
      <c r="O237" s="100"/>
      <c r="P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00"/>
      <c r="N238" s="100"/>
      <c r="O238" s="100"/>
      <c r="P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00"/>
      <c r="N239" s="100"/>
      <c r="O239" s="100"/>
      <c r="P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00"/>
      <c r="N240" s="100"/>
      <c r="O240" s="100"/>
      <c r="P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00"/>
      <c r="N241" s="100"/>
      <c r="O241" s="100"/>
      <c r="P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00"/>
      <c r="N242" s="100"/>
      <c r="O242" s="100"/>
      <c r="P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00"/>
      <c r="N243" s="100"/>
      <c r="O243" s="100"/>
      <c r="P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00"/>
      <c r="N244" s="100"/>
      <c r="O244" s="100"/>
      <c r="P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00"/>
      <c r="N245" s="100"/>
      <c r="O245" s="100"/>
      <c r="P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00"/>
      <c r="N246" s="100"/>
      <c r="O246" s="100"/>
      <c r="P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00"/>
      <c r="N247" s="100"/>
      <c r="O247" s="100"/>
      <c r="P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00"/>
      <c r="N248" s="100"/>
      <c r="O248" s="100"/>
      <c r="P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00"/>
      <c r="N249" s="100"/>
      <c r="O249" s="100"/>
      <c r="P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00"/>
      <c r="N250" s="100"/>
      <c r="O250" s="100"/>
      <c r="P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00"/>
      <c r="N251" s="100"/>
      <c r="O251" s="100"/>
      <c r="P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00"/>
      <c r="N252" s="100"/>
      <c r="O252" s="100"/>
      <c r="P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00"/>
      <c r="N253" s="100"/>
      <c r="O253" s="100"/>
      <c r="P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00"/>
      <c r="N254" s="100"/>
      <c r="O254" s="100"/>
      <c r="P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00"/>
      <c r="N255" s="100"/>
      <c r="O255" s="100"/>
      <c r="P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00"/>
      <c r="N256" s="100"/>
      <c r="O256" s="100"/>
      <c r="P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00"/>
      <c r="N257" s="100"/>
      <c r="O257" s="100"/>
      <c r="P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00"/>
      <c r="N258" s="100"/>
      <c r="O258" s="100"/>
      <c r="P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00"/>
      <c r="N259" s="100"/>
      <c r="O259" s="100"/>
      <c r="P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00"/>
      <c r="N260" s="100"/>
      <c r="O260" s="100"/>
      <c r="P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00"/>
      <c r="N261" s="100"/>
      <c r="O261" s="100"/>
      <c r="P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00"/>
      <c r="N262" s="100"/>
      <c r="O262" s="100"/>
      <c r="P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00"/>
      <c r="N263" s="100"/>
      <c r="O263" s="100"/>
      <c r="P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00"/>
      <c r="N264" s="100"/>
      <c r="O264" s="100"/>
      <c r="P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00"/>
      <c r="N265" s="100"/>
      <c r="O265" s="100"/>
      <c r="P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00"/>
      <c r="N266" s="100"/>
      <c r="O266" s="100"/>
      <c r="P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00"/>
      <c r="N267" s="100"/>
      <c r="O267" s="100"/>
      <c r="P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00"/>
      <c r="N268" s="100"/>
      <c r="O268" s="100"/>
      <c r="P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00"/>
      <c r="N269" s="100"/>
      <c r="O269" s="100"/>
      <c r="P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00"/>
      <c r="N270" s="100"/>
      <c r="O270" s="100"/>
      <c r="P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00"/>
      <c r="N271" s="100"/>
      <c r="O271" s="100"/>
      <c r="P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00"/>
      <c r="N272" s="100"/>
      <c r="O272" s="100"/>
      <c r="P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00"/>
      <c r="N273" s="100"/>
      <c r="O273" s="100"/>
      <c r="P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00"/>
      <c r="N274" s="100"/>
      <c r="O274" s="100"/>
      <c r="P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00"/>
      <c r="N275" s="100"/>
      <c r="O275" s="100"/>
      <c r="P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00"/>
      <c r="N276" s="100"/>
      <c r="O276" s="100"/>
      <c r="P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00"/>
      <c r="N277" s="100"/>
      <c r="O277" s="100"/>
      <c r="P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00"/>
      <c r="N278" s="100"/>
      <c r="O278" s="100"/>
      <c r="P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00"/>
      <c r="N279" s="100"/>
      <c r="O279" s="100"/>
      <c r="P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00"/>
      <c r="N280" s="100"/>
      <c r="O280" s="100"/>
      <c r="P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00"/>
      <c r="N281" s="100"/>
      <c r="O281" s="100"/>
      <c r="P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00"/>
      <c r="N282" s="100"/>
      <c r="O282" s="100"/>
      <c r="P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00"/>
      <c r="N283" s="100"/>
      <c r="O283" s="100"/>
      <c r="P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00"/>
      <c r="N284" s="100"/>
      <c r="O284" s="100"/>
      <c r="P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00"/>
      <c r="N285" s="100"/>
      <c r="O285" s="100"/>
      <c r="P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00"/>
      <c r="N286" s="100"/>
      <c r="O286" s="100"/>
      <c r="P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00"/>
      <c r="N287" s="100"/>
      <c r="O287" s="100"/>
      <c r="P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00"/>
      <c r="N288" s="100"/>
      <c r="O288" s="100"/>
      <c r="P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00"/>
      <c r="N289" s="100"/>
      <c r="O289" s="100"/>
      <c r="P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00"/>
      <c r="N290" s="100"/>
      <c r="O290" s="100"/>
      <c r="P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00"/>
      <c r="N291" s="100"/>
      <c r="O291" s="100"/>
      <c r="P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00"/>
      <c r="N292" s="100"/>
      <c r="O292" s="100"/>
      <c r="P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00"/>
      <c r="N293" s="100"/>
      <c r="O293" s="100"/>
      <c r="P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00"/>
      <c r="N294" s="100"/>
      <c r="O294" s="100"/>
      <c r="P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00"/>
      <c r="N295" s="100"/>
      <c r="O295" s="100"/>
      <c r="P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00"/>
      <c r="N296" s="100"/>
      <c r="O296" s="100"/>
      <c r="P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00"/>
      <c r="N297" s="100"/>
      <c r="O297" s="100"/>
      <c r="P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00"/>
      <c r="N298" s="100"/>
      <c r="O298" s="100"/>
      <c r="P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00"/>
      <c r="N299" s="100"/>
      <c r="O299" s="100"/>
      <c r="P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00"/>
      <c r="N300" s="100"/>
      <c r="O300" s="100"/>
      <c r="P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00"/>
      <c r="N301" s="100"/>
      <c r="O301" s="100"/>
      <c r="P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00"/>
      <c r="N302" s="100"/>
      <c r="O302" s="100"/>
      <c r="P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00"/>
      <c r="N303" s="100"/>
      <c r="O303" s="100"/>
      <c r="P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00"/>
      <c r="N304" s="100"/>
      <c r="O304" s="100"/>
      <c r="P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00"/>
      <c r="N305" s="100"/>
      <c r="O305" s="100"/>
      <c r="P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00"/>
      <c r="N306" s="100"/>
      <c r="O306" s="100"/>
      <c r="P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00"/>
      <c r="N307" s="100"/>
      <c r="O307" s="100"/>
      <c r="P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00"/>
      <c r="N308" s="100"/>
      <c r="O308" s="100"/>
      <c r="P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00"/>
      <c r="N309" s="100"/>
      <c r="O309" s="100"/>
      <c r="P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00"/>
      <c r="N310" s="100"/>
      <c r="O310" s="100"/>
      <c r="P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00"/>
      <c r="N311" s="100"/>
      <c r="O311" s="100"/>
      <c r="P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00"/>
      <c r="N312" s="100"/>
      <c r="O312" s="100"/>
      <c r="P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00"/>
      <c r="N313" s="100"/>
      <c r="O313" s="100"/>
      <c r="P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00"/>
      <c r="N314" s="100"/>
      <c r="O314" s="100"/>
      <c r="P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00"/>
      <c r="N315" s="100"/>
      <c r="O315" s="100"/>
      <c r="P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00"/>
      <c r="N316" s="100"/>
      <c r="O316" s="100"/>
      <c r="P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00"/>
      <c r="N317" s="100"/>
      <c r="O317" s="100"/>
      <c r="P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00"/>
      <c r="N318" s="100"/>
      <c r="O318" s="100"/>
      <c r="P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00"/>
      <c r="N319" s="100"/>
      <c r="O319" s="100"/>
      <c r="P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00"/>
      <c r="N320" s="100"/>
      <c r="O320" s="100"/>
      <c r="P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00"/>
      <c r="N321" s="100"/>
      <c r="O321" s="100"/>
      <c r="P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00"/>
      <c r="N322" s="100"/>
      <c r="O322" s="100"/>
      <c r="P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00"/>
      <c r="N323" s="100"/>
      <c r="O323" s="100"/>
      <c r="P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00"/>
      <c r="N324" s="100"/>
      <c r="O324" s="100"/>
      <c r="P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00"/>
      <c r="N325" s="100"/>
      <c r="O325" s="100"/>
      <c r="P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00"/>
      <c r="N326" s="100"/>
      <c r="O326" s="100"/>
      <c r="P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00"/>
      <c r="N327" s="100"/>
      <c r="O327" s="100"/>
      <c r="P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00"/>
      <c r="N328" s="100"/>
      <c r="O328" s="100"/>
      <c r="P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00"/>
      <c r="N329" s="100"/>
      <c r="O329" s="100"/>
      <c r="P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00"/>
      <c r="N330" s="100"/>
      <c r="O330" s="100"/>
      <c r="P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00"/>
      <c r="N331" s="100"/>
      <c r="O331" s="100"/>
      <c r="P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00"/>
      <c r="N332" s="100"/>
      <c r="O332" s="100"/>
      <c r="P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00"/>
      <c r="N333" s="100"/>
      <c r="O333" s="100"/>
      <c r="P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00"/>
      <c r="N334" s="100"/>
      <c r="O334" s="100"/>
      <c r="P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00"/>
      <c r="N335" s="100"/>
      <c r="O335" s="100"/>
      <c r="P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00"/>
      <c r="N336" s="100"/>
      <c r="O336" s="100"/>
      <c r="P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00"/>
      <c r="N337" s="100"/>
      <c r="O337" s="100"/>
      <c r="P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00"/>
      <c r="N338" s="100"/>
      <c r="O338" s="100"/>
      <c r="P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00"/>
      <c r="N339" s="100"/>
      <c r="O339" s="100"/>
      <c r="P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00"/>
      <c r="N340" s="100"/>
      <c r="O340" s="100"/>
      <c r="P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00"/>
      <c r="N341" s="100"/>
      <c r="O341" s="100"/>
      <c r="P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00"/>
      <c r="N342" s="100"/>
      <c r="O342" s="100"/>
      <c r="P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00"/>
      <c r="N343" s="100"/>
      <c r="O343" s="100"/>
      <c r="P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00"/>
      <c r="N344" s="100"/>
      <c r="O344" s="100"/>
      <c r="P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00"/>
      <c r="N345" s="100"/>
      <c r="O345" s="100"/>
      <c r="P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00"/>
      <c r="N346" s="100"/>
      <c r="O346" s="100"/>
      <c r="P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00"/>
      <c r="N347" s="100"/>
      <c r="O347" s="100"/>
      <c r="P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00"/>
      <c r="N348" s="100"/>
      <c r="O348" s="100"/>
      <c r="P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00"/>
      <c r="N349" s="100"/>
      <c r="O349" s="100"/>
      <c r="P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00"/>
      <c r="N350" s="100"/>
      <c r="O350" s="100"/>
      <c r="P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00"/>
      <c r="N351" s="100"/>
      <c r="O351" s="100"/>
      <c r="P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00"/>
      <c r="N352" s="100"/>
      <c r="O352" s="100"/>
      <c r="P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00"/>
      <c r="N353" s="100"/>
      <c r="O353" s="100"/>
      <c r="P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00"/>
      <c r="N354" s="100"/>
      <c r="O354" s="100"/>
      <c r="P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00"/>
      <c r="N355" s="100"/>
      <c r="O355" s="100"/>
      <c r="P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00"/>
      <c r="N356" s="100"/>
      <c r="O356" s="100"/>
      <c r="P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00"/>
      <c r="N357" s="100"/>
      <c r="O357" s="100"/>
      <c r="P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00"/>
      <c r="N358" s="100"/>
      <c r="O358" s="100"/>
      <c r="P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00"/>
      <c r="N359" s="100"/>
      <c r="O359" s="100"/>
      <c r="P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00"/>
      <c r="N360" s="100"/>
      <c r="O360" s="100"/>
      <c r="P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00"/>
      <c r="N361" s="100"/>
      <c r="O361" s="100"/>
      <c r="P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00"/>
      <c r="N362" s="100"/>
      <c r="O362" s="100"/>
      <c r="P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00"/>
      <c r="N363" s="100"/>
      <c r="O363" s="100"/>
      <c r="P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00"/>
      <c r="N364" s="100"/>
      <c r="O364" s="100"/>
      <c r="P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00"/>
      <c r="N365" s="100"/>
      <c r="O365" s="100"/>
      <c r="P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00"/>
      <c r="N366" s="100"/>
      <c r="O366" s="100"/>
      <c r="P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00"/>
      <c r="N367" s="100"/>
      <c r="O367" s="100"/>
      <c r="P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00"/>
      <c r="N368" s="100"/>
      <c r="O368" s="100"/>
      <c r="P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00"/>
      <c r="N369" s="100"/>
      <c r="O369" s="100"/>
      <c r="P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00"/>
      <c r="N370" s="100"/>
      <c r="O370" s="100"/>
      <c r="P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00"/>
      <c r="N371" s="100"/>
      <c r="O371" s="100"/>
      <c r="P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00"/>
      <c r="N372" s="100"/>
      <c r="O372" s="100"/>
      <c r="P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00"/>
      <c r="N373" s="100"/>
      <c r="O373" s="100"/>
      <c r="P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00"/>
      <c r="N374" s="100"/>
      <c r="O374" s="100"/>
      <c r="P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00"/>
      <c r="N375" s="100"/>
      <c r="O375" s="100"/>
      <c r="P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00"/>
      <c r="N376" s="100"/>
      <c r="O376" s="100"/>
      <c r="P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00"/>
      <c r="N377" s="100"/>
      <c r="O377" s="100"/>
      <c r="P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00"/>
      <c r="N378" s="100"/>
      <c r="O378" s="100"/>
      <c r="P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00"/>
      <c r="N379" s="100"/>
      <c r="O379" s="100"/>
      <c r="P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00"/>
      <c r="N380" s="100"/>
      <c r="O380" s="100"/>
      <c r="P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00"/>
      <c r="N381" s="100"/>
      <c r="O381" s="100"/>
      <c r="P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00"/>
      <c r="N382" s="100"/>
      <c r="O382" s="100"/>
      <c r="P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00"/>
      <c r="N383" s="100"/>
      <c r="O383" s="100"/>
      <c r="P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00"/>
      <c r="N384" s="100"/>
      <c r="O384" s="100"/>
      <c r="P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00"/>
      <c r="N385" s="100"/>
      <c r="O385" s="100"/>
      <c r="P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00"/>
      <c r="N386" s="100"/>
      <c r="O386" s="100"/>
      <c r="P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00"/>
      <c r="N387" s="100"/>
      <c r="O387" s="100"/>
      <c r="P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00"/>
      <c r="N388" s="100"/>
      <c r="O388" s="100"/>
      <c r="P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00"/>
      <c r="N389" s="100"/>
      <c r="O389" s="100"/>
      <c r="P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00"/>
      <c r="N390" s="100"/>
      <c r="O390" s="100"/>
      <c r="P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00"/>
      <c r="N391" s="100"/>
      <c r="O391" s="100"/>
      <c r="P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00"/>
      <c r="N392" s="100"/>
      <c r="O392" s="100"/>
      <c r="P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00"/>
      <c r="N393" s="100"/>
      <c r="O393" s="100"/>
      <c r="P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00"/>
      <c r="N394" s="100"/>
      <c r="O394" s="100"/>
      <c r="P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00"/>
      <c r="N395" s="100"/>
      <c r="O395" s="100"/>
      <c r="P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00"/>
      <c r="N396" s="100"/>
      <c r="O396" s="100"/>
      <c r="P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00"/>
      <c r="N397" s="100"/>
      <c r="O397" s="100"/>
      <c r="P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00"/>
      <c r="N398" s="100"/>
      <c r="O398" s="100"/>
      <c r="P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00"/>
      <c r="N399" s="100"/>
      <c r="O399" s="100"/>
      <c r="P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00"/>
      <c r="N400" s="100"/>
      <c r="O400" s="100"/>
      <c r="P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00"/>
      <c r="N401" s="100"/>
      <c r="O401" s="100"/>
      <c r="P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00"/>
      <c r="N402" s="100"/>
      <c r="O402" s="100"/>
      <c r="P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00"/>
      <c r="N403" s="100"/>
      <c r="O403" s="100"/>
      <c r="P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00"/>
      <c r="N404" s="100"/>
      <c r="O404" s="100"/>
      <c r="P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00"/>
      <c r="N405" s="100"/>
      <c r="O405" s="100"/>
      <c r="P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00"/>
      <c r="N406" s="100"/>
      <c r="O406" s="100"/>
      <c r="P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00"/>
      <c r="N407" s="100"/>
      <c r="O407" s="100"/>
      <c r="P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00"/>
      <c r="N408" s="100"/>
      <c r="O408" s="100"/>
      <c r="P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00"/>
      <c r="N409" s="100"/>
      <c r="O409" s="100"/>
      <c r="P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00"/>
      <c r="N410" s="100"/>
      <c r="O410" s="100"/>
      <c r="P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00"/>
      <c r="N411" s="100"/>
      <c r="O411" s="100"/>
      <c r="P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00"/>
      <c r="N412" s="100"/>
      <c r="O412" s="100"/>
      <c r="P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00"/>
      <c r="N413" s="100"/>
      <c r="O413" s="100"/>
      <c r="P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00"/>
      <c r="N414" s="100"/>
      <c r="O414" s="100"/>
      <c r="P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00"/>
      <c r="N415" s="100"/>
      <c r="O415" s="100"/>
      <c r="P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00"/>
      <c r="N416" s="100"/>
      <c r="O416" s="100"/>
      <c r="P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00"/>
      <c r="N417" s="100"/>
      <c r="O417" s="100"/>
      <c r="P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00"/>
      <c r="N418" s="100"/>
      <c r="O418" s="100"/>
      <c r="P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00"/>
      <c r="N419" s="100"/>
      <c r="O419" s="100"/>
      <c r="P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00"/>
      <c r="N420" s="100"/>
      <c r="O420" s="100"/>
      <c r="P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00"/>
      <c r="N421" s="100"/>
      <c r="O421" s="100"/>
      <c r="P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00"/>
      <c r="N422" s="100"/>
      <c r="O422" s="100"/>
      <c r="P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00"/>
      <c r="N423" s="100"/>
      <c r="O423" s="100"/>
      <c r="P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00"/>
      <c r="N424" s="100"/>
      <c r="O424" s="100"/>
      <c r="P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00"/>
      <c r="N425" s="100"/>
      <c r="O425" s="100"/>
      <c r="P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00"/>
      <c r="N426" s="100"/>
      <c r="O426" s="100"/>
      <c r="P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00"/>
      <c r="N427" s="100"/>
      <c r="O427" s="100"/>
      <c r="P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00"/>
      <c r="N428" s="100"/>
      <c r="O428" s="100"/>
      <c r="P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00"/>
      <c r="N429" s="100"/>
      <c r="O429" s="100"/>
      <c r="P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00"/>
      <c r="N430" s="100"/>
      <c r="O430" s="100"/>
      <c r="P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00"/>
      <c r="N431" s="100"/>
      <c r="O431" s="100"/>
      <c r="P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00"/>
      <c r="N432" s="100"/>
      <c r="O432" s="100"/>
      <c r="P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00"/>
      <c r="N433" s="100"/>
      <c r="O433" s="100"/>
      <c r="P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00"/>
      <c r="N434" s="100"/>
      <c r="O434" s="100"/>
      <c r="P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00"/>
      <c r="N435" s="100"/>
      <c r="O435" s="100"/>
      <c r="P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00"/>
      <c r="N436" s="100"/>
      <c r="O436" s="100"/>
      <c r="P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00"/>
      <c r="N437" s="100"/>
      <c r="O437" s="100"/>
      <c r="P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00"/>
      <c r="N438" s="100"/>
      <c r="O438" s="100"/>
      <c r="P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00"/>
      <c r="N439" s="100"/>
      <c r="O439" s="100"/>
      <c r="P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00"/>
      <c r="N440" s="100"/>
      <c r="O440" s="100"/>
      <c r="P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00"/>
      <c r="N441" s="100"/>
      <c r="O441" s="100"/>
      <c r="P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00"/>
      <c r="N442" s="100"/>
      <c r="O442" s="100"/>
      <c r="P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00"/>
      <c r="N443" s="100"/>
      <c r="O443" s="100"/>
      <c r="P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00"/>
      <c r="N444" s="100"/>
      <c r="O444" s="100"/>
      <c r="P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00"/>
      <c r="N445" s="100"/>
      <c r="O445" s="100"/>
      <c r="P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00"/>
      <c r="N446" s="100"/>
      <c r="O446" s="100"/>
      <c r="P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00"/>
      <c r="N447" s="100"/>
      <c r="O447" s="100"/>
      <c r="P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00"/>
      <c r="N448" s="100"/>
      <c r="O448" s="100"/>
      <c r="P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00"/>
      <c r="N449" s="100"/>
      <c r="O449" s="100"/>
      <c r="P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00"/>
      <c r="N450" s="100"/>
      <c r="O450" s="100"/>
      <c r="P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00"/>
      <c r="N451" s="100"/>
      <c r="O451" s="100"/>
      <c r="P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00"/>
      <c r="N452" s="100"/>
      <c r="O452" s="100"/>
      <c r="P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00"/>
      <c r="N453" s="100"/>
      <c r="O453" s="100"/>
      <c r="P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00"/>
      <c r="N454" s="100"/>
      <c r="O454" s="100"/>
      <c r="P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00"/>
      <c r="N455" s="100"/>
      <c r="O455" s="100"/>
      <c r="P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00"/>
      <c r="N456" s="100"/>
      <c r="O456" s="100"/>
      <c r="P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00"/>
      <c r="N457" s="100"/>
      <c r="O457" s="100"/>
      <c r="P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00"/>
      <c r="N458" s="100"/>
      <c r="O458" s="100"/>
      <c r="P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00"/>
      <c r="N459" s="100"/>
      <c r="O459" s="100"/>
      <c r="P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00"/>
      <c r="N460" s="100"/>
      <c r="O460" s="100"/>
      <c r="P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00"/>
      <c r="N461" s="100"/>
      <c r="O461" s="100"/>
      <c r="P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00"/>
      <c r="N462" s="100"/>
      <c r="O462" s="100"/>
      <c r="P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00"/>
      <c r="N463" s="100"/>
      <c r="O463" s="100"/>
      <c r="P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00"/>
      <c r="N464" s="100"/>
      <c r="O464" s="100"/>
      <c r="P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00"/>
      <c r="N465" s="100"/>
      <c r="O465" s="100"/>
      <c r="P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00"/>
      <c r="N466" s="100"/>
      <c r="O466" s="100"/>
      <c r="P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00"/>
      <c r="N467" s="100"/>
      <c r="O467" s="100"/>
      <c r="P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00"/>
      <c r="N468" s="100"/>
      <c r="O468" s="100"/>
      <c r="P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00"/>
      <c r="N469" s="100"/>
      <c r="O469" s="100"/>
      <c r="P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00"/>
      <c r="N470" s="100"/>
      <c r="O470" s="100"/>
      <c r="P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00"/>
      <c r="N471" s="100"/>
      <c r="O471" s="100"/>
      <c r="P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00"/>
      <c r="N472" s="100"/>
      <c r="O472" s="100"/>
      <c r="P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00"/>
      <c r="N473" s="100"/>
      <c r="O473" s="100"/>
      <c r="P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00"/>
      <c r="N474" s="100"/>
      <c r="O474" s="100"/>
      <c r="P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00"/>
      <c r="N475" s="100"/>
      <c r="O475" s="100"/>
      <c r="P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00"/>
      <c r="N476" s="100"/>
      <c r="O476" s="100"/>
      <c r="P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00"/>
      <c r="N477" s="100"/>
      <c r="O477" s="100"/>
      <c r="P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00"/>
      <c r="N478" s="100"/>
      <c r="O478" s="100"/>
      <c r="P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00"/>
      <c r="N479" s="100"/>
      <c r="O479" s="100"/>
      <c r="P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00"/>
      <c r="N480" s="100"/>
      <c r="O480" s="100"/>
      <c r="P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00"/>
      <c r="N481" s="100"/>
      <c r="O481" s="100"/>
      <c r="P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00"/>
      <c r="N482" s="100"/>
      <c r="O482" s="100"/>
      <c r="P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00"/>
      <c r="N483" s="100"/>
      <c r="O483" s="100"/>
      <c r="P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00"/>
      <c r="N484" s="100"/>
      <c r="O484" s="100"/>
      <c r="P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00"/>
      <c r="N485" s="100"/>
      <c r="O485" s="100"/>
      <c r="P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00"/>
      <c r="N486" s="100"/>
      <c r="O486" s="100"/>
      <c r="P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00"/>
      <c r="N487" s="100"/>
      <c r="O487" s="100"/>
      <c r="P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00"/>
      <c r="N488" s="100"/>
      <c r="O488" s="100"/>
      <c r="P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00"/>
      <c r="N489" s="100"/>
      <c r="O489" s="100"/>
      <c r="P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00"/>
      <c r="N490" s="100"/>
      <c r="O490" s="100"/>
      <c r="P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00"/>
      <c r="N491" s="100"/>
      <c r="O491" s="100"/>
      <c r="P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00"/>
      <c r="N492" s="100"/>
      <c r="O492" s="100"/>
      <c r="P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00"/>
      <c r="N493" s="100"/>
      <c r="O493" s="100"/>
      <c r="P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00"/>
      <c r="N494" s="100"/>
      <c r="O494" s="100"/>
      <c r="P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00"/>
      <c r="N495" s="100"/>
      <c r="O495" s="100"/>
      <c r="P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00"/>
      <c r="N496" s="100"/>
      <c r="O496" s="100"/>
      <c r="P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00"/>
      <c r="N497" s="100"/>
      <c r="O497" s="100"/>
      <c r="P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00"/>
      <c r="N498" s="100"/>
      <c r="O498" s="100"/>
      <c r="P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00"/>
      <c r="N499" s="100"/>
      <c r="O499" s="100"/>
      <c r="P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00"/>
      <c r="N500" s="100"/>
      <c r="O500" s="100"/>
      <c r="P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00"/>
      <c r="N501" s="100"/>
      <c r="O501" s="100"/>
      <c r="P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00"/>
      <c r="N502" s="100"/>
      <c r="O502" s="100"/>
      <c r="P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00"/>
      <c r="N503" s="100"/>
      <c r="O503" s="100"/>
      <c r="P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00"/>
      <c r="N504" s="100"/>
      <c r="O504" s="100"/>
      <c r="P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00"/>
      <c r="N505" s="100"/>
      <c r="O505" s="100"/>
      <c r="P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00"/>
      <c r="N506" s="100"/>
      <c r="O506" s="100"/>
      <c r="P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00"/>
      <c r="N507" s="100"/>
      <c r="O507" s="100"/>
      <c r="P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00"/>
      <c r="N508" s="100"/>
      <c r="O508" s="100"/>
      <c r="P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00"/>
      <c r="N509" s="100"/>
      <c r="O509" s="100"/>
      <c r="P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00"/>
      <c r="N510" s="100"/>
      <c r="O510" s="100"/>
      <c r="P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00"/>
      <c r="N511" s="100"/>
      <c r="O511" s="100"/>
      <c r="P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00"/>
      <c r="N512" s="100"/>
      <c r="O512" s="100"/>
      <c r="P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00"/>
      <c r="N513" s="100"/>
      <c r="O513" s="100"/>
      <c r="P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00"/>
      <c r="N514" s="100"/>
      <c r="O514" s="100"/>
      <c r="P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00"/>
      <c r="N515" s="100"/>
      <c r="O515" s="100"/>
      <c r="P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00"/>
      <c r="N516" s="100"/>
      <c r="O516" s="100"/>
      <c r="P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00"/>
      <c r="N517" s="100"/>
      <c r="O517" s="100"/>
      <c r="P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00"/>
      <c r="N518" s="100"/>
      <c r="O518" s="100"/>
      <c r="P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00"/>
      <c r="N519" s="100"/>
      <c r="O519" s="100"/>
      <c r="P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00"/>
      <c r="N520" s="100"/>
      <c r="O520" s="100"/>
      <c r="P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00"/>
      <c r="N521" s="100"/>
      <c r="O521" s="100"/>
      <c r="P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00"/>
      <c r="N522" s="100"/>
      <c r="O522" s="100"/>
      <c r="P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00"/>
      <c r="N523" s="100"/>
      <c r="O523" s="100"/>
      <c r="P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00"/>
      <c r="N524" s="100"/>
      <c r="O524" s="100"/>
      <c r="P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00"/>
      <c r="N525" s="100"/>
      <c r="O525" s="100"/>
      <c r="P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00"/>
      <c r="N526" s="100"/>
      <c r="O526" s="100"/>
      <c r="P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00"/>
      <c r="N527" s="100"/>
      <c r="O527" s="100"/>
      <c r="P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00"/>
      <c r="N528" s="100"/>
      <c r="O528" s="100"/>
      <c r="P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00"/>
      <c r="N529" s="100"/>
      <c r="O529" s="100"/>
      <c r="P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00"/>
      <c r="N530" s="100"/>
      <c r="O530" s="100"/>
      <c r="P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00"/>
      <c r="N531" s="100"/>
      <c r="O531" s="100"/>
      <c r="P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00"/>
      <c r="N532" s="100"/>
      <c r="O532" s="100"/>
      <c r="P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00"/>
      <c r="N533" s="100"/>
      <c r="O533" s="100"/>
      <c r="P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00"/>
      <c r="N534" s="100"/>
      <c r="O534" s="100"/>
      <c r="P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00"/>
      <c r="N535" s="100"/>
      <c r="O535" s="100"/>
      <c r="P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00"/>
      <c r="N536" s="100"/>
      <c r="O536" s="100"/>
      <c r="P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00"/>
      <c r="N537" s="100"/>
      <c r="O537" s="100"/>
      <c r="P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00"/>
      <c r="N538" s="100"/>
      <c r="O538" s="100"/>
      <c r="P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00"/>
      <c r="N539" s="100"/>
      <c r="O539" s="100"/>
      <c r="P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00"/>
      <c r="N540" s="100"/>
      <c r="O540" s="100"/>
      <c r="P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00"/>
      <c r="N541" s="100"/>
      <c r="O541" s="100"/>
      <c r="P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00"/>
      <c r="N542" s="100"/>
      <c r="O542" s="100"/>
      <c r="P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00"/>
      <c r="N543" s="100"/>
      <c r="O543" s="100"/>
      <c r="P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00"/>
      <c r="N544" s="100"/>
      <c r="O544" s="100"/>
      <c r="P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00"/>
      <c r="N545" s="100"/>
      <c r="O545" s="100"/>
      <c r="P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00"/>
      <c r="N546" s="100"/>
      <c r="O546" s="100"/>
      <c r="P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00"/>
      <c r="N547" s="100"/>
      <c r="O547" s="100"/>
      <c r="P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00"/>
      <c r="N548" s="100"/>
      <c r="O548" s="100"/>
      <c r="P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00"/>
      <c r="N549" s="100"/>
      <c r="O549" s="100"/>
      <c r="P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00"/>
      <c r="N550" s="100"/>
      <c r="O550" s="100"/>
      <c r="P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00"/>
      <c r="N551" s="100"/>
      <c r="O551" s="100"/>
      <c r="P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00"/>
      <c r="N552" s="100"/>
      <c r="O552" s="100"/>
      <c r="P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00"/>
      <c r="N553" s="100"/>
      <c r="O553" s="100"/>
      <c r="P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00"/>
      <c r="N554" s="100"/>
      <c r="O554" s="100"/>
      <c r="P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00"/>
      <c r="N555" s="100"/>
      <c r="O555" s="100"/>
      <c r="P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00"/>
      <c r="N556" s="100"/>
      <c r="O556" s="100"/>
      <c r="P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00"/>
      <c r="N557" s="100"/>
      <c r="O557" s="100"/>
      <c r="P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00"/>
      <c r="N558" s="100"/>
      <c r="O558" s="100"/>
      <c r="P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00"/>
      <c r="N559" s="100"/>
      <c r="O559" s="100"/>
      <c r="P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00"/>
      <c r="N560" s="100"/>
      <c r="O560" s="100"/>
      <c r="P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00"/>
      <c r="N561" s="100"/>
      <c r="O561" s="100"/>
      <c r="P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00"/>
      <c r="N562" s="100"/>
      <c r="O562" s="100"/>
      <c r="P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00"/>
      <c r="N563" s="100"/>
      <c r="O563" s="100"/>
      <c r="P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00"/>
      <c r="N564" s="100"/>
      <c r="O564" s="100"/>
      <c r="P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00"/>
      <c r="N565" s="100"/>
      <c r="O565" s="100"/>
      <c r="P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00"/>
      <c r="N566" s="100"/>
      <c r="O566" s="100"/>
      <c r="P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00"/>
      <c r="N567" s="100"/>
      <c r="O567" s="100"/>
      <c r="P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00"/>
      <c r="N568" s="100"/>
      <c r="O568" s="100"/>
      <c r="P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00"/>
      <c r="N569" s="100"/>
      <c r="O569" s="100"/>
      <c r="P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00"/>
      <c r="N570" s="100"/>
      <c r="O570" s="100"/>
      <c r="P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00"/>
      <c r="N571" s="100"/>
      <c r="O571" s="100"/>
      <c r="P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00"/>
      <c r="N572" s="100"/>
      <c r="O572" s="100"/>
      <c r="P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00"/>
      <c r="N573" s="100"/>
      <c r="O573" s="100"/>
      <c r="P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00"/>
      <c r="N574" s="100"/>
      <c r="O574" s="100"/>
      <c r="P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00"/>
      <c r="N575" s="100"/>
      <c r="O575" s="100"/>
      <c r="P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00"/>
      <c r="N576" s="100"/>
      <c r="O576" s="100"/>
      <c r="P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00"/>
      <c r="N577" s="100"/>
      <c r="O577" s="100"/>
      <c r="P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00"/>
      <c r="N578" s="100"/>
      <c r="O578" s="100"/>
      <c r="P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00"/>
      <c r="N579" s="100"/>
      <c r="O579" s="100"/>
      <c r="P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00"/>
      <c r="N580" s="100"/>
      <c r="O580" s="100"/>
      <c r="P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00"/>
      <c r="N581" s="100"/>
      <c r="O581" s="100"/>
      <c r="P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00"/>
      <c r="N582" s="100"/>
      <c r="O582" s="100"/>
      <c r="P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00"/>
      <c r="N583" s="100"/>
      <c r="O583" s="100"/>
      <c r="P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00"/>
      <c r="N584" s="100"/>
      <c r="O584" s="100"/>
      <c r="P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00"/>
      <c r="N585" s="100"/>
      <c r="O585" s="100"/>
      <c r="P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00"/>
      <c r="N586" s="100"/>
      <c r="O586" s="100"/>
      <c r="P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00"/>
      <c r="N587" s="100"/>
      <c r="O587" s="100"/>
      <c r="P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00"/>
      <c r="N588" s="100"/>
      <c r="O588" s="100"/>
      <c r="P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00"/>
      <c r="N589" s="100"/>
      <c r="O589" s="100"/>
      <c r="P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00"/>
      <c r="N590" s="100"/>
      <c r="O590" s="100"/>
      <c r="P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00"/>
      <c r="N591" s="100"/>
      <c r="O591" s="100"/>
      <c r="P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00"/>
      <c r="N592" s="100"/>
      <c r="O592" s="100"/>
      <c r="P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00"/>
      <c r="N593" s="100"/>
      <c r="O593" s="100"/>
      <c r="P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00"/>
      <c r="N594" s="100"/>
      <c r="O594" s="100"/>
      <c r="P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00"/>
      <c r="N595" s="100"/>
      <c r="O595" s="100"/>
      <c r="P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00"/>
      <c r="N596" s="100"/>
      <c r="O596" s="100"/>
      <c r="P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00"/>
      <c r="N597" s="100"/>
      <c r="O597" s="100"/>
      <c r="P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00"/>
      <c r="N598" s="100"/>
      <c r="O598" s="100"/>
      <c r="P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00"/>
      <c r="N599" s="100"/>
      <c r="O599" s="100"/>
      <c r="P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00"/>
      <c r="N600" s="100"/>
      <c r="O600" s="100"/>
      <c r="P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00"/>
      <c r="N601" s="100"/>
      <c r="O601" s="100"/>
      <c r="P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00"/>
      <c r="N602" s="100"/>
      <c r="O602" s="100"/>
      <c r="P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00"/>
      <c r="N603" s="100"/>
      <c r="O603" s="100"/>
      <c r="P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00"/>
      <c r="N604" s="100"/>
      <c r="O604" s="100"/>
      <c r="P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00"/>
      <c r="N605" s="100"/>
      <c r="O605" s="100"/>
      <c r="P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00"/>
      <c r="N606" s="100"/>
      <c r="O606" s="100"/>
      <c r="P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00"/>
      <c r="N607" s="100"/>
      <c r="O607" s="100"/>
      <c r="P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00"/>
      <c r="N608" s="100"/>
      <c r="O608" s="100"/>
      <c r="P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00"/>
      <c r="N609" s="100"/>
      <c r="O609" s="100"/>
      <c r="P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00"/>
      <c r="N610" s="100"/>
      <c r="O610" s="100"/>
      <c r="P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00"/>
      <c r="N611" s="100"/>
      <c r="O611" s="100"/>
      <c r="P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00"/>
      <c r="N612" s="100"/>
      <c r="O612" s="100"/>
      <c r="P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00"/>
      <c r="N613" s="100"/>
      <c r="O613" s="100"/>
      <c r="P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00"/>
      <c r="N614" s="100"/>
      <c r="O614" s="100"/>
      <c r="P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00"/>
      <c r="N615" s="100"/>
      <c r="O615" s="100"/>
      <c r="P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00"/>
      <c r="N616" s="100"/>
      <c r="O616" s="100"/>
      <c r="P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00"/>
      <c r="N617" s="100"/>
      <c r="O617" s="100"/>
      <c r="P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00"/>
      <c r="N618" s="100"/>
      <c r="O618" s="100"/>
      <c r="P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00"/>
      <c r="N619" s="100"/>
      <c r="O619" s="100"/>
      <c r="P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00"/>
      <c r="N620" s="100"/>
      <c r="O620" s="100"/>
      <c r="P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00"/>
      <c r="N621" s="100"/>
      <c r="O621" s="100"/>
      <c r="P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00"/>
      <c r="N622" s="100"/>
      <c r="O622" s="100"/>
      <c r="P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00"/>
      <c r="N623" s="100"/>
      <c r="O623" s="100"/>
      <c r="P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00"/>
      <c r="N624" s="100"/>
      <c r="O624" s="100"/>
      <c r="P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00"/>
      <c r="N625" s="100"/>
      <c r="O625" s="100"/>
      <c r="P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00"/>
      <c r="N626" s="100"/>
      <c r="O626" s="100"/>
      <c r="P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00"/>
      <c r="N627" s="100"/>
      <c r="O627" s="100"/>
      <c r="P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00"/>
      <c r="N628" s="100"/>
      <c r="O628" s="100"/>
      <c r="P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00"/>
      <c r="N629" s="100"/>
      <c r="O629" s="100"/>
      <c r="P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00"/>
      <c r="N630" s="100"/>
      <c r="O630" s="100"/>
      <c r="P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00"/>
      <c r="N631" s="100"/>
      <c r="O631" s="100"/>
      <c r="P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00"/>
      <c r="N632" s="100"/>
      <c r="O632" s="100"/>
      <c r="P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00"/>
      <c r="N633" s="100"/>
      <c r="O633" s="100"/>
      <c r="P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00"/>
      <c r="N634" s="100"/>
      <c r="O634" s="100"/>
      <c r="P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00"/>
      <c r="N635" s="100"/>
      <c r="O635" s="100"/>
      <c r="P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00"/>
      <c r="N636" s="100"/>
      <c r="O636" s="100"/>
      <c r="P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00"/>
      <c r="N637" s="100"/>
      <c r="O637" s="100"/>
      <c r="P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00"/>
      <c r="N638" s="100"/>
      <c r="O638" s="100"/>
      <c r="P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00"/>
      <c r="N639" s="100"/>
      <c r="O639" s="100"/>
      <c r="P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00"/>
      <c r="N640" s="100"/>
      <c r="O640" s="100"/>
      <c r="P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00"/>
      <c r="N641" s="100"/>
      <c r="O641" s="100"/>
      <c r="P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00"/>
      <c r="N642" s="100"/>
      <c r="O642" s="100"/>
      <c r="P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00"/>
      <c r="N643" s="100"/>
      <c r="O643" s="100"/>
      <c r="P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00"/>
      <c r="N644" s="100"/>
      <c r="O644" s="100"/>
      <c r="P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00"/>
      <c r="N645" s="100"/>
      <c r="O645" s="100"/>
      <c r="P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00"/>
      <c r="N646" s="100"/>
      <c r="O646" s="100"/>
      <c r="P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00"/>
      <c r="N647" s="100"/>
      <c r="O647" s="100"/>
      <c r="P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00"/>
      <c r="N648" s="100"/>
      <c r="O648" s="100"/>
      <c r="P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00"/>
      <c r="N649" s="100"/>
      <c r="O649" s="100"/>
      <c r="P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00"/>
      <c r="N650" s="100"/>
      <c r="O650" s="100"/>
      <c r="P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00"/>
      <c r="N651" s="100"/>
      <c r="O651" s="100"/>
      <c r="P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00"/>
      <c r="N652" s="100"/>
      <c r="O652" s="100"/>
      <c r="P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00"/>
      <c r="N653" s="100"/>
      <c r="O653" s="100"/>
      <c r="P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00"/>
      <c r="N654" s="100"/>
      <c r="O654" s="100"/>
      <c r="P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00"/>
      <c r="N655" s="100"/>
      <c r="O655" s="100"/>
      <c r="P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00"/>
      <c r="N656" s="100"/>
      <c r="O656" s="100"/>
      <c r="P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00"/>
      <c r="N657" s="100"/>
      <c r="O657" s="100"/>
      <c r="P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00"/>
      <c r="N658" s="100"/>
      <c r="O658" s="100"/>
      <c r="P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00"/>
      <c r="N659" s="100"/>
      <c r="O659" s="100"/>
      <c r="P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00"/>
      <c r="N660" s="100"/>
      <c r="O660" s="100"/>
      <c r="P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00"/>
      <c r="N661" s="100"/>
      <c r="O661" s="100"/>
      <c r="P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00"/>
      <c r="N662" s="100"/>
      <c r="O662" s="100"/>
      <c r="P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00"/>
      <c r="N663" s="100"/>
      <c r="O663" s="100"/>
      <c r="P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00"/>
      <c r="N664" s="100"/>
      <c r="O664" s="100"/>
      <c r="P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00"/>
      <c r="N665" s="100"/>
      <c r="O665" s="100"/>
      <c r="P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00"/>
      <c r="N666" s="100"/>
      <c r="O666" s="100"/>
      <c r="P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00"/>
      <c r="N667" s="100"/>
      <c r="O667" s="100"/>
      <c r="P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00"/>
      <c r="N668" s="100"/>
      <c r="O668" s="100"/>
      <c r="P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00"/>
      <c r="N669" s="100"/>
      <c r="O669" s="100"/>
      <c r="P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00"/>
      <c r="N670" s="100"/>
      <c r="O670" s="100"/>
      <c r="P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00"/>
      <c r="N671" s="100"/>
      <c r="O671" s="100"/>
      <c r="P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00"/>
      <c r="N672" s="100"/>
      <c r="O672" s="100"/>
      <c r="P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00"/>
      <c r="N673" s="100"/>
      <c r="O673" s="100"/>
      <c r="P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00"/>
      <c r="N674" s="100"/>
      <c r="O674" s="100"/>
      <c r="P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00"/>
      <c r="N675" s="100"/>
      <c r="O675" s="100"/>
      <c r="P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00"/>
      <c r="N676" s="100"/>
      <c r="O676" s="100"/>
      <c r="P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00"/>
      <c r="N677" s="100"/>
      <c r="O677" s="100"/>
      <c r="P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00"/>
      <c r="N678" s="100"/>
      <c r="O678" s="100"/>
      <c r="P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00"/>
      <c r="N679" s="100"/>
      <c r="O679" s="100"/>
      <c r="P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00"/>
      <c r="N680" s="100"/>
      <c r="O680" s="100"/>
      <c r="P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00"/>
      <c r="N681" s="100"/>
      <c r="O681" s="100"/>
      <c r="P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00"/>
      <c r="N682" s="100"/>
      <c r="O682" s="100"/>
      <c r="P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00"/>
      <c r="N683" s="100"/>
      <c r="O683" s="100"/>
      <c r="P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00"/>
      <c r="N684" s="100"/>
      <c r="O684" s="100"/>
      <c r="P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00"/>
      <c r="N685" s="100"/>
      <c r="O685" s="100"/>
      <c r="P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00"/>
      <c r="N686" s="100"/>
      <c r="O686" s="100"/>
      <c r="P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00"/>
      <c r="N687" s="100"/>
      <c r="O687" s="100"/>
      <c r="P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00"/>
      <c r="N688" s="100"/>
      <c r="O688" s="100"/>
      <c r="P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00"/>
      <c r="N689" s="100"/>
      <c r="O689" s="100"/>
      <c r="P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00"/>
      <c r="N690" s="100"/>
      <c r="O690" s="100"/>
      <c r="P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00"/>
      <c r="N691" s="100"/>
      <c r="O691" s="100"/>
      <c r="P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00"/>
      <c r="N692" s="100"/>
      <c r="O692" s="100"/>
      <c r="P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00"/>
      <c r="N693" s="100"/>
      <c r="O693" s="100"/>
      <c r="P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00"/>
      <c r="N694" s="100"/>
      <c r="O694" s="100"/>
      <c r="P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00"/>
      <c r="N695" s="100"/>
      <c r="O695" s="100"/>
      <c r="P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00"/>
      <c r="N696" s="100"/>
      <c r="O696" s="100"/>
      <c r="P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00"/>
      <c r="N697" s="100"/>
      <c r="O697" s="100"/>
      <c r="P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00"/>
      <c r="N698" s="100"/>
      <c r="O698" s="100"/>
      <c r="P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00"/>
      <c r="N699" s="100"/>
      <c r="O699" s="100"/>
      <c r="P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00"/>
      <c r="N700" s="100"/>
      <c r="O700" s="100"/>
      <c r="P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00"/>
      <c r="N701" s="100"/>
      <c r="O701" s="100"/>
      <c r="P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00"/>
      <c r="N702" s="100"/>
      <c r="O702" s="100"/>
      <c r="P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00"/>
      <c r="N703" s="100"/>
      <c r="O703" s="100"/>
      <c r="P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00"/>
      <c r="N704" s="100"/>
      <c r="O704" s="100"/>
      <c r="P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00"/>
      <c r="N705" s="100"/>
      <c r="O705" s="100"/>
      <c r="P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00"/>
      <c r="N706" s="100"/>
      <c r="O706" s="100"/>
      <c r="P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00"/>
      <c r="N707" s="100"/>
      <c r="O707" s="100"/>
      <c r="P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00"/>
      <c r="N708" s="100"/>
      <c r="O708" s="100"/>
      <c r="P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00"/>
      <c r="N709" s="100"/>
      <c r="O709" s="100"/>
      <c r="P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00"/>
      <c r="N710" s="100"/>
      <c r="O710" s="100"/>
      <c r="P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00"/>
      <c r="N711" s="100"/>
      <c r="O711" s="100"/>
      <c r="P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00"/>
      <c r="N712" s="100"/>
      <c r="O712" s="100"/>
      <c r="P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00"/>
      <c r="N713" s="100"/>
      <c r="O713" s="100"/>
      <c r="P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00"/>
      <c r="N714" s="100"/>
      <c r="O714" s="100"/>
      <c r="P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00"/>
      <c r="N715" s="100"/>
      <c r="O715" s="100"/>
      <c r="P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00"/>
      <c r="N716" s="100"/>
      <c r="O716" s="100"/>
      <c r="P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00"/>
      <c r="N717" s="100"/>
      <c r="O717" s="100"/>
      <c r="P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00"/>
      <c r="N718" s="100"/>
      <c r="O718" s="100"/>
      <c r="P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00"/>
      <c r="N719" s="100"/>
      <c r="O719" s="100"/>
      <c r="P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00"/>
      <c r="N720" s="100"/>
      <c r="O720" s="100"/>
      <c r="P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00"/>
      <c r="N721" s="100"/>
      <c r="O721" s="100"/>
      <c r="P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00"/>
      <c r="N722" s="100"/>
      <c r="O722" s="100"/>
      <c r="P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00"/>
      <c r="N723" s="100"/>
      <c r="O723" s="100"/>
      <c r="P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00"/>
      <c r="N724" s="100"/>
      <c r="O724" s="100"/>
      <c r="P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00"/>
      <c r="N725" s="100"/>
      <c r="O725" s="100"/>
      <c r="P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00"/>
      <c r="N726" s="100"/>
      <c r="O726" s="100"/>
      <c r="P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00"/>
      <c r="N727" s="100"/>
      <c r="O727" s="100"/>
      <c r="P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00"/>
      <c r="N728" s="100"/>
      <c r="O728" s="100"/>
      <c r="P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00"/>
      <c r="N729" s="100"/>
      <c r="O729" s="100"/>
      <c r="P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00"/>
      <c r="N730" s="100"/>
      <c r="O730" s="100"/>
      <c r="P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00"/>
      <c r="N731" s="100"/>
      <c r="O731" s="100"/>
      <c r="P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00"/>
      <c r="N732" s="100"/>
      <c r="O732" s="100"/>
      <c r="P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00"/>
      <c r="N733" s="100"/>
      <c r="O733" s="100"/>
      <c r="P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00"/>
      <c r="N734" s="100"/>
      <c r="O734" s="100"/>
      <c r="P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00"/>
      <c r="N735" s="100"/>
      <c r="O735" s="100"/>
      <c r="P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00"/>
      <c r="N736" s="100"/>
      <c r="O736" s="100"/>
      <c r="P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00"/>
      <c r="N737" s="100"/>
      <c r="O737" s="100"/>
      <c r="P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00"/>
      <c r="N738" s="100"/>
      <c r="O738" s="100"/>
      <c r="P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00"/>
      <c r="N739" s="100"/>
      <c r="O739" s="100"/>
      <c r="P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00"/>
      <c r="N740" s="100"/>
      <c r="O740" s="100"/>
      <c r="P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00"/>
      <c r="N741" s="100"/>
      <c r="O741" s="100"/>
      <c r="P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00"/>
      <c r="N742" s="100"/>
      <c r="O742" s="100"/>
      <c r="P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00"/>
      <c r="N743" s="100"/>
      <c r="O743" s="100"/>
      <c r="P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00"/>
      <c r="N744" s="100"/>
      <c r="O744" s="100"/>
      <c r="P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00"/>
      <c r="N745" s="100"/>
      <c r="O745" s="100"/>
      <c r="P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00"/>
      <c r="N746" s="100"/>
      <c r="O746" s="100"/>
      <c r="P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00"/>
      <c r="N747" s="100"/>
      <c r="O747" s="100"/>
      <c r="P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00"/>
      <c r="N748" s="100"/>
      <c r="O748" s="100"/>
      <c r="P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00"/>
      <c r="N749" s="100"/>
      <c r="O749" s="100"/>
      <c r="P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00"/>
      <c r="N750" s="100"/>
      <c r="O750" s="100"/>
      <c r="P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00"/>
      <c r="N751" s="100"/>
      <c r="O751" s="100"/>
      <c r="P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00"/>
      <c r="N752" s="100"/>
      <c r="O752" s="100"/>
      <c r="P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00"/>
      <c r="N753" s="100"/>
      <c r="O753" s="100"/>
      <c r="P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00"/>
      <c r="N754" s="100"/>
      <c r="O754" s="100"/>
      <c r="P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00"/>
      <c r="N755" s="100"/>
      <c r="O755" s="100"/>
      <c r="P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00"/>
      <c r="N756" s="100"/>
      <c r="O756" s="100"/>
      <c r="P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00"/>
      <c r="N757" s="100"/>
      <c r="O757" s="100"/>
      <c r="P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00"/>
      <c r="N758" s="100"/>
      <c r="O758" s="100"/>
      <c r="P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00"/>
      <c r="N759" s="100"/>
      <c r="O759" s="100"/>
      <c r="P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00"/>
      <c r="N760" s="100"/>
      <c r="O760" s="100"/>
      <c r="P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00"/>
      <c r="N761" s="100"/>
      <c r="O761" s="100"/>
      <c r="P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00"/>
      <c r="N762" s="100"/>
      <c r="O762" s="100"/>
      <c r="P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00"/>
      <c r="N763" s="100"/>
      <c r="O763" s="100"/>
      <c r="P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00"/>
      <c r="N764" s="100"/>
      <c r="O764" s="100"/>
      <c r="P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00"/>
      <c r="N765" s="100"/>
      <c r="O765" s="100"/>
      <c r="P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00"/>
      <c r="N766" s="100"/>
      <c r="O766" s="100"/>
      <c r="P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00"/>
      <c r="N767" s="100"/>
      <c r="O767" s="100"/>
      <c r="P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00"/>
      <c r="N768" s="100"/>
      <c r="O768" s="100"/>
      <c r="P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00"/>
      <c r="N769" s="100"/>
      <c r="O769" s="100"/>
      <c r="P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00"/>
      <c r="N770" s="100"/>
      <c r="O770" s="100"/>
      <c r="P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00"/>
      <c r="N771" s="100"/>
      <c r="O771" s="100"/>
      <c r="P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00"/>
      <c r="N772" s="100"/>
      <c r="O772" s="100"/>
      <c r="P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00"/>
      <c r="N773" s="100"/>
      <c r="O773" s="100"/>
      <c r="P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00"/>
      <c r="N774" s="100"/>
      <c r="O774" s="100"/>
      <c r="P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00"/>
      <c r="N775" s="100"/>
      <c r="O775" s="100"/>
      <c r="P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00"/>
      <c r="N776" s="100"/>
      <c r="O776" s="100"/>
      <c r="P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00"/>
      <c r="N777" s="100"/>
      <c r="O777" s="100"/>
      <c r="P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00"/>
      <c r="N778" s="100"/>
      <c r="O778" s="100"/>
      <c r="P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00"/>
      <c r="N779" s="100"/>
      <c r="O779" s="100"/>
      <c r="P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00"/>
      <c r="N780" s="100"/>
      <c r="O780" s="100"/>
      <c r="P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00"/>
      <c r="N781" s="100"/>
      <c r="O781" s="100"/>
      <c r="P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00"/>
      <c r="N782" s="100"/>
      <c r="O782" s="100"/>
      <c r="P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00"/>
      <c r="N783" s="100"/>
      <c r="O783" s="100"/>
      <c r="P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00"/>
      <c r="N784" s="100"/>
      <c r="O784" s="100"/>
      <c r="P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00"/>
      <c r="N785" s="100"/>
      <c r="O785" s="100"/>
      <c r="P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00"/>
      <c r="N786" s="100"/>
      <c r="O786" s="100"/>
      <c r="P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00"/>
      <c r="N787" s="100"/>
      <c r="O787" s="100"/>
      <c r="P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00"/>
      <c r="N788" s="100"/>
      <c r="O788" s="100"/>
      <c r="P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00"/>
      <c r="N789" s="100"/>
      <c r="O789" s="100"/>
      <c r="P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00"/>
      <c r="N790" s="100"/>
      <c r="O790" s="100"/>
      <c r="P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00"/>
      <c r="N791" s="100"/>
      <c r="O791" s="100"/>
      <c r="P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00"/>
      <c r="N792" s="100"/>
      <c r="O792" s="100"/>
      <c r="P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00"/>
      <c r="N793" s="100"/>
      <c r="O793" s="100"/>
      <c r="P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00"/>
      <c r="N794" s="100"/>
      <c r="O794" s="100"/>
      <c r="P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00"/>
      <c r="N795" s="100"/>
      <c r="O795" s="100"/>
      <c r="P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00"/>
      <c r="N796" s="100"/>
      <c r="O796" s="100"/>
      <c r="P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00"/>
      <c r="N797" s="100"/>
      <c r="O797" s="100"/>
      <c r="P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00"/>
      <c r="N798" s="100"/>
      <c r="O798" s="100"/>
      <c r="P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00"/>
      <c r="N799" s="100"/>
      <c r="O799" s="100"/>
      <c r="P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00"/>
      <c r="N800" s="100"/>
      <c r="O800" s="100"/>
      <c r="P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00"/>
      <c r="N801" s="100"/>
      <c r="O801" s="100"/>
      <c r="P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00"/>
      <c r="N802" s="100"/>
      <c r="O802" s="100"/>
      <c r="P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00"/>
      <c r="N803" s="100"/>
      <c r="O803" s="100"/>
      <c r="P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00"/>
      <c r="N804" s="100"/>
      <c r="O804" s="100"/>
      <c r="P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00"/>
      <c r="N805" s="100"/>
      <c r="O805" s="100"/>
      <c r="P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00"/>
      <c r="N806" s="100"/>
      <c r="O806" s="100"/>
      <c r="P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00"/>
      <c r="N807" s="100"/>
      <c r="O807" s="100"/>
      <c r="P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00"/>
      <c r="N808" s="100"/>
      <c r="O808" s="100"/>
      <c r="P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00"/>
      <c r="N809" s="100"/>
      <c r="O809" s="100"/>
      <c r="P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00"/>
      <c r="N810" s="100"/>
      <c r="O810" s="100"/>
      <c r="P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00"/>
      <c r="N811" s="100"/>
      <c r="O811" s="100"/>
      <c r="P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00"/>
      <c r="N812" s="100"/>
      <c r="O812" s="100"/>
      <c r="P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00"/>
      <c r="N813" s="100"/>
      <c r="O813" s="100"/>
      <c r="P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00"/>
      <c r="N814" s="100"/>
      <c r="O814" s="100"/>
      <c r="P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00"/>
      <c r="N815" s="100"/>
      <c r="O815" s="100"/>
      <c r="P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00"/>
      <c r="N816" s="100"/>
      <c r="O816" s="100"/>
      <c r="P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00"/>
      <c r="N817" s="100"/>
      <c r="O817" s="100"/>
      <c r="P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00"/>
      <c r="N818" s="100"/>
      <c r="O818" s="100"/>
      <c r="P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00"/>
      <c r="N819" s="100"/>
      <c r="O819" s="100"/>
      <c r="P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00"/>
      <c r="N820" s="100"/>
      <c r="O820" s="100"/>
      <c r="P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00"/>
      <c r="N821" s="100"/>
      <c r="O821" s="100"/>
      <c r="P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00"/>
      <c r="N822" s="100"/>
      <c r="O822" s="100"/>
      <c r="P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00"/>
      <c r="N823" s="100"/>
      <c r="O823" s="100"/>
      <c r="P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00"/>
      <c r="N824" s="100"/>
      <c r="O824" s="100"/>
      <c r="P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00"/>
      <c r="N825" s="100"/>
      <c r="O825" s="100"/>
      <c r="P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00"/>
      <c r="N826" s="100"/>
      <c r="O826" s="100"/>
      <c r="P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00"/>
      <c r="N827" s="100"/>
      <c r="O827" s="100"/>
      <c r="P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00"/>
      <c r="N828" s="100"/>
      <c r="O828" s="100"/>
      <c r="P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00"/>
      <c r="N829" s="100"/>
      <c r="O829" s="100"/>
      <c r="P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00"/>
      <c r="N830" s="100"/>
      <c r="O830" s="100"/>
      <c r="P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00"/>
      <c r="N831" s="100"/>
      <c r="O831" s="100"/>
      <c r="P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00"/>
      <c r="N832" s="100"/>
      <c r="O832" s="100"/>
      <c r="P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00"/>
      <c r="N833" s="100"/>
      <c r="O833" s="100"/>
      <c r="P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00"/>
      <c r="N834" s="100"/>
      <c r="O834" s="100"/>
      <c r="P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00"/>
      <c r="N835" s="100"/>
      <c r="O835" s="100"/>
      <c r="P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00"/>
      <c r="N836" s="100"/>
      <c r="O836" s="100"/>
      <c r="P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00"/>
      <c r="N837" s="100"/>
      <c r="O837" s="100"/>
      <c r="P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00"/>
      <c r="N838" s="100"/>
      <c r="O838" s="100"/>
      <c r="P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00"/>
      <c r="N839" s="100"/>
      <c r="O839" s="100"/>
      <c r="P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00"/>
      <c r="N840" s="100"/>
      <c r="O840" s="100"/>
      <c r="P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00"/>
      <c r="N841" s="100"/>
      <c r="O841" s="100"/>
      <c r="P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00"/>
      <c r="N842" s="100"/>
      <c r="O842" s="100"/>
      <c r="P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00"/>
      <c r="N843" s="100"/>
      <c r="O843" s="100"/>
      <c r="P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00"/>
      <c r="N844" s="100"/>
      <c r="O844" s="100"/>
      <c r="P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00"/>
      <c r="N845" s="100"/>
      <c r="O845" s="100"/>
      <c r="P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00"/>
      <c r="N846" s="100"/>
      <c r="O846" s="100"/>
      <c r="P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00"/>
      <c r="N847" s="100"/>
      <c r="O847" s="100"/>
      <c r="P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00"/>
      <c r="N848" s="100"/>
      <c r="O848" s="100"/>
      <c r="P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00"/>
      <c r="N849" s="100"/>
      <c r="O849" s="100"/>
      <c r="P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00"/>
      <c r="N850" s="100"/>
      <c r="O850" s="100"/>
      <c r="P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00"/>
      <c r="N851" s="100"/>
      <c r="O851" s="100"/>
      <c r="P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00"/>
      <c r="N852" s="100"/>
      <c r="O852" s="100"/>
      <c r="P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00"/>
      <c r="N853" s="100"/>
      <c r="O853" s="100"/>
      <c r="P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00"/>
      <c r="N854" s="100"/>
      <c r="O854" s="100"/>
      <c r="P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00"/>
      <c r="N855" s="100"/>
      <c r="O855" s="100"/>
      <c r="P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00"/>
      <c r="N856" s="100"/>
      <c r="O856" s="100"/>
      <c r="P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00"/>
      <c r="N857" s="100"/>
      <c r="O857" s="100"/>
      <c r="P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00"/>
      <c r="N858" s="100"/>
      <c r="O858" s="100"/>
      <c r="P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00"/>
      <c r="N859" s="100"/>
      <c r="O859" s="100"/>
      <c r="P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00"/>
      <c r="N860" s="100"/>
      <c r="O860" s="100"/>
      <c r="P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00"/>
      <c r="N861" s="100"/>
      <c r="O861" s="100"/>
      <c r="P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00"/>
      <c r="N862" s="100"/>
      <c r="O862" s="100"/>
      <c r="P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00"/>
      <c r="N863" s="100"/>
      <c r="O863" s="100"/>
      <c r="P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00"/>
      <c r="N864" s="100"/>
      <c r="O864" s="100"/>
      <c r="P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00"/>
      <c r="N865" s="100"/>
      <c r="O865" s="100"/>
      <c r="P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00"/>
      <c r="N866" s="100"/>
      <c r="O866" s="100"/>
      <c r="P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00"/>
      <c r="N867" s="100"/>
      <c r="O867" s="100"/>
      <c r="P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00"/>
      <c r="N868" s="100"/>
      <c r="O868" s="100"/>
      <c r="P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00"/>
      <c r="N869" s="100"/>
      <c r="O869" s="100"/>
      <c r="P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00"/>
      <c r="N870" s="100"/>
      <c r="O870" s="100"/>
      <c r="P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00"/>
      <c r="N871" s="100"/>
      <c r="O871" s="100"/>
      <c r="P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00"/>
      <c r="N872" s="100"/>
      <c r="O872" s="100"/>
      <c r="P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00"/>
      <c r="N873" s="100"/>
      <c r="O873" s="100"/>
      <c r="P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00"/>
      <c r="N874" s="100"/>
      <c r="O874" s="100"/>
      <c r="P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00"/>
      <c r="N875" s="100"/>
      <c r="O875" s="100"/>
      <c r="P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00"/>
      <c r="N876" s="100"/>
      <c r="O876" s="100"/>
      <c r="P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00"/>
      <c r="N877" s="100"/>
      <c r="O877" s="100"/>
      <c r="P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00"/>
      <c r="N878" s="100"/>
      <c r="O878" s="100"/>
      <c r="P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00"/>
      <c r="N879" s="100"/>
      <c r="O879" s="100"/>
      <c r="P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00"/>
      <c r="N880" s="100"/>
      <c r="O880" s="100"/>
      <c r="P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00"/>
      <c r="N881" s="100"/>
      <c r="O881" s="100"/>
      <c r="P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00"/>
      <c r="N882" s="100"/>
      <c r="O882" s="100"/>
      <c r="P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00"/>
      <c r="N883" s="100"/>
      <c r="O883" s="100"/>
      <c r="P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00"/>
      <c r="N884" s="100"/>
      <c r="O884" s="100"/>
      <c r="P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00"/>
      <c r="N885" s="100"/>
      <c r="O885" s="100"/>
      <c r="P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00"/>
      <c r="N886" s="100"/>
      <c r="O886" s="100"/>
      <c r="P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00"/>
      <c r="N887" s="100"/>
      <c r="O887" s="100"/>
      <c r="P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00"/>
      <c r="N888" s="100"/>
      <c r="O888" s="100"/>
      <c r="P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00"/>
      <c r="N889" s="100"/>
      <c r="O889" s="100"/>
      <c r="P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00"/>
      <c r="N890" s="100"/>
      <c r="O890" s="100"/>
      <c r="P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00"/>
      <c r="N891" s="100"/>
      <c r="O891" s="100"/>
      <c r="P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00"/>
      <c r="N892" s="100"/>
      <c r="O892" s="100"/>
      <c r="P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00"/>
      <c r="N893" s="100"/>
      <c r="O893" s="100"/>
      <c r="P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00"/>
      <c r="N894" s="100"/>
      <c r="O894" s="100"/>
      <c r="P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00"/>
      <c r="N895" s="100"/>
      <c r="O895" s="100"/>
      <c r="P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00"/>
      <c r="N896" s="100"/>
      <c r="O896" s="100"/>
      <c r="P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00"/>
      <c r="N897" s="100"/>
      <c r="O897" s="100"/>
      <c r="P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00"/>
      <c r="N898" s="100"/>
      <c r="O898" s="100"/>
      <c r="P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00"/>
      <c r="N899" s="100"/>
      <c r="O899" s="100"/>
      <c r="P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00"/>
      <c r="N900" s="100"/>
      <c r="O900" s="100"/>
      <c r="P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00"/>
      <c r="N901" s="100"/>
      <c r="O901" s="100"/>
      <c r="P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00"/>
      <c r="N902" s="100"/>
      <c r="O902" s="100"/>
      <c r="P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00"/>
      <c r="N903" s="100"/>
      <c r="O903" s="100"/>
      <c r="P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00"/>
      <c r="N904" s="100"/>
      <c r="O904" s="100"/>
      <c r="P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00"/>
      <c r="N905" s="100"/>
      <c r="O905" s="100"/>
      <c r="P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00"/>
      <c r="N906" s="100"/>
      <c r="O906" s="100"/>
      <c r="P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00"/>
      <c r="N907" s="100"/>
      <c r="O907" s="100"/>
      <c r="P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00"/>
      <c r="N908" s="100"/>
      <c r="O908" s="100"/>
      <c r="P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00"/>
      <c r="N909" s="100"/>
      <c r="O909" s="100"/>
      <c r="P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00"/>
      <c r="N910" s="100"/>
      <c r="O910" s="100"/>
      <c r="P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00"/>
      <c r="N911" s="100"/>
      <c r="O911" s="100"/>
      <c r="P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00"/>
      <c r="N912" s="100"/>
      <c r="O912" s="100"/>
      <c r="P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00"/>
      <c r="N913" s="100"/>
      <c r="O913" s="100"/>
      <c r="P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00"/>
      <c r="N914" s="100"/>
      <c r="O914" s="100"/>
      <c r="P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00"/>
      <c r="N915" s="100"/>
      <c r="O915" s="100"/>
      <c r="P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00"/>
      <c r="N916" s="100"/>
      <c r="O916" s="100"/>
      <c r="P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00"/>
      <c r="N917" s="100"/>
      <c r="O917" s="100"/>
      <c r="P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00"/>
      <c r="N918" s="100"/>
      <c r="O918" s="100"/>
      <c r="P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00"/>
      <c r="N919" s="100"/>
      <c r="O919" s="100"/>
      <c r="P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00"/>
      <c r="N920" s="100"/>
      <c r="O920" s="100"/>
      <c r="P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00"/>
      <c r="N921" s="100"/>
      <c r="O921" s="100"/>
      <c r="P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00"/>
      <c r="N922" s="100"/>
      <c r="O922" s="100"/>
      <c r="P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00"/>
      <c r="N923" s="100"/>
      <c r="O923" s="100"/>
      <c r="P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00"/>
      <c r="N924" s="100"/>
      <c r="O924" s="100"/>
      <c r="P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00"/>
      <c r="N925" s="100"/>
      <c r="O925" s="100"/>
      <c r="P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00"/>
      <c r="N926" s="100"/>
      <c r="O926" s="100"/>
      <c r="P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00"/>
      <c r="N927" s="100"/>
      <c r="O927" s="100"/>
      <c r="P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00"/>
      <c r="N928" s="100"/>
      <c r="O928" s="100"/>
      <c r="P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00"/>
      <c r="N929" s="100"/>
      <c r="O929" s="100"/>
      <c r="P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00"/>
      <c r="N930" s="100"/>
      <c r="O930" s="100"/>
      <c r="P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00"/>
      <c r="N931" s="100"/>
      <c r="O931" s="100"/>
      <c r="P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00"/>
      <c r="N932" s="100"/>
      <c r="O932" s="100"/>
      <c r="P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00"/>
      <c r="N933" s="100"/>
      <c r="O933" s="100"/>
      <c r="P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00"/>
      <c r="N934" s="100"/>
      <c r="O934" s="100"/>
      <c r="P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00"/>
      <c r="N935" s="100"/>
      <c r="O935" s="100"/>
      <c r="P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00"/>
      <c r="N936" s="100"/>
      <c r="O936" s="100"/>
      <c r="P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00"/>
      <c r="N937" s="100"/>
      <c r="O937" s="100"/>
      <c r="P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00"/>
      <c r="N938" s="100"/>
      <c r="O938" s="100"/>
      <c r="P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00"/>
      <c r="N939" s="100"/>
      <c r="O939" s="100"/>
      <c r="P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00"/>
      <c r="N940" s="100"/>
      <c r="O940" s="100"/>
      <c r="P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00"/>
      <c r="N941" s="100"/>
      <c r="O941" s="100"/>
      <c r="P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00"/>
      <c r="N942" s="100"/>
      <c r="O942" s="100"/>
      <c r="P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00"/>
      <c r="N943" s="100"/>
      <c r="O943" s="100"/>
      <c r="P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00"/>
      <c r="N944" s="100"/>
      <c r="O944" s="100"/>
      <c r="P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00"/>
      <c r="N945" s="100"/>
      <c r="O945" s="100"/>
      <c r="P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00"/>
      <c r="N946" s="100"/>
      <c r="O946" s="100"/>
      <c r="P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00"/>
      <c r="N947" s="100"/>
      <c r="O947" s="100"/>
      <c r="P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00"/>
      <c r="N948" s="100"/>
      <c r="O948" s="100"/>
      <c r="P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00"/>
      <c r="N949" s="100"/>
      <c r="O949" s="100"/>
      <c r="P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00"/>
      <c r="N950" s="100"/>
      <c r="O950" s="100"/>
      <c r="P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00"/>
      <c r="N951" s="100"/>
      <c r="O951" s="100"/>
      <c r="P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00"/>
      <c r="N952" s="100"/>
      <c r="O952" s="100"/>
      <c r="P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00"/>
      <c r="N953" s="100"/>
      <c r="O953" s="100"/>
      <c r="P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00"/>
      <c r="N954" s="100"/>
      <c r="O954" s="100"/>
      <c r="P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00"/>
      <c r="N955" s="100"/>
      <c r="O955" s="100"/>
      <c r="P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00"/>
      <c r="N956" s="100"/>
      <c r="O956" s="100"/>
      <c r="P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00"/>
      <c r="N957" s="100"/>
      <c r="O957" s="100"/>
      <c r="P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00"/>
      <c r="N958" s="100"/>
      <c r="O958" s="100"/>
      <c r="P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00"/>
      <c r="N959" s="100"/>
      <c r="O959" s="100"/>
      <c r="P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00"/>
      <c r="N960" s="100"/>
      <c r="O960" s="100"/>
      <c r="P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00"/>
      <c r="N961" s="100"/>
      <c r="O961" s="100"/>
      <c r="P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00"/>
      <c r="N962" s="100"/>
      <c r="O962" s="100"/>
      <c r="P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00"/>
      <c r="N963" s="100"/>
      <c r="O963" s="100"/>
      <c r="P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00"/>
      <c r="N964" s="100"/>
      <c r="O964" s="100"/>
      <c r="P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00"/>
      <c r="N965" s="100"/>
      <c r="O965" s="100"/>
      <c r="P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00"/>
      <c r="N966" s="100"/>
      <c r="O966" s="100"/>
      <c r="P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00"/>
      <c r="N967" s="100"/>
      <c r="O967" s="100"/>
      <c r="P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00"/>
      <c r="N968" s="100"/>
      <c r="O968" s="100"/>
      <c r="P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00"/>
      <c r="N969" s="100"/>
      <c r="O969" s="100"/>
      <c r="P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00"/>
      <c r="N970" s="100"/>
      <c r="O970" s="100"/>
      <c r="P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00"/>
      <c r="N971" s="100"/>
      <c r="O971" s="100"/>
      <c r="P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00"/>
      <c r="N972" s="100"/>
      <c r="O972" s="100"/>
      <c r="P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00"/>
      <c r="N973" s="100"/>
      <c r="O973" s="100"/>
      <c r="P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00"/>
      <c r="N974" s="100"/>
      <c r="O974" s="100"/>
      <c r="P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00"/>
      <c r="N975" s="100"/>
      <c r="O975" s="100"/>
      <c r="P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00"/>
      <c r="N976" s="100"/>
      <c r="O976" s="100"/>
      <c r="P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00"/>
      <c r="N977" s="100"/>
      <c r="O977" s="100"/>
      <c r="P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00"/>
      <c r="N978" s="100"/>
      <c r="O978" s="100"/>
      <c r="P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00"/>
      <c r="N979" s="100"/>
      <c r="O979" s="100"/>
      <c r="P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00"/>
      <c r="N980" s="100"/>
      <c r="O980" s="100"/>
      <c r="P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00"/>
      <c r="N981" s="100"/>
      <c r="O981" s="100"/>
      <c r="P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00"/>
      <c r="N982" s="100"/>
      <c r="O982" s="100"/>
      <c r="P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00"/>
      <c r="N983" s="100"/>
      <c r="O983" s="100"/>
      <c r="P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00"/>
      <c r="N984" s="100"/>
      <c r="O984" s="100"/>
      <c r="P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00"/>
      <c r="N985" s="100"/>
      <c r="O985" s="100"/>
      <c r="P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00"/>
      <c r="N986" s="100"/>
      <c r="O986" s="100"/>
      <c r="P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00"/>
      <c r="N987" s="100"/>
      <c r="O987" s="100"/>
      <c r="P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00"/>
      <c r="N988" s="100"/>
      <c r="O988" s="100"/>
      <c r="P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00"/>
      <c r="N989" s="100"/>
      <c r="O989" s="100"/>
      <c r="P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00"/>
      <c r="N990" s="100"/>
      <c r="O990" s="100"/>
      <c r="P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00"/>
      <c r="N991" s="100"/>
      <c r="O991" s="100"/>
      <c r="P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00"/>
      <c r="N992" s="100"/>
      <c r="O992" s="100"/>
      <c r="P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00"/>
      <c r="N993" s="100"/>
      <c r="O993" s="100"/>
      <c r="P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00"/>
      <c r="N994" s="100"/>
      <c r="O994" s="100"/>
      <c r="P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00"/>
      <c r="N995" s="100"/>
      <c r="O995" s="100"/>
      <c r="P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00"/>
      <c r="N996" s="100"/>
      <c r="O996" s="100"/>
      <c r="P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00"/>
      <c r="N997" s="100"/>
      <c r="O997" s="100"/>
      <c r="P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00"/>
      <c r="N998" s="100"/>
      <c r="O998" s="100"/>
      <c r="P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00"/>
      <c r="N999" s="100"/>
      <c r="O999" s="100"/>
      <c r="P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00"/>
      <c r="N1000" s="100"/>
      <c r="O1000" s="100"/>
      <c r="P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8.71"/>
    <col customWidth="1" min="4" max="4" width="28.71"/>
    <col customWidth="1" min="5" max="11" width="10.71"/>
    <col customWidth="1" min="12" max="12" width="11.43"/>
    <col customWidth="1" min="13" max="17" width="14.14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</row>
    <row r="5">
      <c r="A5" s="10" t="s">
        <v>209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210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6" t="s">
        <v>23</v>
      </c>
      <c r="B7" s="48" t="s">
        <v>24</v>
      </c>
      <c r="C7" s="87">
        <v>1.0</v>
      </c>
      <c r="D7" s="88" t="s">
        <v>211</v>
      </c>
      <c r="E7" s="89">
        <v>1.26</v>
      </c>
      <c r="F7" s="89">
        <v>3.64</v>
      </c>
      <c r="G7" s="89">
        <v>2.25</v>
      </c>
      <c r="H7" s="90">
        <v>0.72</v>
      </c>
      <c r="I7" s="90">
        <v>0.5</v>
      </c>
      <c r="J7" s="89" t="s">
        <v>70</v>
      </c>
      <c r="K7" s="89">
        <v>1.09</v>
      </c>
      <c r="L7" s="89" t="s">
        <v>129</v>
      </c>
      <c r="M7" s="90">
        <v>2.8</v>
      </c>
      <c r="N7" s="90">
        <v>4.4</v>
      </c>
      <c r="O7" s="89">
        <v>4.6</v>
      </c>
      <c r="P7" s="89">
        <v>5.2</v>
      </c>
      <c r="Q7" s="174">
        <f t="shared" ref="Q7:Q36" si="1">AVERAGE(E7,F7,G7,H7,I7,J7,K7,L7,M7,N7,O7,P7)</f>
        <v>2.646</v>
      </c>
      <c r="R7" s="149">
        <v>6.0</v>
      </c>
    </row>
    <row r="8">
      <c r="A8" s="20"/>
      <c r="B8" s="21"/>
      <c r="C8" s="159">
        <v>2.0</v>
      </c>
      <c r="D8" s="53" t="s">
        <v>212</v>
      </c>
      <c r="E8" s="91">
        <v>1.12</v>
      </c>
      <c r="F8" s="91">
        <v>3.1</v>
      </c>
      <c r="G8" s="208">
        <v>3.62</v>
      </c>
      <c r="H8" s="209">
        <v>0.72</v>
      </c>
      <c r="I8" s="208">
        <v>0.51</v>
      </c>
      <c r="J8" s="208" t="s">
        <v>70</v>
      </c>
      <c r="K8" s="208">
        <v>1.09</v>
      </c>
      <c r="L8" s="91" t="s">
        <v>129</v>
      </c>
      <c r="M8" s="24">
        <v>2.1</v>
      </c>
      <c r="N8" s="24">
        <v>4.9</v>
      </c>
      <c r="O8" s="91">
        <v>0.5</v>
      </c>
      <c r="P8" s="91">
        <v>3.1</v>
      </c>
      <c r="Q8" s="176">
        <f t="shared" si="1"/>
        <v>2.076</v>
      </c>
      <c r="R8" s="23">
        <v>6.0</v>
      </c>
    </row>
    <row r="9">
      <c r="A9" s="20"/>
      <c r="B9" s="21"/>
      <c r="C9" s="159">
        <v>3.0</v>
      </c>
      <c r="D9" s="53" t="s">
        <v>213</v>
      </c>
      <c r="E9" s="91">
        <v>1.16</v>
      </c>
      <c r="F9" s="91">
        <v>3.51</v>
      </c>
      <c r="G9" s="208">
        <v>2.16</v>
      </c>
      <c r="H9" s="209">
        <v>0.71</v>
      </c>
      <c r="I9" s="208">
        <v>0.55</v>
      </c>
      <c r="J9" s="208" t="s">
        <v>70</v>
      </c>
      <c r="K9" s="208">
        <v>1.08</v>
      </c>
      <c r="L9" s="91" t="s">
        <v>129</v>
      </c>
      <c r="M9" s="24">
        <v>2.1</v>
      </c>
      <c r="N9" s="24">
        <v>3.4</v>
      </c>
      <c r="O9" s="91">
        <v>4.1</v>
      </c>
      <c r="P9" s="91">
        <v>3.2</v>
      </c>
      <c r="Q9" s="176">
        <f t="shared" si="1"/>
        <v>2.197</v>
      </c>
      <c r="R9" s="23">
        <v>6.0</v>
      </c>
    </row>
    <row r="10">
      <c r="A10" s="20"/>
      <c r="B10" s="21"/>
      <c r="C10" s="159">
        <v>4.0</v>
      </c>
      <c r="D10" s="53" t="s">
        <v>214</v>
      </c>
      <c r="E10" s="91">
        <v>1.17</v>
      </c>
      <c r="F10" s="91">
        <v>2.36</v>
      </c>
      <c r="G10" s="208">
        <v>2.49</v>
      </c>
      <c r="H10" s="209">
        <v>0.7</v>
      </c>
      <c r="I10" s="208">
        <v>0.53</v>
      </c>
      <c r="J10" s="209">
        <v>6.5</v>
      </c>
      <c r="K10" s="208">
        <v>1.12</v>
      </c>
      <c r="L10" s="91" t="s">
        <v>129</v>
      </c>
      <c r="M10" s="24">
        <v>3.0</v>
      </c>
      <c r="N10" s="24">
        <v>5.2</v>
      </c>
      <c r="O10" s="91">
        <v>2.5</v>
      </c>
      <c r="P10" s="91">
        <v>4.5</v>
      </c>
      <c r="Q10" s="176">
        <f t="shared" si="1"/>
        <v>2.733636364</v>
      </c>
      <c r="R10" s="210">
        <v>6.0</v>
      </c>
    </row>
    <row r="11">
      <c r="A11" s="20"/>
      <c r="B11" s="21"/>
      <c r="C11" s="159">
        <v>5.0</v>
      </c>
      <c r="D11" s="53" t="s">
        <v>215</v>
      </c>
      <c r="E11" s="91">
        <v>1.09</v>
      </c>
      <c r="F11" s="91">
        <v>2.21</v>
      </c>
      <c r="G11" s="208">
        <v>3.34</v>
      </c>
      <c r="H11" s="209">
        <v>0.77</v>
      </c>
      <c r="I11" s="208">
        <v>0.61</v>
      </c>
      <c r="J11" s="209">
        <v>6.0</v>
      </c>
      <c r="K11" s="208">
        <v>1.05</v>
      </c>
      <c r="L11" s="91" t="s">
        <v>129</v>
      </c>
      <c r="M11" s="91">
        <v>2.07</v>
      </c>
      <c r="N11" s="24">
        <v>4.0</v>
      </c>
      <c r="O11" s="91">
        <v>2.5</v>
      </c>
      <c r="P11" s="91">
        <v>5.3</v>
      </c>
      <c r="Q11" s="176">
        <f t="shared" si="1"/>
        <v>2.630909091</v>
      </c>
      <c r="R11" s="23">
        <v>6.0</v>
      </c>
    </row>
    <row r="12">
      <c r="A12" s="20"/>
      <c r="B12" s="27"/>
      <c r="C12" s="159">
        <v>6.0</v>
      </c>
      <c r="D12" s="53" t="s">
        <v>216</v>
      </c>
      <c r="E12" s="91">
        <v>0.94</v>
      </c>
      <c r="F12" s="24">
        <v>2.28</v>
      </c>
      <c r="G12" s="209">
        <v>2.2</v>
      </c>
      <c r="H12" s="209">
        <v>0.76</v>
      </c>
      <c r="I12" s="208">
        <v>0.54</v>
      </c>
      <c r="J12" s="209">
        <v>4.5</v>
      </c>
      <c r="K12" s="208">
        <v>1.09</v>
      </c>
      <c r="L12" s="91" t="s">
        <v>129</v>
      </c>
      <c r="M12" s="91">
        <v>3.26</v>
      </c>
      <c r="N12" s="24">
        <v>4.7</v>
      </c>
      <c r="O12" s="91">
        <v>2.1</v>
      </c>
      <c r="P12" s="91">
        <v>5.1</v>
      </c>
      <c r="Q12" s="176">
        <f t="shared" si="1"/>
        <v>2.497272727</v>
      </c>
      <c r="R12" s="23">
        <v>6.0</v>
      </c>
    </row>
    <row r="13">
      <c r="A13" s="20"/>
      <c r="B13" s="15" t="s">
        <v>33</v>
      </c>
      <c r="C13" s="16">
        <v>1.0</v>
      </c>
      <c r="D13" s="49" t="s">
        <v>211</v>
      </c>
      <c r="E13" s="114">
        <v>45.0</v>
      </c>
      <c r="F13" s="89">
        <v>32.0</v>
      </c>
      <c r="G13" s="89">
        <v>155.0</v>
      </c>
      <c r="H13" s="89">
        <v>54.0</v>
      </c>
      <c r="I13" s="89">
        <v>40.0</v>
      </c>
      <c r="J13" s="89" t="s">
        <v>70</v>
      </c>
      <c r="K13" s="89">
        <v>23.0</v>
      </c>
      <c r="L13" s="89" t="s">
        <v>129</v>
      </c>
      <c r="M13" s="89">
        <v>16.0</v>
      </c>
      <c r="N13" s="89">
        <v>28.0</v>
      </c>
      <c r="O13" s="114">
        <v>36.0</v>
      </c>
      <c r="P13" s="114">
        <v>66.0</v>
      </c>
      <c r="Q13" s="178">
        <f t="shared" si="1"/>
        <v>49.5</v>
      </c>
      <c r="R13" s="17">
        <v>50.0</v>
      </c>
    </row>
    <row r="14">
      <c r="A14" s="20"/>
      <c r="B14" s="21"/>
      <c r="C14" s="159">
        <v>2.0</v>
      </c>
      <c r="D14" s="53" t="s">
        <v>212</v>
      </c>
      <c r="E14" s="91">
        <v>27.0</v>
      </c>
      <c r="F14" s="91">
        <v>37.0</v>
      </c>
      <c r="G14" s="208">
        <v>124.0</v>
      </c>
      <c r="H14" s="208">
        <v>49.0</v>
      </c>
      <c r="I14" s="208">
        <v>39.0</v>
      </c>
      <c r="J14" s="208" t="s">
        <v>70</v>
      </c>
      <c r="K14" s="208">
        <v>40.0</v>
      </c>
      <c r="L14" s="91" t="s">
        <v>129</v>
      </c>
      <c r="M14" s="91">
        <v>22.0</v>
      </c>
      <c r="N14" s="91">
        <v>14.0</v>
      </c>
      <c r="O14" s="91">
        <v>32.0</v>
      </c>
      <c r="P14" s="91">
        <v>124.0</v>
      </c>
      <c r="Q14" s="179">
        <f t="shared" si="1"/>
        <v>50.8</v>
      </c>
      <c r="R14" s="23">
        <v>50.0</v>
      </c>
    </row>
    <row r="15">
      <c r="A15" s="20"/>
      <c r="B15" s="21"/>
      <c r="C15" s="159">
        <v>3.0</v>
      </c>
      <c r="D15" s="53" t="s">
        <v>213</v>
      </c>
      <c r="E15" s="91">
        <v>20.0</v>
      </c>
      <c r="F15" s="91">
        <v>35.0</v>
      </c>
      <c r="G15" s="208">
        <v>115.0</v>
      </c>
      <c r="H15" s="208">
        <v>50.0</v>
      </c>
      <c r="I15" s="208">
        <v>42.0</v>
      </c>
      <c r="J15" s="208" t="s">
        <v>70</v>
      </c>
      <c r="K15" s="208">
        <v>17.0</v>
      </c>
      <c r="L15" s="91" t="s">
        <v>129</v>
      </c>
      <c r="M15" s="91">
        <v>69.0</v>
      </c>
      <c r="N15" s="91">
        <v>21.0</v>
      </c>
      <c r="O15" s="91">
        <v>26.0</v>
      </c>
      <c r="P15" s="91">
        <v>97.0</v>
      </c>
      <c r="Q15" s="179">
        <f t="shared" si="1"/>
        <v>49.2</v>
      </c>
      <c r="R15" s="23">
        <v>50.0</v>
      </c>
    </row>
    <row r="16">
      <c r="A16" s="20"/>
      <c r="B16" s="21"/>
      <c r="C16" s="159">
        <v>4.0</v>
      </c>
      <c r="D16" s="53" t="s">
        <v>214</v>
      </c>
      <c r="E16" s="91">
        <v>21.0</v>
      </c>
      <c r="F16" s="91">
        <v>57.0</v>
      </c>
      <c r="G16" s="208">
        <v>127.0</v>
      </c>
      <c r="H16" s="208">
        <v>53.0</v>
      </c>
      <c r="I16" s="208">
        <v>41.0</v>
      </c>
      <c r="J16" s="208">
        <v>57.0</v>
      </c>
      <c r="K16" s="208">
        <v>38.0</v>
      </c>
      <c r="L16" s="91" t="s">
        <v>129</v>
      </c>
      <c r="M16" s="91">
        <v>29.0</v>
      </c>
      <c r="N16" s="91">
        <v>24.0</v>
      </c>
      <c r="O16" s="91">
        <v>31.0</v>
      </c>
      <c r="P16" s="91">
        <v>40.0</v>
      </c>
      <c r="Q16" s="179">
        <f t="shared" si="1"/>
        <v>47.09090909</v>
      </c>
      <c r="R16" s="23">
        <v>50.0</v>
      </c>
    </row>
    <row r="17">
      <c r="A17" s="20"/>
      <c r="B17" s="21"/>
      <c r="C17" s="159">
        <v>5.0</v>
      </c>
      <c r="D17" s="53" t="s">
        <v>215</v>
      </c>
      <c r="E17" s="91">
        <v>36.0</v>
      </c>
      <c r="F17" s="91">
        <v>44.0</v>
      </c>
      <c r="G17" s="208">
        <v>163.0</v>
      </c>
      <c r="H17" s="208">
        <v>46.0</v>
      </c>
      <c r="I17" s="208">
        <v>33.0</v>
      </c>
      <c r="J17" s="208">
        <v>58.0</v>
      </c>
      <c r="K17" s="208">
        <v>79.0</v>
      </c>
      <c r="L17" s="91" t="s">
        <v>129</v>
      </c>
      <c r="M17" s="91">
        <v>15.0</v>
      </c>
      <c r="N17" s="91">
        <v>31.0</v>
      </c>
      <c r="O17" s="91">
        <v>108.0</v>
      </c>
      <c r="P17" s="91">
        <v>55.0</v>
      </c>
      <c r="Q17" s="179">
        <f t="shared" si="1"/>
        <v>60.72727273</v>
      </c>
      <c r="R17" s="23">
        <v>50.0</v>
      </c>
    </row>
    <row r="18">
      <c r="A18" s="20"/>
      <c r="B18" s="27"/>
      <c r="C18" s="159">
        <v>6.0</v>
      </c>
      <c r="D18" s="53" t="s">
        <v>216</v>
      </c>
      <c r="E18" s="91">
        <v>43.0</v>
      </c>
      <c r="F18" s="30">
        <v>32.0</v>
      </c>
      <c r="G18" s="208">
        <v>138.0</v>
      </c>
      <c r="H18" s="208">
        <v>61.0</v>
      </c>
      <c r="I18" s="208">
        <v>31.0</v>
      </c>
      <c r="J18" s="208">
        <v>80.0</v>
      </c>
      <c r="K18" s="208">
        <v>24.0</v>
      </c>
      <c r="L18" s="91" t="s">
        <v>129</v>
      </c>
      <c r="M18" s="91">
        <v>12.0</v>
      </c>
      <c r="N18" s="91">
        <v>28.0</v>
      </c>
      <c r="O18" s="91">
        <v>37.0</v>
      </c>
      <c r="P18" s="91">
        <v>68.0</v>
      </c>
      <c r="Q18" s="179">
        <f t="shared" si="1"/>
        <v>50.36363636</v>
      </c>
      <c r="R18" s="23">
        <v>50.0</v>
      </c>
    </row>
    <row r="19">
      <c r="A19" s="20"/>
      <c r="B19" s="15" t="s">
        <v>34</v>
      </c>
      <c r="C19" s="16">
        <v>1.0</v>
      </c>
      <c r="D19" s="49" t="s">
        <v>211</v>
      </c>
      <c r="E19" s="114">
        <v>7.11</v>
      </c>
      <c r="F19" s="89">
        <v>6.84</v>
      </c>
      <c r="G19" s="89">
        <v>8.05</v>
      </c>
      <c r="H19" s="89">
        <v>7.84</v>
      </c>
      <c r="I19" s="89">
        <v>7.27</v>
      </c>
      <c r="J19" s="89" t="s">
        <v>70</v>
      </c>
      <c r="K19" s="89">
        <v>7.16</v>
      </c>
      <c r="L19" s="89" t="s">
        <v>129</v>
      </c>
      <c r="M19" s="90">
        <v>7.52</v>
      </c>
      <c r="N19" s="90">
        <v>6.24</v>
      </c>
      <c r="O19" s="18">
        <v>7.9</v>
      </c>
      <c r="P19" s="18">
        <v>7.0</v>
      </c>
      <c r="Q19" s="174">
        <f t="shared" si="1"/>
        <v>7.293</v>
      </c>
      <c r="R19" s="65" t="s">
        <v>177</v>
      </c>
    </row>
    <row r="20">
      <c r="A20" s="20"/>
      <c r="B20" s="21"/>
      <c r="C20" s="159">
        <v>2.0</v>
      </c>
      <c r="D20" s="53" t="s">
        <v>212</v>
      </c>
      <c r="E20" s="91">
        <v>6.69</v>
      </c>
      <c r="F20" s="91">
        <v>6.89</v>
      </c>
      <c r="G20" s="208">
        <v>8.01</v>
      </c>
      <c r="H20" s="208">
        <v>7.83</v>
      </c>
      <c r="I20" s="209">
        <v>7.3</v>
      </c>
      <c r="J20" s="208" t="s">
        <v>70</v>
      </c>
      <c r="K20" s="208">
        <v>7.09</v>
      </c>
      <c r="L20" s="91" t="s">
        <v>129</v>
      </c>
      <c r="M20" s="24">
        <v>7.52</v>
      </c>
      <c r="N20" s="24">
        <v>7.0</v>
      </c>
      <c r="O20" s="91">
        <v>8.02</v>
      </c>
      <c r="P20" s="24">
        <v>7.0</v>
      </c>
      <c r="Q20" s="176">
        <f t="shared" si="1"/>
        <v>7.335</v>
      </c>
      <c r="R20" s="66" t="s">
        <v>177</v>
      </c>
    </row>
    <row r="21" ht="15.75" customHeight="1">
      <c r="A21" s="20"/>
      <c r="B21" s="21"/>
      <c r="C21" s="159">
        <v>3.0</v>
      </c>
      <c r="D21" s="53" t="s">
        <v>213</v>
      </c>
      <c r="E21" s="91">
        <v>7.32</v>
      </c>
      <c r="F21" s="91">
        <v>6.86</v>
      </c>
      <c r="G21" s="208">
        <v>8.14</v>
      </c>
      <c r="H21" s="208">
        <v>7.6</v>
      </c>
      <c r="I21" s="208">
        <v>7.25</v>
      </c>
      <c r="J21" s="208" t="s">
        <v>70</v>
      </c>
      <c r="K21" s="208">
        <v>7.18</v>
      </c>
      <c r="L21" s="91" t="s">
        <v>129</v>
      </c>
      <c r="M21" s="24">
        <v>7.71</v>
      </c>
      <c r="N21" s="24">
        <v>6.3</v>
      </c>
      <c r="O21" s="91">
        <v>7.93</v>
      </c>
      <c r="P21" s="24">
        <v>7.0</v>
      </c>
      <c r="Q21" s="176">
        <f t="shared" si="1"/>
        <v>7.329</v>
      </c>
      <c r="R21" s="66" t="s">
        <v>177</v>
      </c>
    </row>
    <row r="22" ht="15.75" customHeight="1">
      <c r="A22" s="20"/>
      <c r="B22" s="21"/>
      <c r="C22" s="159">
        <v>4.0</v>
      </c>
      <c r="D22" s="53" t="s">
        <v>214</v>
      </c>
      <c r="E22" s="91">
        <v>6.57</v>
      </c>
      <c r="F22" s="91">
        <v>6.89</v>
      </c>
      <c r="G22" s="208">
        <v>8.11</v>
      </c>
      <c r="H22" s="208">
        <v>7.81</v>
      </c>
      <c r="I22" s="208">
        <v>7.23</v>
      </c>
      <c r="J22" s="208">
        <v>8.24</v>
      </c>
      <c r="K22" s="208">
        <v>7.26</v>
      </c>
      <c r="L22" s="91" t="s">
        <v>129</v>
      </c>
      <c r="M22" s="24">
        <v>7.43</v>
      </c>
      <c r="N22" s="24">
        <v>6.75</v>
      </c>
      <c r="O22" s="24">
        <v>7.52</v>
      </c>
      <c r="P22" s="24">
        <v>7.0</v>
      </c>
      <c r="Q22" s="176">
        <f t="shared" si="1"/>
        <v>7.346363636</v>
      </c>
      <c r="R22" s="66" t="s">
        <v>177</v>
      </c>
    </row>
    <row r="23" ht="15.75" customHeight="1">
      <c r="A23" s="20"/>
      <c r="B23" s="21"/>
      <c r="C23" s="159">
        <v>5.0</v>
      </c>
      <c r="D23" s="53" t="s">
        <v>215</v>
      </c>
      <c r="E23" s="24">
        <v>7.29</v>
      </c>
      <c r="F23" s="91">
        <v>6.83</v>
      </c>
      <c r="G23" s="208">
        <v>7.97</v>
      </c>
      <c r="H23" s="208">
        <v>7.83</v>
      </c>
      <c r="I23" s="208">
        <v>7.12</v>
      </c>
      <c r="J23" s="208">
        <v>8.27</v>
      </c>
      <c r="K23" s="208">
        <v>7.18</v>
      </c>
      <c r="L23" s="91" t="s">
        <v>129</v>
      </c>
      <c r="M23" s="24">
        <v>7.45</v>
      </c>
      <c r="N23" s="24">
        <v>6.6</v>
      </c>
      <c r="O23" s="24">
        <v>7.5</v>
      </c>
      <c r="P23" s="24">
        <v>7.0</v>
      </c>
      <c r="Q23" s="176">
        <f t="shared" si="1"/>
        <v>7.367272727</v>
      </c>
      <c r="R23" s="66" t="s">
        <v>177</v>
      </c>
    </row>
    <row r="24" ht="15.75" customHeight="1">
      <c r="A24" s="20"/>
      <c r="B24" s="27"/>
      <c r="C24" s="159">
        <v>6.0</v>
      </c>
      <c r="D24" s="53" t="s">
        <v>216</v>
      </c>
      <c r="E24" s="91">
        <v>6.11</v>
      </c>
      <c r="F24" s="24">
        <v>6.85</v>
      </c>
      <c r="G24" s="208">
        <v>8.19</v>
      </c>
      <c r="H24" s="208">
        <v>7.54</v>
      </c>
      <c r="I24" s="208">
        <v>7.25</v>
      </c>
      <c r="J24" s="208">
        <v>8.41</v>
      </c>
      <c r="K24" s="208">
        <v>7.22</v>
      </c>
      <c r="L24" s="91" t="s">
        <v>129</v>
      </c>
      <c r="M24" s="24">
        <v>7.4</v>
      </c>
      <c r="N24" s="24">
        <v>7.2</v>
      </c>
      <c r="O24" s="24">
        <v>7.32</v>
      </c>
      <c r="P24" s="24">
        <v>7.0</v>
      </c>
      <c r="Q24" s="176">
        <f t="shared" si="1"/>
        <v>7.317272727</v>
      </c>
      <c r="R24" s="66" t="s">
        <v>177</v>
      </c>
    </row>
    <row r="25" ht="15.75" customHeight="1">
      <c r="A25" s="20"/>
      <c r="B25" s="15" t="s">
        <v>217</v>
      </c>
      <c r="C25" s="16">
        <v>1.0</v>
      </c>
      <c r="D25" s="49" t="s">
        <v>211</v>
      </c>
      <c r="E25" s="18">
        <v>26.8</v>
      </c>
      <c r="F25" s="90">
        <v>29.1</v>
      </c>
      <c r="G25" s="90">
        <v>31.4</v>
      </c>
      <c r="H25" s="90">
        <v>29.91</v>
      </c>
      <c r="I25" s="90">
        <v>32.8</v>
      </c>
      <c r="J25" s="89" t="s">
        <v>70</v>
      </c>
      <c r="K25" s="90">
        <v>30.93</v>
      </c>
      <c r="L25" s="89" t="s">
        <v>129</v>
      </c>
      <c r="M25" s="90">
        <v>30.15</v>
      </c>
      <c r="N25" s="90">
        <v>30.4</v>
      </c>
      <c r="O25" s="18">
        <v>29.28</v>
      </c>
      <c r="P25" s="18">
        <v>31.0</v>
      </c>
      <c r="Q25" s="174">
        <f t="shared" si="1"/>
        <v>30.177</v>
      </c>
      <c r="R25" s="18" t="s">
        <v>179</v>
      </c>
    </row>
    <row r="26" ht="15.75" customHeight="1">
      <c r="A26" s="20"/>
      <c r="B26" s="21"/>
      <c r="C26" s="159">
        <v>2.0</v>
      </c>
      <c r="D26" s="53" t="s">
        <v>212</v>
      </c>
      <c r="E26" s="24">
        <v>25.95</v>
      </c>
      <c r="F26" s="24">
        <v>29.9</v>
      </c>
      <c r="G26" s="209">
        <v>31.6</v>
      </c>
      <c r="H26" s="209">
        <v>30.8</v>
      </c>
      <c r="I26" s="209">
        <v>33.0</v>
      </c>
      <c r="J26" s="208" t="s">
        <v>70</v>
      </c>
      <c r="K26" s="209">
        <v>30.4</v>
      </c>
      <c r="L26" s="91" t="s">
        <v>129</v>
      </c>
      <c r="M26" s="24">
        <v>30.1</v>
      </c>
      <c r="N26" s="24">
        <v>30.3</v>
      </c>
      <c r="O26" s="24">
        <v>29.82</v>
      </c>
      <c r="P26" s="24">
        <v>31.0</v>
      </c>
      <c r="Q26" s="176">
        <f t="shared" si="1"/>
        <v>30.287</v>
      </c>
      <c r="R26" s="24" t="s">
        <v>179</v>
      </c>
    </row>
    <row r="27" ht="15.75" customHeight="1">
      <c r="A27" s="20"/>
      <c r="B27" s="21"/>
      <c r="C27" s="159">
        <v>3.0</v>
      </c>
      <c r="D27" s="53" t="s">
        <v>213</v>
      </c>
      <c r="E27" s="24">
        <v>25.45</v>
      </c>
      <c r="F27" s="24">
        <v>30.4</v>
      </c>
      <c r="G27" s="209">
        <v>31.7</v>
      </c>
      <c r="H27" s="209">
        <v>30.63</v>
      </c>
      <c r="I27" s="209">
        <v>31.9</v>
      </c>
      <c r="J27" s="208" t="s">
        <v>70</v>
      </c>
      <c r="K27" s="209">
        <v>31.0</v>
      </c>
      <c r="L27" s="91" t="s">
        <v>129</v>
      </c>
      <c r="M27" s="24">
        <v>27.8</v>
      </c>
      <c r="N27" s="24">
        <v>30.19</v>
      </c>
      <c r="O27" s="24">
        <v>29.7</v>
      </c>
      <c r="P27" s="24">
        <v>30.0</v>
      </c>
      <c r="Q27" s="176">
        <f t="shared" si="1"/>
        <v>29.877</v>
      </c>
      <c r="R27" s="24" t="s">
        <v>179</v>
      </c>
    </row>
    <row r="28" ht="15.75" customHeight="1">
      <c r="A28" s="20"/>
      <c r="B28" s="21"/>
      <c r="C28" s="159">
        <v>4.0</v>
      </c>
      <c r="D28" s="53" t="s">
        <v>214</v>
      </c>
      <c r="E28" s="24">
        <v>25.38</v>
      </c>
      <c r="F28" s="24">
        <v>31.2</v>
      </c>
      <c r="G28" s="209">
        <v>31.58</v>
      </c>
      <c r="H28" s="209">
        <v>30.1</v>
      </c>
      <c r="I28" s="208">
        <v>31.18</v>
      </c>
      <c r="J28" s="209">
        <v>31.3</v>
      </c>
      <c r="K28" s="209">
        <v>30.9</v>
      </c>
      <c r="L28" s="91" t="s">
        <v>129</v>
      </c>
      <c r="M28" s="24">
        <v>29.93</v>
      </c>
      <c r="N28" s="24">
        <v>30.29</v>
      </c>
      <c r="O28" s="24">
        <v>29.91</v>
      </c>
      <c r="P28" s="24">
        <v>30.0</v>
      </c>
      <c r="Q28" s="176">
        <f t="shared" si="1"/>
        <v>30.16090909</v>
      </c>
      <c r="R28" s="24" t="s">
        <v>179</v>
      </c>
    </row>
    <row r="29" ht="15.75" customHeight="1">
      <c r="A29" s="20"/>
      <c r="B29" s="21"/>
      <c r="C29" s="159">
        <v>5.0</v>
      </c>
      <c r="D29" s="53" t="s">
        <v>215</v>
      </c>
      <c r="E29" s="24">
        <v>26.5</v>
      </c>
      <c r="F29" s="24">
        <v>28.2</v>
      </c>
      <c r="G29" s="209">
        <v>31.8</v>
      </c>
      <c r="H29" s="209">
        <v>30.2</v>
      </c>
      <c r="I29" s="208">
        <v>33.03</v>
      </c>
      <c r="J29" s="209">
        <v>31.6</v>
      </c>
      <c r="K29" s="209">
        <v>30.9</v>
      </c>
      <c r="L29" s="91" t="s">
        <v>129</v>
      </c>
      <c r="M29" s="24">
        <v>30.1</v>
      </c>
      <c r="N29" s="24">
        <v>30.41</v>
      </c>
      <c r="O29" s="24">
        <v>29.93</v>
      </c>
      <c r="P29" s="24">
        <v>30.0</v>
      </c>
      <c r="Q29" s="176">
        <f t="shared" si="1"/>
        <v>30.24272727</v>
      </c>
      <c r="R29" s="24" t="s">
        <v>179</v>
      </c>
    </row>
    <row r="30" ht="15.75" customHeight="1">
      <c r="A30" s="20"/>
      <c r="B30" s="27"/>
      <c r="C30" s="159">
        <v>6.0</v>
      </c>
      <c r="D30" s="53" t="s">
        <v>216</v>
      </c>
      <c r="E30" s="24">
        <v>25.98</v>
      </c>
      <c r="F30" s="24">
        <v>29.8</v>
      </c>
      <c r="G30" s="209">
        <v>29.9</v>
      </c>
      <c r="H30" s="209">
        <v>30.4</v>
      </c>
      <c r="I30" s="209">
        <v>31.0</v>
      </c>
      <c r="J30" s="209">
        <v>31.0</v>
      </c>
      <c r="K30" s="209">
        <v>30.7</v>
      </c>
      <c r="L30" s="91" t="s">
        <v>129</v>
      </c>
      <c r="M30" s="24">
        <v>29.55</v>
      </c>
      <c r="N30" s="24">
        <v>30.1</v>
      </c>
      <c r="O30" s="24">
        <v>29.61</v>
      </c>
      <c r="P30" s="24">
        <v>29.0</v>
      </c>
      <c r="Q30" s="176">
        <f t="shared" si="1"/>
        <v>29.73090909</v>
      </c>
      <c r="R30" s="24" t="s">
        <v>179</v>
      </c>
    </row>
    <row r="31" ht="15.75" customHeight="1">
      <c r="A31" s="20"/>
      <c r="B31" s="15" t="s">
        <v>38</v>
      </c>
      <c r="C31" s="16">
        <v>1.0</v>
      </c>
      <c r="D31" s="49" t="s">
        <v>211</v>
      </c>
      <c r="E31" s="114">
        <v>15.0</v>
      </c>
      <c r="F31" s="89">
        <v>5.0</v>
      </c>
      <c r="G31" s="89">
        <v>15.0</v>
      </c>
      <c r="H31" s="89">
        <v>10.0</v>
      </c>
      <c r="I31" s="89">
        <v>3.0</v>
      </c>
      <c r="J31" s="89" t="s">
        <v>70</v>
      </c>
      <c r="K31" s="89">
        <v>15.0</v>
      </c>
      <c r="L31" s="89" t="s">
        <v>129</v>
      </c>
      <c r="M31" s="89">
        <v>10.0</v>
      </c>
      <c r="N31" s="89">
        <v>3.0</v>
      </c>
      <c r="O31" s="114">
        <v>5.0</v>
      </c>
      <c r="P31" s="114">
        <v>15.0</v>
      </c>
      <c r="Q31" s="178">
        <f t="shared" si="1"/>
        <v>9.6</v>
      </c>
      <c r="R31" s="28">
        <v>50.0</v>
      </c>
    </row>
    <row r="32" ht="15.75" customHeight="1">
      <c r="A32" s="20"/>
      <c r="B32" s="21"/>
      <c r="C32" s="159">
        <v>2.0</v>
      </c>
      <c r="D32" s="53" t="s">
        <v>212</v>
      </c>
      <c r="E32" s="91">
        <v>5.0</v>
      </c>
      <c r="F32" s="91">
        <v>10.0</v>
      </c>
      <c r="G32" s="208">
        <v>10.0</v>
      </c>
      <c r="H32" s="208">
        <v>5.0</v>
      </c>
      <c r="I32" s="208">
        <v>3.0</v>
      </c>
      <c r="J32" s="208" t="s">
        <v>70</v>
      </c>
      <c r="K32" s="208">
        <v>20.0</v>
      </c>
      <c r="L32" s="91" t="s">
        <v>129</v>
      </c>
      <c r="M32" s="211">
        <v>10.0</v>
      </c>
      <c r="N32" s="91">
        <v>3.0</v>
      </c>
      <c r="O32" s="91">
        <v>5.0</v>
      </c>
      <c r="P32" s="91">
        <v>15.0</v>
      </c>
      <c r="Q32" s="179">
        <f t="shared" si="1"/>
        <v>8.6</v>
      </c>
      <c r="R32" s="30">
        <v>50.0</v>
      </c>
    </row>
    <row r="33" ht="15.75" customHeight="1">
      <c r="A33" s="20"/>
      <c r="B33" s="21"/>
      <c r="C33" s="159">
        <v>3.0</v>
      </c>
      <c r="D33" s="53" t="s">
        <v>213</v>
      </c>
      <c r="E33" s="91">
        <v>5.0</v>
      </c>
      <c r="F33" s="91">
        <v>15.0</v>
      </c>
      <c r="G33" s="208">
        <v>15.0</v>
      </c>
      <c r="H33" s="208">
        <v>10.0</v>
      </c>
      <c r="I33" s="208">
        <v>3.0</v>
      </c>
      <c r="J33" s="208" t="s">
        <v>70</v>
      </c>
      <c r="K33" s="208">
        <v>25.0</v>
      </c>
      <c r="L33" s="91" t="s">
        <v>129</v>
      </c>
      <c r="M33" s="211">
        <v>10.0</v>
      </c>
      <c r="N33" s="91">
        <v>3.0</v>
      </c>
      <c r="O33" s="91">
        <v>10.0</v>
      </c>
      <c r="P33" s="91">
        <v>20.0</v>
      </c>
      <c r="Q33" s="179">
        <f t="shared" si="1"/>
        <v>11.6</v>
      </c>
      <c r="R33" s="30">
        <v>50.0</v>
      </c>
    </row>
    <row r="34" ht="15.75" customHeight="1">
      <c r="A34" s="20"/>
      <c r="B34" s="21"/>
      <c r="C34" s="159">
        <v>4.0</v>
      </c>
      <c r="D34" s="53" t="s">
        <v>214</v>
      </c>
      <c r="E34" s="91">
        <v>10.0</v>
      </c>
      <c r="F34" s="91">
        <v>10.0</v>
      </c>
      <c r="G34" s="208">
        <v>15.0</v>
      </c>
      <c r="H34" s="208">
        <v>10.0</v>
      </c>
      <c r="I34" s="208">
        <v>3.0</v>
      </c>
      <c r="J34" s="208">
        <v>10.0</v>
      </c>
      <c r="K34" s="208">
        <v>15.0</v>
      </c>
      <c r="L34" s="91" t="s">
        <v>129</v>
      </c>
      <c r="M34" s="211">
        <v>10.0</v>
      </c>
      <c r="N34" s="91">
        <v>3.0</v>
      </c>
      <c r="O34" s="91">
        <v>5.0</v>
      </c>
      <c r="P34" s="91">
        <v>20.0</v>
      </c>
      <c r="Q34" s="179">
        <f t="shared" si="1"/>
        <v>10.09090909</v>
      </c>
      <c r="R34" s="30">
        <v>50.0</v>
      </c>
    </row>
    <row r="35" ht="15.75" customHeight="1">
      <c r="A35" s="20"/>
      <c r="B35" s="21"/>
      <c r="C35" s="159">
        <v>5.0</v>
      </c>
      <c r="D35" s="53" t="s">
        <v>215</v>
      </c>
      <c r="E35" s="91">
        <v>10.0</v>
      </c>
      <c r="F35" s="91">
        <v>10.0</v>
      </c>
      <c r="G35" s="208">
        <v>10.0</v>
      </c>
      <c r="H35" s="208">
        <v>5.0</v>
      </c>
      <c r="I35" s="208">
        <v>3.0</v>
      </c>
      <c r="J35" s="208">
        <v>10.0</v>
      </c>
      <c r="K35" s="208">
        <v>15.0</v>
      </c>
      <c r="L35" s="91" t="s">
        <v>129</v>
      </c>
      <c r="M35" s="211">
        <v>10.0</v>
      </c>
      <c r="N35" s="91">
        <v>3.0</v>
      </c>
      <c r="O35" s="91">
        <v>10.0</v>
      </c>
      <c r="P35" s="91">
        <v>10.0</v>
      </c>
      <c r="Q35" s="179">
        <f t="shared" si="1"/>
        <v>8.727272727</v>
      </c>
      <c r="R35" s="30">
        <v>50.0</v>
      </c>
    </row>
    <row r="36" ht="15.75" customHeight="1">
      <c r="A36" s="20"/>
      <c r="B36" s="27"/>
      <c r="C36" s="159">
        <v>6.0</v>
      </c>
      <c r="D36" s="53" t="s">
        <v>216</v>
      </c>
      <c r="E36" s="91">
        <v>5.0</v>
      </c>
      <c r="F36" s="24">
        <v>5.0</v>
      </c>
      <c r="G36" s="208">
        <v>10.0</v>
      </c>
      <c r="H36" s="208">
        <v>10.0</v>
      </c>
      <c r="I36" s="208">
        <v>3.0</v>
      </c>
      <c r="J36" s="208">
        <v>10.0</v>
      </c>
      <c r="K36" s="208">
        <v>15.0</v>
      </c>
      <c r="L36" s="91" t="s">
        <v>129</v>
      </c>
      <c r="M36" s="91">
        <v>10.0</v>
      </c>
      <c r="N36" s="91">
        <v>3.0</v>
      </c>
      <c r="O36" s="91">
        <v>5.0</v>
      </c>
      <c r="P36" s="91">
        <v>15.0</v>
      </c>
      <c r="Q36" s="179">
        <f t="shared" si="1"/>
        <v>8.272727273</v>
      </c>
      <c r="R36" s="30">
        <v>50.0</v>
      </c>
    </row>
    <row r="37" ht="15.75" customHeight="1">
      <c r="A37" s="20"/>
      <c r="B37" s="15" t="s">
        <v>40</v>
      </c>
      <c r="C37" s="16">
        <v>1.0</v>
      </c>
      <c r="D37" s="49" t="s">
        <v>211</v>
      </c>
      <c r="E37" s="33">
        <v>49.0</v>
      </c>
      <c r="F37" s="89">
        <v>130.0</v>
      </c>
      <c r="G37" s="89">
        <v>7.8</v>
      </c>
      <c r="H37" s="89">
        <v>170.0</v>
      </c>
      <c r="I37" s="89">
        <v>23.0</v>
      </c>
      <c r="J37" s="89" t="s">
        <v>70</v>
      </c>
      <c r="K37" s="89">
        <v>170.0</v>
      </c>
      <c r="L37" s="89" t="s">
        <v>129</v>
      </c>
      <c r="M37" s="93">
        <v>16000.0</v>
      </c>
      <c r="N37" s="93">
        <v>2800.0</v>
      </c>
      <c r="O37" s="32">
        <v>130.0</v>
      </c>
      <c r="P37" s="32">
        <v>130.0</v>
      </c>
      <c r="Q37" s="180">
        <f t="shared" ref="Q37:Q42" si="2">GEOMEAN(E37,F37,G37,H37,I37,J37,K37,L37,M37,N37,O37,P37)</f>
        <v>173.7010498</v>
      </c>
      <c r="R37" s="17">
        <v>100.0</v>
      </c>
      <c r="S37" s="212">
        <f>geomean(Q37:Q42)</f>
        <v>260.3847957</v>
      </c>
    </row>
    <row r="38" ht="15.75" customHeight="1">
      <c r="A38" s="20"/>
      <c r="B38" s="21"/>
      <c r="C38" s="159">
        <v>2.0</v>
      </c>
      <c r="D38" s="53" t="s">
        <v>212</v>
      </c>
      <c r="E38" s="34">
        <v>540.0</v>
      </c>
      <c r="F38" s="91">
        <v>110.0</v>
      </c>
      <c r="G38" s="208">
        <v>11.0</v>
      </c>
      <c r="H38" s="208">
        <v>23.0</v>
      </c>
      <c r="I38" s="208">
        <v>23.0</v>
      </c>
      <c r="J38" s="208" t="s">
        <v>70</v>
      </c>
      <c r="K38" s="213">
        <v>1700.0</v>
      </c>
      <c r="L38" s="91" t="s">
        <v>129</v>
      </c>
      <c r="M38" s="37">
        <v>3500.0</v>
      </c>
      <c r="N38" s="91">
        <v>170.0</v>
      </c>
      <c r="O38" s="37">
        <v>130.0</v>
      </c>
      <c r="P38" s="37">
        <v>130.0</v>
      </c>
      <c r="Q38" s="183">
        <f t="shared" si="2"/>
        <v>150.3656858</v>
      </c>
      <c r="R38" s="23">
        <v>100.0</v>
      </c>
    </row>
    <row r="39" ht="15.75" customHeight="1">
      <c r="A39" s="20"/>
      <c r="B39" s="21"/>
      <c r="C39" s="159">
        <v>3.0</v>
      </c>
      <c r="D39" s="53" t="s">
        <v>213</v>
      </c>
      <c r="E39" s="34">
        <v>24000.0</v>
      </c>
      <c r="F39" s="91">
        <v>920.0</v>
      </c>
      <c r="G39" s="208">
        <v>240.0</v>
      </c>
      <c r="H39" s="208">
        <v>240.0</v>
      </c>
      <c r="I39" s="208">
        <v>920.0</v>
      </c>
      <c r="J39" s="208" t="s">
        <v>70</v>
      </c>
      <c r="K39" s="208">
        <v>350.0</v>
      </c>
      <c r="L39" s="91" t="s">
        <v>129</v>
      </c>
      <c r="M39" s="37">
        <v>16000.0</v>
      </c>
      <c r="N39" s="37">
        <v>3500.0</v>
      </c>
      <c r="O39" s="37">
        <v>1700.0</v>
      </c>
      <c r="P39" s="37">
        <v>3500.0</v>
      </c>
      <c r="Q39" s="183">
        <f t="shared" si="2"/>
        <v>1634.926532</v>
      </c>
      <c r="R39" s="23">
        <v>100.0</v>
      </c>
    </row>
    <row r="40" ht="15.75" customHeight="1">
      <c r="A40" s="20"/>
      <c r="B40" s="21"/>
      <c r="C40" s="159">
        <v>4.0</v>
      </c>
      <c r="D40" s="53" t="s">
        <v>214</v>
      </c>
      <c r="E40" s="34">
        <v>1600.0</v>
      </c>
      <c r="F40" s="37">
        <v>9200.0</v>
      </c>
      <c r="G40" s="208">
        <v>210.0</v>
      </c>
      <c r="H40" s="213">
        <v>24000.0</v>
      </c>
      <c r="I40" s="208">
        <v>240.0</v>
      </c>
      <c r="J40" s="208">
        <v>920.0</v>
      </c>
      <c r="K40" s="208">
        <v>540.0</v>
      </c>
      <c r="L40" s="91" t="s">
        <v>129</v>
      </c>
      <c r="M40" s="37">
        <v>24000.0</v>
      </c>
      <c r="N40" s="37">
        <v>130.0</v>
      </c>
      <c r="O40" s="37">
        <v>1300.0</v>
      </c>
      <c r="P40" s="37">
        <v>460.0</v>
      </c>
      <c r="Q40" s="183">
        <f t="shared" si="2"/>
        <v>1290.297106</v>
      </c>
      <c r="R40" s="23">
        <v>100.0</v>
      </c>
    </row>
    <row r="41" ht="15.75" customHeight="1">
      <c r="A41" s="20"/>
      <c r="B41" s="21"/>
      <c r="C41" s="159">
        <v>5.0</v>
      </c>
      <c r="D41" s="53" t="s">
        <v>215</v>
      </c>
      <c r="E41" s="34">
        <v>79.0</v>
      </c>
      <c r="F41" s="91">
        <v>33.0</v>
      </c>
      <c r="G41" s="208">
        <v>4.5</v>
      </c>
      <c r="H41" s="208">
        <v>13.0</v>
      </c>
      <c r="I41" s="208">
        <v>23.0</v>
      </c>
      <c r="J41" s="208">
        <v>350.0</v>
      </c>
      <c r="K41" s="208">
        <v>79.0</v>
      </c>
      <c r="L41" s="91" t="s">
        <v>129</v>
      </c>
      <c r="M41" s="37">
        <v>16000.0</v>
      </c>
      <c r="N41" s="91" t="s">
        <v>218</v>
      </c>
      <c r="O41" s="91">
        <v>46.0</v>
      </c>
      <c r="P41" s="91">
        <v>13.0</v>
      </c>
      <c r="Q41" s="183">
        <f t="shared" si="2"/>
        <v>62.62591779</v>
      </c>
      <c r="R41" s="23">
        <v>100.0</v>
      </c>
    </row>
    <row r="42" ht="15.75" customHeight="1">
      <c r="A42" s="20"/>
      <c r="B42" s="27"/>
      <c r="C42" s="159">
        <v>6.0</v>
      </c>
      <c r="D42" s="53" t="s">
        <v>216</v>
      </c>
      <c r="E42" s="34">
        <v>240.0</v>
      </c>
      <c r="F42" s="30">
        <v>33.0</v>
      </c>
      <c r="G42" s="208">
        <v>2.0</v>
      </c>
      <c r="H42" s="208">
        <v>23.0</v>
      </c>
      <c r="I42" s="208">
        <v>7.8</v>
      </c>
      <c r="J42" s="208">
        <v>130.0</v>
      </c>
      <c r="K42" s="208">
        <v>49.0</v>
      </c>
      <c r="L42" s="91" t="s">
        <v>129</v>
      </c>
      <c r="M42" s="37">
        <v>9200.0</v>
      </c>
      <c r="N42" s="91">
        <v>33.0</v>
      </c>
      <c r="O42" s="91">
        <v>110.0</v>
      </c>
      <c r="P42" s="37">
        <v>5400.0</v>
      </c>
      <c r="Q42" s="183">
        <f t="shared" si="2"/>
        <v>90.32344182</v>
      </c>
      <c r="R42" s="23">
        <v>100.0</v>
      </c>
    </row>
    <row r="43" ht="15.75" customHeight="1">
      <c r="A43" s="20"/>
      <c r="B43" s="15" t="s">
        <v>219</v>
      </c>
      <c r="C43" s="16">
        <v>1.0</v>
      </c>
      <c r="D43" s="49" t="s">
        <v>211</v>
      </c>
      <c r="E43" s="114" t="s">
        <v>42</v>
      </c>
      <c r="F43" s="89" t="s">
        <v>42</v>
      </c>
      <c r="G43" s="114" t="s">
        <v>42</v>
      </c>
      <c r="H43" s="96">
        <v>0.811</v>
      </c>
      <c r="I43" s="114" t="s">
        <v>42</v>
      </c>
      <c r="J43" s="89" t="s">
        <v>70</v>
      </c>
      <c r="K43" s="89" t="s">
        <v>42</v>
      </c>
      <c r="L43" s="89" t="s">
        <v>129</v>
      </c>
      <c r="M43" s="89">
        <v>0.204</v>
      </c>
      <c r="N43" s="114" t="s">
        <v>42</v>
      </c>
      <c r="O43" s="40">
        <v>0.14</v>
      </c>
      <c r="P43" s="114">
        <v>0.675</v>
      </c>
      <c r="Q43" s="185">
        <f t="shared" ref="Q43:Q48" si="3">AVERAGE(E43,F43,G43,H43,I43,J43,K43,L43,0.045,N43,O43,P43)</f>
        <v>0.41775</v>
      </c>
      <c r="R43" s="17">
        <v>10.0</v>
      </c>
    </row>
    <row r="44" ht="15.75" customHeight="1">
      <c r="A44" s="20"/>
      <c r="B44" s="21"/>
      <c r="C44" s="159">
        <v>2.0</v>
      </c>
      <c r="D44" s="53" t="s">
        <v>212</v>
      </c>
      <c r="E44" s="91" t="s">
        <v>42</v>
      </c>
      <c r="F44" s="91" t="s">
        <v>42</v>
      </c>
      <c r="G44" s="91" t="s">
        <v>42</v>
      </c>
      <c r="H44" s="214">
        <v>0.21</v>
      </c>
      <c r="I44" s="208">
        <v>0.123</v>
      </c>
      <c r="J44" s="208" t="s">
        <v>70</v>
      </c>
      <c r="K44" s="208" t="s">
        <v>42</v>
      </c>
      <c r="L44" s="91" t="s">
        <v>129</v>
      </c>
      <c r="M44" s="91" t="s">
        <v>42</v>
      </c>
      <c r="N44" s="91" t="s">
        <v>42</v>
      </c>
      <c r="O44" s="91">
        <v>0.134</v>
      </c>
      <c r="P44" s="91">
        <v>0.528</v>
      </c>
      <c r="Q44" s="187">
        <f t="shared" si="3"/>
        <v>0.208</v>
      </c>
      <c r="R44" s="23">
        <v>10.0</v>
      </c>
    </row>
    <row r="45" ht="15.75" customHeight="1">
      <c r="A45" s="20"/>
      <c r="B45" s="21"/>
      <c r="C45" s="159">
        <v>3.0</v>
      </c>
      <c r="D45" s="53" t="s">
        <v>213</v>
      </c>
      <c r="E45" s="91" t="s">
        <v>42</v>
      </c>
      <c r="F45" s="91" t="s">
        <v>42</v>
      </c>
      <c r="G45" s="91" t="s">
        <v>42</v>
      </c>
      <c r="H45" s="214">
        <v>0.402</v>
      </c>
      <c r="I45" s="208">
        <v>0.151</v>
      </c>
      <c r="J45" s="208" t="s">
        <v>70</v>
      </c>
      <c r="K45" s="208">
        <v>0.052</v>
      </c>
      <c r="L45" s="91" t="s">
        <v>129</v>
      </c>
      <c r="M45" s="91">
        <v>0.386</v>
      </c>
      <c r="N45" s="91" t="s">
        <v>42</v>
      </c>
      <c r="O45" s="91">
        <v>0.134</v>
      </c>
      <c r="P45" s="91">
        <v>0.445</v>
      </c>
      <c r="Q45" s="187">
        <f t="shared" si="3"/>
        <v>0.2048333333</v>
      </c>
      <c r="R45" s="23">
        <v>10.0</v>
      </c>
    </row>
    <row r="46" ht="15.75" customHeight="1">
      <c r="A46" s="20"/>
      <c r="B46" s="21"/>
      <c r="C46" s="159">
        <v>4.0</v>
      </c>
      <c r="D46" s="53" t="s">
        <v>214</v>
      </c>
      <c r="E46" s="91" t="s">
        <v>42</v>
      </c>
      <c r="F46" s="91">
        <v>0.099</v>
      </c>
      <c r="G46" s="91" t="s">
        <v>42</v>
      </c>
      <c r="H46" s="214">
        <v>0.2</v>
      </c>
      <c r="I46" s="208">
        <v>0.376</v>
      </c>
      <c r="J46" s="208">
        <v>0.061</v>
      </c>
      <c r="K46" s="208">
        <v>0.169</v>
      </c>
      <c r="L46" s="91" t="s">
        <v>129</v>
      </c>
      <c r="M46" s="91">
        <v>0.131</v>
      </c>
      <c r="N46" s="91" t="s">
        <v>42</v>
      </c>
      <c r="O46" s="91">
        <v>0.069</v>
      </c>
      <c r="P46" s="91">
        <v>0.394</v>
      </c>
      <c r="Q46" s="187">
        <f t="shared" si="3"/>
        <v>0.176625</v>
      </c>
      <c r="R46" s="23">
        <v>10.0</v>
      </c>
    </row>
    <row r="47" ht="15.75" customHeight="1">
      <c r="A47" s="20"/>
      <c r="B47" s="21"/>
      <c r="C47" s="159">
        <v>5.0</v>
      </c>
      <c r="D47" s="53" t="s">
        <v>215</v>
      </c>
      <c r="E47" s="91" t="s">
        <v>42</v>
      </c>
      <c r="F47" s="43">
        <v>0.11</v>
      </c>
      <c r="G47" s="91" t="s">
        <v>42</v>
      </c>
      <c r="H47" s="214">
        <v>0.234</v>
      </c>
      <c r="I47" s="208">
        <v>0.144</v>
      </c>
      <c r="J47" s="91" t="s">
        <v>42</v>
      </c>
      <c r="K47" s="208" t="s">
        <v>42</v>
      </c>
      <c r="L47" s="91" t="s">
        <v>129</v>
      </c>
      <c r="M47" s="91">
        <v>0.295</v>
      </c>
      <c r="N47" s="91" t="s">
        <v>42</v>
      </c>
      <c r="O47" s="91">
        <v>0.634</v>
      </c>
      <c r="P47" s="91">
        <v>0.451</v>
      </c>
      <c r="Q47" s="187">
        <f t="shared" si="3"/>
        <v>0.2696666667</v>
      </c>
      <c r="R47" s="23">
        <v>10.0</v>
      </c>
    </row>
    <row r="48" ht="15.75" customHeight="1">
      <c r="A48" s="20"/>
      <c r="B48" s="27"/>
      <c r="C48" s="159">
        <v>6.0</v>
      </c>
      <c r="D48" s="53" t="s">
        <v>216</v>
      </c>
      <c r="E48" s="91" t="s">
        <v>42</v>
      </c>
      <c r="F48" s="24" t="s">
        <v>42</v>
      </c>
      <c r="G48" s="91" t="s">
        <v>42</v>
      </c>
      <c r="H48" s="214">
        <v>0.468</v>
      </c>
      <c r="I48" s="208">
        <v>0.07</v>
      </c>
      <c r="J48" s="91" t="s">
        <v>42</v>
      </c>
      <c r="K48" s="208" t="s">
        <v>42</v>
      </c>
      <c r="L48" s="91" t="s">
        <v>129</v>
      </c>
      <c r="M48" s="91">
        <v>0.131</v>
      </c>
      <c r="N48" s="91" t="s">
        <v>42</v>
      </c>
      <c r="O48" s="43" t="s">
        <v>42</v>
      </c>
      <c r="P48" s="91">
        <v>0.349</v>
      </c>
      <c r="Q48" s="187">
        <f t="shared" si="3"/>
        <v>0.233</v>
      </c>
      <c r="R48" s="23">
        <v>10.0</v>
      </c>
    </row>
    <row r="49" ht="15.75" customHeight="1">
      <c r="A49" s="20"/>
      <c r="B49" s="15" t="s">
        <v>220</v>
      </c>
      <c r="C49" s="16">
        <v>1.0</v>
      </c>
      <c r="D49" s="49" t="s">
        <v>211</v>
      </c>
      <c r="E49" s="114">
        <v>0.337</v>
      </c>
      <c r="F49" s="89">
        <v>0.112</v>
      </c>
      <c r="G49" s="89">
        <v>0.187</v>
      </c>
      <c r="H49" s="96">
        <v>0.216</v>
      </c>
      <c r="I49" s="89">
        <v>0.105</v>
      </c>
      <c r="J49" s="89" t="s">
        <v>70</v>
      </c>
      <c r="K49" s="89">
        <v>0.291</v>
      </c>
      <c r="L49" s="89" t="s">
        <v>129</v>
      </c>
      <c r="M49" s="89">
        <v>0.146</v>
      </c>
      <c r="N49" s="89">
        <v>0.273</v>
      </c>
      <c r="O49" s="114">
        <v>0.237</v>
      </c>
      <c r="P49" s="114">
        <v>0.371</v>
      </c>
      <c r="Q49" s="185">
        <f t="shared" ref="Q49:Q54" si="4">AVERAGE(E49,F49,G49,H49,I49,J49,K49,L49,M49,N49,O49,P49)</f>
        <v>0.2275</v>
      </c>
      <c r="R49" s="17">
        <v>0.5</v>
      </c>
    </row>
    <row r="50" ht="15.75" customHeight="1">
      <c r="A50" s="20"/>
      <c r="B50" s="21"/>
      <c r="C50" s="159">
        <v>2.0</v>
      </c>
      <c r="D50" s="53" t="s">
        <v>212</v>
      </c>
      <c r="E50" s="91">
        <v>0.142</v>
      </c>
      <c r="F50" s="91">
        <v>0.163</v>
      </c>
      <c r="G50" s="208">
        <v>0.084</v>
      </c>
      <c r="H50" s="214">
        <v>0.161</v>
      </c>
      <c r="I50" s="208">
        <v>0.128</v>
      </c>
      <c r="J50" s="208" t="s">
        <v>70</v>
      </c>
      <c r="K50" s="208">
        <v>0.214</v>
      </c>
      <c r="L50" s="91" t="s">
        <v>129</v>
      </c>
      <c r="M50" s="91">
        <v>0.153</v>
      </c>
      <c r="N50" s="91">
        <v>0.198</v>
      </c>
      <c r="O50" s="91">
        <v>0.195</v>
      </c>
      <c r="P50" s="91">
        <v>0.253</v>
      </c>
      <c r="Q50" s="187">
        <f t="shared" si="4"/>
        <v>0.1691</v>
      </c>
      <c r="R50" s="23">
        <v>0.5</v>
      </c>
    </row>
    <row r="51" ht="15.75" customHeight="1">
      <c r="A51" s="20"/>
      <c r="B51" s="21"/>
      <c r="C51" s="159">
        <v>3.0</v>
      </c>
      <c r="D51" s="53" t="s">
        <v>213</v>
      </c>
      <c r="E51" s="91">
        <v>0.103</v>
      </c>
      <c r="F51" s="91">
        <v>0.201</v>
      </c>
      <c r="G51" s="208">
        <v>0.183</v>
      </c>
      <c r="H51" s="214">
        <v>0.197</v>
      </c>
      <c r="I51" s="208">
        <v>0.224</v>
      </c>
      <c r="J51" s="208" t="s">
        <v>70</v>
      </c>
      <c r="K51" s="208">
        <v>0.219</v>
      </c>
      <c r="L51" s="91" t="s">
        <v>129</v>
      </c>
      <c r="M51" s="91">
        <v>0.115</v>
      </c>
      <c r="N51" s="91">
        <v>0.198</v>
      </c>
      <c r="O51" s="91">
        <v>0.177</v>
      </c>
      <c r="P51" s="91">
        <v>0.195</v>
      </c>
      <c r="Q51" s="187">
        <f t="shared" si="4"/>
        <v>0.1812</v>
      </c>
      <c r="R51" s="23">
        <v>0.5</v>
      </c>
    </row>
    <row r="52" ht="15.75" customHeight="1">
      <c r="A52" s="20"/>
      <c r="B52" s="21"/>
      <c r="C52" s="159">
        <v>4.0</v>
      </c>
      <c r="D52" s="53" t="s">
        <v>214</v>
      </c>
      <c r="E52" s="91">
        <v>0.208</v>
      </c>
      <c r="F52" s="91">
        <v>0.117</v>
      </c>
      <c r="G52" s="208">
        <v>0.179</v>
      </c>
      <c r="H52" s="214">
        <v>0.219</v>
      </c>
      <c r="I52" s="208">
        <v>0.248</v>
      </c>
      <c r="J52" s="208">
        <v>0.275</v>
      </c>
      <c r="K52" s="208">
        <v>0.157</v>
      </c>
      <c r="L52" s="91" t="s">
        <v>129</v>
      </c>
      <c r="M52" s="91">
        <v>0.155</v>
      </c>
      <c r="N52" s="91">
        <v>0.118</v>
      </c>
      <c r="O52" s="91">
        <v>0.143</v>
      </c>
      <c r="P52" s="43">
        <v>0.19</v>
      </c>
      <c r="Q52" s="187">
        <f t="shared" si="4"/>
        <v>0.1826363636</v>
      </c>
      <c r="R52" s="23">
        <v>0.5</v>
      </c>
    </row>
    <row r="53" ht="15.75" customHeight="1">
      <c r="A53" s="20"/>
      <c r="B53" s="21"/>
      <c r="C53" s="159">
        <v>5.0</v>
      </c>
      <c r="D53" s="53" t="s">
        <v>215</v>
      </c>
      <c r="E53" s="43">
        <v>0.157</v>
      </c>
      <c r="F53" s="91">
        <v>0.099</v>
      </c>
      <c r="G53" s="208">
        <v>0.088</v>
      </c>
      <c r="H53" s="214">
        <v>0.128</v>
      </c>
      <c r="I53" s="208">
        <v>0.147</v>
      </c>
      <c r="J53" s="208">
        <v>0.172</v>
      </c>
      <c r="K53" s="214">
        <v>0.23</v>
      </c>
      <c r="L53" s="91" t="s">
        <v>129</v>
      </c>
      <c r="M53" s="43">
        <v>0.22</v>
      </c>
      <c r="N53" s="91">
        <v>0.211</v>
      </c>
      <c r="O53" s="91">
        <v>0.188</v>
      </c>
      <c r="P53" s="43">
        <v>0.191</v>
      </c>
      <c r="Q53" s="187">
        <f t="shared" si="4"/>
        <v>0.1664545455</v>
      </c>
      <c r="R53" s="23">
        <v>0.5</v>
      </c>
    </row>
    <row r="54" ht="15.75" customHeight="1">
      <c r="A54" s="20"/>
      <c r="B54" s="27"/>
      <c r="C54" s="159">
        <v>6.0</v>
      </c>
      <c r="D54" s="53" t="s">
        <v>216</v>
      </c>
      <c r="E54" s="91">
        <v>0.193</v>
      </c>
      <c r="F54" s="43">
        <v>0.141</v>
      </c>
      <c r="G54" s="208">
        <v>0.164</v>
      </c>
      <c r="H54" s="214">
        <v>0.166</v>
      </c>
      <c r="I54" s="208">
        <v>0.095</v>
      </c>
      <c r="J54" s="208">
        <v>0.253</v>
      </c>
      <c r="K54" s="208">
        <v>0.111</v>
      </c>
      <c r="L54" s="91" t="s">
        <v>129</v>
      </c>
      <c r="M54" s="43">
        <v>0.067</v>
      </c>
      <c r="N54" s="91">
        <v>0.445</v>
      </c>
      <c r="O54" s="91">
        <v>0.248</v>
      </c>
      <c r="P54" s="43">
        <v>0.21</v>
      </c>
      <c r="Q54" s="187">
        <f t="shared" si="4"/>
        <v>0.1902727273</v>
      </c>
      <c r="R54" s="23">
        <v>0.5</v>
      </c>
    </row>
    <row r="55" ht="15.75" customHeight="1"/>
    <row r="56" ht="15.75" customHeight="1">
      <c r="A56" s="45" t="s">
        <v>197</v>
      </c>
    </row>
    <row r="57" ht="15.75" customHeight="1"/>
    <row r="58" ht="15.75" customHeight="1">
      <c r="A58" s="170" t="s">
        <v>221</v>
      </c>
    </row>
    <row r="59" ht="15.0" customHeight="1">
      <c r="A59" s="215" t="s">
        <v>222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12"/>
    <mergeCell ref="B13:B18"/>
    <mergeCell ref="A58:D58"/>
    <mergeCell ref="A59:C61"/>
    <mergeCell ref="B19:B24"/>
    <mergeCell ref="B25:B30"/>
    <mergeCell ref="B31:B36"/>
    <mergeCell ref="B37:B42"/>
    <mergeCell ref="B43:B48"/>
    <mergeCell ref="B49:B54"/>
    <mergeCell ref="A56:C57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8.71"/>
    <col customWidth="1" min="4" max="4" width="21.29"/>
    <col customWidth="1" min="5" max="11" width="10.71"/>
    <col customWidth="1" min="12" max="12" width="8.29"/>
    <col customWidth="1" min="13" max="13" width="11.14"/>
    <col customWidth="1" min="14" max="14" width="10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</row>
    <row r="5">
      <c r="A5" s="10" t="s">
        <v>223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173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6" t="s">
        <v>23</v>
      </c>
      <c r="B7" s="48" t="s">
        <v>24</v>
      </c>
      <c r="C7" s="87">
        <v>1.0</v>
      </c>
      <c r="D7" s="88" t="s">
        <v>224</v>
      </c>
      <c r="E7" s="89">
        <v>1.26</v>
      </c>
      <c r="F7" s="89">
        <v>4.05</v>
      </c>
      <c r="G7" s="90">
        <v>3.4</v>
      </c>
      <c r="H7" s="90">
        <v>1.33</v>
      </c>
      <c r="I7" s="89">
        <v>0.66</v>
      </c>
      <c r="J7" s="90">
        <v>0.8</v>
      </c>
      <c r="K7" s="89" t="s">
        <v>225</v>
      </c>
      <c r="L7" s="90">
        <v>4.6</v>
      </c>
      <c r="M7" s="90">
        <v>5.78</v>
      </c>
      <c r="N7" s="90">
        <v>2.8</v>
      </c>
      <c r="O7" s="150">
        <v>6.0</v>
      </c>
      <c r="P7" s="89">
        <v>2.7</v>
      </c>
      <c r="Q7" s="174">
        <f t="shared" ref="Q7:Q21" si="1">AVERAGE(E7,F7,G7,H7,I7,J7,K7,L7,M7,N7,O7,P7)</f>
        <v>3.034545455</v>
      </c>
      <c r="R7" s="149">
        <v>6.0</v>
      </c>
    </row>
    <row r="8">
      <c r="A8" s="20"/>
      <c r="B8" s="21"/>
      <c r="C8" s="22">
        <v>2.0</v>
      </c>
      <c r="D8" s="53" t="s">
        <v>226</v>
      </c>
      <c r="E8" s="91">
        <v>0.82</v>
      </c>
      <c r="F8" s="91">
        <v>3.54</v>
      </c>
      <c r="G8" s="24">
        <v>3.5</v>
      </c>
      <c r="H8" s="209">
        <v>0.94</v>
      </c>
      <c r="I8" s="208">
        <v>0.66</v>
      </c>
      <c r="J8" s="208">
        <v>0.85</v>
      </c>
      <c r="K8" s="209">
        <v>0.9</v>
      </c>
      <c r="L8" s="24">
        <v>7.6</v>
      </c>
      <c r="M8" s="91">
        <v>6.94</v>
      </c>
      <c r="N8" s="24">
        <v>3.8</v>
      </c>
      <c r="O8" s="91">
        <v>5.5</v>
      </c>
      <c r="P8" s="91">
        <v>2.9</v>
      </c>
      <c r="Q8" s="176">
        <f t="shared" si="1"/>
        <v>3.1625</v>
      </c>
      <c r="R8" s="23">
        <v>6.0</v>
      </c>
    </row>
    <row r="9">
      <c r="A9" s="20"/>
      <c r="B9" s="27"/>
      <c r="C9" s="22">
        <v>3.0</v>
      </c>
      <c r="D9" s="53" t="s">
        <v>227</v>
      </c>
      <c r="E9" s="24">
        <v>1.38</v>
      </c>
      <c r="F9" s="24">
        <v>3.42</v>
      </c>
      <c r="G9" s="24">
        <v>5.0</v>
      </c>
      <c r="H9" s="209">
        <v>1.4</v>
      </c>
      <c r="I9" s="208">
        <v>0.71</v>
      </c>
      <c r="J9" s="208">
        <v>0.72</v>
      </c>
      <c r="K9" s="208">
        <v>0.84</v>
      </c>
      <c r="L9" s="91">
        <v>6.9</v>
      </c>
      <c r="M9" s="91">
        <v>4.47</v>
      </c>
      <c r="N9" s="24">
        <v>5.0</v>
      </c>
      <c r="O9" s="91">
        <v>5.8</v>
      </c>
      <c r="P9" s="91">
        <v>4.4</v>
      </c>
      <c r="Q9" s="176">
        <f t="shared" si="1"/>
        <v>3.336666667</v>
      </c>
      <c r="R9" s="23">
        <v>6.0</v>
      </c>
    </row>
    <row r="10">
      <c r="A10" s="20"/>
      <c r="B10" s="15" t="s">
        <v>33</v>
      </c>
      <c r="C10" s="16">
        <v>1.0</v>
      </c>
      <c r="D10" s="49" t="s">
        <v>224</v>
      </c>
      <c r="E10" s="114">
        <v>32.0</v>
      </c>
      <c r="F10" s="89">
        <v>33.0</v>
      </c>
      <c r="G10" s="89">
        <v>30.0</v>
      </c>
      <c r="H10" s="89">
        <v>37.0</v>
      </c>
      <c r="I10" s="89">
        <v>66.0</v>
      </c>
      <c r="J10" s="89">
        <v>23.0</v>
      </c>
      <c r="K10" s="89">
        <v>23.0</v>
      </c>
      <c r="L10" s="89">
        <v>16.0</v>
      </c>
      <c r="M10" s="114">
        <v>12.0</v>
      </c>
      <c r="N10" s="114">
        <v>79.0</v>
      </c>
      <c r="O10" s="114">
        <v>58.0</v>
      </c>
      <c r="P10" s="114">
        <v>27.0</v>
      </c>
      <c r="Q10" s="178">
        <f t="shared" si="1"/>
        <v>36.33333333</v>
      </c>
      <c r="R10" s="17">
        <v>50.0</v>
      </c>
    </row>
    <row r="11">
      <c r="A11" s="20"/>
      <c r="B11" s="21"/>
      <c r="C11" s="22">
        <v>2.0</v>
      </c>
      <c r="D11" s="53" t="s">
        <v>226</v>
      </c>
      <c r="E11" s="91">
        <v>32.0</v>
      </c>
      <c r="F11" s="91">
        <v>23.0</v>
      </c>
      <c r="G11" s="208">
        <v>33.0</v>
      </c>
      <c r="H11" s="208">
        <v>35.0</v>
      </c>
      <c r="I11" s="208">
        <v>45.0</v>
      </c>
      <c r="J11" s="208">
        <v>23.0</v>
      </c>
      <c r="K11" s="208">
        <v>31.0</v>
      </c>
      <c r="L11" s="208">
        <v>26.0</v>
      </c>
      <c r="M11" s="91">
        <v>10.0</v>
      </c>
      <c r="N11" s="91">
        <v>25.0</v>
      </c>
      <c r="O11" s="91">
        <v>34.0</v>
      </c>
      <c r="P11" s="91">
        <v>65.0</v>
      </c>
      <c r="Q11" s="179">
        <f t="shared" si="1"/>
        <v>31.83333333</v>
      </c>
      <c r="R11" s="23">
        <v>50.0</v>
      </c>
    </row>
    <row r="12">
      <c r="A12" s="20"/>
      <c r="B12" s="27"/>
      <c r="C12" s="22">
        <v>3.0</v>
      </c>
      <c r="D12" s="53" t="s">
        <v>227</v>
      </c>
      <c r="E12" s="30">
        <v>29.0</v>
      </c>
      <c r="F12" s="30">
        <v>29.0</v>
      </c>
      <c r="G12" s="208">
        <v>40.0</v>
      </c>
      <c r="H12" s="208">
        <v>33.0</v>
      </c>
      <c r="I12" s="208">
        <v>34.0</v>
      </c>
      <c r="J12" s="208">
        <v>26.0</v>
      </c>
      <c r="K12" s="208">
        <v>39.0</v>
      </c>
      <c r="L12" s="208">
        <v>19.0</v>
      </c>
      <c r="M12" s="91">
        <v>9.0</v>
      </c>
      <c r="N12" s="91">
        <v>200.0</v>
      </c>
      <c r="O12" s="91">
        <v>34.0</v>
      </c>
      <c r="P12" s="91">
        <v>24.0</v>
      </c>
      <c r="Q12" s="179">
        <f t="shared" si="1"/>
        <v>43</v>
      </c>
      <c r="R12" s="23">
        <v>50.0</v>
      </c>
    </row>
    <row r="13">
      <c r="A13" s="20"/>
      <c r="B13" s="15" t="s">
        <v>34</v>
      </c>
      <c r="C13" s="16">
        <v>1.0</v>
      </c>
      <c r="D13" s="49" t="s">
        <v>224</v>
      </c>
      <c r="E13" s="114">
        <v>6.85</v>
      </c>
      <c r="F13" s="89">
        <v>7.37</v>
      </c>
      <c r="G13" s="192">
        <v>7.56</v>
      </c>
      <c r="H13" s="89">
        <v>7.02</v>
      </c>
      <c r="I13" s="89">
        <v>7.23</v>
      </c>
      <c r="J13" s="89">
        <v>6.64</v>
      </c>
      <c r="K13" s="89">
        <v>7.43</v>
      </c>
      <c r="L13" s="18">
        <v>7.76</v>
      </c>
      <c r="M13" s="18">
        <v>7.6</v>
      </c>
      <c r="N13" s="114">
        <v>7.62</v>
      </c>
      <c r="O13" s="114">
        <v>7.54</v>
      </c>
      <c r="P13" s="18">
        <v>7.0</v>
      </c>
      <c r="Q13" s="174">
        <f t="shared" si="1"/>
        <v>7.301666667</v>
      </c>
      <c r="R13" s="65" t="s">
        <v>177</v>
      </c>
    </row>
    <row r="14">
      <c r="A14" s="20"/>
      <c r="B14" s="21"/>
      <c r="C14" s="22">
        <v>2.0</v>
      </c>
      <c r="D14" s="53" t="s">
        <v>226</v>
      </c>
      <c r="E14" s="91">
        <v>7.13</v>
      </c>
      <c r="F14" s="91">
        <v>7.29</v>
      </c>
      <c r="G14" s="194">
        <v>7.48</v>
      </c>
      <c r="H14" s="208">
        <v>7.95</v>
      </c>
      <c r="I14" s="209">
        <v>7.1</v>
      </c>
      <c r="J14" s="208">
        <v>6.61</v>
      </c>
      <c r="K14" s="208">
        <v>7.39</v>
      </c>
      <c r="L14" s="24">
        <v>8.0</v>
      </c>
      <c r="M14" s="91">
        <v>7.66</v>
      </c>
      <c r="N14" s="24">
        <v>7.33</v>
      </c>
      <c r="O14" s="91">
        <v>7.86</v>
      </c>
      <c r="P14" s="24">
        <v>7.0</v>
      </c>
      <c r="Q14" s="176">
        <f t="shared" si="1"/>
        <v>7.4</v>
      </c>
      <c r="R14" s="66" t="s">
        <v>177</v>
      </c>
    </row>
    <row r="15">
      <c r="A15" s="20"/>
      <c r="B15" s="27"/>
      <c r="C15" s="22">
        <v>3.0</v>
      </c>
      <c r="D15" s="53" t="s">
        <v>227</v>
      </c>
      <c r="E15" s="24">
        <v>7.26</v>
      </c>
      <c r="F15" s="24">
        <v>7.3</v>
      </c>
      <c r="G15" s="194">
        <v>7.73</v>
      </c>
      <c r="H15" s="208">
        <v>7.14</v>
      </c>
      <c r="I15" s="208">
        <v>7.21</v>
      </c>
      <c r="J15" s="208">
        <v>6.64</v>
      </c>
      <c r="K15" s="208">
        <v>7.69</v>
      </c>
      <c r="L15" s="91">
        <v>7.95</v>
      </c>
      <c r="M15" s="91">
        <v>7.94</v>
      </c>
      <c r="N15" s="91">
        <v>7.56</v>
      </c>
      <c r="O15" s="91">
        <v>7.58</v>
      </c>
      <c r="P15" s="24">
        <v>7.0</v>
      </c>
      <c r="Q15" s="176">
        <f t="shared" si="1"/>
        <v>7.416666667</v>
      </c>
      <c r="R15" s="66" t="s">
        <v>177</v>
      </c>
    </row>
    <row r="16">
      <c r="A16" s="20"/>
      <c r="B16" s="15" t="s">
        <v>228</v>
      </c>
      <c r="C16" s="16">
        <v>1.0</v>
      </c>
      <c r="D16" s="49" t="s">
        <v>224</v>
      </c>
      <c r="E16" s="18">
        <v>28.7</v>
      </c>
      <c r="F16" s="89">
        <v>27.63</v>
      </c>
      <c r="G16" s="18">
        <v>30.0</v>
      </c>
      <c r="H16" s="90">
        <v>31.0</v>
      </c>
      <c r="I16" s="90">
        <v>33.2</v>
      </c>
      <c r="J16" s="90">
        <v>31.4</v>
      </c>
      <c r="K16" s="89">
        <v>29.88</v>
      </c>
      <c r="L16" s="18" t="s">
        <v>70</v>
      </c>
      <c r="M16" s="18">
        <v>30.9</v>
      </c>
      <c r="N16" s="18">
        <v>28.9</v>
      </c>
      <c r="O16" s="18">
        <v>29.61</v>
      </c>
      <c r="P16" s="18">
        <v>28.0</v>
      </c>
      <c r="Q16" s="174">
        <f t="shared" si="1"/>
        <v>29.92909091</v>
      </c>
      <c r="R16" s="18" t="s">
        <v>179</v>
      </c>
    </row>
    <row r="17">
      <c r="A17" s="20"/>
      <c r="B17" s="21"/>
      <c r="C17" s="22">
        <v>2.0</v>
      </c>
      <c r="D17" s="53" t="s">
        <v>226</v>
      </c>
      <c r="E17" s="24">
        <v>28.4</v>
      </c>
      <c r="F17" s="24">
        <v>26.7</v>
      </c>
      <c r="G17" s="24">
        <v>31.0</v>
      </c>
      <c r="H17" s="209">
        <v>30.2</v>
      </c>
      <c r="I17" s="209">
        <v>31.8</v>
      </c>
      <c r="J17" s="208">
        <v>31.35</v>
      </c>
      <c r="K17" s="208">
        <v>30.15</v>
      </c>
      <c r="L17" s="24" t="s">
        <v>70</v>
      </c>
      <c r="M17" s="24">
        <v>30.73</v>
      </c>
      <c r="N17" s="24">
        <v>28.85</v>
      </c>
      <c r="O17" s="24">
        <v>29.72</v>
      </c>
      <c r="P17" s="24">
        <v>28.0</v>
      </c>
      <c r="Q17" s="176">
        <f t="shared" si="1"/>
        <v>29.71818182</v>
      </c>
      <c r="R17" s="24" t="s">
        <v>179</v>
      </c>
    </row>
    <row r="18">
      <c r="A18" s="20"/>
      <c r="B18" s="27"/>
      <c r="C18" s="22">
        <v>3.0</v>
      </c>
      <c r="D18" s="53" t="s">
        <v>227</v>
      </c>
      <c r="E18" s="24">
        <v>29.7</v>
      </c>
      <c r="F18" s="24">
        <v>26.2</v>
      </c>
      <c r="G18" s="24">
        <v>29.0</v>
      </c>
      <c r="H18" s="209">
        <v>31.23</v>
      </c>
      <c r="I18" s="209">
        <v>32.8</v>
      </c>
      <c r="J18" s="209">
        <v>31.6</v>
      </c>
      <c r="K18" s="208">
        <v>28.15</v>
      </c>
      <c r="L18" s="24" t="s">
        <v>70</v>
      </c>
      <c r="M18" s="24">
        <v>30.38</v>
      </c>
      <c r="N18" s="24">
        <v>28.89</v>
      </c>
      <c r="O18" s="24">
        <v>29.7</v>
      </c>
      <c r="P18" s="24">
        <v>28.0</v>
      </c>
      <c r="Q18" s="176">
        <f t="shared" si="1"/>
        <v>29.60454545</v>
      </c>
      <c r="R18" s="24" t="s">
        <v>179</v>
      </c>
    </row>
    <row r="19">
      <c r="A19" s="20"/>
      <c r="B19" s="15" t="s">
        <v>38</v>
      </c>
      <c r="C19" s="16">
        <v>1.0</v>
      </c>
      <c r="D19" s="49" t="s">
        <v>224</v>
      </c>
      <c r="E19" s="114">
        <v>15.0</v>
      </c>
      <c r="F19" s="89">
        <v>20.0</v>
      </c>
      <c r="G19" s="89">
        <v>20.0</v>
      </c>
      <c r="H19" s="89">
        <v>15.0</v>
      </c>
      <c r="I19" s="89">
        <v>10.0</v>
      </c>
      <c r="J19" s="89">
        <v>10.0</v>
      </c>
      <c r="K19" s="89">
        <v>30.0</v>
      </c>
      <c r="L19" s="89">
        <v>30.0</v>
      </c>
      <c r="M19" s="114">
        <v>25.0</v>
      </c>
      <c r="N19" s="114">
        <v>25.0</v>
      </c>
      <c r="O19" s="114">
        <v>15.0</v>
      </c>
      <c r="P19" s="114">
        <v>25.0</v>
      </c>
      <c r="Q19" s="178">
        <f t="shared" si="1"/>
        <v>20</v>
      </c>
      <c r="R19" s="28">
        <v>50.0</v>
      </c>
    </row>
    <row r="20">
      <c r="A20" s="20"/>
      <c r="B20" s="21"/>
      <c r="C20" s="22">
        <v>2.0</v>
      </c>
      <c r="D20" s="53" t="s">
        <v>226</v>
      </c>
      <c r="E20" s="91">
        <v>20.0</v>
      </c>
      <c r="F20" s="91">
        <v>20.0</v>
      </c>
      <c r="G20" s="208">
        <v>20.0</v>
      </c>
      <c r="H20" s="208">
        <v>15.0</v>
      </c>
      <c r="I20" s="208">
        <v>10.0</v>
      </c>
      <c r="J20" s="208">
        <v>10.0</v>
      </c>
      <c r="K20" s="208">
        <v>25.0</v>
      </c>
      <c r="L20" s="208">
        <v>25.0</v>
      </c>
      <c r="M20" s="91">
        <v>20.0</v>
      </c>
      <c r="N20" s="91">
        <v>25.0</v>
      </c>
      <c r="O20" s="91">
        <v>15.0</v>
      </c>
      <c r="P20" s="91">
        <v>30.0</v>
      </c>
      <c r="Q20" s="179">
        <f t="shared" si="1"/>
        <v>19.58333333</v>
      </c>
      <c r="R20" s="30">
        <v>50.0</v>
      </c>
    </row>
    <row r="21" ht="15.75" customHeight="1">
      <c r="A21" s="20"/>
      <c r="B21" s="27"/>
      <c r="C21" s="22">
        <v>3.0</v>
      </c>
      <c r="D21" s="53" t="s">
        <v>227</v>
      </c>
      <c r="E21" s="30">
        <v>20.0</v>
      </c>
      <c r="F21" s="30">
        <v>20.0</v>
      </c>
      <c r="G21" s="208">
        <v>15.0</v>
      </c>
      <c r="H21" s="208">
        <v>10.0</v>
      </c>
      <c r="I21" s="208">
        <v>10.0</v>
      </c>
      <c r="J21" s="208">
        <v>15.0</v>
      </c>
      <c r="K21" s="208">
        <v>20.0</v>
      </c>
      <c r="L21" s="208">
        <v>25.0</v>
      </c>
      <c r="M21" s="91">
        <v>15.0</v>
      </c>
      <c r="N21" s="91">
        <v>25.0</v>
      </c>
      <c r="O21" s="91">
        <v>15.0</v>
      </c>
      <c r="P21" s="91">
        <v>30.0</v>
      </c>
      <c r="Q21" s="179">
        <f t="shared" si="1"/>
        <v>18.33333333</v>
      </c>
      <c r="R21" s="30">
        <v>50.0</v>
      </c>
    </row>
    <row r="22" ht="15.75" customHeight="1">
      <c r="A22" s="20"/>
      <c r="B22" s="15" t="s">
        <v>40</v>
      </c>
      <c r="C22" s="16">
        <v>1.0</v>
      </c>
      <c r="D22" s="49" t="s">
        <v>224</v>
      </c>
      <c r="E22" s="33">
        <v>5400.0</v>
      </c>
      <c r="F22" s="89">
        <v>130.0</v>
      </c>
      <c r="G22" s="89">
        <v>240.0</v>
      </c>
      <c r="H22" s="89">
        <v>240.0</v>
      </c>
      <c r="I22" s="89">
        <v>130.0</v>
      </c>
      <c r="J22" s="89">
        <v>17.0</v>
      </c>
      <c r="K22" s="89">
        <v>280.0</v>
      </c>
      <c r="L22" s="32">
        <v>3500.0</v>
      </c>
      <c r="M22" s="32">
        <v>2400.0</v>
      </c>
      <c r="N22" s="32">
        <v>3500.0</v>
      </c>
      <c r="O22" s="32">
        <v>240.0</v>
      </c>
      <c r="P22" s="32">
        <v>240.0</v>
      </c>
      <c r="Q22" s="180">
        <f t="shared" ref="Q22:Q24" si="2">GEOMEAN(E22,F22,G22,H22,I22,J22,K22,L22,M22,N22,O22,P22)</f>
        <v>432.1056811</v>
      </c>
      <c r="R22" s="17">
        <v>100.0</v>
      </c>
      <c r="S22" s="212">
        <f>geomean(Q22:Q24)</f>
        <v>346.2352301</v>
      </c>
    </row>
    <row r="23" ht="15.75" customHeight="1">
      <c r="A23" s="20"/>
      <c r="B23" s="21"/>
      <c r="C23" s="22">
        <v>2.0</v>
      </c>
      <c r="D23" s="53" t="s">
        <v>226</v>
      </c>
      <c r="E23" s="34">
        <v>240.0</v>
      </c>
      <c r="F23" s="91">
        <v>540.0</v>
      </c>
      <c r="G23" s="208">
        <v>240.0</v>
      </c>
      <c r="H23" s="208">
        <v>350.0</v>
      </c>
      <c r="I23" s="208">
        <v>220.0</v>
      </c>
      <c r="J23" s="208" t="s">
        <v>218</v>
      </c>
      <c r="K23" s="208">
        <v>170.0</v>
      </c>
      <c r="L23" s="37">
        <v>5400.0</v>
      </c>
      <c r="M23" s="91">
        <v>920.0</v>
      </c>
      <c r="N23" s="37">
        <v>920.0</v>
      </c>
      <c r="O23" s="37">
        <v>220.0</v>
      </c>
      <c r="P23" s="37">
        <v>1700.0</v>
      </c>
      <c r="Q23" s="183">
        <f t="shared" si="2"/>
        <v>516.372797</v>
      </c>
      <c r="R23" s="23">
        <v>100.0</v>
      </c>
    </row>
    <row r="24" ht="15.75" customHeight="1">
      <c r="A24" s="20"/>
      <c r="B24" s="27"/>
      <c r="C24" s="22">
        <v>3.0</v>
      </c>
      <c r="D24" s="53" t="s">
        <v>227</v>
      </c>
      <c r="E24" s="34">
        <v>240.0</v>
      </c>
      <c r="F24" s="30">
        <v>130.0</v>
      </c>
      <c r="G24" s="208">
        <v>130.0</v>
      </c>
      <c r="H24" s="208">
        <v>540.0</v>
      </c>
      <c r="I24" s="208">
        <v>350.0</v>
      </c>
      <c r="J24" s="208">
        <v>2.0</v>
      </c>
      <c r="K24" s="208">
        <v>45.0</v>
      </c>
      <c r="L24" s="37">
        <v>350.0</v>
      </c>
      <c r="M24" s="37">
        <v>350.0</v>
      </c>
      <c r="N24" s="91">
        <v>920.0</v>
      </c>
      <c r="O24" s="37">
        <v>240.0</v>
      </c>
      <c r="P24" s="91">
        <v>920.0</v>
      </c>
      <c r="Q24" s="183">
        <f t="shared" si="2"/>
        <v>186.0203414</v>
      </c>
      <c r="R24" s="23">
        <v>100.0</v>
      </c>
    </row>
    <row r="25" ht="15.75" customHeight="1">
      <c r="A25" s="20"/>
      <c r="B25" s="15" t="s">
        <v>229</v>
      </c>
      <c r="C25" s="16">
        <v>1.0</v>
      </c>
      <c r="D25" s="49" t="s">
        <v>224</v>
      </c>
      <c r="E25" s="114">
        <v>0.224</v>
      </c>
      <c r="F25" s="89" t="s">
        <v>42</v>
      </c>
      <c r="G25" s="96">
        <v>0.335</v>
      </c>
      <c r="H25" s="89" t="s">
        <v>42</v>
      </c>
      <c r="I25" s="89">
        <v>0.268</v>
      </c>
      <c r="J25" s="89">
        <v>0.194</v>
      </c>
      <c r="K25" s="208" t="s">
        <v>42</v>
      </c>
      <c r="L25" s="89">
        <v>0.483</v>
      </c>
      <c r="M25" s="40">
        <v>0.678</v>
      </c>
      <c r="N25" s="40">
        <v>0.691</v>
      </c>
      <c r="O25" s="114" t="s">
        <v>42</v>
      </c>
      <c r="P25" s="40">
        <v>0.3</v>
      </c>
      <c r="Q25" s="185">
        <f>AVERAGE(E25,F25,G25,H25,I25,J25,K25,0.045,M25,N25,O25,P25)</f>
        <v>0.341875</v>
      </c>
      <c r="R25" s="17">
        <v>10.0</v>
      </c>
    </row>
    <row r="26" ht="15.75" customHeight="1">
      <c r="A26" s="20"/>
      <c r="B26" s="21"/>
      <c r="C26" s="22">
        <v>2.0</v>
      </c>
      <c r="D26" s="53" t="s">
        <v>226</v>
      </c>
      <c r="E26" s="91">
        <v>0.162</v>
      </c>
      <c r="F26" s="91">
        <v>0.423</v>
      </c>
      <c r="G26" s="214">
        <v>0.168</v>
      </c>
      <c r="H26" s="208" t="s">
        <v>42</v>
      </c>
      <c r="I26" s="208">
        <v>0.326</v>
      </c>
      <c r="J26" s="208">
        <v>0.168</v>
      </c>
      <c r="K26" s="208">
        <v>0.049</v>
      </c>
      <c r="L26" s="214">
        <v>0.64</v>
      </c>
      <c r="M26" s="43">
        <v>0.539</v>
      </c>
      <c r="N26" s="43">
        <v>0.429</v>
      </c>
      <c r="O26" s="91">
        <v>0.159</v>
      </c>
      <c r="P26" s="91">
        <v>0.171</v>
      </c>
      <c r="Q26" s="187">
        <f>AVERAGE(E26,F26,G26,H26,I26,J26,K26,L26,M26,N26,O26,P26)</f>
        <v>0.294</v>
      </c>
      <c r="R26" s="23">
        <v>10.0</v>
      </c>
    </row>
    <row r="27" ht="15.75" customHeight="1">
      <c r="A27" s="20"/>
      <c r="B27" s="27"/>
      <c r="C27" s="22">
        <v>3.0</v>
      </c>
      <c r="D27" s="53" t="s">
        <v>227</v>
      </c>
      <c r="E27" s="43">
        <v>0.381</v>
      </c>
      <c r="F27" s="43">
        <v>0.124</v>
      </c>
      <c r="G27" s="214">
        <v>0.255</v>
      </c>
      <c r="H27" s="208" t="s">
        <v>42</v>
      </c>
      <c r="I27" s="214">
        <v>0.23</v>
      </c>
      <c r="J27" s="208">
        <v>0.183</v>
      </c>
      <c r="K27" s="208" t="s">
        <v>42</v>
      </c>
      <c r="L27" s="208">
        <v>0.395</v>
      </c>
      <c r="M27" s="43">
        <v>0.276</v>
      </c>
      <c r="N27" s="43">
        <v>0.659</v>
      </c>
      <c r="O27" s="91">
        <v>0.245</v>
      </c>
      <c r="P27" s="43">
        <v>0.458</v>
      </c>
      <c r="Q27" s="187">
        <f>AVERAGE(E27,F27,G27,H27,I27,J27,K27,0.045,0.045,N27,O27,P27)</f>
        <v>0.2625</v>
      </c>
      <c r="R27" s="23">
        <v>10.0</v>
      </c>
    </row>
    <row r="28" ht="15.75" customHeight="1">
      <c r="A28" s="20"/>
      <c r="B28" s="15" t="s">
        <v>230</v>
      </c>
      <c r="C28" s="16">
        <v>1.0</v>
      </c>
      <c r="D28" s="49" t="s">
        <v>224</v>
      </c>
      <c r="E28" s="114">
        <v>0.248</v>
      </c>
      <c r="F28" s="89">
        <v>0.413</v>
      </c>
      <c r="G28" s="96">
        <v>0.271</v>
      </c>
      <c r="H28" s="89">
        <v>0.323</v>
      </c>
      <c r="I28" s="89">
        <v>0.295</v>
      </c>
      <c r="J28" s="89">
        <v>0.303</v>
      </c>
      <c r="K28" s="89">
        <v>0.32</v>
      </c>
      <c r="L28" s="114">
        <v>0.313</v>
      </c>
      <c r="M28" s="40">
        <v>0.243</v>
      </c>
      <c r="N28" s="40">
        <v>0.281</v>
      </c>
      <c r="O28" s="40">
        <v>0.28</v>
      </c>
      <c r="P28" s="114">
        <v>0.285</v>
      </c>
      <c r="Q28" s="185"/>
      <c r="R28" s="17">
        <v>0.5</v>
      </c>
    </row>
    <row r="29" ht="15.75" customHeight="1">
      <c r="A29" s="20"/>
      <c r="B29" s="21"/>
      <c r="C29" s="22">
        <v>2.0</v>
      </c>
      <c r="D29" s="53" t="s">
        <v>226</v>
      </c>
      <c r="E29" s="91">
        <v>0.171</v>
      </c>
      <c r="F29" s="91">
        <v>0.268</v>
      </c>
      <c r="G29" s="214">
        <v>0.256</v>
      </c>
      <c r="H29" s="208">
        <v>0.377</v>
      </c>
      <c r="I29" s="208">
        <v>0.221</v>
      </c>
      <c r="J29" s="208">
        <v>0.202</v>
      </c>
      <c r="K29" s="208">
        <v>0.263</v>
      </c>
      <c r="L29" s="91">
        <v>0.204</v>
      </c>
      <c r="M29" s="43">
        <v>0.222</v>
      </c>
      <c r="N29" s="43">
        <v>0.276</v>
      </c>
      <c r="O29" s="91">
        <v>0.173</v>
      </c>
      <c r="P29" s="91">
        <v>0.457</v>
      </c>
      <c r="Q29" s="187">
        <f t="shared" ref="Q29:Q30" si="3">AVERAGE(E29,F29,G29,H29,I29,J29,K29,L29,M29,N29,O29,P29)</f>
        <v>0.2575</v>
      </c>
      <c r="R29" s="23">
        <v>0.5</v>
      </c>
    </row>
    <row r="30" ht="15.75" customHeight="1">
      <c r="A30" s="20"/>
      <c r="B30" s="27"/>
      <c r="C30" s="22">
        <v>3.0</v>
      </c>
      <c r="D30" s="53" t="s">
        <v>227</v>
      </c>
      <c r="E30" s="43">
        <v>0.346</v>
      </c>
      <c r="F30" s="24">
        <v>0.231</v>
      </c>
      <c r="G30" s="214">
        <v>0.276</v>
      </c>
      <c r="H30" s="208">
        <v>0.302</v>
      </c>
      <c r="I30" s="208">
        <v>0.226</v>
      </c>
      <c r="J30" s="208">
        <v>0.316</v>
      </c>
      <c r="K30" s="208">
        <v>0.273</v>
      </c>
      <c r="L30" s="91">
        <v>0.242</v>
      </c>
      <c r="M30" s="43">
        <v>0.209</v>
      </c>
      <c r="N30" s="43">
        <v>0.283</v>
      </c>
      <c r="O30" s="91">
        <v>0.187</v>
      </c>
      <c r="P30" s="91">
        <v>0.751</v>
      </c>
      <c r="Q30" s="187">
        <f t="shared" si="3"/>
        <v>0.3035</v>
      </c>
      <c r="R30" s="23">
        <v>0.5</v>
      </c>
    </row>
    <row r="31" ht="15.75" customHeight="1"/>
    <row r="32" ht="15.75" customHeight="1">
      <c r="A32" s="97" t="s">
        <v>197</v>
      </c>
    </row>
    <row r="33" ht="15.75" customHeight="1"/>
    <row r="34" ht="33.0" customHeight="1">
      <c r="A34" s="107" t="s">
        <v>231</v>
      </c>
      <c r="Q34" s="100"/>
      <c r="R34" s="100"/>
    </row>
    <row r="35" ht="15.75" customHeight="1">
      <c r="A35" s="107"/>
      <c r="Q35" s="100"/>
      <c r="R35" s="10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A34:C34"/>
    <mergeCell ref="A35:C36"/>
    <mergeCell ref="B13:B15"/>
    <mergeCell ref="B16:B18"/>
    <mergeCell ref="B19:B21"/>
    <mergeCell ref="B22:B24"/>
    <mergeCell ref="B25:B27"/>
    <mergeCell ref="B28:B30"/>
    <mergeCell ref="A32:C33"/>
  </mergeCells>
  <printOptions/>
  <pageMargins bottom="0.75" footer="0.0" header="0.0" left="0.7" right="0.7" top="0.75"/>
  <pageSetup scale="8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8.71"/>
    <col customWidth="1" min="2" max="2" width="18.57"/>
    <col customWidth="1" min="3" max="3" width="8.71"/>
    <col customWidth="1" min="4" max="4" width="28.0"/>
    <col customWidth="1" min="5" max="9" width="10.71" outlineLevel="1"/>
    <col customWidth="1" min="10" max="10" width="11.86" outlineLevel="1"/>
    <col customWidth="1" min="11" max="11" width="10.71" outlineLevel="1"/>
    <col customWidth="1" min="12" max="12" width="12.57" outlineLevel="1"/>
    <col customWidth="1" min="13" max="16" width="14.57" outlineLevel="1"/>
    <col customWidth="1" min="17" max="17" width="14.57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</row>
    <row r="5">
      <c r="A5" s="10" t="s">
        <v>232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233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6" t="s">
        <v>23</v>
      </c>
      <c r="B7" s="48" t="s">
        <v>24</v>
      </c>
      <c r="C7" s="87">
        <v>1.0</v>
      </c>
      <c r="D7" s="88" t="s">
        <v>234</v>
      </c>
      <c r="E7" s="90">
        <v>1.79</v>
      </c>
      <c r="F7" s="89">
        <v>6.07</v>
      </c>
      <c r="G7" s="89">
        <v>2.76</v>
      </c>
      <c r="H7" s="89">
        <v>1.05</v>
      </c>
      <c r="I7" s="89">
        <v>0.55</v>
      </c>
      <c r="J7" s="90">
        <v>0.0</v>
      </c>
      <c r="K7" s="90">
        <v>5.2</v>
      </c>
      <c r="L7" s="90">
        <v>7.7</v>
      </c>
      <c r="M7" s="89">
        <v>4.06</v>
      </c>
      <c r="N7" s="90">
        <v>5.4</v>
      </c>
      <c r="O7" s="90">
        <v>4.2</v>
      </c>
      <c r="P7" s="89">
        <v>4.4</v>
      </c>
      <c r="Q7" s="174">
        <f t="shared" ref="Q7:Q41" si="1">AVERAGE(E7,F7,G7,H7,I7,J7,K7,L7,M7,N7,O7,P7)</f>
        <v>3.598333333</v>
      </c>
      <c r="R7" s="149">
        <v>6.0</v>
      </c>
    </row>
    <row r="8">
      <c r="A8" s="20"/>
      <c r="B8" s="21"/>
      <c r="C8" s="159">
        <v>2.0</v>
      </c>
      <c r="D8" s="53" t="s">
        <v>235</v>
      </c>
      <c r="E8" s="24">
        <v>1.62</v>
      </c>
      <c r="F8" s="91">
        <v>6.83</v>
      </c>
      <c r="G8" s="208">
        <v>2.62</v>
      </c>
      <c r="H8" s="208">
        <v>0.96</v>
      </c>
      <c r="I8" s="208">
        <v>0.89</v>
      </c>
      <c r="J8" s="24">
        <v>0.39</v>
      </c>
      <c r="K8" s="24">
        <v>5.3</v>
      </c>
      <c r="L8" s="24">
        <v>3.6</v>
      </c>
      <c r="M8" s="91">
        <v>3.54</v>
      </c>
      <c r="N8" s="24">
        <v>5.0</v>
      </c>
      <c r="O8" s="24">
        <v>4.4</v>
      </c>
      <c r="P8" s="91">
        <v>7.5</v>
      </c>
      <c r="Q8" s="176">
        <f t="shared" si="1"/>
        <v>3.554166667</v>
      </c>
      <c r="R8" s="23">
        <v>6.0</v>
      </c>
    </row>
    <row r="9">
      <c r="A9" s="20"/>
      <c r="B9" s="21"/>
      <c r="C9" s="159">
        <v>3.0</v>
      </c>
      <c r="D9" s="53" t="s">
        <v>236</v>
      </c>
      <c r="E9" s="24">
        <v>1.59</v>
      </c>
      <c r="F9" s="91">
        <v>7.57</v>
      </c>
      <c r="G9" s="208">
        <v>3.29</v>
      </c>
      <c r="H9" s="208">
        <v>0.93</v>
      </c>
      <c r="I9" s="208">
        <v>0.51</v>
      </c>
      <c r="J9" s="24">
        <v>0.49</v>
      </c>
      <c r="K9" s="24">
        <v>6.0</v>
      </c>
      <c r="L9" s="24">
        <v>7.3</v>
      </c>
      <c r="M9" s="24">
        <v>4.0</v>
      </c>
      <c r="N9" s="24">
        <v>3.2</v>
      </c>
      <c r="O9" s="24">
        <v>3.1</v>
      </c>
      <c r="P9" s="91">
        <v>4.8</v>
      </c>
      <c r="Q9" s="176">
        <f t="shared" si="1"/>
        <v>3.565</v>
      </c>
      <c r="R9" s="23">
        <v>6.0</v>
      </c>
    </row>
    <row r="10">
      <c r="A10" s="20"/>
      <c r="B10" s="21"/>
      <c r="C10" s="159">
        <v>4.0</v>
      </c>
      <c r="D10" s="53" t="s">
        <v>237</v>
      </c>
      <c r="E10" s="24">
        <v>1.87</v>
      </c>
      <c r="F10" s="91">
        <v>8.25</v>
      </c>
      <c r="G10" s="208">
        <v>5.06</v>
      </c>
      <c r="H10" s="208">
        <v>0.91</v>
      </c>
      <c r="I10" s="208">
        <v>0.55</v>
      </c>
      <c r="J10" s="24">
        <v>0.57</v>
      </c>
      <c r="K10" s="24">
        <v>5.5</v>
      </c>
      <c r="L10" s="24">
        <v>8.4</v>
      </c>
      <c r="M10" s="24">
        <v>4.5</v>
      </c>
      <c r="N10" s="24">
        <v>5.8</v>
      </c>
      <c r="O10" s="24">
        <v>4.2</v>
      </c>
      <c r="P10" s="91">
        <v>5.2</v>
      </c>
      <c r="Q10" s="176">
        <f t="shared" si="1"/>
        <v>4.234166667</v>
      </c>
      <c r="R10" s="210">
        <v>6.0</v>
      </c>
    </row>
    <row r="11">
      <c r="A11" s="20"/>
      <c r="B11" s="21"/>
      <c r="C11" s="159">
        <v>5.0</v>
      </c>
      <c r="D11" s="53" t="s">
        <v>238</v>
      </c>
      <c r="E11" s="24">
        <v>1.57</v>
      </c>
      <c r="F11" s="91">
        <v>8.33</v>
      </c>
      <c r="G11" s="208">
        <v>6.28</v>
      </c>
      <c r="H11" s="208">
        <v>0.92</v>
      </c>
      <c r="I11" s="208">
        <v>0.57</v>
      </c>
      <c r="J11" s="24">
        <v>0.57</v>
      </c>
      <c r="K11" s="24">
        <v>8.8</v>
      </c>
      <c r="L11" s="24">
        <v>7.5</v>
      </c>
      <c r="M11" s="91">
        <v>3.86</v>
      </c>
      <c r="N11" s="24">
        <v>2.9</v>
      </c>
      <c r="O11" s="24">
        <v>3.1</v>
      </c>
      <c r="P11" s="91">
        <v>6.3</v>
      </c>
      <c r="Q11" s="176">
        <f t="shared" si="1"/>
        <v>4.225</v>
      </c>
      <c r="R11" s="23">
        <v>6.0</v>
      </c>
    </row>
    <row r="12">
      <c r="A12" s="20"/>
      <c r="B12" s="21"/>
      <c r="C12" s="159">
        <v>6.0</v>
      </c>
      <c r="D12" s="53" t="s">
        <v>239</v>
      </c>
      <c r="E12" s="24">
        <v>1.03</v>
      </c>
      <c r="F12" s="24">
        <v>1.02</v>
      </c>
      <c r="G12" s="208">
        <v>1.81</v>
      </c>
      <c r="H12" s="208">
        <v>1.08</v>
      </c>
      <c r="I12" s="208">
        <v>0.68</v>
      </c>
      <c r="J12" s="24">
        <v>3.68</v>
      </c>
      <c r="K12" s="24">
        <v>6.3</v>
      </c>
      <c r="L12" s="24">
        <v>4.31</v>
      </c>
      <c r="M12" s="24">
        <v>2.3</v>
      </c>
      <c r="N12" s="24">
        <v>6.4</v>
      </c>
      <c r="O12" s="24">
        <v>6.9</v>
      </c>
      <c r="P12" s="91">
        <v>5.7</v>
      </c>
      <c r="Q12" s="176">
        <f t="shared" si="1"/>
        <v>3.434166667</v>
      </c>
      <c r="R12" s="23">
        <v>6.0</v>
      </c>
    </row>
    <row r="13">
      <c r="A13" s="20"/>
      <c r="B13" s="27"/>
      <c r="C13" s="159">
        <v>7.0</v>
      </c>
      <c r="D13" s="53" t="s">
        <v>240</v>
      </c>
      <c r="E13" s="24">
        <v>1.08</v>
      </c>
      <c r="F13" s="24">
        <v>1.18</v>
      </c>
      <c r="G13" s="208">
        <v>2.04</v>
      </c>
      <c r="H13" s="208">
        <v>0.69</v>
      </c>
      <c r="I13" s="208">
        <v>0.62</v>
      </c>
      <c r="J13" s="24">
        <v>6.95</v>
      </c>
      <c r="K13" s="24">
        <v>5.7</v>
      </c>
      <c r="L13" s="24" t="s">
        <v>26</v>
      </c>
      <c r="M13" s="91">
        <v>1.52</v>
      </c>
      <c r="N13" s="24">
        <v>6.1</v>
      </c>
      <c r="O13" s="24">
        <v>4.3</v>
      </c>
      <c r="P13" s="91">
        <v>7.1</v>
      </c>
      <c r="Q13" s="176">
        <f t="shared" si="1"/>
        <v>3.389090909</v>
      </c>
      <c r="R13" s="23">
        <v>6.0</v>
      </c>
    </row>
    <row r="14">
      <c r="A14" s="20"/>
      <c r="B14" s="15" t="s">
        <v>33</v>
      </c>
      <c r="C14" s="16">
        <v>1.0</v>
      </c>
      <c r="D14" s="49" t="s">
        <v>234</v>
      </c>
      <c r="E14" s="114">
        <v>23.0</v>
      </c>
      <c r="F14" s="89">
        <v>51.0</v>
      </c>
      <c r="G14" s="89">
        <v>29.0</v>
      </c>
      <c r="H14" s="89">
        <v>167.0</v>
      </c>
      <c r="I14" s="89">
        <v>50.0</v>
      </c>
      <c r="J14" s="92">
        <v>48.0</v>
      </c>
      <c r="K14" s="92">
        <v>36.0</v>
      </c>
      <c r="L14" s="92">
        <v>16.0</v>
      </c>
      <c r="M14" s="114">
        <v>9.0</v>
      </c>
      <c r="N14" s="114">
        <v>36.0</v>
      </c>
      <c r="O14" s="114">
        <v>43.0</v>
      </c>
      <c r="P14" s="114">
        <v>94.0</v>
      </c>
      <c r="Q14" s="178">
        <f t="shared" si="1"/>
        <v>50.16666667</v>
      </c>
      <c r="R14" s="17">
        <v>50.0</v>
      </c>
    </row>
    <row r="15">
      <c r="A15" s="20"/>
      <c r="B15" s="21"/>
      <c r="C15" s="159">
        <v>2.0</v>
      </c>
      <c r="D15" s="53" t="s">
        <v>235</v>
      </c>
      <c r="E15" s="91">
        <v>20.0</v>
      </c>
      <c r="F15" s="91">
        <v>65.0</v>
      </c>
      <c r="G15" s="208">
        <v>35.0</v>
      </c>
      <c r="H15" s="208">
        <v>148.0</v>
      </c>
      <c r="I15" s="208">
        <v>36.0</v>
      </c>
      <c r="J15" s="30">
        <v>119.0</v>
      </c>
      <c r="K15" s="30">
        <v>39.0</v>
      </c>
      <c r="L15" s="30">
        <v>16.0</v>
      </c>
      <c r="M15" s="91">
        <v>7.0</v>
      </c>
      <c r="N15" s="91">
        <v>24.0</v>
      </c>
      <c r="O15" s="91">
        <v>33.0</v>
      </c>
      <c r="P15" s="91">
        <v>241.0</v>
      </c>
      <c r="Q15" s="179">
        <f t="shared" si="1"/>
        <v>65.25</v>
      </c>
      <c r="R15" s="23">
        <v>50.0</v>
      </c>
    </row>
    <row r="16">
      <c r="A16" s="20"/>
      <c r="B16" s="21"/>
      <c r="C16" s="159">
        <v>3.0</v>
      </c>
      <c r="D16" s="53" t="s">
        <v>236</v>
      </c>
      <c r="E16" s="91">
        <v>35.0</v>
      </c>
      <c r="F16" s="91">
        <v>77.0</v>
      </c>
      <c r="G16" s="208">
        <v>44.0</v>
      </c>
      <c r="H16" s="208">
        <v>124.0</v>
      </c>
      <c r="I16" s="208">
        <v>31.0</v>
      </c>
      <c r="J16" s="30">
        <v>185.0</v>
      </c>
      <c r="K16" s="30">
        <v>33.0</v>
      </c>
      <c r="L16" s="30">
        <v>14.0</v>
      </c>
      <c r="M16" s="91">
        <v>15.0</v>
      </c>
      <c r="N16" s="91">
        <v>26.0</v>
      </c>
      <c r="O16" s="91">
        <v>54.0</v>
      </c>
      <c r="P16" s="91">
        <v>44.0</v>
      </c>
      <c r="Q16" s="179">
        <f t="shared" si="1"/>
        <v>56.83333333</v>
      </c>
      <c r="R16" s="23">
        <v>50.0</v>
      </c>
    </row>
    <row r="17">
      <c r="A17" s="20"/>
      <c r="B17" s="21"/>
      <c r="C17" s="159">
        <v>4.0</v>
      </c>
      <c r="D17" s="53" t="s">
        <v>237</v>
      </c>
      <c r="E17" s="91">
        <v>25.0</v>
      </c>
      <c r="F17" s="91">
        <v>51.0</v>
      </c>
      <c r="G17" s="208">
        <v>30.0</v>
      </c>
      <c r="H17" s="208">
        <v>68.0</v>
      </c>
      <c r="I17" s="208">
        <v>31.0</v>
      </c>
      <c r="J17" s="30">
        <v>178.0</v>
      </c>
      <c r="K17" s="30">
        <v>30.0</v>
      </c>
      <c r="L17" s="30">
        <v>14.0</v>
      </c>
      <c r="M17" s="91">
        <v>7.0</v>
      </c>
      <c r="N17" s="91">
        <v>12.0</v>
      </c>
      <c r="O17" s="91">
        <v>211.0</v>
      </c>
      <c r="P17" s="91">
        <v>55.0</v>
      </c>
      <c r="Q17" s="179">
        <f t="shared" si="1"/>
        <v>59.33333333</v>
      </c>
      <c r="R17" s="23">
        <v>50.0</v>
      </c>
    </row>
    <row r="18">
      <c r="A18" s="20"/>
      <c r="B18" s="21"/>
      <c r="C18" s="159">
        <v>5.0</v>
      </c>
      <c r="D18" s="53" t="s">
        <v>241</v>
      </c>
      <c r="E18" s="91">
        <v>28.0</v>
      </c>
      <c r="F18" s="91">
        <v>69.0</v>
      </c>
      <c r="G18" s="208">
        <v>36.0</v>
      </c>
      <c r="H18" s="208">
        <v>139.0</v>
      </c>
      <c r="I18" s="208">
        <v>43.0</v>
      </c>
      <c r="J18" s="30">
        <v>189.0</v>
      </c>
      <c r="K18" s="30">
        <v>28.0</v>
      </c>
      <c r="L18" s="30">
        <v>15.0</v>
      </c>
      <c r="M18" s="91">
        <v>19.0</v>
      </c>
      <c r="N18" s="91">
        <v>18.0</v>
      </c>
      <c r="O18" s="91">
        <v>59.0</v>
      </c>
      <c r="P18" s="91">
        <v>84.0</v>
      </c>
      <c r="Q18" s="179">
        <f t="shared" si="1"/>
        <v>60.58333333</v>
      </c>
      <c r="R18" s="23">
        <v>50.0</v>
      </c>
    </row>
    <row r="19">
      <c r="A19" s="20"/>
      <c r="B19" s="21"/>
      <c r="C19" s="159">
        <v>6.0</v>
      </c>
      <c r="D19" s="53" t="s">
        <v>239</v>
      </c>
      <c r="E19" s="91">
        <v>16.0</v>
      </c>
      <c r="F19" s="30">
        <v>29.0</v>
      </c>
      <c r="G19" s="208">
        <v>24.0</v>
      </c>
      <c r="H19" s="208">
        <v>42.0</v>
      </c>
      <c r="I19" s="208">
        <v>63.0</v>
      </c>
      <c r="J19" s="91">
        <v>15.0</v>
      </c>
      <c r="K19" s="63">
        <v>25.0</v>
      </c>
      <c r="L19" s="91">
        <v>124.0</v>
      </c>
      <c r="M19" s="91">
        <v>30.0</v>
      </c>
      <c r="N19" s="91">
        <v>28.0</v>
      </c>
      <c r="O19" s="91">
        <v>19.0</v>
      </c>
      <c r="P19" s="91">
        <v>50.0</v>
      </c>
      <c r="Q19" s="179">
        <f t="shared" si="1"/>
        <v>38.75</v>
      </c>
      <c r="R19" s="23">
        <v>50.0</v>
      </c>
    </row>
    <row r="20">
      <c r="A20" s="20"/>
      <c r="B20" s="27"/>
      <c r="C20" s="159">
        <v>7.0</v>
      </c>
      <c r="D20" s="53" t="s">
        <v>240</v>
      </c>
      <c r="E20" s="91">
        <v>33.0</v>
      </c>
      <c r="F20" s="30">
        <v>25.0</v>
      </c>
      <c r="G20" s="208">
        <v>57.0</v>
      </c>
      <c r="H20" s="208">
        <v>55.0</v>
      </c>
      <c r="I20" s="208">
        <v>35.0</v>
      </c>
      <c r="J20" s="91">
        <v>7.0</v>
      </c>
      <c r="K20" s="63">
        <v>22.0</v>
      </c>
      <c r="L20" s="91">
        <v>33.0</v>
      </c>
      <c r="M20" s="91">
        <v>9.0</v>
      </c>
      <c r="N20" s="91">
        <v>7.0</v>
      </c>
      <c r="O20" s="91">
        <v>12.0</v>
      </c>
      <c r="P20" s="91">
        <v>29.0</v>
      </c>
      <c r="Q20" s="179">
        <f t="shared" si="1"/>
        <v>27</v>
      </c>
      <c r="R20" s="23">
        <v>50.0</v>
      </c>
    </row>
    <row r="21" ht="15.75" customHeight="1">
      <c r="A21" s="20"/>
      <c r="B21" s="15" t="s">
        <v>34</v>
      </c>
      <c r="C21" s="16">
        <v>1.0</v>
      </c>
      <c r="D21" s="49" t="s">
        <v>234</v>
      </c>
      <c r="E21" s="18">
        <v>6.36</v>
      </c>
      <c r="F21" s="89">
        <v>8.42</v>
      </c>
      <c r="G21" s="89">
        <v>8.03</v>
      </c>
      <c r="H21" s="90">
        <v>8.01</v>
      </c>
      <c r="I21" s="89">
        <v>7.41</v>
      </c>
      <c r="J21" s="90">
        <v>7.15</v>
      </c>
      <c r="K21" s="90">
        <v>7.38</v>
      </c>
      <c r="L21" s="114">
        <v>7.44</v>
      </c>
      <c r="M21" s="89">
        <v>7.57</v>
      </c>
      <c r="N21" s="114">
        <v>7.51</v>
      </c>
      <c r="O21" s="114">
        <v>7.86</v>
      </c>
      <c r="P21" s="18">
        <v>7.0</v>
      </c>
      <c r="Q21" s="174">
        <f t="shared" si="1"/>
        <v>7.511666667</v>
      </c>
      <c r="R21" s="65" t="s">
        <v>177</v>
      </c>
    </row>
    <row r="22" ht="15.75" customHeight="1">
      <c r="A22" s="20"/>
      <c r="B22" s="21"/>
      <c r="C22" s="159">
        <v>2.0</v>
      </c>
      <c r="D22" s="53" t="s">
        <v>235</v>
      </c>
      <c r="E22" s="91">
        <v>6.99</v>
      </c>
      <c r="F22" s="24">
        <v>8.4</v>
      </c>
      <c r="G22" s="208">
        <v>8.12</v>
      </c>
      <c r="H22" s="209">
        <v>8.0</v>
      </c>
      <c r="I22" s="209">
        <v>7.2</v>
      </c>
      <c r="J22" s="24">
        <v>6.95</v>
      </c>
      <c r="K22" s="24">
        <v>7.37</v>
      </c>
      <c r="L22" s="91">
        <v>7.68</v>
      </c>
      <c r="M22" s="91">
        <v>7.54</v>
      </c>
      <c r="N22" s="91">
        <v>7.12</v>
      </c>
      <c r="O22" s="24">
        <v>7.93</v>
      </c>
      <c r="P22" s="24">
        <v>7.0</v>
      </c>
      <c r="Q22" s="176">
        <f t="shared" si="1"/>
        <v>7.525</v>
      </c>
      <c r="R22" s="66" t="s">
        <v>177</v>
      </c>
    </row>
    <row r="23" ht="15.75" customHeight="1">
      <c r="A23" s="20"/>
      <c r="B23" s="21"/>
      <c r="C23" s="159">
        <v>3.0</v>
      </c>
      <c r="D23" s="53" t="s">
        <v>236</v>
      </c>
      <c r="E23" s="91">
        <v>7.18</v>
      </c>
      <c r="F23" s="24">
        <v>8.4</v>
      </c>
      <c r="G23" s="208">
        <v>7.94</v>
      </c>
      <c r="H23" s="209">
        <v>7.96</v>
      </c>
      <c r="I23" s="208">
        <v>7.21</v>
      </c>
      <c r="J23" s="24">
        <v>7.16</v>
      </c>
      <c r="K23" s="24">
        <v>7.37</v>
      </c>
      <c r="L23" s="91">
        <v>7.43</v>
      </c>
      <c r="M23" s="91">
        <v>7.58</v>
      </c>
      <c r="N23" s="91">
        <v>7.62</v>
      </c>
      <c r="O23" s="24">
        <v>7.54</v>
      </c>
      <c r="P23" s="24">
        <v>7.7</v>
      </c>
      <c r="Q23" s="176">
        <f t="shared" si="1"/>
        <v>7.590833333</v>
      </c>
      <c r="R23" s="66" t="s">
        <v>177</v>
      </c>
    </row>
    <row r="24" ht="15.75" customHeight="1">
      <c r="A24" s="20"/>
      <c r="B24" s="21"/>
      <c r="C24" s="159">
        <v>4.0</v>
      </c>
      <c r="D24" s="53" t="s">
        <v>237</v>
      </c>
      <c r="E24" s="91">
        <v>7.39</v>
      </c>
      <c r="F24" s="24">
        <v>8.4</v>
      </c>
      <c r="G24" s="208">
        <v>7.57</v>
      </c>
      <c r="H24" s="209">
        <v>7.95</v>
      </c>
      <c r="I24" s="208">
        <v>7.14</v>
      </c>
      <c r="J24" s="24">
        <v>7.11</v>
      </c>
      <c r="K24" s="24">
        <v>7.51</v>
      </c>
      <c r="L24" s="24">
        <v>7.8</v>
      </c>
      <c r="M24" s="91">
        <v>7.58</v>
      </c>
      <c r="N24" s="91">
        <v>7.24</v>
      </c>
      <c r="O24" s="91">
        <v>7.52</v>
      </c>
      <c r="P24" s="24">
        <v>7.0</v>
      </c>
      <c r="Q24" s="176">
        <f t="shared" si="1"/>
        <v>7.5175</v>
      </c>
      <c r="R24" s="66" t="s">
        <v>177</v>
      </c>
    </row>
    <row r="25" ht="15.75" customHeight="1">
      <c r="A25" s="20"/>
      <c r="B25" s="21"/>
      <c r="C25" s="159">
        <v>5.0</v>
      </c>
      <c r="D25" s="53" t="s">
        <v>241</v>
      </c>
      <c r="E25" s="91">
        <v>7.28</v>
      </c>
      <c r="F25" s="91">
        <v>8.64</v>
      </c>
      <c r="G25" s="208">
        <v>8.09</v>
      </c>
      <c r="H25" s="209">
        <v>7.96</v>
      </c>
      <c r="I25" s="208">
        <v>7.15</v>
      </c>
      <c r="J25" s="24">
        <v>7.2</v>
      </c>
      <c r="K25" s="24">
        <v>7.52</v>
      </c>
      <c r="L25" s="24">
        <v>7.7</v>
      </c>
      <c r="M25" s="91">
        <v>7.53</v>
      </c>
      <c r="N25" s="24">
        <v>7.52</v>
      </c>
      <c r="O25" s="91">
        <v>7.81</v>
      </c>
      <c r="P25" s="24">
        <v>7.0</v>
      </c>
      <c r="Q25" s="176">
        <f t="shared" si="1"/>
        <v>7.616666667</v>
      </c>
      <c r="R25" s="66" t="s">
        <v>177</v>
      </c>
    </row>
    <row r="26" ht="15.75" customHeight="1">
      <c r="A26" s="20"/>
      <c r="B26" s="21"/>
      <c r="C26" s="159">
        <v>6.0</v>
      </c>
      <c r="D26" s="53" t="s">
        <v>239</v>
      </c>
      <c r="E26" s="91">
        <v>6.67</v>
      </c>
      <c r="F26" s="24">
        <v>8.3</v>
      </c>
      <c r="G26" s="208">
        <v>8.05</v>
      </c>
      <c r="H26" s="208">
        <v>8.01</v>
      </c>
      <c r="I26" s="208">
        <v>7.43</v>
      </c>
      <c r="J26" s="91">
        <v>5.99</v>
      </c>
      <c r="K26" s="91">
        <v>7.8</v>
      </c>
      <c r="L26" s="91">
        <v>7.27</v>
      </c>
      <c r="M26" s="24">
        <v>7.22</v>
      </c>
      <c r="N26" s="91">
        <v>7.45</v>
      </c>
      <c r="O26" s="24">
        <v>7.49</v>
      </c>
      <c r="P26" s="24">
        <v>7.0</v>
      </c>
      <c r="Q26" s="176">
        <f t="shared" si="1"/>
        <v>7.39</v>
      </c>
      <c r="R26" s="66" t="s">
        <v>177</v>
      </c>
    </row>
    <row r="27" ht="15.75" customHeight="1">
      <c r="A27" s="20"/>
      <c r="B27" s="27"/>
      <c r="C27" s="159">
        <v>7.0</v>
      </c>
      <c r="D27" s="53" t="s">
        <v>240</v>
      </c>
      <c r="E27" s="91">
        <v>7.29</v>
      </c>
      <c r="F27" s="24">
        <v>8.46</v>
      </c>
      <c r="G27" s="208">
        <v>8.11</v>
      </c>
      <c r="H27" s="208">
        <v>7.81</v>
      </c>
      <c r="I27" s="208">
        <v>7.41</v>
      </c>
      <c r="J27" s="24">
        <v>5.09</v>
      </c>
      <c r="K27" s="24">
        <v>7.96</v>
      </c>
      <c r="L27" s="91">
        <v>7.2</v>
      </c>
      <c r="M27" s="91">
        <v>7.64</v>
      </c>
      <c r="N27" s="91">
        <v>7.77</v>
      </c>
      <c r="O27" s="24">
        <v>7.37</v>
      </c>
      <c r="P27" s="24">
        <v>6.0</v>
      </c>
      <c r="Q27" s="176">
        <f t="shared" si="1"/>
        <v>7.3425</v>
      </c>
      <c r="R27" s="66" t="s">
        <v>177</v>
      </c>
    </row>
    <row r="28" ht="15.75" customHeight="1">
      <c r="A28" s="20"/>
      <c r="B28" s="15" t="s">
        <v>242</v>
      </c>
      <c r="C28" s="16">
        <v>1.0</v>
      </c>
      <c r="D28" s="49" t="s">
        <v>234</v>
      </c>
      <c r="E28" s="18">
        <v>31.4</v>
      </c>
      <c r="F28" s="90">
        <v>27.4</v>
      </c>
      <c r="G28" s="90">
        <v>31.8</v>
      </c>
      <c r="H28" s="90">
        <v>29.2</v>
      </c>
      <c r="I28" s="90">
        <v>33.3</v>
      </c>
      <c r="J28" s="90">
        <v>30.4</v>
      </c>
      <c r="K28" s="90">
        <v>30.98</v>
      </c>
      <c r="L28" s="18">
        <v>29.0</v>
      </c>
      <c r="M28" s="90">
        <v>30.2</v>
      </c>
      <c r="N28" s="18">
        <v>30.42</v>
      </c>
      <c r="O28" s="18">
        <v>30.1</v>
      </c>
      <c r="P28" s="18">
        <v>28.0</v>
      </c>
      <c r="Q28" s="174">
        <f t="shared" si="1"/>
        <v>30.18333333</v>
      </c>
      <c r="R28" s="18" t="s">
        <v>179</v>
      </c>
    </row>
    <row r="29" ht="15.75" customHeight="1">
      <c r="A29" s="20"/>
      <c r="B29" s="21"/>
      <c r="C29" s="159">
        <v>2.0</v>
      </c>
      <c r="D29" s="53" t="s">
        <v>235</v>
      </c>
      <c r="E29" s="24">
        <v>30.45</v>
      </c>
      <c r="F29" s="24">
        <v>27.5</v>
      </c>
      <c r="G29" s="209">
        <v>32.3</v>
      </c>
      <c r="H29" s="209">
        <v>30.1</v>
      </c>
      <c r="I29" s="208">
        <v>32.98</v>
      </c>
      <c r="J29" s="24">
        <v>30.9</v>
      </c>
      <c r="K29" s="24">
        <v>30.68</v>
      </c>
      <c r="L29" s="24">
        <v>29.31</v>
      </c>
      <c r="M29" s="24">
        <v>30.0</v>
      </c>
      <c r="N29" s="24">
        <v>30.25</v>
      </c>
      <c r="O29" s="24">
        <v>29.83</v>
      </c>
      <c r="P29" s="24">
        <v>29.0</v>
      </c>
      <c r="Q29" s="176">
        <f t="shared" si="1"/>
        <v>30.275</v>
      </c>
      <c r="R29" s="24" t="s">
        <v>179</v>
      </c>
    </row>
    <row r="30" ht="15.75" customHeight="1">
      <c r="A30" s="20"/>
      <c r="B30" s="21"/>
      <c r="C30" s="159">
        <v>3.0</v>
      </c>
      <c r="D30" s="53" t="s">
        <v>236</v>
      </c>
      <c r="E30" s="24">
        <v>31.6</v>
      </c>
      <c r="F30" s="24">
        <v>27.4</v>
      </c>
      <c r="G30" s="209">
        <v>31.6</v>
      </c>
      <c r="H30" s="209">
        <v>29.5</v>
      </c>
      <c r="I30" s="209">
        <v>31.5</v>
      </c>
      <c r="J30" s="24">
        <v>30.65</v>
      </c>
      <c r="K30" s="24">
        <v>30.7</v>
      </c>
      <c r="L30" s="24">
        <v>31.12</v>
      </c>
      <c r="M30" s="24">
        <v>29.0</v>
      </c>
      <c r="N30" s="24">
        <v>30.52</v>
      </c>
      <c r="O30" s="24">
        <v>29.81</v>
      </c>
      <c r="P30" s="24">
        <v>28.0</v>
      </c>
      <c r="Q30" s="176">
        <f t="shared" si="1"/>
        <v>30.11666667</v>
      </c>
      <c r="R30" s="24" t="s">
        <v>179</v>
      </c>
    </row>
    <row r="31" ht="15.75" customHeight="1">
      <c r="A31" s="20"/>
      <c r="B31" s="21"/>
      <c r="C31" s="159">
        <v>4.0</v>
      </c>
      <c r="D31" s="53" t="s">
        <v>237</v>
      </c>
      <c r="E31" s="91">
        <v>29.73</v>
      </c>
      <c r="F31" s="24">
        <v>27.7</v>
      </c>
      <c r="G31" s="209">
        <v>30.5</v>
      </c>
      <c r="H31" s="209">
        <v>30.5</v>
      </c>
      <c r="I31" s="208">
        <v>32.75</v>
      </c>
      <c r="J31" s="24">
        <v>30.9</v>
      </c>
      <c r="K31" s="24">
        <v>31.4</v>
      </c>
      <c r="L31" s="24">
        <v>30.0</v>
      </c>
      <c r="M31" s="24">
        <v>29.4</v>
      </c>
      <c r="N31" s="24">
        <v>30.2</v>
      </c>
      <c r="O31" s="24">
        <v>29.32</v>
      </c>
      <c r="P31" s="24">
        <v>27.0</v>
      </c>
      <c r="Q31" s="176">
        <f t="shared" si="1"/>
        <v>29.95</v>
      </c>
      <c r="R31" s="24" t="s">
        <v>179</v>
      </c>
    </row>
    <row r="32" ht="15.75" customHeight="1">
      <c r="A32" s="20"/>
      <c r="B32" s="21"/>
      <c r="C32" s="159">
        <v>5.0</v>
      </c>
      <c r="D32" s="53" t="s">
        <v>241</v>
      </c>
      <c r="E32" s="24">
        <v>32.83</v>
      </c>
      <c r="F32" s="24">
        <v>27.4</v>
      </c>
      <c r="G32" s="209">
        <v>32.88</v>
      </c>
      <c r="H32" s="209">
        <v>30.8</v>
      </c>
      <c r="I32" s="209">
        <v>32.5</v>
      </c>
      <c r="J32" s="24">
        <v>30.7</v>
      </c>
      <c r="K32" s="24">
        <v>31.2</v>
      </c>
      <c r="L32" s="24">
        <v>30.0</v>
      </c>
      <c r="M32" s="24">
        <v>29.8</v>
      </c>
      <c r="N32" s="24">
        <v>32.12</v>
      </c>
      <c r="O32" s="24">
        <v>29.6</v>
      </c>
      <c r="P32" s="24">
        <v>27.0</v>
      </c>
      <c r="Q32" s="176">
        <f t="shared" si="1"/>
        <v>30.56916667</v>
      </c>
      <c r="R32" s="24" t="s">
        <v>179</v>
      </c>
    </row>
    <row r="33" ht="15.75" customHeight="1">
      <c r="A33" s="20"/>
      <c r="B33" s="21"/>
      <c r="C33" s="159">
        <v>6.0</v>
      </c>
      <c r="D33" s="53" t="s">
        <v>239</v>
      </c>
      <c r="E33" s="24">
        <v>28.0</v>
      </c>
      <c r="F33" s="24">
        <v>30.8</v>
      </c>
      <c r="G33" s="209">
        <v>29.85</v>
      </c>
      <c r="H33" s="209">
        <v>32.0</v>
      </c>
      <c r="I33" s="209">
        <v>30.0</v>
      </c>
      <c r="J33" s="24">
        <v>29.1</v>
      </c>
      <c r="K33" s="24">
        <v>30.0</v>
      </c>
      <c r="L33" s="24">
        <v>32.3</v>
      </c>
      <c r="M33" s="24">
        <v>28.6</v>
      </c>
      <c r="N33" s="24">
        <v>27.1</v>
      </c>
      <c r="O33" s="24">
        <v>30.12</v>
      </c>
      <c r="P33" s="24">
        <v>27.0</v>
      </c>
      <c r="Q33" s="176">
        <f t="shared" si="1"/>
        <v>29.5725</v>
      </c>
      <c r="R33" s="24" t="s">
        <v>179</v>
      </c>
    </row>
    <row r="34" ht="15.75" customHeight="1">
      <c r="A34" s="20"/>
      <c r="B34" s="27"/>
      <c r="C34" s="159">
        <v>7.0</v>
      </c>
      <c r="D34" s="53" t="s">
        <v>240</v>
      </c>
      <c r="E34" s="24">
        <v>28.7</v>
      </c>
      <c r="F34" s="24">
        <v>31.5</v>
      </c>
      <c r="G34" s="209">
        <v>31.2</v>
      </c>
      <c r="H34" s="209">
        <v>32.0</v>
      </c>
      <c r="I34" s="208">
        <v>29.92</v>
      </c>
      <c r="J34" s="24">
        <v>30.7</v>
      </c>
      <c r="K34" s="24">
        <v>29.98</v>
      </c>
      <c r="L34" s="24">
        <v>30.3</v>
      </c>
      <c r="M34" s="91">
        <v>29.08</v>
      </c>
      <c r="N34" s="24">
        <v>27.8</v>
      </c>
      <c r="O34" s="24">
        <v>30.3</v>
      </c>
      <c r="P34" s="24">
        <v>27.0</v>
      </c>
      <c r="Q34" s="176">
        <f t="shared" si="1"/>
        <v>29.87333333</v>
      </c>
      <c r="R34" s="24" t="s">
        <v>179</v>
      </c>
    </row>
    <row r="35" ht="15.75" customHeight="1">
      <c r="A35" s="20"/>
      <c r="B35" s="15" t="s">
        <v>38</v>
      </c>
      <c r="C35" s="16">
        <v>1.0</v>
      </c>
      <c r="D35" s="49" t="s">
        <v>234</v>
      </c>
      <c r="E35" s="114">
        <v>10.0</v>
      </c>
      <c r="F35" s="89">
        <v>20.0</v>
      </c>
      <c r="G35" s="89">
        <v>20.0</v>
      </c>
      <c r="H35" s="89">
        <v>25.0</v>
      </c>
      <c r="I35" s="89">
        <v>20.0</v>
      </c>
      <c r="J35" s="92">
        <v>15.0</v>
      </c>
      <c r="K35" s="92">
        <v>15.0</v>
      </c>
      <c r="L35" s="92">
        <v>20.0</v>
      </c>
      <c r="M35" s="114">
        <v>10.0</v>
      </c>
      <c r="N35" s="114">
        <v>10.0</v>
      </c>
      <c r="O35" s="114">
        <v>20.0</v>
      </c>
      <c r="P35" s="114">
        <v>20.0</v>
      </c>
      <c r="Q35" s="178">
        <f t="shared" si="1"/>
        <v>17.08333333</v>
      </c>
      <c r="R35" s="28">
        <v>50.0</v>
      </c>
    </row>
    <row r="36" ht="15.75" customHeight="1">
      <c r="A36" s="20"/>
      <c r="B36" s="21"/>
      <c r="C36" s="159">
        <v>2.0</v>
      </c>
      <c r="D36" s="53" t="s">
        <v>235</v>
      </c>
      <c r="E36" s="91">
        <v>15.0</v>
      </c>
      <c r="F36" s="91">
        <v>20.0</v>
      </c>
      <c r="G36" s="208">
        <v>20.0</v>
      </c>
      <c r="H36" s="208">
        <v>25.0</v>
      </c>
      <c r="I36" s="208">
        <v>15.0</v>
      </c>
      <c r="J36" s="30">
        <v>15.0</v>
      </c>
      <c r="K36" s="30">
        <v>15.0</v>
      </c>
      <c r="L36" s="30">
        <v>20.0</v>
      </c>
      <c r="M36" s="91">
        <v>10.0</v>
      </c>
      <c r="N36" s="91">
        <v>15.0</v>
      </c>
      <c r="O36" s="91">
        <v>15.0</v>
      </c>
      <c r="P36" s="91">
        <v>10.0</v>
      </c>
      <c r="Q36" s="179">
        <f t="shared" si="1"/>
        <v>16.25</v>
      </c>
      <c r="R36" s="30">
        <v>50.0</v>
      </c>
    </row>
    <row r="37" ht="15.75" customHeight="1">
      <c r="A37" s="20"/>
      <c r="B37" s="21"/>
      <c r="C37" s="159">
        <v>3.0</v>
      </c>
      <c r="D37" s="53" t="s">
        <v>236</v>
      </c>
      <c r="E37" s="91">
        <v>15.0</v>
      </c>
      <c r="F37" s="91">
        <v>20.0</v>
      </c>
      <c r="G37" s="208">
        <v>20.0</v>
      </c>
      <c r="H37" s="208">
        <v>25.0</v>
      </c>
      <c r="I37" s="208">
        <v>10.0</v>
      </c>
      <c r="J37" s="30">
        <v>10.0</v>
      </c>
      <c r="K37" s="30">
        <v>15.0</v>
      </c>
      <c r="L37" s="30">
        <v>20.0</v>
      </c>
      <c r="M37" s="91">
        <v>20.0</v>
      </c>
      <c r="N37" s="91">
        <v>15.0</v>
      </c>
      <c r="O37" s="91">
        <v>20.0</v>
      </c>
      <c r="P37" s="91">
        <v>15.0</v>
      </c>
      <c r="Q37" s="179">
        <f t="shared" si="1"/>
        <v>17.08333333</v>
      </c>
      <c r="R37" s="30">
        <v>50.0</v>
      </c>
    </row>
    <row r="38" ht="15.75" customHeight="1">
      <c r="A38" s="20"/>
      <c r="B38" s="21"/>
      <c r="C38" s="159">
        <v>4.0</v>
      </c>
      <c r="D38" s="53" t="s">
        <v>237</v>
      </c>
      <c r="E38" s="91">
        <v>15.0</v>
      </c>
      <c r="F38" s="91">
        <v>10.0</v>
      </c>
      <c r="G38" s="208">
        <v>15.0</v>
      </c>
      <c r="H38" s="208">
        <v>20.0</v>
      </c>
      <c r="I38" s="208">
        <v>10.0</v>
      </c>
      <c r="J38" s="30">
        <v>10.0</v>
      </c>
      <c r="K38" s="30">
        <v>10.0</v>
      </c>
      <c r="L38" s="30">
        <v>20.0</v>
      </c>
      <c r="M38" s="91">
        <v>10.0</v>
      </c>
      <c r="N38" s="91">
        <v>10.0</v>
      </c>
      <c r="O38" s="91">
        <v>15.0</v>
      </c>
      <c r="P38" s="91">
        <v>15.0</v>
      </c>
      <c r="Q38" s="179">
        <f t="shared" si="1"/>
        <v>13.33333333</v>
      </c>
      <c r="R38" s="30">
        <v>50.0</v>
      </c>
    </row>
    <row r="39" ht="15.75" customHeight="1">
      <c r="A39" s="20"/>
      <c r="B39" s="21"/>
      <c r="C39" s="159">
        <v>5.0</v>
      </c>
      <c r="D39" s="53" t="s">
        <v>241</v>
      </c>
      <c r="E39" s="91">
        <v>15.0</v>
      </c>
      <c r="F39" s="91">
        <v>5.0</v>
      </c>
      <c r="G39" s="208">
        <v>10.0</v>
      </c>
      <c r="H39" s="208">
        <v>20.0</v>
      </c>
      <c r="I39" s="208">
        <v>10.0</v>
      </c>
      <c r="J39" s="30">
        <v>10.0</v>
      </c>
      <c r="K39" s="30">
        <v>10.0</v>
      </c>
      <c r="L39" s="30">
        <v>20.0</v>
      </c>
      <c r="M39" s="91">
        <v>10.0</v>
      </c>
      <c r="N39" s="91">
        <v>10.0</v>
      </c>
      <c r="O39" s="91">
        <v>15.0</v>
      </c>
      <c r="P39" s="91">
        <v>10.0</v>
      </c>
      <c r="Q39" s="179">
        <f t="shared" si="1"/>
        <v>12.08333333</v>
      </c>
      <c r="R39" s="30">
        <v>50.0</v>
      </c>
    </row>
    <row r="40" ht="15.75" customHeight="1">
      <c r="A40" s="20"/>
      <c r="B40" s="21"/>
      <c r="C40" s="159">
        <v>6.0</v>
      </c>
      <c r="D40" s="53" t="s">
        <v>239</v>
      </c>
      <c r="E40" s="91">
        <v>3.0</v>
      </c>
      <c r="F40" s="30">
        <v>10.0</v>
      </c>
      <c r="G40" s="208">
        <v>5.0</v>
      </c>
      <c r="H40" s="208">
        <v>5.0</v>
      </c>
      <c r="I40" s="208">
        <v>5.0</v>
      </c>
      <c r="J40" s="91">
        <v>15.0</v>
      </c>
      <c r="K40" s="63">
        <v>5.0</v>
      </c>
      <c r="L40" s="91">
        <v>15.0</v>
      </c>
      <c r="M40" s="91">
        <v>5.0</v>
      </c>
      <c r="N40" s="91">
        <v>10.0</v>
      </c>
      <c r="O40" s="91">
        <v>5.0</v>
      </c>
      <c r="P40" s="91">
        <v>10.0</v>
      </c>
      <c r="Q40" s="179">
        <f t="shared" si="1"/>
        <v>7.75</v>
      </c>
      <c r="R40" s="30">
        <v>50.0</v>
      </c>
    </row>
    <row r="41" ht="15.75" customHeight="1">
      <c r="A41" s="20"/>
      <c r="B41" s="27"/>
      <c r="C41" s="159">
        <v>7.0</v>
      </c>
      <c r="D41" s="53" t="s">
        <v>240</v>
      </c>
      <c r="E41" s="91">
        <v>3.0</v>
      </c>
      <c r="F41" s="30">
        <v>5.0</v>
      </c>
      <c r="G41" s="208">
        <v>5.0</v>
      </c>
      <c r="H41" s="208">
        <v>5.0</v>
      </c>
      <c r="I41" s="208">
        <v>5.0</v>
      </c>
      <c r="J41" s="91">
        <v>15.0</v>
      </c>
      <c r="K41" s="63">
        <v>5.0</v>
      </c>
      <c r="L41" s="91">
        <v>15.0</v>
      </c>
      <c r="M41" s="91">
        <v>5.0</v>
      </c>
      <c r="N41" s="91">
        <v>10.0</v>
      </c>
      <c r="O41" s="91">
        <v>5.0</v>
      </c>
      <c r="P41" s="91">
        <v>10.0</v>
      </c>
      <c r="Q41" s="179">
        <f t="shared" si="1"/>
        <v>7.333333333</v>
      </c>
      <c r="R41" s="30">
        <v>50.0</v>
      </c>
    </row>
    <row r="42" ht="15.75" customHeight="1">
      <c r="A42" s="20"/>
      <c r="B42" s="15" t="s">
        <v>40</v>
      </c>
      <c r="C42" s="16">
        <v>1.0</v>
      </c>
      <c r="D42" s="49" t="s">
        <v>234</v>
      </c>
      <c r="E42" s="33">
        <v>490.0</v>
      </c>
      <c r="F42" s="94">
        <v>330.0</v>
      </c>
      <c r="G42" s="89">
        <v>33.0</v>
      </c>
      <c r="H42" s="89">
        <v>130.0</v>
      </c>
      <c r="I42" s="94">
        <v>1400.0</v>
      </c>
      <c r="J42" s="92">
        <v>130.0</v>
      </c>
      <c r="K42" s="92">
        <v>33.0</v>
      </c>
      <c r="L42" s="33">
        <v>920.0</v>
      </c>
      <c r="M42" s="32">
        <v>920.0</v>
      </c>
      <c r="N42" s="32">
        <v>16000.0</v>
      </c>
      <c r="O42" s="32">
        <v>2400.0</v>
      </c>
      <c r="P42" s="32">
        <v>540.0</v>
      </c>
      <c r="Q42" s="180">
        <f t="shared" ref="Q42:Q46" si="2">GEOMEAN(E42,F42,G42,H42,I42,J42,K42,L42,M42,N42,O42,P42)</f>
        <v>452.2075128</v>
      </c>
      <c r="R42" s="17">
        <v>100.0</v>
      </c>
      <c r="S42" s="212">
        <f>geomean(Q42:Q48)</f>
        <v>1966.643049</v>
      </c>
    </row>
    <row r="43" ht="15.75" customHeight="1">
      <c r="A43" s="20"/>
      <c r="B43" s="21"/>
      <c r="C43" s="159">
        <v>2.0</v>
      </c>
      <c r="D43" s="53" t="s">
        <v>235</v>
      </c>
      <c r="E43" s="34">
        <v>1300.0</v>
      </c>
      <c r="F43" s="34">
        <v>3500.0</v>
      </c>
      <c r="G43" s="208">
        <v>170.0</v>
      </c>
      <c r="H43" s="213">
        <v>1600.0</v>
      </c>
      <c r="I43" s="216">
        <v>2400.0</v>
      </c>
      <c r="J43" s="30">
        <v>49.0</v>
      </c>
      <c r="K43" s="30">
        <v>240.0</v>
      </c>
      <c r="L43" s="34">
        <v>16000.0</v>
      </c>
      <c r="M43" s="37">
        <v>9200.0</v>
      </c>
      <c r="N43" s="37">
        <v>2400.0</v>
      </c>
      <c r="O43" s="37">
        <v>350.0</v>
      </c>
      <c r="P43" s="37">
        <v>2400.0</v>
      </c>
      <c r="Q43" s="183">
        <f t="shared" si="2"/>
        <v>1215.158979</v>
      </c>
      <c r="R43" s="23">
        <v>100.0</v>
      </c>
    </row>
    <row r="44" ht="15.75" customHeight="1">
      <c r="A44" s="20"/>
      <c r="B44" s="21"/>
      <c r="C44" s="159">
        <v>3.0</v>
      </c>
      <c r="D44" s="53" t="s">
        <v>236</v>
      </c>
      <c r="E44" s="34">
        <v>1700.0</v>
      </c>
      <c r="F44" s="34">
        <v>2400.0</v>
      </c>
      <c r="G44" s="208">
        <v>110.0</v>
      </c>
      <c r="H44" s="208">
        <v>540.0</v>
      </c>
      <c r="I44" s="216">
        <v>2200.0</v>
      </c>
      <c r="J44" s="30">
        <v>79.0</v>
      </c>
      <c r="K44" s="30">
        <v>240.0</v>
      </c>
      <c r="L44" s="34">
        <v>540.0</v>
      </c>
      <c r="M44" s="37">
        <v>5400.0</v>
      </c>
      <c r="N44" s="37">
        <v>24000.0</v>
      </c>
      <c r="O44" s="37">
        <v>2400.0</v>
      </c>
      <c r="P44" s="37">
        <v>1600.0</v>
      </c>
      <c r="Q44" s="183">
        <f t="shared" si="2"/>
        <v>1086.850478</v>
      </c>
      <c r="R44" s="23">
        <v>100.0</v>
      </c>
    </row>
    <row r="45" ht="15.75" customHeight="1">
      <c r="A45" s="20"/>
      <c r="B45" s="21"/>
      <c r="C45" s="159">
        <v>4.0</v>
      </c>
      <c r="D45" s="53" t="s">
        <v>237</v>
      </c>
      <c r="E45" s="34">
        <v>230.0</v>
      </c>
      <c r="F45" s="34">
        <v>1700.0</v>
      </c>
      <c r="G45" s="208">
        <v>23.0</v>
      </c>
      <c r="H45" s="208">
        <v>33.0</v>
      </c>
      <c r="I45" s="208">
        <v>23.0</v>
      </c>
      <c r="J45" s="30">
        <v>33.0</v>
      </c>
      <c r="K45" s="30">
        <v>79.0</v>
      </c>
      <c r="L45" s="34">
        <v>350.0</v>
      </c>
      <c r="M45" s="37">
        <v>17000.0</v>
      </c>
      <c r="N45" s="34">
        <v>1700.0</v>
      </c>
      <c r="O45" s="37">
        <v>920.0</v>
      </c>
      <c r="P45" s="37">
        <v>1700.0</v>
      </c>
      <c r="Q45" s="183">
        <f t="shared" si="2"/>
        <v>284.5274487</v>
      </c>
      <c r="R45" s="23">
        <v>100.0</v>
      </c>
    </row>
    <row r="46" ht="15.75" customHeight="1">
      <c r="A46" s="20"/>
      <c r="B46" s="21"/>
      <c r="C46" s="159">
        <v>5.0</v>
      </c>
      <c r="D46" s="53" t="s">
        <v>241</v>
      </c>
      <c r="E46" s="34">
        <v>2400.0</v>
      </c>
      <c r="F46" s="34">
        <v>3500.0</v>
      </c>
      <c r="G46" s="208">
        <v>170.0</v>
      </c>
      <c r="H46" s="208">
        <v>540.0</v>
      </c>
      <c r="I46" s="208">
        <v>170.0</v>
      </c>
      <c r="J46" s="30">
        <v>240.0</v>
      </c>
      <c r="K46" s="30">
        <v>240.0</v>
      </c>
      <c r="L46" s="34">
        <v>35000.0</v>
      </c>
      <c r="M46" s="37">
        <v>1700.0</v>
      </c>
      <c r="N46" s="37">
        <v>16000.0</v>
      </c>
      <c r="O46" s="37">
        <v>5400.0</v>
      </c>
      <c r="P46" s="37">
        <v>920.0</v>
      </c>
      <c r="Q46" s="183">
        <f t="shared" si="2"/>
        <v>1347.103586</v>
      </c>
      <c r="R46" s="23">
        <v>100.0</v>
      </c>
    </row>
    <row r="47" ht="18.75" customHeight="1">
      <c r="A47" s="217"/>
      <c r="B47" s="21"/>
      <c r="C47" s="218">
        <v>6.0</v>
      </c>
      <c r="D47" s="134" t="s">
        <v>239</v>
      </c>
      <c r="E47" s="34">
        <v>54000.0</v>
      </c>
      <c r="F47" s="34">
        <v>24000.0</v>
      </c>
      <c r="G47" s="213">
        <v>9200.0</v>
      </c>
      <c r="H47" s="213">
        <v>7900.0</v>
      </c>
      <c r="I47" s="216">
        <v>5400.0</v>
      </c>
      <c r="J47" s="37">
        <v>16000.0</v>
      </c>
      <c r="K47" s="74">
        <v>9200.0</v>
      </c>
      <c r="L47" s="37">
        <v>46000.0</v>
      </c>
      <c r="M47" s="37">
        <v>540000.0</v>
      </c>
      <c r="N47" s="37">
        <v>54000.0</v>
      </c>
      <c r="O47" s="37">
        <v>3300.0</v>
      </c>
      <c r="P47" s="37">
        <v>54000.0</v>
      </c>
      <c r="Q47" s="183">
        <f>GEOMEAN(E47)</f>
        <v>54000</v>
      </c>
      <c r="R47" s="23">
        <v>100.0</v>
      </c>
      <c r="S47" s="219"/>
      <c r="T47" s="219"/>
      <c r="U47" s="219"/>
      <c r="V47" s="219"/>
      <c r="W47" s="219"/>
      <c r="X47" s="219"/>
      <c r="Y47" s="219"/>
      <c r="Z47" s="219"/>
    </row>
    <row r="48" ht="15.75" customHeight="1">
      <c r="A48" s="20"/>
      <c r="B48" s="27"/>
      <c r="C48" s="159">
        <v>7.0</v>
      </c>
      <c r="D48" s="53" t="s">
        <v>240</v>
      </c>
      <c r="E48" s="91">
        <v>240.0</v>
      </c>
      <c r="F48" s="34">
        <v>16000.0</v>
      </c>
      <c r="G48" s="208">
        <v>540.0</v>
      </c>
      <c r="H48" s="208">
        <v>540.0</v>
      </c>
      <c r="I48" s="216">
        <v>1400.0</v>
      </c>
      <c r="J48" s="220">
        <v>1700.0</v>
      </c>
      <c r="K48" s="74">
        <v>240000.0</v>
      </c>
      <c r="L48" s="37">
        <v>70000.0</v>
      </c>
      <c r="M48" s="37">
        <v>920000.0</v>
      </c>
      <c r="N48" s="37">
        <v>110000.0</v>
      </c>
      <c r="O48" s="37">
        <v>350000.0</v>
      </c>
      <c r="P48" s="91">
        <v>350.0</v>
      </c>
      <c r="Q48" s="183">
        <f>GEOMEAN(160,F48,G48,H48,I48,J48,K48,L48,M48,N48,O48,P48)</f>
        <v>9204.902521</v>
      </c>
      <c r="R48" s="23">
        <v>100.0</v>
      </c>
    </row>
    <row r="49" ht="15.75" customHeight="1">
      <c r="A49" s="20"/>
      <c r="B49" s="15" t="s">
        <v>219</v>
      </c>
      <c r="C49" s="16">
        <v>1.0</v>
      </c>
      <c r="D49" s="49" t="s">
        <v>234</v>
      </c>
      <c r="E49" s="114">
        <v>0.376</v>
      </c>
      <c r="F49" s="89" t="s">
        <v>42</v>
      </c>
      <c r="G49" s="89">
        <v>0.148</v>
      </c>
      <c r="H49" s="89" t="s">
        <v>42</v>
      </c>
      <c r="I49" s="89" t="s">
        <v>42</v>
      </c>
      <c r="J49" s="89" t="s">
        <v>42</v>
      </c>
      <c r="K49" s="96">
        <v>0.139</v>
      </c>
      <c r="L49" s="96">
        <v>0.357</v>
      </c>
      <c r="M49" s="114">
        <v>0.139</v>
      </c>
      <c r="N49" s="114">
        <v>0.463</v>
      </c>
      <c r="O49" s="114">
        <v>0.322</v>
      </c>
      <c r="P49" s="114">
        <v>0.461</v>
      </c>
      <c r="Q49" s="185">
        <f>AVERAGE(E49,F49,G49,H49,I49,J49,K49,0.045,0.045,N49,O49,P49)</f>
        <v>0.249875</v>
      </c>
      <c r="R49" s="17">
        <v>10.0</v>
      </c>
    </row>
    <row r="50" ht="15.75" customHeight="1">
      <c r="A50" s="20"/>
      <c r="B50" s="21"/>
      <c r="C50" s="159">
        <v>2.0</v>
      </c>
      <c r="D50" s="53" t="s">
        <v>235</v>
      </c>
      <c r="E50" s="43">
        <v>0.176</v>
      </c>
      <c r="F50" s="91">
        <v>0.094</v>
      </c>
      <c r="G50" s="91" t="s">
        <v>42</v>
      </c>
      <c r="H50" s="91" t="s">
        <v>42</v>
      </c>
      <c r="I50" s="208">
        <v>0.122</v>
      </c>
      <c r="J50" s="91" t="s">
        <v>42</v>
      </c>
      <c r="K50" s="43">
        <v>0.19</v>
      </c>
      <c r="L50" s="43">
        <v>0.094</v>
      </c>
      <c r="M50" s="43" t="s">
        <v>42</v>
      </c>
      <c r="N50" s="43" t="s">
        <v>42</v>
      </c>
      <c r="O50" s="91">
        <v>1.627</v>
      </c>
      <c r="P50" s="91">
        <v>0.406</v>
      </c>
      <c r="Q50" s="187">
        <f>AVERAGE(E50,F50,G50,H50,I50,J50,K50,0.045,M50,N50,O50,P50)</f>
        <v>0.38</v>
      </c>
      <c r="R50" s="23">
        <v>10.0</v>
      </c>
    </row>
    <row r="51" ht="15.75" customHeight="1">
      <c r="A51" s="20"/>
      <c r="B51" s="21"/>
      <c r="C51" s="159">
        <v>3.0</v>
      </c>
      <c r="D51" s="53" t="s">
        <v>236</v>
      </c>
      <c r="E51" s="91">
        <v>0.109</v>
      </c>
      <c r="F51" s="91">
        <v>0.449</v>
      </c>
      <c r="G51" s="208">
        <v>0.095</v>
      </c>
      <c r="H51" s="91" t="s">
        <v>42</v>
      </c>
      <c r="I51" s="208" t="s">
        <v>42</v>
      </c>
      <c r="J51" s="91" t="s">
        <v>42</v>
      </c>
      <c r="K51" s="43" t="s">
        <v>42</v>
      </c>
      <c r="L51" s="43">
        <v>0.13</v>
      </c>
      <c r="M51" s="91">
        <v>0.071</v>
      </c>
      <c r="N51" s="43" t="s">
        <v>42</v>
      </c>
      <c r="O51" s="91">
        <v>0.311</v>
      </c>
      <c r="P51" s="91">
        <v>0.394</v>
      </c>
      <c r="Q51" s="187">
        <f>AVERAGE(E51,0.045,G51,H51,I51,J51,K51,0.045,0.045,N51,O51,P51)</f>
        <v>0.1491428571</v>
      </c>
      <c r="R51" s="23">
        <v>10.0</v>
      </c>
    </row>
    <row r="52" ht="15.75" customHeight="1">
      <c r="A52" s="20"/>
      <c r="B52" s="21"/>
      <c r="C52" s="159">
        <v>4.0</v>
      </c>
      <c r="D52" s="53" t="s">
        <v>237</v>
      </c>
      <c r="E52" s="91">
        <v>0.152</v>
      </c>
      <c r="F52" s="91">
        <v>0.072</v>
      </c>
      <c r="G52" s="208">
        <v>0.068</v>
      </c>
      <c r="H52" s="91" t="s">
        <v>42</v>
      </c>
      <c r="I52" s="208" t="s">
        <v>42</v>
      </c>
      <c r="J52" s="91" t="s">
        <v>42</v>
      </c>
      <c r="K52" s="43" t="s">
        <v>42</v>
      </c>
      <c r="L52" s="43">
        <v>0.335</v>
      </c>
      <c r="M52" s="91">
        <v>0.192</v>
      </c>
      <c r="N52" s="43" t="s">
        <v>42</v>
      </c>
      <c r="O52" s="91">
        <v>0.224</v>
      </c>
      <c r="P52" s="91">
        <v>0.151</v>
      </c>
      <c r="Q52" s="187">
        <f>AVERAGE(E52,F52,G52,H52,I52,J52,K52,L52,M52,N52,O52,P52)</f>
        <v>0.1705714286</v>
      </c>
      <c r="R52" s="23">
        <v>10.0</v>
      </c>
    </row>
    <row r="53" ht="15.75" customHeight="1">
      <c r="A53" s="20"/>
      <c r="B53" s="21"/>
      <c r="C53" s="159">
        <v>5.0</v>
      </c>
      <c r="D53" s="53" t="s">
        <v>241</v>
      </c>
      <c r="E53" s="43">
        <v>0.164</v>
      </c>
      <c r="F53" s="91" t="s">
        <v>42</v>
      </c>
      <c r="G53" s="91" t="s">
        <v>42</v>
      </c>
      <c r="H53" s="91" t="s">
        <v>42</v>
      </c>
      <c r="I53" s="208">
        <v>0.053</v>
      </c>
      <c r="J53" s="91" t="s">
        <v>42</v>
      </c>
      <c r="K53" s="43" t="s">
        <v>42</v>
      </c>
      <c r="L53" s="43">
        <v>0.166</v>
      </c>
      <c r="M53" s="91">
        <v>0.169</v>
      </c>
      <c r="N53" s="43" t="s">
        <v>42</v>
      </c>
      <c r="O53" s="43">
        <v>0.287</v>
      </c>
      <c r="P53" s="91">
        <v>0.346</v>
      </c>
      <c r="Q53" s="187">
        <f t="shared" ref="Q53:Q54" si="3">AVERAGE(E53,F53,G53,H53,I53,J53,K53,L53,0.045,N53,O53,P53)</f>
        <v>0.1768333333</v>
      </c>
      <c r="R53" s="23">
        <v>10.0</v>
      </c>
    </row>
    <row r="54" ht="15.75" customHeight="1">
      <c r="A54" s="20"/>
      <c r="B54" s="21"/>
      <c r="C54" s="159">
        <v>6.0</v>
      </c>
      <c r="D54" s="53" t="s">
        <v>239</v>
      </c>
      <c r="E54" s="91">
        <v>0.427</v>
      </c>
      <c r="F54" s="43">
        <v>0.333</v>
      </c>
      <c r="G54" s="208">
        <v>0.489</v>
      </c>
      <c r="H54" s="91" t="s">
        <v>42</v>
      </c>
      <c r="I54" s="208">
        <v>0.313</v>
      </c>
      <c r="J54" s="91">
        <v>0.521</v>
      </c>
      <c r="K54" s="79">
        <v>0.218</v>
      </c>
      <c r="L54" s="91">
        <v>1.101</v>
      </c>
      <c r="M54" s="43">
        <v>1.006</v>
      </c>
      <c r="N54" s="43">
        <v>0.334</v>
      </c>
      <c r="O54" s="43" t="s">
        <v>243</v>
      </c>
      <c r="P54" s="91" t="s">
        <v>42</v>
      </c>
      <c r="Q54" s="187">
        <f t="shared" si="3"/>
        <v>0.4201111111</v>
      </c>
      <c r="R54" s="23">
        <v>10.0</v>
      </c>
    </row>
    <row r="55" ht="15.75" customHeight="1">
      <c r="A55" s="20"/>
      <c r="B55" s="27"/>
      <c r="C55" s="159">
        <v>7.0</v>
      </c>
      <c r="D55" s="53" t="s">
        <v>240</v>
      </c>
      <c r="E55" s="91" t="s">
        <v>42</v>
      </c>
      <c r="F55" s="24" t="s">
        <v>42</v>
      </c>
      <c r="G55" s="24" t="s">
        <v>42</v>
      </c>
      <c r="H55" s="91" t="s">
        <v>42</v>
      </c>
      <c r="I55" s="208" t="s">
        <v>42</v>
      </c>
      <c r="J55" s="91">
        <v>0.197</v>
      </c>
      <c r="K55" s="79">
        <v>0.456</v>
      </c>
      <c r="L55" s="43">
        <v>0.268</v>
      </c>
      <c r="M55" s="91">
        <v>0.656</v>
      </c>
      <c r="N55" s="43" t="s">
        <v>42</v>
      </c>
      <c r="O55" s="91">
        <v>0.314</v>
      </c>
      <c r="P55" s="43">
        <v>0.39</v>
      </c>
      <c r="Q55" s="187">
        <f>AVERAGE(E55,F55,G55,H55,I55,J55,K55,0.045,0.045,N55,O55,P55)</f>
        <v>0.2411666667</v>
      </c>
      <c r="R55" s="23">
        <v>10.0</v>
      </c>
    </row>
    <row r="56" ht="15.75" customHeight="1">
      <c r="A56" s="20"/>
      <c r="B56" s="15" t="s">
        <v>220</v>
      </c>
      <c r="C56" s="16">
        <v>1.0</v>
      </c>
      <c r="D56" s="49" t="s">
        <v>234</v>
      </c>
      <c r="E56" s="114">
        <v>0.264</v>
      </c>
      <c r="F56" s="96">
        <v>0.28</v>
      </c>
      <c r="G56" s="89">
        <v>0.274</v>
      </c>
      <c r="H56" s="89">
        <v>0.313</v>
      </c>
      <c r="I56" s="89">
        <v>0.214</v>
      </c>
      <c r="J56" s="96">
        <v>0.204</v>
      </c>
      <c r="K56" s="96">
        <v>0.236</v>
      </c>
      <c r="L56" s="40">
        <v>0.166</v>
      </c>
      <c r="M56" s="40">
        <v>0.17</v>
      </c>
      <c r="N56" s="114">
        <v>0.261</v>
      </c>
      <c r="O56" s="114">
        <v>0.394</v>
      </c>
      <c r="P56" s="114">
        <v>0.767</v>
      </c>
      <c r="Q56" s="185">
        <f>AVERAGE(E56:O56)</f>
        <v>0.2523636364</v>
      </c>
      <c r="R56" s="17">
        <v>0.5</v>
      </c>
    </row>
    <row r="57" ht="15.75" customHeight="1">
      <c r="A57" s="20"/>
      <c r="B57" s="21"/>
      <c r="C57" s="159">
        <v>2.0</v>
      </c>
      <c r="D57" s="53" t="s">
        <v>235</v>
      </c>
      <c r="E57" s="43">
        <v>0.241</v>
      </c>
      <c r="F57" s="43">
        <v>0.265</v>
      </c>
      <c r="G57" s="208">
        <v>0.254</v>
      </c>
      <c r="H57" s="208">
        <v>0.294</v>
      </c>
      <c r="I57" s="214">
        <v>0.21</v>
      </c>
      <c r="J57" s="43">
        <v>0.193</v>
      </c>
      <c r="K57" s="43">
        <v>0.211</v>
      </c>
      <c r="L57" s="43">
        <v>0.23</v>
      </c>
      <c r="M57" s="43">
        <v>0.206</v>
      </c>
      <c r="N57" s="91">
        <v>0.239</v>
      </c>
      <c r="O57" s="91">
        <v>0.955</v>
      </c>
      <c r="P57" s="91">
        <v>0.384</v>
      </c>
      <c r="Q57" s="187">
        <f t="shared" ref="Q57:Q62" si="4">AVERAGE(E57,F57,G57,H57,I57,J57,K57,L57,M57,N57,O57,P57)</f>
        <v>0.3068333333</v>
      </c>
      <c r="R57" s="23">
        <v>0.5</v>
      </c>
    </row>
    <row r="58" ht="15.75" customHeight="1">
      <c r="A58" s="20"/>
      <c r="B58" s="21"/>
      <c r="C58" s="159">
        <v>3.0</v>
      </c>
      <c r="D58" s="53" t="s">
        <v>236</v>
      </c>
      <c r="E58" s="91">
        <v>0.279</v>
      </c>
      <c r="F58" s="43">
        <v>0.404</v>
      </c>
      <c r="G58" s="208">
        <v>0.314</v>
      </c>
      <c r="H58" s="208">
        <v>0.353</v>
      </c>
      <c r="I58" s="208">
        <v>0.174</v>
      </c>
      <c r="J58" s="43">
        <v>0.142</v>
      </c>
      <c r="K58" s="43">
        <v>0.167</v>
      </c>
      <c r="L58" s="43">
        <v>0.172</v>
      </c>
      <c r="M58" s="91">
        <v>0.246</v>
      </c>
      <c r="N58" s="43">
        <v>0.318</v>
      </c>
      <c r="O58" s="91">
        <v>0.295</v>
      </c>
      <c r="P58" s="91">
        <v>0.365</v>
      </c>
      <c r="Q58" s="187">
        <f t="shared" si="4"/>
        <v>0.2690833333</v>
      </c>
      <c r="R58" s="23">
        <v>0.5</v>
      </c>
    </row>
    <row r="59" ht="15.75" customHeight="1">
      <c r="A59" s="20"/>
      <c r="B59" s="21"/>
      <c r="C59" s="159">
        <v>4.0</v>
      </c>
      <c r="D59" s="53" t="s">
        <v>237</v>
      </c>
      <c r="E59" s="91">
        <v>0.159</v>
      </c>
      <c r="F59" s="43">
        <v>0.23</v>
      </c>
      <c r="G59" s="208">
        <v>0.136</v>
      </c>
      <c r="H59" s="208">
        <v>0.176</v>
      </c>
      <c r="I59" s="208">
        <v>0.149</v>
      </c>
      <c r="J59" s="43">
        <v>0.098</v>
      </c>
      <c r="K59" s="43">
        <v>0.198</v>
      </c>
      <c r="L59" s="43">
        <v>0.18</v>
      </c>
      <c r="M59" s="91">
        <v>0.108</v>
      </c>
      <c r="N59" s="91">
        <v>0.206</v>
      </c>
      <c r="O59" s="91">
        <v>0.251</v>
      </c>
      <c r="P59" s="91">
        <v>0.246</v>
      </c>
      <c r="Q59" s="187">
        <f t="shared" si="4"/>
        <v>0.1780833333</v>
      </c>
      <c r="R59" s="23">
        <v>0.5</v>
      </c>
    </row>
    <row r="60" ht="15.75" customHeight="1">
      <c r="A60" s="20"/>
      <c r="B60" s="21"/>
      <c r="C60" s="159">
        <v>5.0</v>
      </c>
      <c r="D60" s="53" t="s">
        <v>241</v>
      </c>
      <c r="E60" s="91">
        <v>0.222</v>
      </c>
      <c r="F60" s="43">
        <v>0.267</v>
      </c>
      <c r="G60" s="208">
        <v>0.156</v>
      </c>
      <c r="H60" s="208">
        <v>0.182</v>
      </c>
      <c r="I60" s="208">
        <v>0.233</v>
      </c>
      <c r="J60" s="43">
        <v>0.116</v>
      </c>
      <c r="K60" s="43">
        <v>0.185</v>
      </c>
      <c r="L60" s="43">
        <v>0.177</v>
      </c>
      <c r="M60" s="91">
        <v>0.227</v>
      </c>
      <c r="N60" s="43">
        <v>0.28</v>
      </c>
      <c r="O60" s="91">
        <v>0.242</v>
      </c>
      <c r="P60" s="91">
        <v>0.232</v>
      </c>
      <c r="Q60" s="187">
        <f t="shared" si="4"/>
        <v>0.2099166667</v>
      </c>
      <c r="R60" s="23">
        <v>0.5</v>
      </c>
    </row>
    <row r="61" ht="15.75" customHeight="1">
      <c r="A61" s="20"/>
      <c r="B61" s="21"/>
      <c r="C61" s="159">
        <v>6.0</v>
      </c>
      <c r="D61" s="53" t="s">
        <v>239</v>
      </c>
      <c r="E61" s="91">
        <v>0.144</v>
      </c>
      <c r="F61" s="43">
        <v>0.132</v>
      </c>
      <c r="G61" s="43">
        <v>0.489</v>
      </c>
      <c r="H61" s="214">
        <v>0.06</v>
      </c>
      <c r="I61" s="208">
        <v>0.071</v>
      </c>
      <c r="J61" s="43">
        <v>0.092</v>
      </c>
      <c r="K61" s="79">
        <v>0.077</v>
      </c>
      <c r="L61" s="43">
        <v>0.177</v>
      </c>
      <c r="M61" s="91">
        <v>0.047</v>
      </c>
      <c r="N61" s="91">
        <v>0.058</v>
      </c>
      <c r="O61" s="91" t="s">
        <v>244</v>
      </c>
      <c r="P61" s="91">
        <v>0.044</v>
      </c>
      <c r="Q61" s="187">
        <f t="shared" si="4"/>
        <v>0.1264545455</v>
      </c>
      <c r="R61" s="23">
        <v>0.5</v>
      </c>
    </row>
    <row r="62" ht="15.75" customHeight="1">
      <c r="A62" s="20"/>
      <c r="B62" s="27"/>
      <c r="C62" s="159">
        <v>7.0</v>
      </c>
      <c r="D62" s="53" t="s">
        <v>240</v>
      </c>
      <c r="E62" s="43">
        <v>0.053</v>
      </c>
      <c r="F62" s="43">
        <v>0.075</v>
      </c>
      <c r="G62" s="43">
        <v>0.052</v>
      </c>
      <c r="H62" s="208">
        <v>0.053</v>
      </c>
      <c r="I62" s="208">
        <v>0.042</v>
      </c>
      <c r="J62" s="91">
        <v>0.082</v>
      </c>
      <c r="K62" s="79">
        <v>0.037</v>
      </c>
      <c r="L62" s="91">
        <v>0.103</v>
      </c>
      <c r="M62" s="91">
        <v>0.084</v>
      </c>
      <c r="N62" s="43">
        <v>0.074</v>
      </c>
      <c r="O62" s="91">
        <v>0.167</v>
      </c>
      <c r="P62" s="91">
        <v>0.044</v>
      </c>
      <c r="Q62" s="187">
        <f t="shared" si="4"/>
        <v>0.07216666667</v>
      </c>
      <c r="R62" s="23">
        <v>0.5</v>
      </c>
    </row>
    <row r="63" ht="15.75" customHeight="1">
      <c r="A63" s="97"/>
      <c r="B63" s="221"/>
      <c r="C63" s="222"/>
      <c r="D63" s="223"/>
      <c r="E63" s="224"/>
      <c r="F63" s="225"/>
      <c r="G63" s="225"/>
      <c r="H63" s="225"/>
      <c r="I63" s="225"/>
      <c r="J63" s="225"/>
      <c r="K63" s="225"/>
      <c r="L63" s="225"/>
      <c r="M63" s="225"/>
      <c r="N63" s="225"/>
      <c r="O63" s="225"/>
      <c r="P63" s="225"/>
    </row>
    <row r="64" ht="15.75" customHeight="1">
      <c r="A64" s="97" t="s">
        <v>47</v>
      </c>
      <c r="D64" s="97"/>
    </row>
    <row r="65" ht="15.75" customHeight="1"/>
    <row r="66" ht="14.25" customHeight="1">
      <c r="A66" s="215"/>
      <c r="D66" s="100"/>
      <c r="E66" s="100"/>
      <c r="F66" s="100"/>
      <c r="G66" s="100"/>
      <c r="H66" s="100"/>
      <c r="I66" s="100"/>
      <c r="J66" s="100"/>
      <c r="K66" s="100"/>
      <c r="L66" s="117"/>
      <c r="M66" s="100"/>
      <c r="N66" s="100"/>
      <c r="O66" s="100"/>
      <c r="P66" s="100" t="s">
        <v>39</v>
      </c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</row>
    <row r="68" ht="15.75" customHeight="1">
      <c r="A68" s="97"/>
      <c r="D68" s="97"/>
    </row>
    <row r="69" ht="15.75" customHeight="1"/>
    <row r="70" ht="15.75" customHeight="1"/>
    <row r="71" ht="15.75" customHeight="1">
      <c r="A71" s="226"/>
    </row>
    <row r="72" ht="15.75" customHeight="1"/>
    <row r="73" ht="15.75" customHeight="1">
      <c r="F73" s="64" t="s">
        <v>245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R1"/>
    <mergeCell ref="A2:R2"/>
    <mergeCell ref="A3:R3"/>
    <mergeCell ref="A5:R5"/>
    <mergeCell ref="A6:R6"/>
    <mergeCell ref="B7:B13"/>
    <mergeCell ref="B14:B20"/>
    <mergeCell ref="A64:C65"/>
    <mergeCell ref="A66:C66"/>
    <mergeCell ref="A68:C69"/>
    <mergeCell ref="D68:F69"/>
    <mergeCell ref="A71:C72"/>
    <mergeCell ref="B21:B27"/>
    <mergeCell ref="B28:B34"/>
    <mergeCell ref="B35:B41"/>
    <mergeCell ref="B42:B48"/>
    <mergeCell ref="B49:B55"/>
    <mergeCell ref="B56:B62"/>
    <mergeCell ref="D64:F65"/>
  </mergeCells>
  <printOptions/>
  <pageMargins bottom="0.75" footer="0.0" header="0.0" left="0.7" right="0.7" top="0.75"/>
  <pageSetup scale="7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1" width="10.71"/>
    <col customWidth="1" min="12" max="12" width="7.86"/>
    <col customWidth="1" min="13" max="13" width="11.43"/>
    <col customWidth="1" min="14" max="14" width="13.0"/>
    <col customWidth="1" min="15" max="17" width="12.57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25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227" t="s">
        <v>8</v>
      </c>
      <c r="G4" s="227" t="s">
        <v>9</v>
      </c>
      <c r="H4" s="227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228" t="s">
        <v>18</v>
      </c>
      <c r="Q4" s="8" t="s">
        <v>19</v>
      </c>
      <c r="R4" s="8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246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247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229" t="s">
        <v>248</v>
      </c>
      <c r="E7" s="90">
        <v>1.85</v>
      </c>
      <c r="F7" s="90">
        <v>2.52</v>
      </c>
      <c r="G7" s="89">
        <v>1.82</v>
      </c>
      <c r="H7" s="89">
        <v>0.58</v>
      </c>
      <c r="I7" s="89">
        <v>0.63</v>
      </c>
      <c r="J7" s="90">
        <v>6.4</v>
      </c>
      <c r="K7" s="150">
        <v>7.0</v>
      </c>
      <c r="L7" s="90">
        <v>6.7</v>
      </c>
      <c r="M7" s="90">
        <v>8.3</v>
      </c>
      <c r="N7" s="90">
        <v>6.7</v>
      </c>
      <c r="O7" s="90">
        <v>6.2</v>
      </c>
      <c r="P7" s="90">
        <v>9.6</v>
      </c>
      <c r="Q7" s="174">
        <f t="shared" ref="Q7:Q21" si="1">AVERAGE(E7,F7,G7,H7,I7,J7,K7,L7,M7,N7,O7,P7)</f>
        <v>4.858333333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32" t="s">
        <v>249</v>
      </c>
      <c r="E8" s="24">
        <v>2.03</v>
      </c>
      <c r="F8" s="24">
        <v>1.57</v>
      </c>
      <c r="G8" s="208">
        <v>1.72</v>
      </c>
      <c r="H8" s="208">
        <v>0.56</v>
      </c>
      <c r="I8" s="208">
        <v>0.61</v>
      </c>
      <c r="J8" s="24">
        <v>6.7</v>
      </c>
      <c r="K8" s="230">
        <v>6.7</v>
      </c>
      <c r="L8" s="24">
        <v>6.2</v>
      </c>
      <c r="M8" s="24">
        <v>7.0</v>
      </c>
      <c r="N8" s="24">
        <v>6.0</v>
      </c>
      <c r="O8" s="24">
        <v>3.8</v>
      </c>
      <c r="P8" s="24">
        <v>6.3</v>
      </c>
      <c r="Q8" s="176">
        <f t="shared" si="1"/>
        <v>4.099166667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>
      <c r="A9" s="20"/>
      <c r="B9" s="21"/>
      <c r="C9" s="22">
        <v>3.0</v>
      </c>
      <c r="D9" s="132" t="s">
        <v>250</v>
      </c>
      <c r="E9" s="24">
        <v>1.29</v>
      </c>
      <c r="F9" s="24">
        <v>2.56</v>
      </c>
      <c r="G9" s="208">
        <v>1.86</v>
      </c>
      <c r="H9" s="208">
        <v>0.43</v>
      </c>
      <c r="I9" s="208">
        <v>0.63</v>
      </c>
      <c r="J9" s="24">
        <v>5.9</v>
      </c>
      <c r="K9" s="230">
        <v>6.1</v>
      </c>
      <c r="L9" s="24">
        <v>5.5</v>
      </c>
      <c r="M9" s="24">
        <v>6.7</v>
      </c>
      <c r="N9" s="24">
        <v>5.7</v>
      </c>
      <c r="O9" s="24">
        <v>6.2</v>
      </c>
      <c r="P9" s="24">
        <v>6.2</v>
      </c>
      <c r="Q9" s="176">
        <f t="shared" si="1"/>
        <v>4.089166667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231" t="s">
        <v>248</v>
      </c>
      <c r="E10" s="92">
        <v>41.0</v>
      </c>
      <c r="F10" s="92">
        <v>31.0</v>
      </c>
      <c r="G10" s="89">
        <v>72.0</v>
      </c>
      <c r="H10" s="89">
        <v>47.0</v>
      </c>
      <c r="I10" s="89">
        <v>8.0</v>
      </c>
      <c r="J10" s="28">
        <v>120.0</v>
      </c>
      <c r="K10" s="89">
        <v>61.0</v>
      </c>
      <c r="L10" s="89">
        <v>32.0</v>
      </c>
      <c r="M10" s="28">
        <v>52.0</v>
      </c>
      <c r="N10" s="92">
        <v>79.0</v>
      </c>
      <c r="O10" s="28">
        <v>58.0</v>
      </c>
      <c r="P10" s="28">
        <v>24.0</v>
      </c>
      <c r="Q10" s="178">
        <f t="shared" si="1"/>
        <v>52.08333333</v>
      </c>
      <c r="R10" s="17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32" t="s">
        <v>249</v>
      </c>
      <c r="E11" s="91">
        <v>40.0</v>
      </c>
      <c r="F11" s="30">
        <v>36.0</v>
      </c>
      <c r="G11" s="208">
        <v>89.0</v>
      </c>
      <c r="H11" s="208">
        <v>103.0</v>
      </c>
      <c r="I11" s="208">
        <v>8.0</v>
      </c>
      <c r="J11" s="30">
        <v>77.0</v>
      </c>
      <c r="K11" s="208">
        <v>47.0</v>
      </c>
      <c r="L11" s="208">
        <v>27.0</v>
      </c>
      <c r="M11" s="30">
        <v>44.0</v>
      </c>
      <c r="N11" s="30">
        <v>89.0</v>
      </c>
      <c r="O11" s="30">
        <v>37.0</v>
      </c>
      <c r="P11" s="30">
        <v>31.0</v>
      </c>
      <c r="Q11" s="179">
        <f t="shared" si="1"/>
        <v>52.33333333</v>
      </c>
      <c r="R11" s="23">
        <v>50.0</v>
      </c>
      <c r="S11" s="100"/>
      <c r="T11" s="225"/>
      <c r="U11" s="100"/>
      <c r="V11" s="100"/>
      <c r="W11" s="100"/>
      <c r="X11" s="100"/>
      <c r="Y11" s="100"/>
      <c r="Z11" s="100"/>
    </row>
    <row r="12" ht="15.75" customHeight="1">
      <c r="A12" s="20"/>
      <c r="B12" s="21"/>
      <c r="C12" s="22">
        <v>3.0</v>
      </c>
      <c r="D12" s="132" t="s">
        <v>250</v>
      </c>
      <c r="E12" s="91">
        <v>30.0</v>
      </c>
      <c r="F12" s="30">
        <v>38.0</v>
      </c>
      <c r="G12" s="208">
        <v>96.0</v>
      </c>
      <c r="H12" s="208">
        <v>39.0</v>
      </c>
      <c r="I12" s="208">
        <v>6.0</v>
      </c>
      <c r="J12" s="30">
        <v>53.0</v>
      </c>
      <c r="K12" s="208">
        <v>210.0</v>
      </c>
      <c r="L12" s="208">
        <v>40.0</v>
      </c>
      <c r="M12" s="30">
        <v>69.0</v>
      </c>
      <c r="N12" s="30">
        <v>70.0</v>
      </c>
      <c r="O12" s="30">
        <v>46.0</v>
      </c>
      <c r="P12" s="30">
        <v>50.0</v>
      </c>
      <c r="Q12" s="179">
        <f t="shared" si="1"/>
        <v>62.25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231" t="s">
        <v>248</v>
      </c>
      <c r="E13" s="90">
        <v>7.72</v>
      </c>
      <c r="F13" s="90">
        <v>7.61</v>
      </c>
      <c r="G13" s="89">
        <v>8.03</v>
      </c>
      <c r="H13" s="89">
        <v>7.41</v>
      </c>
      <c r="I13" s="89">
        <v>7.14</v>
      </c>
      <c r="J13" s="18">
        <v>7.34</v>
      </c>
      <c r="K13" s="89">
        <v>7.56</v>
      </c>
      <c r="L13" s="90">
        <v>7.44</v>
      </c>
      <c r="M13" s="90">
        <v>8.15</v>
      </c>
      <c r="N13" s="90">
        <v>7.97</v>
      </c>
      <c r="O13" s="18">
        <v>7.4</v>
      </c>
      <c r="P13" s="18">
        <v>7.0</v>
      </c>
      <c r="Q13" s="174">
        <f t="shared" si="1"/>
        <v>7.564166667</v>
      </c>
      <c r="R13" s="65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32" t="s">
        <v>249</v>
      </c>
      <c r="E14" s="24">
        <v>7.68</v>
      </c>
      <c r="F14" s="24">
        <v>7.52</v>
      </c>
      <c r="G14" s="208">
        <v>8.02</v>
      </c>
      <c r="H14" s="208">
        <v>7.25</v>
      </c>
      <c r="I14" s="208">
        <v>7.13</v>
      </c>
      <c r="J14" s="24">
        <v>7.25</v>
      </c>
      <c r="K14" s="208">
        <v>7.47</v>
      </c>
      <c r="L14" s="24">
        <v>7.27</v>
      </c>
      <c r="M14" s="24">
        <v>8.09</v>
      </c>
      <c r="N14" s="24">
        <v>7.92</v>
      </c>
      <c r="O14" s="24">
        <v>7.4</v>
      </c>
      <c r="P14" s="24">
        <v>7.0</v>
      </c>
      <c r="Q14" s="176">
        <f t="shared" si="1"/>
        <v>7.5</v>
      </c>
      <c r="R14" s="66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1"/>
      <c r="C15" s="22">
        <v>3.0</v>
      </c>
      <c r="D15" s="132" t="s">
        <v>250</v>
      </c>
      <c r="E15" s="24">
        <v>7.18</v>
      </c>
      <c r="F15" s="24">
        <v>7.51</v>
      </c>
      <c r="G15" s="208">
        <v>8.02</v>
      </c>
      <c r="H15" s="208">
        <v>7.81</v>
      </c>
      <c r="I15" s="208">
        <v>7.15</v>
      </c>
      <c r="J15" s="24">
        <v>7.33</v>
      </c>
      <c r="K15" s="208">
        <v>7.66</v>
      </c>
      <c r="L15" s="24">
        <v>7.2</v>
      </c>
      <c r="M15" s="24">
        <v>8.08</v>
      </c>
      <c r="N15" s="24">
        <v>7.84</v>
      </c>
      <c r="O15" s="24">
        <v>7.29</v>
      </c>
      <c r="P15" s="24">
        <v>7.0</v>
      </c>
      <c r="Q15" s="176">
        <f t="shared" si="1"/>
        <v>7.505833333</v>
      </c>
      <c r="R15" s="66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251</v>
      </c>
      <c r="C16" s="16">
        <v>1.0</v>
      </c>
      <c r="D16" s="231" t="s">
        <v>248</v>
      </c>
      <c r="E16" s="90">
        <v>27.4</v>
      </c>
      <c r="F16" s="90">
        <v>30.08</v>
      </c>
      <c r="G16" s="89">
        <v>31.25</v>
      </c>
      <c r="H16" s="90">
        <v>31.5</v>
      </c>
      <c r="I16" s="90">
        <v>30.7</v>
      </c>
      <c r="J16" s="18">
        <v>30.3</v>
      </c>
      <c r="K16" s="89">
        <v>30.56</v>
      </c>
      <c r="L16" s="90">
        <v>30.4</v>
      </c>
      <c r="M16" s="90">
        <v>31.5</v>
      </c>
      <c r="N16" s="90">
        <v>30.3</v>
      </c>
      <c r="O16" s="18">
        <v>30.9</v>
      </c>
      <c r="P16" s="18">
        <v>28.0</v>
      </c>
      <c r="Q16" s="174">
        <f t="shared" si="1"/>
        <v>30.24083333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32" t="s">
        <v>249</v>
      </c>
      <c r="E17" s="24">
        <v>27.4</v>
      </c>
      <c r="F17" s="24">
        <v>30.1</v>
      </c>
      <c r="G17" s="208">
        <v>30.43</v>
      </c>
      <c r="H17" s="209">
        <v>30.18</v>
      </c>
      <c r="I17" s="209">
        <v>30.9</v>
      </c>
      <c r="J17" s="24">
        <v>30.6</v>
      </c>
      <c r="K17" s="208">
        <v>30.26</v>
      </c>
      <c r="L17" s="24">
        <v>32.3</v>
      </c>
      <c r="M17" s="24">
        <v>31.5</v>
      </c>
      <c r="N17" s="24">
        <v>29.8</v>
      </c>
      <c r="O17" s="24">
        <v>31.4</v>
      </c>
      <c r="P17" s="24">
        <v>28.0</v>
      </c>
      <c r="Q17" s="176">
        <f t="shared" si="1"/>
        <v>30.23916667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1"/>
      <c r="C18" s="22">
        <v>3.0</v>
      </c>
      <c r="D18" s="132" t="s">
        <v>250</v>
      </c>
      <c r="E18" s="24">
        <v>26.7</v>
      </c>
      <c r="F18" s="24">
        <v>30.3</v>
      </c>
      <c r="G18" s="209">
        <v>30.5</v>
      </c>
      <c r="H18" s="209">
        <v>30.1</v>
      </c>
      <c r="I18" s="209">
        <v>30.6</v>
      </c>
      <c r="J18" s="24">
        <v>30.5</v>
      </c>
      <c r="K18" s="209">
        <v>30.3</v>
      </c>
      <c r="L18" s="24">
        <v>30.3</v>
      </c>
      <c r="M18" s="24">
        <v>31.8</v>
      </c>
      <c r="N18" s="24">
        <v>30.3</v>
      </c>
      <c r="O18" s="24">
        <v>30.92</v>
      </c>
      <c r="P18" s="24">
        <v>28.0</v>
      </c>
      <c r="Q18" s="176">
        <f t="shared" si="1"/>
        <v>30.02666667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231" t="s">
        <v>248</v>
      </c>
      <c r="E19" s="92">
        <v>10.0</v>
      </c>
      <c r="F19" s="92">
        <v>10.0</v>
      </c>
      <c r="G19" s="89">
        <v>5.0</v>
      </c>
      <c r="H19" s="89">
        <v>5.0</v>
      </c>
      <c r="I19" s="89">
        <v>5.0</v>
      </c>
      <c r="J19" s="28">
        <v>5.0</v>
      </c>
      <c r="K19" s="89">
        <v>5.0</v>
      </c>
      <c r="L19" s="89">
        <v>5.0</v>
      </c>
      <c r="M19" s="28">
        <v>5.0</v>
      </c>
      <c r="N19" s="92">
        <v>5.0</v>
      </c>
      <c r="O19" s="28">
        <v>5.0</v>
      </c>
      <c r="P19" s="28">
        <v>10.0</v>
      </c>
      <c r="Q19" s="178">
        <f t="shared" si="1"/>
        <v>6.25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132" t="s">
        <v>249</v>
      </c>
      <c r="E20" s="196">
        <v>10.0</v>
      </c>
      <c r="F20" s="30">
        <v>5.0</v>
      </c>
      <c r="G20" s="208">
        <v>5.0</v>
      </c>
      <c r="H20" s="208">
        <v>5.0</v>
      </c>
      <c r="I20" s="208">
        <v>5.0</v>
      </c>
      <c r="J20" s="30">
        <v>5.0</v>
      </c>
      <c r="K20" s="208">
        <v>5.0</v>
      </c>
      <c r="L20" s="208">
        <v>5.0</v>
      </c>
      <c r="M20" s="30">
        <v>5.0</v>
      </c>
      <c r="N20" s="30">
        <v>5.0</v>
      </c>
      <c r="O20" s="30">
        <v>5.0</v>
      </c>
      <c r="P20" s="30">
        <v>10.0</v>
      </c>
      <c r="Q20" s="179">
        <f t="shared" si="1"/>
        <v>5.833333333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1"/>
      <c r="C21" s="22">
        <v>3.0</v>
      </c>
      <c r="D21" s="132" t="s">
        <v>250</v>
      </c>
      <c r="E21" s="91">
        <v>20.0</v>
      </c>
      <c r="F21" s="30">
        <v>5.0</v>
      </c>
      <c r="G21" s="208">
        <v>5.0</v>
      </c>
      <c r="H21" s="208">
        <v>5.0</v>
      </c>
      <c r="I21" s="208">
        <v>5.0</v>
      </c>
      <c r="J21" s="30">
        <v>5.0</v>
      </c>
      <c r="K21" s="208">
        <v>5.0</v>
      </c>
      <c r="L21" s="208">
        <v>5.0</v>
      </c>
      <c r="M21" s="30">
        <v>5.0</v>
      </c>
      <c r="N21" s="30">
        <v>5.0</v>
      </c>
      <c r="O21" s="30">
        <v>5.0</v>
      </c>
      <c r="P21" s="30">
        <v>10.0</v>
      </c>
      <c r="Q21" s="179">
        <f t="shared" si="1"/>
        <v>6.666666667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231" t="s">
        <v>248</v>
      </c>
      <c r="E22" s="92">
        <v>170.0</v>
      </c>
      <c r="F22" s="92">
        <v>17.0</v>
      </c>
      <c r="G22" s="89">
        <v>49.0</v>
      </c>
      <c r="H22" s="93">
        <v>1700.0</v>
      </c>
      <c r="I22" s="94">
        <v>3500.0</v>
      </c>
      <c r="J22" s="33">
        <v>16000.0</v>
      </c>
      <c r="K22" s="93">
        <v>2400.0</v>
      </c>
      <c r="L22" s="93">
        <v>1700.0</v>
      </c>
      <c r="M22" s="94">
        <v>120.0</v>
      </c>
      <c r="N22" s="92">
        <v>1700.0</v>
      </c>
      <c r="O22" s="28">
        <v>23.0</v>
      </c>
      <c r="P22" s="33">
        <v>240.0</v>
      </c>
      <c r="Q22" s="197">
        <f t="shared" ref="Q22:Q24" si="2">GEOMEAN(E22,F22,G22,H22,I22,J22,K22,L22,M22,N22,O22,P22)</f>
        <v>445.9950343</v>
      </c>
      <c r="R22" s="17">
        <v>100.0</v>
      </c>
      <c r="S22" s="130">
        <f>geomean(Q22:Q24)</f>
        <v>733.7439876</v>
      </c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32" t="s">
        <v>249</v>
      </c>
      <c r="E23" s="37">
        <v>170.0</v>
      </c>
      <c r="F23" s="30">
        <v>40.0</v>
      </c>
      <c r="G23" s="208">
        <v>23.0</v>
      </c>
      <c r="H23" s="213">
        <v>24000.0</v>
      </c>
      <c r="I23" s="208">
        <v>33.0</v>
      </c>
      <c r="J23" s="34">
        <v>17000.0</v>
      </c>
      <c r="K23" s="213">
        <v>2200.0</v>
      </c>
      <c r="L23" s="213">
        <v>9200.0</v>
      </c>
      <c r="M23" s="34">
        <v>24000.0</v>
      </c>
      <c r="N23" s="34">
        <v>700.0</v>
      </c>
      <c r="O23" s="30">
        <v>49.0</v>
      </c>
      <c r="P23" s="34">
        <v>130.0</v>
      </c>
      <c r="Q23" s="198">
        <f t="shared" si="2"/>
        <v>638.1496071</v>
      </c>
      <c r="R23" s="2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1"/>
      <c r="C24" s="22">
        <v>3.0</v>
      </c>
      <c r="D24" s="132" t="s">
        <v>250</v>
      </c>
      <c r="E24" s="34">
        <v>2400.0</v>
      </c>
      <c r="F24" s="30">
        <v>240.0</v>
      </c>
      <c r="G24" s="213">
        <v>2400.0</v>
      </c>
      <c r="H24" s="213">
        <v>9200.0</v>
      </c>
      <c r="I24" s="208">
        <v>540.0</v>
      </c>
      <c r="J24" s="34">
        <v>2800.0</v>
      </c>
      <c r="K24" s="213">
        <v>9200.0</v>
      </c>
      <c r="L24" s="216">
        <v>3500.0</v>
      </c>
      <c r="M24" s="34">
        <v>2400.0</v>
      </c>
      <c r="N24" s="34">
        <v>5400.0</v>
      </c>
      <c r="O24" s="30">
        <v>49.0</v>
      </c>
      <c r="P24" s="34">
        <v>130.0</v>
      </c>
      <c r="Q24" s="198">
        <f t="shared" si="2"/>
        <v>1387.973382</v>
      </c>
      <c r="R24" s="23">
        <v>100.0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252</v>
      </c>
      <c r="C25" s="16">
        <v>1.0</v>
      </c>
      <c r="D25" s="231" t="s">
        <v>248</v>
      </c>
      <c r="E25" s="96">
        <v>0.307</v>
      </c>
      <c r="F25" s="96">
        <v>0.241</v>
      </c>
      <c r="G25" s="89">
        <v>0.077</v>
      </c>
      <c r="H25" s="89">
        <v>0.107</v>
      </c>
      <c r="I25" s="89" t="s">
        <v>42</v>
      </c>
      <c r="J25" s="40">
        <v>0.97</v>
      </c>
      <c r="K25" s="89">
        <v>0.355</v>
      </c>
      <c r="L25" s="89">
        <v>0.27</v>
      </c>
      <c r="M25" s="90" t="s">
        <v>42</v>
      </c>
      <c r="N25" s="96">
        <v>0.304</v>
      </c>
      <c r="O25" s="40">
        <v>0.118</v>
      </c>
      <c r="P25" s="40" t="s">
        <v>42</v>
      </c>
      <c r="Q25" s="185">
        <f t="shared" ref="Q25:Q30" si="3">AVERAGE(E25)</f>
        <v>0.307</v>
      </c>
      <c r="R25" s="17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32" t="s">
        <v>249</v>
      </c>
      <c r="E26" s="42">
        <v>1.049</v>
      </c>
      <c r="F26" s="43">
        <v>0.193</v>
      </c>
      <c r="G26" s="208">
        <v>0.205</v>
      </c>
      <c r="H26" s="208" t="s">
        <v>42</v>
      </c>
      <c r="I26" s="208" t="s">
        <v>42</v>
      </c>
      <c r="J26" s="91">
        <v>0.492</v>
      </c>
      <c r="K26" s="208">
        <v>0.462</v>
      </c>
      <c r="L26" s="208">
        <v>0.463</v>
      </c>
      <c r="M26" s="43">
        <v>0.172</v>
      </c>
      <c r="N26" s="43" t="s">
        <v>42</v>
      </c>
      <c r="O26" s="43">
        <v>0.192</v>
      </c>
      <c r="P26" s="43" t="s">
        <v>42</v>
      </c>
      <c r="Q26" s="187">
        <f t="shared" si="3"/>
        <v>1.049</v>
      </c>
      <c r="R26" s="2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1"/>
      <c r="C27" s="22">
        <v>3.0</v>
      </c>
      <c r="D27" s="132" t="s">
        <v>250</v>
      </c>
      <c r="E27" s="43">
        <v>0.45</v>
      </c>
      <c r="F27" s="43">
        <v>0.21</v>
      </c>
      <c r="G27" s="208" t="s">
        <v>42</v>
      </c>
      <c r="H27" s="208" t="s">
        <v>42</v>
      </c>
      <c r="I27" s="208">
        <v>0.095</v>
      </c>
      <c r="J27" s="43" t="s">
        <v>42</v>
      </c>
      <c r="K27" s="208">
        <v>0.95</v>
      </c>
      <c r="L27" s="208">
        <v>0.355</v>
      </c>
      <c r="M27" s="43">
        <v>0.055</v>
      </c>
      <c r="N27" s="43">
        <v>0.701</v>
      </c>
      <c r="O27" s="43">
        <v>0.063</v>
      </c>
      <c r="P27" s="43" t="s">
        <v>42</v>
      </c>
      <c r="Q27" s="187">
        <f t="shared" si="3"/>
        <v>0.45</v>
      </c>
      <c r="R27" s="2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253</v>
      </c>
      <c r="C28" s="16">
        <v>1.0</v>
      </c>
      <c r="D28" s="231" t="s">
        <v>248</v>
      </c>
      <c r="E28" s="96">
        <v>0.063</v>
      </c>
      <c r="F28" s="90">
        <v>0.031</v>
      </c>
      <c r="G28" s="96">
        <v>0.05</v>
      </c>
      <c r="H28" s="89">
        <v>0.034</v>
      </c>
      <c r="I28" s="89">
        <v>0.154</v>
      </c>
      <c r="J28" s="40">
        <v>0.169</v>
      </c>
      <c r="K28" s="89">
        <v>0.109</v>
      </c>
      <c r="L28" s="96">
        <v>0.029</v>
      </c>
      <c r="M28" s="96">
        <v>0.054</v>
      </c>
      <c r="N28" s="96">
        <v>0.066</v>
      </c>
      <c r="O28" s="40">
        <v>0.038</v>
      </c>
      <c r="P28" s="40">
        <v>0.043</v>
      </c>
      <c r="Q28" s="185">
        <f t="shared" si="3"/>
        <v>0.063</v>
      </c>
      <c r="R28" s="17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32" t="s">
        <v>249</v>
      </c>
      <c r="E29" s="42">
        <v>0.095</v>
      </c>
      <c r="F29" s="24" t="s">
        <v>206</v>
      </c>
      <c r="G29" s="208">
        <v>0.053</v>
      </c>
      <c r="H29" s="208">
        <v>0.051</v>
      </c>
      <c r="I29" s="208">
        <v>0.155</v>
      </c>
      <c r="J29" s="43">
        <v>0.13</v>
      </c>
      <c r="K29" s="208">
        <v>0.102</v>
      </c>
      <c r="L29" s="214">
        <v>0.07</v>
      </c>
      <c r="M29" s="43">
        <v>0.068</v>
      </c>
      <c r="N29" s="43">
        <v>0.055</v>
      </c>
      <c r="O29" s="43">
        <v>0.04</v>
      </c>
      <c r="P29" s="43">
        <v>0.092</v>
      </c>
      <c r="Q29" s="187">
        <f t="shared" si="3"/>
        <v>0.095</v>
      </c>
      <c r="R29" s="2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32" t="s">
        <v>250</v>
      </c>
      <c r="E30" s="214">
        <v>0.065</v>
      </c>
      <c r="F30" s="24" t="s">
        <v>206</v>
      </c>
      <c r="G30" s="208">
        <v>0.063</v>
      </c>
      <c r="H30" s="208">
        <v>0.037</v>
      </c>
      <c r="I30" s="208">
        <v>0.181</v>
      </c>
      <c r="J30" s="214">
        <v>0.077</v>
      </c>
      <c r="K30" s="208">
        <v>0.402</v>
      </c>
      <c r="L30" s="214">
        <v>0.064</v>
      </c>
      <c r="M30" s="43">
        <v>0.074</v>
      </c>
      <c r="N30" s="214">
        <v>0.053</v>
      </c>
      <c r="O30" s="214">
        <v>0.067</v>
      </c>
      <c r="P30" s="214">
        <v>0.056</v>
      </c>
      <c r="Q30" s="187">
        <f t="shared" si="3"/>
        <v>0.065</v>
      </c>
      <c r="R30" s="2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231" t="s">
        <v>254</v>
      </c>
      <c r="E31" s="188"/>
      <c r="F31" s="188"/>
      <c r="G31" s="188"/>
      <c r="H31" s="188"/>
      <c r="I31" s="188"/>
      <c r="J31" s="188"/>
      <c r="K31" s="188"/>
      <c r="L31" s="232"/>
      <c r="M31" s="232"/>
      <c r="N31" s="232"/>
      <c r="O31" s="232"/>
      <c r="P31" s="232"/>
      <c r="Q31" s="174" t="str">
        <f t="shared" ref="Q31:Q33" si="4">AVERAGE(E31,F31,G31,H31,I31,J31,K31,L31,M31,N31,O31,P31)</f>
        <v>#DIV/0!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132" t="s">
        <v>255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76" t="str">
        <f t="shared" si="4"/>
        <v>#DIV/0!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132" t="s">
        <v>256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76" t="str">
        <f t="shared" si="4"/>
        <v>#DIV/0!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97"/>
      <c r="B34" s="233"/>
      <c r="C34" s="234"/>
      <c r="D34" s="45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45" t="s">
        <v>58</v>
      </c>
      <c r="D35" s="100"/>
      <c r="E35" s="100"/>
      <c r="F35" s="100"/>
      <c r="G35" s="100"/>
      <c r="H35" s="100"/>
      <c r="I35" s="100"/>
      <c r="J35" s="117"/>
      <c r="K35" s="117"/>
      <c r="L35" s="100"/>
      <c r="M35" s="100"/>
      <c r="N35" s="100"/>
      <c r="O35" s="100"/>
      <c r="P35" s="117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D36" s="100"/>
      <c r="E36" s="100"/>
      <c r="F36" s="100"/>
      <c r="G36" s="100"/>
      <c r="H36" s="100"/>
      <c r="I36" s="100"/>
      <c r="J36" s="117"/>
      <c r="K36" s="117"/>
      <c r="L36" s="100"/>
      <c r="M36" s="100"/>
      <c r="N36" s="100"/>
      <c r="O36" s="100"/>
      <c r="P36" s="117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70"/>
      <c r="C37" s="100"/>
      <c r="D37" s="100"/>
      <c r="E37" s="100"/>
      <c r="F37" s="100"/>
      <c r="G37" s="100"/>
      <c r="H37" s="100"/>
      <c r="I37" s="100"/>
      <c r="J37" s="117"/>
      <c r="K37" s="117"/>
      <c r="L37" s="100"/>
      <c r="M37" s="100"/>
      <c r="N37" s="100"/>
      <c r="O37" s="100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17"/>
      <c r="K38" s="117"/>
      <c r="L38" s="100"/>
      <c r="M38" s="100"/>
      <c r="N38" s="100"/>
      <c r="O38" s="100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17"/>
      <c r="K39" s="117"/>
      <c r="L39" s="100"/>
      <c r="M39" s="100"/>
      <c r="N39" s="100"/>
      <c r="O39" s="100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17"/>
      <c r="K40" s="117"/>
      <c r="L40" s="100"/>
      <c r="M40" s="100"/>
      <c r="N40" s="100"/>
      <c r="O40" s="100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17"/>
      <c r="K41" s="117"/>
      <c r="L41" s="100"/>
      <c r="M41" s="100"/>
      <c r="N41" s="100"/>
      <c r="O41" s="100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17"/>
      <c r="K42" s="117"/>
      <c r="L42" s="100"/>
      <c r="M42" s="100"/>
      <c r="N42" s="100"/>
      <c r="O42" s="100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17"/>
      <c r="K43" s="117"/>
      <c r="L43" s="100"/>
      <c r="M43" s="100"/>
      <c r="N43" s="100"/>
      <c r="O43" s="100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17"/>
      <c r="K44" s="117"/>
      <c r="L44" s="100"/>
      <c r="M44" s="100"/>
      <c r="N44" s="100"/>
      <c r="O44" s="100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17"/>
      <c r="K45" s="117"/>
      <c r="L45" s="100"/>
      <c r="M45" s="100"/>
      <c r="N45" s="100"/>
      <c r="O45" s="100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17"/>
      <c r="K46" s="117"/>
      <c r="L46" s="100"/>
      <c r="M46" s="100"/>
      <c r="N46" s="100"/>
      <c r="O46" s="100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17"/>
      <c r="K47" s="117"/>
      <c r="L47" s="100"/>
      <c r="M47" s="100"/>
      <c r="N47" s="100"/>
      <c r="O47" s="100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17"/>
      <c r="K48" s="117"/>
      <c r="L48" s="100"/>
      <c r="M48" s="100"/>
      <c r="N48" s="100"/>
      <c r="O48" s="100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17"/>
      <c r="K49" s="117"/>
      <c r="L49" s="100"/>
      <c r="M49" s="100"/>
      <c r="N49" s="100"/>
      <c r="O49" s="100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17"/>
      <c r="K50" s="117"/>
      <c r="L50" s="100"/>
      <c r="M50" s="100"/>
      <c r="N50" s="100"/>
      <c r="O50" s="100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17"/>
      <c r="K51" s="117"/>
      <c r="L51" s="100"/>
      <c r="M51" s="100"/>
      <c r="N51" s="100"/>
      <c r="O51" s="100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17"/>
      <c r="K52" s="117"/>
      <c r="L52" s="100"/>
      <c r="M52" s="100"/>
      <c r="N52" s="100"/>
      <c r="O52" s="100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17"/>
      <c r="K53" s="117"/>
      <c r="L53" s="100"/>
      <c r="M53" s="100"/>
      <c r="N53" s="100"/>
      <c r="O53" s="100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17"/>
      <c r="K54" s="117"/>
      <c r="L54" s="100"/>
      <c r="M54" s="100"/>
      <c r="N54" s="100"/>
      <c r="O54" s="100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17"/>
      <c r="K55" s="117"/>
      <c r="L55" s="100"/>
      <c r="M55" s="100"/>
      <c r="N55" s="100"/>
      <c r="O55" s="100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17"/>
      <c r="K56" s="117"/>
      <c r="L56" s="100"/>
      <c r="M56" s="100"/>
      <c r="N56" s="100"/>
      <c r="O56" s="100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17"/>
      <c r="K57" s="117"/>
      <c r="L57" s="100"/>
      <c r="M57" s="100"/>
      <c r="N57" s="100"/>
      <c r="O57" s="100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17"/>
      <c r="K58" s="117"/>
      <c r="L58" s="100"/>
      <c r="M58" s="100"/>
      <c r="N58" s="100"/>
      <c r="O58" s="100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17"/>
      <c r="K59" s="117"/>
      <c r="L59" s="100"/>
      <c r="M59" s="100"/>
      <c r="N59" s="100"/>
      <c r="O59" s="100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17"/>
      <c r="K60" s="117"/>
      <c r="L60" s="100"/>
      <c r="M60" s="100"/>
      <c r="N60" s="100"/>
      <c r="O60" s="100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17"/>
      <c r="K61" s="117"/>
      <c r="L61" s="100"/>
      <c r="M61" s="100"/>
      <c r="N61" s="100"/>
      <c r="O61" s="100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17"/>
      <c r="K62" s="117"/>
      <c r="L62" s="100"/>
      <c r="M62" s="100"/>
      <c r="N62" s="100"/>
      <c r="O62" s="100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17"/>
      <c r="K63" s="117"/>
      <c r="L63" s="100"/>
      <c r="M63" s="100"/>
      <c r="N63" s="100"/>
      <c r="O63" s="100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17"/>
      <c r="K64" s="117"/>
      <c r="L64" s="100"/>
      <c r="M64" s="100"/>
      <c r="N64" s="100"/>
      <c r="O64" s="100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17"/>
      <c r="K65" s="117"/>
      <c r="L65" s="100"/>
      <c r="M65" s="100"/>
      <c r="N65" s="100"/>
      <c r="O65" s="100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17"/>
      <c r="K66" s="117"/>
      <c r="L66" s="100"/>
      <c r="M66" s="100"/>
      <c r="N66" s="100"/>
      <c r="O66" s="100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17"/>
      <c r="K67" s="117"/>
      <c r="L67" s="100"/>
      <c r="M67" s="100"/>
      <c r="N67" s="100"/>
      <c r="O67" s="100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17"/>
      <c r="K68" s="117"/>
      <c r="L68" s="100"/>
      <c r="M68" s="100"/>
      <c r="N68" s="100"/>
      <c r="O68" s="100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17"/>
      <c r="K69" s="117"/>
      <c r="L69" s="100"/>
      <c r="M69" s="100"/>
      <c r="N69" s="100"/>
      <c r="O69" s="100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17"/>
      <c r="K70" s="117"/>
      <c r="L70" s="100"/>
      <c r="M70" s="100"/>
      <c r="N70" s="100"/>
      <c r="O70" s="100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17"/>
      <c r="K71" s="117"/>
      <c r="L71" s="100"/>
      <c r="M71" s="100"/>
      <c r="N71" s="100"/>
      <c r="O71" s="100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17"/>
      <c r="K72" s="117"/>
      <c r="L72" s="100"/>
      <c r="M72" s="100"/>
      <c r="N72" s="100"/>
      <c r="O72" s="100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17"/>
      <c r="K73" s="117"/>
      <c r="L73" s="100"/>
      <c r="M73" s="100"/>
      <c r="N73" s="100"/>
      <c r="O73" s="100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17"/>
      <c r="K74" s="117"/>
      <c r="L74" s="100"/>
      <c r="M74" s="100"/>
      <c r="N74" s="100"/>
      <c r="O74" s="100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17"/>
      <c r="K75" s="117"/>
      <c r="L75" s="100"/>
      <c r="M75" s="100"/>
      <c r="N75" s="100"/>
      <c r="O75" s="100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17"/>
      <c r="K76" s="117"/>
      <c r="L76" s="100"/>
      <c r="M76" s="100"/>
      <c r="N76" s="100"/>
      <c r="O76" s="100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17"/>
      <c r="K77" s="117"/>
      <c r="L77" s="100"/>
      <c r="M77" s="100"/>
      <c r="N77" s="100"/>
      <c r="O77" s="100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17"/>
      <c r="K78" s="117"/>
      <c r="L78" s="100"/>
      <c r="M78" s="100"/>
      <c r="N78" s="100"/>
      <c r="O78" s="100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17"/>
      <c r="K79" s="117"/>
      <c r="L79" s="100"/>
      <c r="M79" s="100"/>
      <c r="N79" s="100"/>
      <c r="O79" s="100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17"/>
      <c r="K80" s="117"/>
      <c r="L80" s="100"/>
      <c r="M80" s="100"/>
      <c r="N80" s="100"/>
      <c r="O80" s="100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17"/>
      <c r="K81" s="117"/>
      <c r="L81" s="100"/>
      <c r="M81" s="100"/>
      <c r="N81" s="100"/>
      <c r="O81" s="100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17"/>
      <c r="K82" s="117"/>
      <c r="L82" s="100"/>
      <c r="M82" s="100"/>
      <c r="N82" s="100"/>
      <c r="O82" s="100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17"/>
      <c r="K83" s="117"/>
      <c r="L83" s="100"/>
      <c r="M83" s="100"/>
      <c r="N83" s="100"/>
      <c r="O83" s="100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17"/>
      <c r="K84" s="117"/>
      <c r="L84" s="100"/>
      <c r="M84" s="100"/>
      <c r="N84" s="100"/>
      <c r="O84" s="100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17"/>
      <c r="K85" s="117"/>
      <c r="L85" s="100"/>
      <c r="M85" s="100"/>
      <c r="N85" s="100"/>
      <c r="O85" s="100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17"/>
      <c r="K86" s="117"/>
      <c r="L86" s="100"/>
      <c r="M86" s="100"/>
      <c r="N86" s="100"/>
      <c r="O86" s="100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17"/>
      <c r="K87" s="117"/>
      <c r="L87" s="100"/>
      <c r="M87" s="100"/>
      <c r="N87" s="100"/>
      <c r="O87" s="100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17"/>
      <c r="K88" s="117"/>
      <c r="L88" s="100"/>
      <c r="M88" s="100"/>
      <c r="N88" s="100"/>
      <c r="O88" s="100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17"/>
      <c r="K89" s="117"/>
      <c r="L89" s="100"/>
      <c r="M89" s="100"/>
      <c r="N89" s="100"/>
      <c r="O89" s="100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17"/>
      <c r="K90" s="117"/>
      <c r="L90" s="100"/>
      <c r="M90" s="100"/>
      <c r="N90" s="100"/>
      <c r="O90" s="100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17"/>
      <c r="K91" s="117"/>
      <c r="L91" s="100"/>
      <c r="M91" s="100"/>
      <c r="N91" s="100"/>
      <c r="O91" s="100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17"/>
      <c r="K92" s="117"/>
      <c r="L92" s="100"/>
      <c r="M92" s="100"/>
      <c r="N92" s="100"/>
      <c r="O92" s="100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17"/>
      <c r="K93" s="117"/>
      <c r="L93" s="100"/>
      <c r="M93" s="100"/>
      <c r="N93" s="100"/>
      <c r="O93" s="100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17"/>
      <c r="K94" s="117"/>
      <c r="L94" s="100"/>
      <c r="M94" s="100"/>
      <c r="N94" s="100"/>
      <c r="O94" s="100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17"/>
      <c r="K95" s="117"/>
      <c r="L95" s="100"/>
      <c r="M95" s="100"/>
      <c r="N95" s="100"/>
      <c r="O95" s="100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17"/>
      <c r="K96" s="117"/>
      <c r="L96" s="100"/>
      <c r="M96" s="100"/>
      <c r="N96" s="100"/>
      <c r="O96" s="100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17"/>
      <c r="K97" s="117"/>
      <c r="L97" s="100"/>
      <c r="M97" s="100"/>
      <c r="N97" s="100"/>
      <c r="O97" s="100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17"/>
      <c r="K98" s="117"/>
      <c r="L98" s="100"/>
      <c r="M98" s="100"/>
      <c r="N98" s="100"/>
      <c r="O98" s="100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17"/>
      <c r="K99" s="117"/>
      <c r="L99" s="100"/>
      <c r="M99" s="100"/>
      <c r="N99" s="100"/>
      <c r="O99" s="100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17"/>
      <c r="K100" s="117"/>
      <c r="L100" s="100"/>
      <c r="M100" s="100"/>
      <c r="N100" s="100"/>
      <c r="O100" s="100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17"/>
      <c r="K101" s="117"/>
      <c r="L101" s="100"/>
      <c r="M101" s="100"/>
      <c r="N101" s="100"/>
      <c r="O101" s="100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17"/>
      <c r="K102" s="117"/>
      <c r="L102" s="100"/>
      <c r="M102" s="100"/>
      <c r="N102" s="100"/>
      <c r="O102" s="100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17"/>
      <c r="K103" s="117"/>
      <c r="L103" s="100"/>
      <c r="M103" s="100"/>
      <c r="N103" s="100"/>
      <c r="O103" s="100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17"/>
      <c r="K104" s="117"/>
      <c r="L104" s="100"/>
      <c r="M104" s="100"/>
      <c r="N104" s="100"/>
      <c r="O104" s="100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17"/>
      <c r="K105" s="117"/>
      <c r="L105" s="100"/>
      <c r="M105" s="100"/>
      <c r="N105" s="100"/>
      <c r="O105" s="100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17"/>
      <c r="K106" s="117"/>
      <c r="L106" s="100"/>
      <c r="M106" s="100"/>
      <c r="N106" s="100"/>
      <c r="O106" s="100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17"/>
      <c r="K107" s="117"/>
      <c r="L107" s="100"/>
      <c r="M107" s="100"/>
      <c r="N107" s="100"/>
      <c r="O107" s="100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17"/>
      <c r="K108" s="117"/>
      <c r="L108" s="100"/>
      <c r="M108" s="100"/>
      <c r="N108" s="100"/>
      <c r="O108" s="100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17"/>
      <c r="K109" s="117"/>
      <c r="L109" s="100"/>
      <c r="M109" s="100"/>
      <c r="N109" s="100"/>
      <c r="O109" s="100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17"/>
      <c r="K110" s="117"/>
      <c r="L110" s="100"/>
      <c r="M110" s="100"/>
      <c r="N110" s="100"/>
      <c r="O110" s="100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17"/>
      <c r="K111" s="117"/>
      <c r="L111" s="100"/>
      <c r="M111" s="100"/>
      <c r="N111" s="100"/>
      <c r="O111" s="100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17"/>
      <c r="K112" s="117"/>
      <c r="L112" s="100"/>
      <c r="M112" s="100"/>
      <c r="N112" s="100"/>
      <c r="O112" s="100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17"/>
      <c r="K113" s="117"/>
      <c r="L113" s="100"/>
      <c r="M113" s="100"/>
      <c r="N113" s="100"/>
      <c r="O113" s="100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17"/>
      <c r="K114" s="117"/>
      <c r="L114" s="100"/>
      <c r="M114" s="100"/>
      <c r="N114" s="100"/>
      <c r="O114" s="100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17"/>
      <c r="K115" s="117"/>
      <c r="L115" s="100"/>
      <c r="M115" s="100"/>
      <c r="N115" s="100"/>
      <c r="O115" s="100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17"/>
      <c r="K116" s="117"/>
      <c r="L116" s="100"/>
      <c r="M116" s="100"/>
      <c r="N116" s="100"/>
      <c r="O116" s="100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17"/>
      <c r="K117" s="117"/>
      <c r="L117" s="100"/>
      <c r="M117" s="100"/>
      <c r="N117" s="100"/>
      <c r="O117" s="100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17"/>
      <c r="K118" s="117"/>
      <c r="L118" s="100"/>
      <c r="M118" s="100"/>
      <c r="N118" s="100"/>
      <c r="O118" s="100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17"/>
      <c r="K119" s="117"/>
      <c r="L119" s="100"/>
      <c r="M119" s="100"/>
      <c r="N119" s="100"/>
      <c r="O119" s="100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17"/>
      <c r="K120" s="117"/>
      <c r="L120" s="100"/>
      <c r="M120" s="100"/>
      <c r="N120" s="100"/>
      <c r="O120" s="100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17"/>
      <c r="K121" s="117"/>
      <c r="L121" s="100"/>
      <c r="M121" s="100"/>
      <c r="N121" s="100"/>
      <c r="O121" s="100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17"/>
      <c r="K122" s="117"/>
      <c r="L122" s="100"/>
      <c r="M122" s="100"/>
      <c r="N122" s="100"/>
      <c r="O122" s="100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17"/>
      <c r="K123" s="117"/>
      <c r="L123" s="100"/>
      <c r="M123" s="100"/>
      <c r="N123" s="100"/>
      <c r="O123" s="100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17"/>
      <c r="K124" s="117"/>
      <c r="L124" s="100"/>
      <c r="M124" s="100"/>
      <c r="N124" s="100"/>
      <c r="O124" s="100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17"/>
      <c r="K125" s="117"/>
      <c r="L125" s="100"/>
      <c r="M125" s="100"/>
      <c r="N125" s="100"/>
      <c r="O125" s="100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17"/>
      <c r="K126" s="117"/>
      <c r="L126" s="100"/>
      <c r="M126" s="100"/>
      <c r="N126" s="100"/>
      <c r="O126" s="100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17"/>
      <c r="K127" s="117"/>
      <c r="L127" s="100"/>
      <c r="M127" s="100"/>
      <c r="N127" s="100"/>
      <c r="O127" s="100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17"/>
      <c r="K128" s="117"/>
      <c r="L128" s="100"/>
      <c r="M128" s="100"/>
      <c r="N128" s="100"/>
      <c r="O128" s="100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17"/>
      <c r="K129" s="117"/>
      <c r="L129" s="100"/>
      <c r="M129" s="100"/>
      <c r="N129" s="100"/>
      <c r="O129" s="100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17"/>
      <c r="K130" s="117"/>
      <c r="L130" s="100"/>
      <c r="M130" s="100"/>
      <c r="N130" s="100"/>
      <c r="O130" s="100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17"/>
      <c r="K131" s="117"/>
      <c r="L131" s="100"/>
      <c r="M131" s="100"/>
      <c r="N131" s="100"/>
      <c r="O131" s="100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17"/>
      <c r="K132" s="117"/>
      <c r="L132" s="100"/>
      <c r="M132" s="100"/>
      <c r="N132" s="100"/>
      <c r="O132" s="100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17"/>
      <c r="K133" s="117"/>
      <c r="L133" s="100"/>
      <c r="M133" s="100"/>
      <c r="N133" s="100"/>
      <c r="O133" s="100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17"/>
      <c r="K134" s="117"/>
      <c r="L134" s="100"/>
      <c r="M134" s="100"/>
      <c r="N134" s="100"/>
      <c r="O134" s="100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17"/>
      <c r="K135" s="117"/>
      <c r="L135" s="100"/>
      <c r="M135" s="100"/>
      <c r="N135" s="100"/>
      <c r="O135" s="100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17"/>
      <c r="K136" s="117"/>
      <c r="L136" s="100"/>
      <c r="M136" s="100"/>
      <c r="N136" s="100"/>
      <c r="O136" s="100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17"/>
      <c r="K137" s="117"/>
      <c r="L137" s="100"/>
      <c r="M137" s="100"/>
      <c r="N137" s="100"/>
      <c r="O137" s="100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17"/>
      <c r="K138" s="117"/>
      <c r="L138" s="100"/>
      <c r="M138" s="100"/>
      <c r="N138" s="100"/>
      <c r="O138" s="100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17"/>
      <c r="K139" s="117"/>
      <c r="L139" s="100"/>
      <c r="M139" s="100"/>
      <c r="N139" s="100"/>
      <c r="O139" s="100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17"/>
      <c r="K140" s="117"/>
      <c r="L140" s="100"/>
      <c r="M140" s="100"/>
      <c r="N140" s="100"/>
      <c r="O140" s="100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17"/>
      <c r="K141" s="117"/>
      <c r="L141" s="100"/>
      <c r="M141" s="100"/>
      <c r="N141" s="100"/>
      <c r="O141" s="100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17"/>
      <c r="K142" s="117"/>
      <c r="L142" s="100"/>
      <c r="M142" s="100"/>
      <c r="N142" s="100"/>
      <c r="O142" s="100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17"/>
      <c r="K143" s="117"/>
      <c r="L143" s="100"/>
      <c r="M143" s="100"/>
      <c r="N143" s="100"/>
      <c r="O143" s="100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17"/>
      <c r="K144" s="117"/>
      <c r="L144" s="100"/>
      <c r="M144" s="100"/>
      <c r="N144" s="100"/>
      <c r="O144" s="100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17"/>
      <c r="K145" s="117"/>
      <c r="L145" s="100"/>
      <c r="M145" s="100"/>
      <c r="N145" s="100"/>
      <c r="O145" s="100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17"/>
      <c r="K146" s="117"/>
      <c r="L146" s="100"/>
      <c r="M146" s="100"/>
      <c r="N146" s="100"/>
      <c r="O146" s="100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17"/>
      <c r="K147" s="117"/>
      <c r="L147" s="100"/>
      <c r="M147" s="100"/>
      <c r="N147" s="100"/>
      <c r="O147" s="100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17"/>
      <c r="K148" s="117"/>
      <c r="L148" s="100"/>
      <c r="M148" s="100"/>
      <c r="N148" s="100"/>
      <c r="O148" s="100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17"/>
      <c r="K149" s="117"/>
      <c r="L149" s="100"/>
      <c r="M149" s="100"/>
      <c r="N149" s="100"/>
      <c r="O149" s="100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17"/>
      <c r="K150" s="117"/>
      <c r="L150" s="100"/>
      <c r="M150" s="100"/>
      <c r="N150" s="100"/>
      <c r="O150" s="100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17"/>
      <c r="K151" s="117"/>
      <c r="L151" s="100"/>
      <c r="M151" s="100"/>
      <c r="N151" s="100"/>
      <c r="O151" s="100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17"/>
      <c r="K152" s="117"/>
      <c r="L152" s="100"/>
      <c r="M152" s="100"/>
      <c r="N152" s="100"/>
      <c r="O152" s="100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17"/>
      <c r="K153" s="117"/>
      <c r="L153" s="100"/>
      <c r="M153" s="100"/>
      <c r="N153" s="100"/>
      <c r="O153" s="100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17"/>
      <c r="K154" s="117"/>
      <c r="L154" s="100"/>
      <c r="M154" s="100"/>
      <c r="N154" s="100"/>
      <c r="O154" s="100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17"/>
      <c r="K155" s="117"/>
      <c r="L155" s="100"/>
      <c r="M155" s="100"/>
      <c r="N155" s="100"/>
      <c r="O155" s="100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17"/>
      <c r="K156" s="117"/>
      <c r="L156" s="100"/>
      <c r="M156" s="100"/>
      <c r="N156" s="100"/>
      <c r="O156" s="100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17"/>
      <c r="K157" s="117"/>
      <c r="L157" s="100"/>
      <c r="M157" s="100"/>
      <c r="N157" s="100"/>
      <c r="O157" s="100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17"/>
      <c r="K158" s="117"/>
      <c r="L158" s="100"/>
      <c r="M158" s="100"/>
      <c r="N158" s="100"/>
      <c r="O158" s="100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17"/>
      <c r="K159" s="117"/>
      <c r="L159" s="100"/>
      <c r="M159" s="100"/>
      <c r="N159" s="100"/>
      <c r="O159" s="100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17"/>
      <c r="K160" s="117"/>
      <c r="L160" s="100"/>
      <c r="M160" s="100"/>
      <c r="N160" s="100"/>
      <c r="O160" s="100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17"/>
      <c r="K161" s="117"/>
      <c r="L161" s="100"/>
      <c r="M161" s="100"/>
      <c r="N161" s="100"/>
      <c r="O161" s="100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17"/>
      <c r="K162" s="117"/>
      <c r="L162" s="100"/>
      <c r="M162" s="100"/>
      <c r="N162" s="100"/>
      <c r="O162" s="100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17"/>
      <c r="K163" s="117"/>
      <c r="L163" s="100"/>
      <c r="M163" s="100"/>
      <c r="N163" s="100"/>
      <c r="O163" s="100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17"/>
      <c r="K164" s="117"/>
      <c r="L164" s="100"/>
      <c r="M164" s="100"/>
      <c r="N164" s="100"/>
      <c r="O164" s="100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17"/>
      <c r="K165" s="117"/>
      <c r="L165" s="100"/>
      <c r="M165" s="100"/>
      <c r="N165" s="100"/>
      <c r="O165" s="100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17"/>
      <c r="K166" s="117"/>
      <c r="L166" s="100"/>
      <c r="M166" s="100"/>
      <c r="N166" s="100"/>
      <c r="O166" s="100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17"/>
      <c r="K167" s="117"/>
      <c r="L167" s="100"/>
      <c r="M167" s="100"/>
      <c r="N167" s="100"/>
      <c r="O167" s="100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17"/>
      <c r="K168" s="117"/>
      <c r="L168" s="100"/>
      <c r="M168" s="100"/>
      <c r="N168" s="100"/>
      <c r="O168" s="100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17"/>
      <c r="K169" s="117"/>
      <c r="L169" s="100"/>
      <c r="M169" s="100"/>
      <c r="N169" s="100"/>
      <c r="O169" s="100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17"/>
      <c r="K170" s="117"/>
      <c r="L170" s="100"/>
      <c r="M170" s="100"/>
      <c r="N170" s="100"/>
      <c r="O170" s="100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17"/>
      <c r="K171" s="117"/>
      <c r="L171" s="100"/>
      <c r="M171" s="100"/>
      <c r="N171" s="100"/>
      <c r="O171" s="100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17"/>
      <c r="K172" s="117"/>
      <c r="L172" s="100"/>
      <c r="M172" s="100"/>
      <c r="N172" s="100"/>
      <c r="O172" s="100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17"/>
      <c r="K173" s="117"/>
      <c r="L173" s="100"/>
      <c r="M173" s="100"/>
      <c r="N173" s="100"/>
      <c r="O173" s="100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17"/>
      <c r="K174" s="117"/>
      <c r="L174" s="100"/>
      <c r="M174" s="100"/>
      <c r="N174" s="100"/>
      <c r="O174" s="100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17"/>
      <c r="K175" s="117"/>
      <c r="L175" s="100"/>
      <c r="M175" s="100"/>
      <c r="N175" s="100"/>
      <c r="O175" s="100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17"/>
      <c r="K176" s="117"/>
      <c r="L176" s="100"/>
      <c r="M176" s="100"/>
      <c r="N176" s="100"/>
      <c r="O176" s="100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17"/>
      <c r="K177" s="117"/>
      <c r="L177" s="100"/>
      <c r="M177" s="100"/>
      <c r="N177" s="100"/>
      <c r="O177" s="100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17"/>
      <c r="K178" s="117"/>
      <c r="L178" s="100"/>
      <c r="M178" s="100"/>
      <c r="N178" s="100"/>
      <c r="O178" s="100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17"/>
      <c r="K179" s="117"/>
      <c r="L179" s="100"/>
      <c r="M179" s="100"/>
      <c r="N179" s="100"/>
      <c r="O179" s="100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17"/>
      <c r="K180" s="117"/>
      <c r="L180" s="100"/>
      <c r="M180" s="100"/>
      <c r="N180" s="100"/>
      <c r="O180" s="100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17"/>
      <c r="K181" s="117"/>
      <c r="L181" s="100"/>
      <c r="M181" s="100"/>
      <c r="N181" s="100"/>
      <c r="O181" s="100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17"/>
      <c r="K182" s="117"/>
      <c r="L182" s="100"/>
      <c r="M182" s="100"/>
      <c r="N182" s="100"/>
      <c r="O182" s="100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17"/>
      <c r="K183" s="117"/>
      <c r="L183" s="100"/>
      <c r="M183" s="100"/>
      <c r="N183" s="100"/>
      <c r="O183" s="100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17"/>
      <c r="K184" s="117"/>
      <c r="L184" s="100"/>
      <c r="M184" s="100"/>
      <c r="N184" s="100"/>
      <c r="O184" s="100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17"/>
      <c r="K185" s="117"/>
      <c r="L185" s="100"/>
      <c r="M185" s="100"/>
      <c r="N185" s="100"/>
      <c r="O185" s="100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17"/>
      <c r="K186" s="117"/>
      <c r="L186" s="100"/>
      <c r="M186" s="100"/>
      <c r="N186" s="100"/>
      <c r="O186" s="100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17"/>
      <c r="K187" s="117"/>
      <c r="L187" s="100"/>
      <c r="M187" s="100"/>
      <c r="N187" s="100"/>
      <c r="O187" s="100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17"/>
      <c r="K188" s="117"/>
      <c r="L188" s="100"/>
      <c r="M188" s="100"/>
      <c r="N188" s="100"/>
      <c r="O188" s="100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17"/>
      <c r="K189" s="117"/>
      <c r="L189" s="100"/>
      <c r="M189" s="100"/>
      <c r="N189" s="100"/>
      <c r="O189" s="100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17"/>
      <c r="K190" s="117"/>
      <c r="L190" s="100"/>
      <c r="M190" s="100"/>
      <c r="N190" s="100"/>
      <c r="O190" s="100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17"/>
      <c r="K191" s="117"/>
      <c r="L191" s="100"/>
      <c r="M191" s="100"/>
      <c r="N191" s="100"/>
      <c r="O191" s="100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17"/>
      <c r="K192" s="117"/>
      <c r="L192" s="100"/>
      <c r="M192" s="100"/>
      <c r="N192" s="100"/>
      <c r="O192" s="100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17"/>
      <c r="K193" s="117"/>
      <c r="L193" s="100"/>
      <c r="M193" s="100"/>
      <c r="N193" s="100"/>
      <c r="O193" s="100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17"/>
      <c r="K194" s="117"/>
      <c r="L194" s="100"/>
      <c r="M194" s="100"/>
      <c r="N194" s="100"/>
      <c r="O194" s="100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17"/>
      <c r="K195" s="117"/>
      <c r="L195" s="100"/>
      <c r="M195" s="100"/>
      <c r="N195" s="100"/>
      <c r="O195" s="100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17"/>
      <c r="K196" s="117"/>
      <c r="L196" s="100"/>
      <c r="M196" s="100"/>
      <c r="N196" s="100"/>
      <c r="O196" s="100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17"/>
      <c r="K197" s="117"/>
      <c r="L197" s="100"/>
      <c r="M197" s="100"/>
      <c r="N197" s="100"/>
      <c r="O197" s="100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17"/>
      <c r="K198" s="117"/>
      <c r="L198" s="100"/>
      <c r="M198" s="100"/>
      <c r="N198" s="100"/>
      <c r="O198" s="100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17"/>
      <c r="K199" s="117"/>
      <c r="L199" s="100"/>
      <c r="M199" s="100"/>
      <c r="N199" s="100"/>
      <c r="O199" s="100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17"/>
      <c r="K200" s="117"/>
      <c r="L200" s="100"/>
      <c r="M200" s="100"/>
      <c r="N200" s="100"/>
      <c r="O200" s="100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17"/>
      <c r="K201" s="117"/>
      <c r="L201" s="100"/>
      <c r="M201" s="100"/>
      <c r="N201" s="100"/>
      <c r="O201" s="100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17"/>
      <c r="K202" s="117"/>
      <c r="L202" s="100"/>
      <c r="M202" s="100"/>
      <c r="N202" s="100"/>
      <c r="O202" s="100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17"/>
      <c r="K203" s="117"/>
      <c r="L203" s="100"/>
      <c r="M203" s="100"/>
      <c r="N203" s="100"/>
      <c r="O203" s="100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17"/>
      <c r="K204" s="117"/>
      <c r="L204" s="100"/>
      <c r="M204" s="100"/>
      <c r="N204" s="100"/>
      <c r="O204" s="100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17"/>
      <c r="K205" s="117"/>
      <c r="L205" s="100"/>
      <c r="M205" s="100"/>
      <c r="N205" s="100"/>
      <c r="O205" s="100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17"/>
      <c r="K206" s="117"/>
      <c r="L206" s="100"/>
      <c r="M206" s="100"/>
      <c r="N206" s="100"/>
      <c r="O206" s="100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17"/>
      <c r="K207" s="117"/>
      <c r="L207" s="100"/>
      <c r="M207" s="100"/>
      <c r="N207" s="100"/>
      <c r="O207" s="100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17"/>
      <c r="K208" s="117"/>
      <c r="L208" s="100"/>
      <c r="M208" s="100"/>
      <c r="N208" s="100"/>
      <c r="O208" s="100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17"/>
      <c r="K209" s="117"/>
      <c r="L209" s="100"/>
      <c r="M209" s="100"/>
      <c r="N209" s="100"/>
      <c r="O209" s="100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17"/>
      <c r="K210" s="117"/>
      <c r="L210" s="100"/>
      <c r="M210" s="100"/>
      <c r="N210" s="100"/>
      <c r="O210" s="100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17"/>
      <c r="K211" s="117"/>
      <c r="L211" s="100"/>
      <c r="M211" s="100"/>
      <c r="N211" s="100"/>
      <c r="O211" s="100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17"/>
      <c r="K212" s="117"/>
      <c r="L212" s="100"/>
      <c r="M212" s="100"/>
      <c r="N212" s="100"/>
      <c r="O212" s="100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17"/>
      <c r="K213" s="117"/>
      <c r="L213" s="100"/>
      <c r="M213" s="100"/>
      <c r="N213" s="100"/>
      <c r="O213" s="100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17"/>
      <c r="K214" s="117"/>
      <c r="L214" s="100"/>
      <c r="M214" s="100"/>
      <c r="N214" s="100"/>
      <c r="O214" s="100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17"/>
      <c r="K215" s="117"/>
      <c r="L215" s="100"/>
      <c r="M215" s="100"/>
      <c r="N215" s="100"/>
      <c r="O215" s="100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17"/>
      <c r="K216" s="117"/>
      <c r="L216" s="100"/>
      <c r="M216" s="100"/>
      <c r="N216" s="100"/>
      <c r="O216" s="100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17"/>
      <c r="K217" s="117"/>
      <c r="L217" s="100"/>
      <c r="M217" s="100"/>
      <c r="N217" s="100"/>
      <c r="O217" s="100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17"/>
      <c r="K218" s="117"/>
      <c r="L218" s="100"/>
      <c r="M218" s="100"/>
      <c r="N218" s="100"/>
      <c r="O218" s="100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17"/>
      <c r="K219" s="117"/>
      <c r="L219" s="100"/>
      <c r="M219" s="100"/>
      <c r="N219" s="100"/>
      <c r="O219" s="100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17"/>
      <c r="K220" s="117"/>
      <c r="L220" s="100"/>
      <c r="M220" s="100"/>
      <c r="N220" s="100"/>
      <c r="O220" s="100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17"/>
      <c r="K221" s="117"/>
      <c r="L221" s="100"/>
      <c r="M221" s="100"/>
      <c r="N221" s="100"/>
      <c r="O221" s="100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17"/>
      <c r="K222" s="117"/>
      <c r="L222" s="100"/>
      <c r="M222" s="100"/>
      <c r="N222" s="100"/>
      <c r="O222" s="100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17"/>
      <c r="K223" s="117"/>
      <c r="L223" s="100"/>
      <c r="M223" s="100"/>
      <c r="N223" s="100"/>
      <c r="O223" s="100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17"/>
      <c r="K224" s="117"/>
      <c r="L224" s="100"/>
      <c r="M224" s="100"/>
      <c r="N224" s="100"/>
      <c r="O224" s="100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17"/>
      <c r="K225" s="117"/>
      <c r="L225" s="100"/>
      <c r="M225" s="100"/>
      <c r="N225" s="100"/>
      <c r="O225" s="100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17"/>
      <c r="K226" s="117"/>
      <c r="L226" s="100"/>
      <c r="M226" s="100"/>
      <c r="N226" s="100"/>
      <c r="O226" s="100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17"/>
      <c r="K227" s="117"/>
      <c r="L227" s="100"/>
      <c r="M227" s="100"/>
      <c r="N227" s="100"/>
      <c r="O227" s="100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17"/>
      <c r="K228" s="117"/>
      <c r="L228" s="100"/>
      <c r="M228" s="100"/>
      <c r="N228" s="100"/>
      <c r="O228" s="100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17"/>
      <c r="K229" s="117"/>
      <c r="L229" s="100"/>
      <c r="M229" s="100"/>
      <c r="N229" s="100"/>
      <c r="O229" s="100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17"/>
      <c r="K230" s="117"/>
      <c r="L230" s="100"/>
      <c r="M230" s="100"/>
      <c r="N230" s="100"/>
      <c r="O230" s="100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17"/>
      <c r="K231" s="117"/>
      <c r="L231" s="100"/>
      <c r="M231" s="100"/>
      <c r="N231" s="100"/>
      <c r="O231" s="100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17"/>
      <c r="K232" s="117"/>
      <c r="L232" s="100"/>
      <c r="M232" s="100"/>
      <c r="N232" s="100"/>
      <c r="O232" s="100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17"/>
      <c r="K233" s="117"/>
      <c r="L233" s="100"/>
      <c r="M233" s="100"/>
      <c r="N233" s="100"/>
      <c r="O233" s="100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17"/>
      <c r="K234" s="117"/>
      <c r="L234" s="100"/>
      <c r="M234" s="100"/>
      <c r="N234" s="100"/>
      <c r="O234" s="100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17"/>
      <c r="K235" s="117"/>
      <c r="L235" s="100"/>
      <c r="M235" s="100"/>
      <c r="N235" s="100"/>
      <c r="O235" s="100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17"/>
      <c r="K236" s="117"/>
      <c r="L236" s="100"/>
      <c r="M236" s="100"/>
      <c r="N236" s="100"/>
      <c r="O236" s="100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17"/>
      <c r="K237" s="117"/>
      <c r="L237" s="100"/>
      <c r="M237" s="100"/>
      <c r="N237" s="100"/>
      <c r="O237" s="100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17"/>
      <c r="K238" s="117"/>
      <c r="L238" s="100"/>
      <c r="M238" s="100"/>
      <c r="N238" s="100"/>
      <c r="O238" s="100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17"/>
      <c r="K239" s="117"/>
      <c r="L239" s="100"/>
      <c r="M239" s="100"/>
      <c r="N239" s="100"/>
      <c r="O239" s="100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17"/>
      <c r="K240" s="117"/>
      <c r="L240" s="100"/>
      <c r="M240" s="100"/>
      <c r="N240" s="100"/>
      <c r="O240" s="100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17"/>
      <c r="K241" s="117"/>
      <c r="L241" s="100"/>
      <c r="M241" s="100"/>
      <c r="N241" s="100"/>
      <c r="O241" s="100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17"/>
      <c r="K242" s="117"/>
      <c r="L242" s="100"/>
      <c r="M242" s="100"/>
      <c r="N242" s="100"/>
      <c r="O242" s="100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17"/>
      <c r="K243" s="117"/>
      <c r="L243" s="100"/>
      <c r="M243" s="100"/>
      <c r="N243" s="100"/>
      <c r="O243" s="100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17"/>
      <c r="K244" s="117"/>
      <c r="L244" s="100"/>
      <c r="M244" s="100"/>
      <c r="N244" s="100"/>
      <c r="O244" s="100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17"/>
      <c r="K245" s="117"/>
      <c r="L245" s="100"/>
      <c r="M245" s="100"/>
      <c r="N245" s="100"/>
      <c r="O245" s="100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17"/>
      <c r="K246" s="117"/>
      <c r="L246" s="100"/>
      <c r="M246" s="100"/>
      <c r="N246" s="100"/>
      <c r="O246" s="100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17"/>
      <c r="K247" s="117"/>
      <c r="L247" s="100"/>
      <c r="M247" s="100"/>
      <c r="N247" s="100"/>
      <c r="O247" s="100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17"/>
      <c r="K248" s="117"/>
      <c r="L248" s="100"/>
      <c r="M248" s="100"/>
      <c r="N248" s="100"/>
      <c r="O248" s="100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17"/>
      <c r="K249" s="117"/>
      <c r="L249" s="100"/>
      <c r="M249" s="100"/>
      <c r="N249" s="100"/>
      <c r="O249" s="100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17"/>
      <c r="K250" s="117"/>
      <c r="L250" s="100"/>
      <c r="M250" s="100"/>
      <c r="N250" s="100"/>
      <c r="O250" s="100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17"/>
      <c r="K251" s="117"/>
      <c r="L251" s="100"/>
      <c r="M251" s="100"/>
      <c r="N251" s="100"/>
      <c r="O251" s="100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17"/>
      <c r="K252" s="117"/>
      <c r="L252" s="100"/>
      <c r="M252" s="100"/>
      <c r="N252" s="100"/>
      <c r="O252" s="100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17"/>
      <c r="K253" s="117"/>
      <c r="L253" s="100"/>
      <c r="M253" s="100"/>
      <c r="N253" s="100"/>
      <c r="O253" s="100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17"/>
      <c r="K254" s="117"/>
      <c r="L254" s="100"/>
      <c r="M254" s="100"/>
      <c r="N254" s="100"/>
      <c r="O254" s="100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17"/>
      <c r="K255" s="117"/>
      <c r="L255" s="100"/>
      <c r="M255" s="100"/>
      <c r="N255" s="100"/>
      <c r="O255" s="100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17"/>
      <c r="K256" s="117"/>
      <c r="L256" s="100"/>
      <c r="M256" s="100"/>
      <c r="N256" s="100"/>
      <c r="O256" s="100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17"/>
      <c r="K257" s="117"/>
      <c r="L257" s="100"/>
      <c r="M257" s="100"/>
      <c r="N257" s="100"/>
      <c r="O257" s="100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17"/>
      <c r="K258" s="117"/>
      <c r="L258" s="100"/>
      <c r="M258" s="100"/>
      <c r="N258" s="100"/>
      <c r="O258" s="100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17"/>
      <c r="K259" s="117"/>
      <c r="L259" s="100"/>
      <c r="M259" s="100"/>
      <c r="N259" s="100"/>
      <c r="O259" s="100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17"/>
      <c r="K260" s="117"/>
      <c r="L260" s="100"/>
      <c r="M260" s="100"/>
      <c r="N260" s="100"/>
      <c r="O260" s="100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17"/>
      <c r="K261" s="117"/>
      <c r="L261" s="100"/>
      <c r="M261" s="100"/>
      <c r="N261" s="100"/>
      <c r="O261" s="100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17"/>
      <c r="K262" s="117"/>
      <c r="L262" s="100"/>
      <c r="M262" s="100"/>
      <c r="N262" s="100"/>
      <c r="O262" s="100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17"/>
      <c r="K263" s="117"/>
      <c r="L263" s="100"/>
      <c r="M263" s="100"/>
      <c r="N263" s="100"/>
      <c r="O263" s="100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17"/>
      <c r="K264" s="117"/>
      <c r="L264" s="100"/>
      <c r="M264" s="100"/>
      <c r="N264" s="100"/>
      <c r="O264" s="100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17"/>
      <c r="K265" s="117"/>
      <c r="L265" s="100"/>
      <c r="M265" s="100"/>
      <c r="N265" s="100"/>
      <c r="O265" s="100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17"/>
      <c r="K266" s="117"/>
      <c r="L266" s="100"/>
      <c r="M266" s="100"/>
      <c r="N266" s="100"/>
      <c r="O266" s="100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17"/>
      <c r="K267" s="117"/>
      <c r="L267" s="100"/>
      <c r="M267" s="100"/>
      <c r="N267" s="100"/>
      <c r="O267" s="100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17"/>
      <c r="K268" s="117"/>
      <c r="L268" s="100"/>
      <c r="M268" s="100"/>
      <c r="N268" s="100"/>
      <c r="O268" s="100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17"/>
      <c r="K269" s="117"/>
      <c r="L269" s="100"/>
      <c r="M269" s="100"/>
      <c r="N269" s="100"/>
      <c r="O269" s="100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17"/>
      <c r="K270" s="117"/>
      <c r="L270" s="100"/>
      <c r="M270" s="100"/>
      <c r="N270" s="100"/>
      <c r="O270" s="100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17"/>
      <c r="K271" s="117"/>
      <c r="L271" s="100"/>
      <c r="M271" s="100"/>
      <c r="N271" s="100"/>
      <c r="O271" s="100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17"/>
      <c r="K272" s="117"/>
      <c r="L272" s="100"/>
      <c r="M272" s="100"/>
      <c r="N272" s="100"/>
      <c r="O272" s="100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17"/>
      <c r="K273" s="117"/>
      <c r="L273" s="100"/>
      <c r="M273" s="100"/>
      <c r="N273" s="100"/>
      <c r="O273" s="100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17"/>
      <c r="K274" s="117"/>
      <c r="L274" s="100"/>
      <c r="M274" s="100"/>
      <c r="N274" s="100"/>
      <c r="O274" s="100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17"/>
      <c r="K275" s="117"/>
      <c r="L275" s="100"/>
      <c r="M275" s="100"/>
      <c r="N275" s="100"/>
      <c r="O275" s="100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17"/>
      <c r="K276" s="117"/>
      <c r="L276" s="100"/>
      <c r="M276" s="100"/>
      <c r="N276" s="100"/>
      <c r="O276" s="100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17"/>
      <c r="K277" s="117"/>
      <c r="L277" s="100"/>
      <c r="M277" s="100"/>
      <c r="N277" s="100"/>
      <c r="O277" s="100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17"/>
      <c r="K278" s="117"/>
      <c r="L278" s="100"/>
      <c r="M278" s="100"/>
      <c r="N278" s="100"/>
      <c r="O278" s="100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17"/>
      <c r="K279" s="117"/>
      <c r="L279" s="100"/>
      <c r="M279" s="100"/>
      <c r="N279" s="100"/>
      <c r="O279" s="100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17"/>
      <c r="K280" s="117"/>
      <c r="L280" s="100"/>
      <c r="M280" s="100"/>
      <c r="N280" s="100"/>
      <c r="O280" s="100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17"/>
      <c r="K281" s="117"/>
      <c r="L281" s="100"/>
      <c r="M281" s="100"/>
      <c r="N281" s="100"/>
      <c r="O281" s="100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17"/>
      <c r="K282" s="117"/>
      <c r="L282" s="100"/>
      <c r="M282" s="100"/>
      <c r="N282" s="100"/>
      <c r="O282" s="100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17"/>
      <c r="K283" s="117"/>
      <c r="L283" s="100"/>
      <c r="M283" s="100"/>
      <c r="N283" s="100"/>
      <c r="O283" s="100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17"/>
      <c r="K284" s="117"/>
      <c r="L284" s="100"/>
      <c r="M284" s="100"/>
      <c r="N284" s="100"/>
      <c r="O284" s="100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17"/>
      <c r="K285" s="117"/>
      <c r="L285" s="100"/>
      <c r="M285" s="100"/>
      <c r="N285" s="100"/>
      <c r="O285" s="100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17"/>
      <c r="K286" s="117"/>
      <c r="L286" s="100"/>
      <c r="M286" s="100"/>
      <c r="N286" s="100"/>
      <c r="O286" s="100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17"/>
      <c r="K287" s="117"/>
      <c r="L287" s="100"/>
      <c r="M287" s="100"/>
      <c r="N287" s="100"/>
      <c r="O287" s="100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17"/>
      <c r="K288" s="117"/>
      <c r="L288" s="100"/>
      <c r="M288" s="100"/>
      <c r="N288" s="100"/>
      <c r="O288" s="100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17"/>
      <c r="K289" s="117"/>
      <c r="L289" s="100"/>
      <c r="M289" s="100"/>
      <c r="N289" s="100"/>
      <c r="O289" s="100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17"/>
      <c r="K290" s="117"/>
      <c r="L290" s="100"/>
      <c r="M290" s="100"/>
      <c r="N290" s="100"/>
      <c r="O290" s="100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17"/>
      <c r="K291" s="117"/>
      <c r="L291" s="100"/>
      <c r="M291" s="100"/>
      <c r="N291" s="100"/>
      <c r="O291" s="100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17"/>
      <c r="K292" s="117"/>
      <c r="L292" s="100"/>
      <c r="M292" s="100"/>
      <c r="N292" s="100"/>
      <c r="O292" s="100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17"/>
      <c r="K293" s="117"/>
      <c r="L293" s="100"/>
      <c r="M293" s="100"/>
      <c r="N293" s="100"/>
      <c r="O293" s="100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17"/>
      <c r="K294" s="117"/>
      <c r="L294" s="100"/>
      <c r="M294" s="100"/>
      <c r="N294" s="100"/>
      <c r="O294" s="100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17"/>
      <c r="K295" s="117"/>
      <c r="L295" s="100"/>
      <c r="M295" s="100"/>
      <c r="N295" s="100"/>
      <c r="O295" s="100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17"/>
      <c r="K296" s="117"/>
      <c r="L296" s="100"/>
      <c r="M296" s="100"/>
      <c r="N296" s="100"/>
      <c r="O296" s="100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17"/>
      <c r="K297" s="117"/>
      <c r="L297" s="100"/>
      <c r="M297" s="100"/>
      <c r="N297" s="100"/>
      <c r="O297" s="100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17"/>
      <c r="K298" s="117"/>
      <c r="L298" s="100"/>
      <c r="M298" s="100"/>
      <c r="N298" s="100"/>
      <c r="O298" s="100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17"/>
      <c r="K299" s="117"/>
      <c r="L299" s="100"/>
      <c r="M299" s="100"/>
      <c r="N299" s="100"/>
      <c r="O299" s="100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17"/>
      <c r="K300" s="117"/>
      <c r="L300" s="100"/>
      <c r="M300" s="100"/>
      <c r="N300" s="100"/>
      <c r="O300" s="100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17"/>
      <c r="K301" s="117"/>
      <c r="L301" s="100"/>
      <c r="M301" s="100"/>
      <c r="N301" s="100"/>
      <c r="O301" s="100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17"/>
      <c r="K302" s="117"/>
      <c r="L302" s="100"/>
      <c r="M302" s="100"/>
      <c r="N302" s="100"/>
      <c r="O302" s="100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17"/>
      <c r="K303" s="117"/>
      <c r="L303" s="100"/>
      <c r="M303" s="100"/>
      <c r="N303" s="100"/>
      <c r="O303" s="100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17"/>
      <c r="K304" s="117"/>
      <c r="L304" s="100"/>
      <c r="M304" s="100"/>
      <c r="N304" s="100"/>
      <c r="O304" s="100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17"/>
      <c r="K305" s="117"/>
      <c r="L305" s="100"/>
      <c r="M305" s="100"/>
      <c r="N305" s="100"/>
      <c r="O305" s="100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17"/>
      <c r="K306" s="117"/>
      <c r="L306" s="100"/>
      <c r="M306" s="100"/>
      <c r="N306" s="100"/>
      <c r="O306" s="100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17"/>
      <c r="K307" s="117"/>
      <c r="L307" s="100"/>
      <c r="M307" s="100"/>
      <c r="N307" s="100"/>
      <c r="O307" s="100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17"/>
      <c r="K308" s="117"/>
      <c r="L308" s="100"/>
      <c r="M308" s="100"/>
      <c r="N308" s="100"/>
      <c r="O308" s="100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17"/>
      <c r="K309" s="117"/>
      <c r="L309" s="100"/>
      <c r="M309" s="100"/>
      <c r="N309" s="100"/>
      <c r="O309" s="100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17"/>
      <c r="K310" s="117"/>
      <c r="L310" s="100"/>
      <c r="M310" s="100"/>
      <c r="N310" s="100"/>
      <c r="O310" s="100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17"/>
      <c r="K311" s="117"/>
      <c r="L311" s="100"/>
      <c r="M311" s="100"/>
      <c r="N311" s="100"/>
      <c r="O311" s="100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17"/>
      <c r="K312" s="117"/>
      <c r="L312" s="100"/>
      <c r="M312" s="100"/>
      <c r="N312" s="100"/>
      <c r="O312" s="100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17"/>
      <c r="K313" s="117"/>
      <c r="L313" s="100"/>
      <c r="M313" s="100"/>
      <c r="N313" s="100"/>
      <c r="O313" s="100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17"/>
      <c r="K314" s="117"/>
      <c r="L314" s="100"/>
      <c r="M314" s="100"/>
      <c r="N314" s="100"/>
      <c r="O314" s="100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17"/>
      <c r="K315" s="117"/>
      <c r="L315" s="100"/>
      <c r="M315" s="100"/>
      <c r="N315" s="100"/>
      <c r="O315" s="100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17"/>
      <c r="K316" s="117"/>
      <c r="L316" s="100"/>
      <c r="M316" s="100"/>
      <c r="N316" s="100"/>
      <c r="O316" s="100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17"/>
      <c r="K317" s="117"/>
      <c r="L317" s="100"/>
      <c r="M317" s="100"/>
      <c r="N317" s="100"/>
      <c r="O317" s="100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17"/>
      <c r="K318" s="117"/>
      <c r="L318" s="100"/>
      <c r="M318" s="100"/>
      <c r="N318" s="100"/>
      <c r="O318" s="100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17"/>
      <c r="K319" s="117"/>
      <c r="L319" s="100"/>
      <c r="M319" s="100"/>
      <c r="N319" s="100"/>
      <c r="O319" s="100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17"/>
      <c r="K320" s="117"/>
      <c r="L320" s="100"/>
      <c r="M320" s="100"/>
      <c r="N320" s="100"/>
      <c r="O320" s="100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17"/>
      <c r="K321" s="117"/>
      <c r="L321" s="100"/>
      <c r="M321" s="100"/>
      <c r="N321" s="100"/>
      <c r="O321" s="100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17"/>
      <c r="K322" s="117"/>
      <c r="L322" s="100"/>
      <c r="M322" s="100"/>
      <c r="N322" s="100"/>
      <c r="O322" s="100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17"/>
      <c r="K323" s="117"/>
      <c r="L323" s="100"/>
      <c r="M323" s="100"/>
      <c r="N323" s="100"/>
      <c r="O323" s="100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17"/>
      <c r="K324" s="117"/>
      <c r="L324" s="100"/>
      <c r="M324" s="100"/>
      <c r="N324" s="100"/>
      <c r="O324" s="100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17"/>
      <c r="K325" s="117"/>
      <c r="L325" s="100"/>
      <c r="M325" s="100"/>
      <c r="N325" s="100"/>
      <c r="O325" s="100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17"/>
      <c r="K326" s="117"/>
      <c r="L326" s="100"/>
      <c r="M326" s="100"/>
      <c r="N326" s="100"/>
      <c r="O326" s="100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17"/>
      <c r="K327" s="117"/>
      <c r="L327" s="100"/>
      <c r="M327" s="100"/>
      <c r="N327" s="100"/>
      <c r="O327" s="100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17"/>
      <c r="K328" s="117"/>
      <c r="L328" s="100"/>
      <c r="M328" s="100"/>
      <c r="N328" s="100"/>
      <c r="O328" s="100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17"/>
      <c r="K329" s="117"/>
      <c r="L329" s="100"/>
      <c r="M329" s="100"/>
      <c r="N329" s="100"/>
      <c r="O329" s="100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17"/>
      <c r="K330" s="117"/>
      <c r="L330" s="100"/>
      <c r="M330" s="100"/>
      <c r="N330" s="100"/>
      <c r="O330" s="100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17"/>
      <c r="K331" s="117"/>
      <c r="L331" s="100"/>
      <c r="M331" s="100"/>
      <c r="N331" s="100"/>
      <c r="O331" s="100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17"/>
      <c r="K332" s="117"/>
      <c r="L332" s="100"/>
      <c r="M332" s="100"/>
      <c r="N332" s="100"/>
      <c r="O332" s="100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17"/>
      <c r="K333" s="117"/>
      <c r="L333" s="100"/>
      <c r="M333" s="100"/>
      <c r="N333" s="100"/>
      <c r="O333" s="100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17"/>
      <c r="K334" s="117"/>
      <c r="L334" s="100"/>
      <c r="M334" s="100"/>
      <c r="N334" s="100"/>
      <c r="O334" s="100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17"/>
      <c r="K335" s="117"/>
      <c r="L335" s="100"/>
      <c r="M335" s="100"/>
      <c r="N335" s="100"/>
      <c r="O335" s="100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17"/>
      <c r="K336" s="117"/>
      <c r="L336" s="100"/>
      <c r="M336" s="100"/>
      <c r="N336" s="100"/>
      <c r="O336" s="100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17"/>
      <c r="K337" s="117"/>
      <c r="L337" s="100"/>
      <c r="M337" s="100"/>
      <c r="N337" s="100"/>
      <c r="O337" s="100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17"/>
      <c r="K338" s="117"/>
      <c r="L338" s="100"/>
      <c r="M338" s="100"/>
      <c r="N338" s="100"/>
      <c r="O338" s="100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17"/>
      <c r="K339" s="117"/>
      <c r="L339" s="100"/>
      <c r="M339" s="100"/>
      <c r="N339" s="100"/>
      <c r="O339" s="100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17"/>
      <c r="K340" s="117"/>
      <c r="L340" s="100"/>
      <c r="M340" s="100"/>
      <c r="N340" s="100"/>
      <c r="O340" s="100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17"/>
      <c r="K341" s="117"/>
      <c r="L341" s="100"/>
      <c r="M341" s="100"/>
      <c r="N341" s="100"/>
      <c r="O341" s="100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17"/>
      <c r="K342" s="117"/>
      <c r="L342" s="100"/>
      <c r="M342" s="100"/>
      <c r="N342" s="100"/>
      <c r="O342" s="100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17"/>
      <c r="K343" s="117"/>
      <c r="L343" s="100"/>
      <c r="M343" s="100"/>
      <c r="N343" s="100"/>
      <c r="O343" s="100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17"/>
      <c r="K344" s="117"/>
      <c r="L344" s="100"/>
      <c r="M344" s="100"/>
      <c r="N344" s="100"/>
      <c r="O344" s="100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17"/>
      <c r="K345" s="117"/>
      <c r="L345" s="100"/>
      <c r="M345" s="100"/>
      <c r="N345" s="100"/>
      <c r="O345" s="100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17"/>
      <c r="K346" s="117"/>
      <c r="L346" s="100"/>
      <c r="M346" s="100"/>
      <c r="N346" s="100"/>
      <c r="O346" s="100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17"/>
      <c r="K347" s="117"/>
      <c r="L347" s="100"/>
      <c r="M347" s="100"/>
      <c r="N347" s="100"/>
      <c r="O347" s="100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17"/>
      <c r="K348" s="117"/>
      <c r="L348" s="100"/>
      <c r="M348" s="100"/>
      <c r="N348" s="100"/>
      <c r="O348" s="100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17"/>
      <c r="K349" s="117"/>
      <c r="L349" s="100"/>
      <c r="M349" s="100"/>
      <c r="N349" s="100"/>
      <c r="O349" s="100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17"/>
      <c r="K350" s="117"/>
      <c r="L350" s="100"/>
      <c r="M350" s="100"/>
      <c r="N350" s="100"/>
      <c r="O350" s="100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17"/>
      <c r="K351" s="117"/>
      <c r="L351" s="100"/>
      <c r="M351" s="100"/>
      <c r="N351" s="100"/>
      <c r="O351" s="100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17"/>
      <c r="K352" s="117"/>
      <c r="L352" s="100"/>
      <c r="M352" s="100"/>
      <c r="N352" s="100"/>
      <c r="O352" s="100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17"/>
      <c r="K353" s="117"/>
      <c r="L353" s="100"/>
      <c r="M353" s="100"/>
      <c r="N353" s="100"/>
      <c r="O353" s="100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17"/>
      <c r="K354" s="117"/>
      <c r="L354" s="100"/>
      <c r="M354" s="100"/>
      <c r="N354" s="100"/>
      <c r="O354" s="100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17"/>
      <c r="K355" s="117"/>
      <c r="L355" s="100"/>
      <c r="M355" s="100"/>
      <c r="N355" s="100"/>
      <c r="O355" s="100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17"/>
      <c r="K356" s="117"/>
      <c r="L356" s="100"/>
      <c r="M356" s="100"/>
      <c r="N356" s="100"/>
      <c r="O356" s="100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17"/>
      <c r="K357" s="117"/>
      <c r="L357" s="100"/>
      <c r="M357" s="100"/>
      <c r="N357" s="100"/>
      <c r="O357" s="100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17"/>
      <c r="K358" s="117"/>
      <c r="L358" s="100"/>
      <c r="M358" s="100"/>
      <c r="N358" s="100"/>
      <c r="O358" s="100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17"/>
      <c r="K359" s="117"/>
      <c r="L359" s="100"/>
      <c r="M359" s="100"/>
      <c r="N359" s="100"/>
      <c r="O359" s="100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17"/>
      <c r="K360" s="117"/>
      <c r="L360" s="100"/>
      <c r="M360" s="100"/>
      <c r="N360" s="100"/>
      <c r="O360" s="100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17"/>
      <c r="K361" s="117"/>
      <c r="L361" s="100"/>
      <c r="M361" s="100"/>
      <c r="N361" s="100"/>
      <c r="O361" s="100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17"/>
      <c r="K362" s="117"/>
      <c r="L362" s="100"/>
      <c r="M362" s="100"/>
      <c r="N362" s="100"/>
      <c r="O362" s="100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17"/>
      <c r="K363" s="117"/>
      <c r="L363" s="100"/>
      <c r="M363" s="100"/>
      <c r="N363" s="100"/>
      <c r="O363" s="100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17"/>
      <c r="K364" s="117"/>
      <c r="L364" s="100"/>
      <c r="M364" s="100"/>
      <c r="N364" s="100"/>
      <c r="O364" s="100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17"/>
      <c r="K365" s="117"/>
      <c r="L365" s="100"/>
      <c r="M365" s="100"/>
      <c r="N365" s="100"/>
      <c r="O365" s="100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17"/>
      <c r="K366" s="117"/>
      <c r="L366" s="100"/>
      <c r="M366" s="100"/>
      <c r="N366" s="100"/>
      <c r="O366" s="100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17"/>
      <c r="K367" s="117"/>
      <c r="L367" s="100"/>
      <c r="M367" s="100"/>
      <c r="N367" s="100"/>
      <c r="O367" s="100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17"/>
      <c r="K368" s="117"/>
      <c r="L368" s="100"/>
      <c r="M368" s="100"/>
      <c r="N368" s="100"/>
      <c r="O368" s="100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17"/>
      <c r="K369" s="117"/>
      <c r="L369" s="100"/>
      <c r="M369" s="100"/>
      <c r="N369" s="100"/>
      <c r="O369" s="100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17"/>
      <c r="K370" s="117"/>
      <c r="L370" s="100"/>
      <c r="M370" s="100"/>
      <c r="N370" s="100"/>
      <c r="O370" s="100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17"/>
      <c r="K371" s="117"/>
      <c r="L371" s="100"/>
      <c r="M371" s="100"/>
      <c r="N371" s="100"/>
      <c r="O371" s="100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17"/>
      <c r="K372" s="117"/>
      <c r="L372" s="100"/>
      <c r="M372" s="100"/>
      <c r="N372" s="100"/>
      <c r="O372" s="100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17"/>
      <c r="K373" s="117"/>
      <c r="L373" s="100"/>
      <c r="M373" s="100"/>
      <c r="N373" s="100"/>
      <c r="O373" s="100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17"/>
      <c r="K374" s="117"/>
      <c r="L374" s="100"/>
      <c r="M374" s="100"/>
      <c r="N374" s="100"/>
      <c r="O374" s="100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17"/>
      <c r="K375" s="117"/>
      <c r="L375" s="100"/>
      <c r="M375" s="100"/>
      <c r="N375" s="100"/>
      <c r="O375" s="100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17"/>
      <c r="K376" s="117"/>
      <c r="L376" s="100"/>
      <c r="M376" s="100"/>
      <c r="N376" s="100"/>
      <c r="O376" s="100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17"/>
      <c r="K377" s="117"/>
      <c r="L377" s="100"/>
      <c r="M377" s="100"/>
      <c r="N377" s="100"/>
      <c r="O377" s="100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17"/>
      <c r="K378" s="117"/>
      <c r="L378" s="100"/>
      <c r="M378" s="100"/>
      <c r="N378" s="100"/>
      <c r="O378" s="100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17"/>
      <c r="K379" s="117"/>
      <c r="L379" s="100"/>
      <c r="M379" s="100"/>
      <c r="N379" s="100"/>
      <c r="O379" s="100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17"/>
      <c r="K380" s="117"/>
      <c r="L380" s="100"/>
      <c r="M380" s="100"/>
      <c r="N380" s="100"/>
      <c r="O380" s="100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17"/>
      <c r="K381" s="117"/>
      <c r="L381" s="100"/>
      <c r="M381" s="100"/>
      <c r="N381" s="100"/>
      <c r="O381" s="100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17"/>
      <c r="K382" s="117"/>
      <c r="L382" s="100"/>
      <c r="M382" s="100"/>
      <c r="N382" s="100"/>
      <c r="O382" s="100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17"/>
      <c r="K383" s="117"/>
      <c r="L383" s="100"/>
      <c r="M383" s="100"/>
      <c r="N383" s="100"/>
      <c r="O383" s="100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17"/>
      <c r="K384" s="117"/>
      <c r="L384" s="100"/>
      <c r="M384" s="100"/>
      <c r="N384" s="100"/>
      <c r="O384" s="100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17"/>
      <c r="K385" s="117"/>
      <c r="L385" s="100"/>
      <c r="M385" s="100"/>
      <c r="N385" s="100"/>
      <c r="O385" s="100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17"/>
      <c r="K386" s="117"/>
      <c r="L386" s="100"/>
      <c r="M386" s="100"/>
      <c r="N386" s="100"/>
      <c r="O386" s="100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17"/>
      <c r="K387" s="117"/>
      <c r="L387" s="100"/>
      <c r="M387" s="100"/>
      <c r="N387" s="100"/>
      <c r="O387" s="100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17"/>
      <c r="K388" s="117"/>
      <c r="L388" s="100"/>
      <c r="M388" s="100"/>
      <c r="N388" s="100"/>
      <c r="O388" s="100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17"/>
      <c r="K389" s="117"/>
      <c r="L389" s="100"/>
      <c r="M389" s="100"/>
      <c r="N389" s="100"/>
      <c r="O389" s="100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17"/>
      <c r="K390" s="117"/>
      <c r="L390" s="100"/>
      <c r="M390" s="100"/>
      <c r="N390" s="100"/>
      <c r="O390" s="100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17"/>
      <c r="K391" s="117"/>
      <c r="L391" s="100"/>
      <c r="M391" s="100"/>
      <c r="N391" s="100"/>
      <c r="O391" s="100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17"/>
      <c r="K392" s="117"/>
      <c r="L392" s="100"/>
      <c r="M392" s="100"/>
      <c r="N392" s="100"/>
      <c r="O392" s="100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17"/>
      <c r="K393" s="117"/>
      <c r="L393" s="100"/>
      <c r="M393" s="100"/>
      <c r="N393" s="100"/>
      <c r="O393" s="100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17"/>
      <c r="K394" s="117"/>
      <c r="L394" s="100"/>
      <c r="M394" s="100"/>
      <c r="N394" s="100"/>
      <c r="O394" s="100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17"/>
      <c r="K395" s="117"/>
      <c r="L395" s="100"/>
      <c r="M395" s="100"/>
      <c r="N395" s="100"/>
      <c r="O395" s="100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17"/>
      <c r="K396" s="117"/>
      <c r="L396" s="100"/>
      <c r="M396" s="100"/>
      <c r="N396" s="100"/>
      <c r="O396" s="100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17"/>
      <c r="K397" s="117"/>
      <c r="L397" s="100"/>
      <c r="M397" s="100"/>
      <c r="N397" s="100"/>
      <c r="O397" s="100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17"/>
      <c r="K398" s="117"/>
      <c r="L398" s="100"/>
      <c r="M398" s="100"/>
      <c r="N398" s="100"/>
      <c r="O398" s="100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17"/>
      <c r="K399" s="117"/>
      <c r="L399" s="100"/>
      <c r="M399" s="100"/>
      <c r="N399" s="100"/>
      <c r="O399" s="100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17"/>
      <c r="K400" s="117"/>
      <c r="L400" s="100"/>
      <c r="M400" s="100"/>
      <c r="N400" s="100"/>
      <c r="O400" s="100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17"/>
      <c r="K401" s="117"/>
      <c r="L401" s="100"/>
      <c r="M401" s="100"/>
      <c r="N401" s="100"/>
      <c r="O401" s="100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17"/>
      <c r="K402" s="117"/>
      <c r="L402" s="100"/>
      <c r="M402" s="100"/>
      <c r="N402" s="100"/>
      <c r="O402" s="100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17"/>
      <c r="K403" s="117"/>
      <c r="L403" s="100"/>
      <c r="M403" s="100"/>
      <c r="N403" s="100"/>
      <c r="O403" s="100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17"/>
      <c r="K404" s="117"/>
      <c r="L404" s="100"/>
      <c r="M404" s="100"/>
      <c r="N404" s="100"/>
      <c r="O404" s="100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17"/>
      <c r="K405" s="117"/>
      <c r="L405" s="100"/>
      <c r="M405" s="100"/>
      <c r="N405" s="100"/>
      <c r="O405" s="100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17"/>
      <c r="K406" s="117"/>
      <c r="L406" s="100"/>
      <c r="M406" s="100"/>
      <c r="N406" s="100"/>
      <c r="O406" s="100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17"/>
      <c r="K407" s="117"/>
      <c r="L407" s="100"/>
      <c r="M407" s="100"/>
      <c r="N407" s="100"/>
      <c r="O407" s="100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17"/>
      <c r="K408" s="117"/>
      <c r="L408" s="100"/>
      <c r="M408" s="100"/>
      <c r="N408" s="100"/>
      <c r="O408" s="100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17"/>
      <c r="K409" s="117"/>
      <c r="L409" s="100"/>
      <c r="M409" s="100"/>
      <c r="N409" s="100"/>
      <c r="O409" s="100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17"/>
      <c r="K410" s="117"/>
      <c r="L410" s="100"/>
      <c r="M410" s="100"/>
      <c r="N410" s="100"/>
      <c r="O410" s="100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17"/>
      <c r="K411" s="117"/>
      <c r="L411" s="100"/>
      <c r="M411" s="100"/>
      <c r="N411" s="100"/>
      <c r="O411" s="100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17"/>
      <c r="K412" s="117"/>
      <c r="L412" s="100"/>
      <c r="M412" s="100"/>
      <c r="N412" s="100"/>
      <c r="O412" s="100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17"/>
      <c r="K413" s="117"/>
      <c r="L413" s="100"/>
      <c r="M413" s="100"/>
      <c r="N413" s="100"/>
      <c r="O413" s="100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17"/>
      <c r="K414" s="117"/>
      <c r="L414" s="100"/>
      <c r="M414" s="100"/>
      <c r="N414" s="100"/>
      <c r="O414" s="100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17"/>
      <c r="K415" s="117"/>
      <c r="L415" s="100"/>
      <c r="M415" s="100"/>
      <c r="N415" s="100"/>
      <c r="O415" s="100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17"/>
      <c r="K416" s="117"/>
      <c r="L416" s="100"/>
      <c r="M416" s="100"/>
      <c r="N416" s="100"/>
      <c r="O416" s="100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17"/>
      <c r="K417" s="117"/>
      <c r="L417" s="100"/>
      <c r="M417" s="100"/>
      <c r="N417" s="100"/>
      <c r="O417" s="100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17"/>
      <c r="K418" s="117"/>
      <c r="L418" s="100"/>
      <c r="M418" s="100"/>
      <c r="N418" s="100"/>
      <c r="O418" s="100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17"/>
      <c r="K419" s="117"/>
      <c r="L419" s="100"/>
      <c r="M419" s="100"/>
      <c r="N419" s="100"/>
      <c r="O419" s="100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17"/>
      <c r="K420" s="117"/>
      <c r="L420" s="100"/>
      <c r="M420" s="100"/>
      <c r="N420" s="100"/>
      <c r="O420" s="100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17"/>
      <c r="K421" s="117"/>
      <c r="L421" s="100"/>
      <c r="M421" s="100"/>
      <c r="N421" s="100"/>
      <c r="O421" s="100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17"/>
      <c r="K422" s="117"/>
      <c r="L422" s="100"/>
      <c r="M422" s="100"/>
      <c r="N422" s="100"/>
      <c r="O422" s="100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17"/>
      <c r="K423" s="117"/>
      <c r="L423" s="100"/>
      <c r="M423" s="100"/>
      <c r="N423" s="100"/>
      <c r="O423" s="100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17"/>
      <c r="K424" s="117"/>
      <c r="L424" s="100"/>
      <c r="M424" s="100"/>
      <c r="N424" s="100"/>
      <c r="O424" s="100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17"/>
      <c r="K425" s="117"/>
      <c r="L425" s="100"/>
      <c r="M425" s="100"/>
      <c r="N425" s="100"/>
      <c r="O425" s="100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17"/>
      <c r="K426" s="117"/>
      <c r="L426" s="100"/>
      <c r="M426" s="100"/>
      <c r="N426" s="100"/>
      <c r="O426" s="100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17"/>
      <c r="K427" s="117"/>
      <c r="L427" s="100"/>
      <c r="M427" s="100"/>
      <c r="N427" s="100"/>
      <c r="O427" s="100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17"/>
      <c r="K428" s="117"/>
      <c r="L428" s="100"/>
      <c r="M428" s="100"/>
      <c r="N428" s="100"/>
      <c r="O428" s="100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17"/>
      <c r="K429" s="117"/>
      <c r="L429" s="100"/>
      <c r="M429" s="100"/>
      <c r="N429" s="100"/>
      <c r="O429" s="100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17"/>
      <c r="K430" s="117"/>
      <c r="L430" s="100"/>
      <c r="M430" s="100"/>
      <c r="N430" s="100"/>
      <c r="O430" s="100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17"/>
      <c r="K431" s="117"/>
      <c r="L431" s="100"/>
      <c r="M431" s="100"/>
      <c r="N431" s="100"/>
      <c r="O431" s="100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17"/>
      <c r="K432" s="117"/>
      <c r="L432" s="100"/>
      <c r="M432" s="100"/>
      <c r="N432" s="100"/>
      <c r="O432" s="100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17"/>
      <c r="K433" s="117"/>
      <c r="L433" s="100"/>
      <c r="M433" s="100"/>
      <c r="N433" s="100"/>
      <c r="O433" s="100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17"/>
      <c r="K434" s="117"/>
      <c r="L434" s="100"/>
      <c r="M434" s="100"/>
      <c r="N434" s="100"/>
      <c r="O434" s="100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17"/>
      <c r="K435" s="117"/>
      <c r="L435" s="100"/>
      <c r="M435" s="100"/>
      <c r="N435" s="100"/>
      <c r="O435" s="100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17"/>
      <c r="K436" s="117"/>
      <c r="L436" s="100"/>
      <c r="M436" s="100"/>
      <c r="N436" s="100"/>
      <c r="O436" s="100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17"/>
      <c r="K437" s="117"/>
      <c r="L437" s="100"/>
      <c r="M437" s="100"/>
      <c r="N437" s="100"/>
      <c r="O437" s="100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17"/>
      <c r="K438" s="117"/>
      <c r="L438" s="100"/>
      <c r="M438" s="100"/>
      <c r="N438" s="100"/>
      <c r="O438" s="100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17"/>
      <c r="K439" s="117"/>
      <c r="L439" s="100"/>
      <c r="M439" s="100"/>
      <c r="N439" s="100"/>
      <c r="O439" s="100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17"/>
      <c r="K440" s="117"/>
      <c r="L440" s="100"/>
      <c r="M440" s="100"/>
      <c r="N440" s="100"/>
      <c r="O440" s="100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17"/>
      <c r="K441" s="117"/>
      <c r="L441" s="100"/>
      <c r="M441" s="100"/>
      <c r="N441" s="100"/>
      <c r="O441" s="100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17"/>
      <c r="K442" s="117"/>
      <c r="L442" s="100"/>
      <c r="M442" s="100"/>
      <c r="N442" s="100"/>
      <c r="O442" s="100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17"/>
      <c r="K443" s="117"/>
      <c r="L443" s="100"/>
      <c r="M443" s="100"/>
      <c r="N443" s="100"/>
      <c r="O443" s="100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17"/>
      <c r="K444" s="117"/>
      <c r="L444" s="100"/>
      <c r="M444" s="100"/>
      <c r="N444" s="100"/>
      <c r="O444" s="100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17"/>
      <c r="K445" s="117"/>
      <c r="L445" s="100"/>
      <c r="M445" s="100"/>
      <c r="N445" s="100"/>
      <c r="O445" s="100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17"/>
      <c r="K446" s="117"/>
      <c r="L446" s="100"/>
      <c r="M446" s="100"/>
      <c r="N446" s="100"/>
      <c r="O446" s="100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17"/>
      <c r="K447" s="117"/>
      <c r="L447" s="100"/>
      <c r="M447" s="100"/>
      <c r="N447" s="100"/>
      <c r="O447" s="100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17"/>
      <c r="K448" s="117"/>
      <c r="L448" s="100"/>
      <c r="M448" s="100"/>
      <c r="N448" s="100"/>
      <c r="O448" s="100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17"/>
      <c r="K449" s="117"/>
      <c r="L449" s="100"/>
      <c r="M449" s="100"/>
      <c r="N449" s="100"/>
      <c r="O449" s="100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17"/>
      <c r="K450" s="117"/>
      <c r="L450" s="100"/>
      <c r="M450" s="100"/>
      <c r="N450" s="100"/>
      <c r="O450" s="100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17"/>
      <c r="K451" s="117"/>
      <c r="L451" s="100"/>
      <c r="M451" s="100"/>
      <c r="N451" s="100"/>
      <c r="O451" s="100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17"/>
      <c r="K452" s="117"/>
      <c r="L452" s="100"/>
      <c r="M452" s="100"/>
      <c r="N452" s="100"/>
      <c r="O452" s="100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17"/>
      <c r="K453" s="117"/>
      <c r="L453" s="100"/>
      <c r="M453" s="100"/>
      <c r="N453" s="100"/>
      <c r="O453" s="100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17"/>
      <c r="K454" s="117"/>
      <c r="L454" s="100"/>
      <c r="M454" s="100"/>
      <c r="N454" s="100"/>
      <c r="O454" s="100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17"/>
      <c r="K455" s="117"/>
      <c r="L455" s="100"/>
      <c r="M455" s="100"/>
      <c r="N455" s="100"/>
      <c r="O455" s="100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17"/>
      <c r="K456" s="117"/>
      <c r="L456" s="100"/>
      <c r="M456" s="100"/>
      <c r="N456" s="100"/>
      <c r="O456" s="100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17"/>
      <c r="K457" s="117"/>
      <c r="L457" s="100"/>
      <c r="M457" s="100"/>
      <c r="N457" s="100"/>
      <c r="O457" s="100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17"/>
      <c r="K458" s="117"/>
      <c r="L458" s="100"/>
      <c r="M458" s="100"/>
      <c r="N458" s="100"/>
      <c r="O458" s="100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17"/>
      <c r="K459" s="117"/>
      <c r="L459" s="100"/>
      <c r="M459" s="100"/>
      <c r="N459" s="100"/>
      <c r="O459" s="100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17"/>
      <c r="K460" s="117"/>
      <c r="L460" s="100"/>
      <c r="M460" s="100"/>
      <c r="N460" s="100"/>
      <c r="O460" s="100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17"/>
      <c r="K461" s="117"/>
      <c r="L461" s="100"/>
      <c r="M461" s="100"/>
      <c r="N461" s="100"/>
      <c r="O461" s="100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17"/>
      <c r="K462" s="117"/>
      <c r="L462" s="100"/>
      <c r="M462" s="100"/>
      <c r="N462" s="100"/>
      <c r="O462" s="100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17"/>
      <c r="K463" s="117"/>
      <c r="L463" s="100"/>
      <c r="M463" s="100"/>
      <c r="N463" s="100"/>
      <c r="O463" s="100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17"/>
      <c r="K464" s="117"/>
      <c r="L464" s="100"/>
      <c r="M464" s="100"/>
      <c r="N464" s="100"/>
      <c r="O464" s="100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17"/>
      <c r="K465" s="117"/>
      <c r="L465" s="100"/>
      <c r="M465" s="100"/>
      <c r="N465" s="100"/>
      <c r="O465" s="100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17"/>
      <c r="K466" s="117"/>
      <c r="L466" s="100"/>
      <c r="M466" s="100"/>
      <c r="N466" s="100"/>
      <c r="O466" s="100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17"/>
      <c r="K467" s="117"/>
      <c r="L467" s="100"/>
      <c r="M467" s="100"/>
      <c r="N467" s="100"/>
      <c r="O467" s="100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17"/>
      <c r="K468" s="117"/>
      <c r="L468" s="100"/>
      <c r="M468" s="100"/>
      <c r="N468" s="100"/>
      <c r="O468" s="100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17"/>
      <c r="K469" s="117"/>
      <c r="L469" s="100"/>
      <c r="M469" s="100"/>
      <c r="N469" s="100"/>
      <c r="O469" s="100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17"/>
      <c r="K470" s="117"/>
      <c r="L470" s="100"/>
      <c r="M470" s="100"/>
      <c r="N470" s="100"/>
      <c r="O470" s="100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17"/>
      <c r="K471" s="117"/>
      <c r="L471" s="100"/>
      <c r="M471" s="100"/>
      <c r="N471" s="100"/>
      <c r="O471" s="100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17"/>
      <c r="K472" s="117"/>
      <c r="L472" s="100"/>
      <c r="M472" s="100"/>
      <c r="N472" s="100"/>
      <c r="O472" s="100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17"/>
      <c r="K473" s="117"/>
      <c r="L473" s="100"/>
      <c r="M473" s="100"/>
      <c r="N473" s="100"/>
      <c r="O473" s="100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17"/>
      <c r="K474" s="117"/>
      <c r="L474" s="100"/>
      <c r="M474" s="100"/>
      <c r="N474" s="100"/>
      <c r="O474" s="100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17"/>
      <c r="K475" s="117"/>
      <c r="L475" s="100"/>
      <c r="M475" s="100"/>
      <c r="N475" s="100"/>
      <c r="O475" s="100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17"/>
      <c r="K476" s="117"/>
      <c r="L476" s="100"/>
      <c r="M476" s="100"/>
      <c r="N476" s="100"/>
      <c r="O476" s="100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17"/>
      <c r="K477" s="117"/>
      <c r="L477" s="100"/>
      <c r="M477" s="100"/>
      <c r="N477" s="100"/>
      <c r="O477" s="100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17"/>
      <c r="K478" s="117"/>
      <c r="L478" s="100"/>
      <c r="M478" s="100"/>
      <c r="N478" s="100"/>
      <c r="O478" s="100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17"/>
      <c r="K479" s="117"/>
      <c r="L479" s="100"/>
      <c r="M479" s="100"/>
      <c r="N479" s="100"/>
      <c r="O479" s="100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17"/>
      <c r="K480" s="117"/>
      <c r="L480" s="100"/>
      <c r="M480" s="100"/>
      <c r="N480" s="100"/>
      <c r="O480" s="100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17"/>
      <c r="K481" s="117"/>
      <c r="L481" s="100"/>
      <c r="M481" s="100"/>
      <c r="N481" s="100"/>
      <c r="O481" s="100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17"/>
      <c r="K482" s="117"/>
      <c r="L482" s="100"/>
      <c r="M482" s="100"/>
      <c r="N482" s="100"/>
      <c r="O482" s="100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17"/>
      <c r="K483" s="117"/>
      <c r="L483" s="100"/>
      <c r="M483" s="100"/>
      <c r="N483" s="100"/>
      <c r="O483" s="100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17"/>
      <c r="K484" s="117"/>
      <c r="L484" s="100"/>
      <c r="M484" s="100"/>
      <c r="N484" s="100"/>
      <c r="O484" s="100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17"/>
      <c r="K485" s="117"/>
      <c r="L485" s="100"/>
      <c r="M485" s="100"/>
      <c r="N485" s="100"/>
      <c r="O485" s="100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17"/>
      <c r="K486" s="117"/>
      <c r="L486" s="100"/>
      <c r="M486" s="100"/>
      <c r="N486" s="100"/>
      <c r="O486" s="100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17"/>
      <c r="K487" s="117"/>
      <c r="L487" s="100"/>
      <c r="M487" s="100"/>
      <c r="N487" s="100"/>
      <c r="O487" s="100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17"/>
      <c r="K488" s="117"/>
      <c r="L488" s="100"/>
      <c r="M488" s="100"/>
      <c r="N488" s="100"/>
      <c r="O488" s="100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17"/>
      <c r="K489" s="117"/>
      <c r="L489" s="100"/>
      <c r="M489" s="100"/>
      <c r="N489" s="100"/>
      <c r="O489" s="100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17"/>
      <c r="K490" s="117"/>
      <c r="L490" s="100"/>
      <c r="M490" s="100"/>
      <c r="N490" s="100"/>
      <c r="O490" s="100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17"/>
      <c r="K491" s="117"/>
      <c r="L491" s="100"/>
      <c r="M491" s="100"/>
      <c r="N491" s="100"/>
      <c r="O491" s="100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17"/>
      <c r="K492" s="117"/>
      <c r="L492" s="100"/>
      <c r="M492" s="100"/>
      <c r="N492" s="100"/>
      <c r="O492" s="100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17"/>
      <c r="K493" s="117"/>
      <c r="L493" s="100"/>
      <c r="M493" s="100"/>
      <c r="N493" s="100"/>
      <c r="O493" s="100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17"/>
      <c r="K494" s="117"/>
      <c r="L494" s="100"/>
      <c r="M494" s="100"/>
      <c r="N494" s="100"/>
      <c r="O494" s="100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17"/>
      <c r="K495" s="117"/>
      <c r="L495" s="100"/>
      <c r="M495" s="100"/>
      <c r="N495" s="100"/>
      <c r="O495" s="100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17"/>
      <c r="K496" s="117"/>
      <c r="L496" s="100"/>
      <c r="M496" s="100"/>
      <c r="N496" s="100"/>
      <c r="O496" s="100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17"/>
      <c r="K497" s="117"/>
      <c r="L497" s="100"/>
      <c r="M497" s="100"/>
      <c r="N497" s="100"/>
      <c r="O497" s="100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17"/>
      <c r="K498" s="117"/>
      <c r="L498" s="100"/>
      <c r="M498" s="100"/>
      <c r="N498" s="100"/>
      <c r="O498" s="100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17"/>
      <c r="K499" s="117"/>
      <c r="L499" s="100"/>
      <c r="M499" s="100"/>
      <c r="N499" s="100"/>
      <c r="O499" s="100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17"/>
      <c r="K500" s="117"/>
      <c r="L500" s="100"/>
      <c r="M500" s="100"/>
      <c r="N500" s="100"/>
      <c r="O500" s="100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17"/>
      <c r="K501" s="117"/>
      <c r="L501" s="100"/>
      <c r="M501" s="100"/>
      <c r="N501" s="100"/>
      <c r="O501" s="100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17"/>
      <c r="K502" s="117"/>
      <c r="L502" s="100"/>
      <c r="M502" s="100"/>
      <c r="N502" s="100"/>
      <c r="O502" s="100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17"/>
      <c r="K503" s="117"/>
      <c r="L503" s="100"/>
      <c r="M503" s="100"/>
      <c r="N503" s="100"/>
      <c r="O503" s="100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17"/>
      <c r="K504" s="117"/>
      <c r="L504" s="100"/>
      <c r="M504" s="100"/>
      <c r="N504" s="100"/>
      <c r="O504" s="100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17"/>
      <c r="K505" s="117"/>
      <c r="L505" s="100"/>
      <c r="M505" s="100"/>
      <c r="N505" s="100"/>
      <c r="O505" s="100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17"/>
      <c r="K506" s="117"/>
      <c r="L506" s="100"/>
      <c r="M506" s="100"/>
      <c r="N506" s="100"/>
      <c r="O506" s="100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17"/>
      <c r="K507" s="117"/>
      <c r="L507" s="100"/>
      <c r="M507" s="100"/>
      <c r="N507" s="100"/>
      <c r="O507" s="100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17"/>
      <c r="K508" s="117"/>
      <c r="L508" s="100"/>
      <c r="M508" s="100"/>
      <c r="N508" s="100"/>
      <c r="O508" s="100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17"/>
      <c r="K509" s="117"/>
      <c r="L509" s="100"/>
      <c r="M509" s="100"/>
      <c r="N509" s="100"/>
      <c r="O509" s="100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17"/>
      <c r="K510" s="117"/>
      <c r="L510" s="100"/>
      <c r="M510" s="100"/>
      <c r="N510" s="100"/>
      <c r="O510" s="100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17"/>
      <c r="K511" s="117"/>
      <c r="L511" s="100"/>
      <c r="M511" s="100"/>
      <c r="N511" s="100"/>
      <c r="O511" s="100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17"/>
      <c r="K512" s="117"/>
      <c r="L512" s="100"/>
      <c r="M512" s="100"/>
      <c r="N512" s="100"/>
      <c r="O512" s="100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17"/>
      <c r="K513" s="117"/>
      <c r="L513" s="100"/>
      <c r="M513" s="100"/>
      <c r="N513" s="100"/>
      <c r="O513" s="100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17"/>
      <c r="K514" s="117"/>
      <c r="L514" s="100"/>
      <c r="M514" s="100"/>
      <c r="N514" s="100"/>
      <c r="O514" s="100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17"/>
      <c r="K515" s="117"/>
      <c r="L515" s="100"/>
      <c r="M515" s="100"/>
      <c r="N515" s="100"/>
      <c r="O515" s="100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17"/>
      <c r="K516" s="117"/>
      <c r="L516" s="100"/>
      <c r="M516" s="100"/>
      <c r="N516" s="100"/>
      <c r="O516" s="100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17"/>
      <c r="K517" s="117"/>
      <c r="L517" s="100"/>
      <c r="M517" s="100"/>
      <c r="N517" s="100"/>
      <c r="O517" s="100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17"/>
      <c r="K518" s="117"/>
      <c r="L518" s="100"/>
      <c r="M518" s="100"/>
      <c r="N518" s="100"/>
      <c r="O518" s="100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17"/>
      <c r="K519" s="117"/>
      <c r="L519" s="100"/>
      <c r="M519" s="100"/>
      <c r="N519" s="100"/>
      <c r="O519" s="100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17"/>
      <c r="K520" s="117"/>
      <c r="L520" s="100"/>
      <c r="M520" s="100"/>
      <c r="N520" s="100"/>
      <c r="O520" s="100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17"/>
      <c r="K521" s="117"/>
      <c r="L521" s="100"/>
      <c r="M521" s="100"/>
      <c r="N521" s="100"/>
      <c r="O521" s="100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17"/>
      <c r="K522" s="117"/>
      <c r="L522" s="100"/>
      <c r="M522" s="100"/>
      <c r="N522" s="100"/>
      <c r="O522" s="100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17"/>
      <c r="K523" s="117"/>
      <c r="L523" s="100"/>
      <c r="M523" s="100"/>
      <c r="N523" s="100"/>
      <c r="O523" s="100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17"/>
      <c r="K524" s="117"/>
      <c r="L524" s="100"/>
      <c r="M524" s="100"/>
      <c r="N524" s="100"/>
      <c r="O524" s="100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17"/>
      <c r="K525" s="117"/>
      <c r="L525" s="100"/>
      <c r="M525" s="100"/>
      <c r="N525" s="100"/>
      <c r="O525" s="100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17"/>
      <c r="K526" s="117"/>
      <c r="L526" s="100"/>
      <c r="M526" s="100"/>
      <c r="N526" s="100"/>
      <c r="O526" s="100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17"/>
      <c r="K527" s="117"/>
      <c r="L527" s="100"/>
      <c r="M527" s="100"/>
      <c r="N527" s="100"/>
      <c r="O527" s="100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17"/>
      <c r="K528" s="117"/>
      <c r="L528" s="100"/>
      <c r="M528" s="100"/>
      <c r="N528" s="100"/>
      <c r="O528" s="100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17"/>
      <c r="K529" s="117"/>
      <c r="L529" s="100"/>
      <c r="M529" s="100"/>
      <c r="N529" s="100"/>
      <c r="O529" s="100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17"/>
      <c r="K530" s="117"/>
      <c r="L530" s="100"/>
      <c r="M530" s="100"/>
      <c r="N530" s="100"/>
      <c r="O530" s="100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17"/>
      <c r="K531" s="117"/>
      <c r="L531" s="100"/>
      <c r="M531" s="100"/>
      <c r="N531" s="100"/>
      <c r="O531" s="100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17"/>
      <c r="K532" s="117"/>
      <c r="L532" s="100"/>
      <c r="M532" s="100"/>
      <c r="N532" s="100"/>
      <c r="O532" s="100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17"/>
      <c r="K533" s="117"/>
      <c r="L533" s="100"/>
      <c r="M533" s="100"/>
      <c r="N533" s="100"/>
      <c r="O533" s="100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17"/>
      <c r="K534" s="117"/>
      <c r="L534" s="100"/>
      <c r="M534" s="100"/>
      <c r="N534" s="100"/>
      <c r="O534" s="100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17"/>
      <c r="K535" s="117"/>
      <c r="L535" s="100"/>
      <c r="M535" s="100"/>
      <c r="N535" s="100"/>
      <c r="O535" s="100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17"/>
      <c r="K536" s="117"/>
      <c r="L536" s="100"/>
      <c r="M536" s="100"/>
      <c r="N536" s="100"/>
      <c r="O536" s="100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17"/>
      <c r="K537" s="117"/>
      <c r="L537" s="100"/>
      <c r="M537" s="100"/>
      <c r="N537" s="100"/>
      <c r="O537" s="100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17"/>
      <c r="K538" s="117"/>
      <c r="L538" s="100"/>
      <c r="M538" s="100"/>
      <c r="N538" s="100"/>
      <c r="O538" s="100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17"/>
      <c r="K539" s="117"/>
      <c r="L539" s="100"/>
      <c r="M539" s="100"/>
      <c r="N539" s="100"/>
      <c r="O539" s="100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17"/>
      <c r="K540" s="117"/>
      <c r="L540" s="100"/>
      <c r="M540" s="100"/>
      <c r="N540" s="100"/>
      <c r="O540" s="100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17"/>
      <c r="K541" s="117"/>
      <c r="L541" s="100"/>
      <c r="M541" s="100"/>
      <c r="N541" s="100"/>
      <c r="O541" s="100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17"/>
      <c r="K542" s="117"/>
      <c r="L542" s="100"/>
      <c r="M542" s="100"/>
      <c r="N542" s="100"/>
      <c r="O542" s="100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17"/>
      <c r="K543" s="117"/>
      <c r="L543" s="100"/>
      <c r="M543" s="100"/>
      <c r="N543" s="100"/>
      <c r="O543" s="100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17"/>
      <c r="K544" s="117"/>
      <c r="L544" s="100"/>
      <c r="M544" s="100"/>
      <c r="N544" s="100"/>
      <c r="O544" s="100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17"/>
      <c r="K545" s="117"/>
      <c r="L545" s="100"/>
      <c r="M545" s="100"/>
      <c r="N545" s="100"/>
      <c r="O545" s="100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17"/>
      <c r="K546" s="117"/>
      <c r="L546" s="100"/>
      <c r="M546" s="100"/>
      <c r="N546" s="100"/>
      <c r="O546" s="100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17"/>
      <c r="K547" s="117"/>
      <c r="L547" s="100"/>
      <c r="M547" s="100"/>
      <c r="N547" s="100"/>
      <c r="O547" s="100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17"/>
      <c r="K548" s="117"/>
      <c r="L548" s="100"/>
      <c r="M548" s="100"/>
      <c r="N548" s="100"/>
      <c r="O548" s="100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17"/>
      <c r="K549" s="117"/>
      <c r="L549" s="100"/>
      <c r="M549" s="100"/>
      <c r="N549" s="100"/>
      <c r="O549" s="100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17"/>
      <c r="K550" s="117"/>
      <c r="L550" s="100"/>
      <c r="M550" s="100"/>
      <c r="N550" s="100"/>
      <c r="O550" s="100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17"/>
      <c r="K551" s="117"/>
      <c r="L551" s="100"/>
      <c r="M551" s="100"/>
      <c r="N551" s="100"/>
      <c r="O551" s="100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17"/>
      <c r="K552" s="117"/>
      <c r="L552" s="100"/>
      <c r="M552" s="100"/>
      <c r="N552" s="100"/>
      <c r="O552" s="100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17"/>
      <c r="K553" s="117"/>
      <c r="L553" s="100"/>
      <c r="M553" s="100"/>
      <c r="N553" s="100"/>
      <c r="O553" s="100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17"/>
      <c r="K554" s="117"/>
      <c r="L554" s="100"/>
      <c r="M554" s="100"/>
      <c r="N554" s="100"/>
      <c r="O554" s="100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17"/>
      <c r="K555" s="117"/>
      <c r="L555" s="100"/>
      <c r="M555" s="100"/>
      <c r="N555" s="100"/>
      <c r="O555" s="100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17"/>
      <c r="K556" s="117"/>
      <c r="L556" s="100"/>
      <c r="M556" s="100"/>
      <c r="N556" s="100"/>
      <c r="O556" s="100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17"/>
      <c r="K557" s="117"/>
      <c r="L557" s="100"/>
      <c r="M557" s="100"/>
      <c r="N557" s="100"/>
      <c r="O557" s="100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17"/>
      <c r="K558" s="117"/>
      <c r="L558" s="100"/>
      <c r="M558" s="100"/>
      <c r="N558" s="100"/>
      <c r="O558" s="100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17"/>
      <c r="K559" s="117"/>
      <c r="L559" s="100"/>
      <c r="M559" s="100"/>
      <c r="N559" s="100"/>
      <c r="O559" s="100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17"/>
      <c r="K560" s="117"/>
      <c r="L560" s="100"/>
      <c r="M560" s="100"/>
      <c r="N560" s="100"/>
      <c r="O560" s="100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17"/>
      <c r="K561" s="117"/>
      <c r="L561" s="100"/>
      <c r="M561" s="100"/>
      <c r="N561" s="100"/>
      <c r="O561" s="100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17"/>
      <c r="K562" s="117"/>
      <c r="L562" s="100"/>
      <c r="M562" s="100"/>
      <c r="N562" s="100"/>
      <c r="O562" s="100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17"/>
      <c r="K563" s="117"/>
      <c r="L563" s="100"/>
      <c r="M563" s="100"/>
      <c r="N563" s="100"/>
      <c r="O563" s="100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17"/>
      <c r="K564" s="117"/>
      <c r="L564" s="100"/>
      <c r="M564" s="100"/>
      <c r="N564" s="100"/>
      <c r="O564" s="100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17"/>
      <c r="K565" s="117"/>
      <c r="L565" s="100"/>
      <c r="M565" s="100"/>
      <c r="N565" s="100"/>
      <c r="O565" s="100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17"/>
      <c r="K566" s="117"/>
      <c r="L566" s="100"/>
      <c r="M566" s="100"/>
      <c r="N566" s="100"/>
      <c r="O566" s="100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17"/>
      <c r="K567" s="117"/>
      <c r="L567" s="100"/>
      <c r="M567" s="100"/>
      <c r="N567" s="100"/>
      <c r="O567" s="100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17"/>
      <c r="K568" s="117"/>
      <c r="L568" s="100"/>
      <c r="M568" s="100"/>
      <c r="N568" s="100"/>
      <c r="O568" s="100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17"/>
      <c r="K569" s="117"/>
      <c r="L569" s="100"/>
      <c r="M569" s="100"/>
      <c r="N569" s="100"/>
      <c r="O569" s="100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17"/>
      <c r="K570" s="117"/>
      <c r="L570" s="100"/>
      <c r="M570" s="100"/>
      <c r="N570" s="100"/>
      <c r="O570" s="100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17"/>
      <c r="K571" s="117"/>
      <c r="L571" s="100"/>
      <c r="M571" s="100"/>
      <c r="N571" s="100"/>
      <c r="O571" s="100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17"/>
      <c r="K572" s="117"/>
      <c r="L572" s="100"/>
      <c r="M572" s="100"/>
      <c r="N572" s="100"/>
      <c r="O572" s="100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17"/>
      <c r="K573" s="117"/>
      <c r="L573" s="100"/>
      <c r="M573" s="100"/>
      <c r="N573" s="100"/>
      <c r="O573" s="100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17"/>
      <c r="K574" s="117"/>
      <c r="L574" s="100"/>
      <c r="M574" s="100"/>
      <c r="N574" s="100"/>
      <c r="O574" s="100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17"/>
      <c r="K575" s="117"/>
      <c r="L575" s="100"/>
      <c r="M575" s="100"/>
      <c r="N575" s="100"/>
      <c r="O575" s="100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17"/>
      <c r="K576" s="117"/>
      <c r="L576" s="100"/>
      <c r="M576" s="100"/>
      <c r="N576" s="100"/>
      <c r="O576" s="100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17"/>
      <c r="K577" s="117"/>
      <c r="L577" s="100"/>
      <c r="M577" s="100"/>
      <c r="N577" s="100"/>
      <c r="O577" s="100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17"/>
      <c r="K578" s="117"/>
      <c r="L578" s="100"/>
      <c r="M578" s="100"/>
      <c r="N578" s="100"/>
      <c r="O578" s="100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17"/>
      <c r="K579" s="117"/>
      <c r="L579" s="100"/>
      <c r="M579" s="100"/>
      <c r="N579" s="100"/>
      <c r="O579" s="100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17"/>
      <c r="K580" s="117"/>
      <c r="L580" s="100"/>
      <c r="M580" s="100"/>
      <c r="N580" s="100"/>
      <c r="O580" s="100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17"/>
      <c r="K581" s="117"/>
      <c r="L581" s="100"/>
      <c r="M581" s="100"/>
      <c r="N581" s="100"/>
      <c r="O581" s="100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17"/>
      <c r="K582" s="117"/>
      <c r="L582" s="100"/>
      <c r="M582" s="100"/>
      <c r="N582" s="100"/>
      <c r="O582" s="100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17"/>
      <c r="K583" s="117"/>
      <c r="L583" s="100"/>
      <c r="M583" s="100"/>
      <c r="N583" s="100"/>
      <c r="O583" s="100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17"/>
      <c r="K584" s="117"/>
      <c r="L584" s="100"/>
      <c r="M584" s="100"/>
      <c r="N584" s="100"/>
      <c r="O584" s="100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17"/>
      <c r="K585" s="117"/>
      <c r="L585" s="100"/>
      <c r="M585" s="100"/>
      <c r="N585" s="100"/>
      <c r="O585" s="100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17"/>
      <c r="K586" s="117"/>
      <c r="L586" s="100"/>
      <c r="M586" s="100"/>
      <c r="N586" s="100"/>
      <c r="O586" s="100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17"/>
      <c r="K587" s="117"/>
      <c r="L587" s="100"/>
      <c r="M587" s="100"/>
      <c r="N587" s="100"/>
      <c r="O587" s="100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17"/>
      <c r="K588" s="117"/>
      <c r="L588" s="100"/>
      <c r="M588" s="100"/>
      <c r="N588" s="100"/>
      <c r="O588" s="100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17"/>
      <c r="K589" s="117"/>
      <c r="L589" s="100"/>
      <c r="M589" s="100"/>
      <c r="N589" s="100"/>
      <c r="O589" s="100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17"/>
      <c r="K590" s="117"/>
      <c r="L590" s="100"/>
      <c r="M590" s="100"/>
      <c r="N590" s="100"/>
      <c r="O590" s="100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17"/>
      <c r="K591" s="117"/>
      <c r="L591" s="100"/>
      <c r="M591" s="100"/>
      <c r="N591" s="100"/>
      <c r="O591" s="100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17"/>
      <c r="K592" s="117"/>
      <c r="L592" s="100"/>
      <c r="M592" s="100"/>
      <c r="N592" s="100"/>
      <c r="O592" s="100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17"/>
      <c r="K593" s="117"/>
      <c r="L593" s="100"/>
      <c r="M593" s="100"/>
      <c r="N593" s="100"/>
      <c r="O593" s="100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17"/>
      <c r="K594" s="117"/>
      <c r="L594" s="100"/>
      <c r="M594" s="100"/>
      <c r="N594" s="100"/>
      <c r="O594" s="100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17"/>
      <c r="K595" s="117"/>
      <c r="L595" s="100"/>
      <c r="M595" s="100"/>
      <c r="N595" s="100"/>
      <c r="O595" s="100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17"/>
      <c r="K596" s="117"/>
      <c r="L596" s="100"/>
      <c r="M596" s="100"/>
      <c r="N596" s="100"/>
      <c r="O596" s="100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17"/>
      <c r="K597" s="117"/>
      <c r="L597" s="100"/>
      <c r="M597" s="100"/>
      <c r="N597" s="100"/>
      <c r="O597" s="100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17"/>
      <c r="K598" s="117"/>
      <c r="L598" s="100"/>
      <c r="M598" s="100"/>
      <c r="N598" s="100"/>
      <c r="O598" s="100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17"/>
      <c r="K599" s="117"/>
      <c r="L599" s="100"/>
      <c r="M599" s="100"/>
      <c r="N599" s="100"/>
      <c r="O599" s="100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17"/>
      <c r="K600" s="117"/>
      <c r="L600" s="100"/>
      <c r="M600" s="100"/>
      <c r="N600" s="100"/>
      <c r="O600" s="100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17"/>
      <c r="K601" s="117"/>
      <c r="L601" s="100"/>
      <c r="M601" s="100"/>
      <c r="N601" s="100"/>
      <c r="O601" s="100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17"/>
      <c r="K602" s="117"/>
      <c r="L602" s="100"/>
      <c r="M602" s="100"/>
      <c r="N602" s="100"/>
      <c r="O602" s="100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17"/>
      <c r="K603" s="117"/>
      <c r="L603" s="100"/>
      <c r="M603" s="100"/>
      <c r="N603" s="100"/>
      <c r="O603" s="100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17"/>
      <c r="K604" s="117"/>
      <c r="L604" s="100"/>
      <c r="M604" s="100"/>
      <c r="N604" s="100"/>
      <c r="O604" s="100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17"/>
      <c r="K605" s="117"/>
      <c r="L605" s="100"/>
      <c r="M605" s="100"/>
      <c r="N605" s="100"/>
      <c r="O605" s="100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17"/>
      <c r="K606" s="117"/>
      <c r="L606" s="100"/>
      <c r="M606" s="100"/>
      <c r="N606" s="100"/>
      <c r="O606" s="100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17"/>
      <c r="K607" s="117"/>
      <c r="L607" s="100"/>
      <c r="M607" s="100"/>
      <c r="N607" s="100"/>
      <c r="O607" s="100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17"/>
      <c r="K608" s="117"/>
      <c r="L608" s="100"/>
      <c r="M608" s="100"/>
      <c r="N608" s="100"/>
      <c r="O608" s="100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17"/>
      <c r="K609" s="117"/>
      <c r="L609" s="100"/>
      <c r="M609" s="100"/>
      <c r="N609" s="100"/>
      <c r="O609" s="100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17"/>
      <c r="K610" s="117"/>
      <c r="L610" s="100"/>
      <c r="M610" s="100"/>
      <c r="N610" s="100"/>
      <c r="O610" s="100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17"/>
      <c r="K611" s="117"/>
      <c r="L611" s="100"/>
      <c r="M611" s="100"/>
      <c r="N611" s="100"/>
      <c r="O611" s="100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17"/>
      <c r="K612" s="117"/>
      <c r="L612" s="100"/>
      <c r="M612" s="100"/>
      <c r="N612" s="100"/>
      <c r="O612" s="100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17"/>
      <c r="K613" s="117"/>
      <c r="L613" s="100"/>
      <c r="M613" s="100"/>
      <c r="N613" s="100"/>
      <c r="O613" s="100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17"/>
      <c r="K614" s="117"/>
      <c r="L614" s="100"/>
      <c r="M614" s="100"/>
      <c r="N614" s="100"/>
      <c r="O614" s="100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17"/>
      <c r="K615" s="117"/>
      <c r="L615" s="100"/>
      <c r="M615" s="100"/>
      <c r="N615" s="100"/>
      <c r="O615" s="100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17"/>
      <c r="K616" s="117"/>
      <c r="L616" s="100"/>
      <c r="M616" s="100"/>
      <c r="N616" s="100"/>
      <c r="O616" s="100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17"/>
      <c r="K617" s="117"/>
      <c r="L617" s="100"/>
      <c r="M617" s="100"/>
      <c r="N617" s="100"/>
      <c r="O617" s="100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17"/>
      <c r="K618" s="117"/>
      <c r="L618" s="100"/>
      <c r="M618" s="100"/>
      <c r="N618" s="100"/>
      <c r="O618" s="100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17"/>
      <c r="K619" s="117"/>
      <c r="L619" s="100"/>
      <c r="M619" s="100"/>
      <c r="N619" s="100"/>
      <c r="O619" s="100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17"/>
      <c r="K620" s="117"/>
      <c r="L620" s="100"/>
      <c r="M620" s="100"/>
      <c r="N620" s="100"/>
      <c r="O620" s="100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17"/>
      <c r="K621" s="117"/>
      <c r="L621" s="100"/>
      <c r="M621" s="100"/>
      <c r="N621" s="100"/>
      <c r="O621" s="100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17"/>
      <c r="K622" s="117"/>
      <c r="L622" s="100"/>
      <c r="M622" s="100"/>
      <c r="N622" s="100"/>
      <c r="O622" s="100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17"/>
      <c r="K623" s="117"/>
      <c r="L623" s="100"/>
      <c r="M623" s="100"/>
      <c r="N623" s="100"/>
      <c r="O623" s="100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17"/>
      <c r="K624" s="117"/>
      <c r="L624" s="100"/>
      <c r="M624" s="100"/>
      <c r="N624" s="100"/>
      <c r="O624" s="100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17"/>
      <c r="K625" s="117"/>
      <c r="L625" s="100"/>
      <c r="M625" s="100"/>
      <c r="N625" s="100"/>
      <c r="O625" s="100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17"/>
      <c r="K626" s="117"/>
      <c r="L626" s="100"/>
      <c r="M626" s="100"/>
      <c r="N626" s="100"/>
      <c r="O626" s="100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17"/>
      <c r="K627" s="117"/>
      <c r="L627" s="100"/>
      <c r="M627" s="100"/>
      <c r="N627" s="100"/>
      <c r="O627" s="100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17"/>
      <c r="K628" s="117"/>
      <c r="L628" s="100"/>
      <c r="M628" s="100"/>
      <c r="N628" s="100"/>
      <c r="O628" s="100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17"/>
      <c r="K629" s="117"/>
      <c r="L629" s="100"/>
      <c r="M629" s="100"/>
      <c r="N629" s="100"/>
      <c r="O629" s="100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17"/>
      <c r="K630" s="117"/>
      <c r="L630" s="100"/>
      <c r="M630" s="100"/>
      <c r="N630" s="100"/>
      <c r="O630" s="100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17"/>
      <c r="K631" s="117"/>
      <c r="L631" s="100"/>
      <c r="M631" s="100"/>
      <c r="N631" s="100"/>
      <c r="O631" s="100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17"/>
      <c r="K632" s="117"/>
      <c r="L632" s="100"/>
      <c r="M632" s="100"/>
      <c r="N632" s="100"/>
      <c r="O632" s="100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17"/>
      <c r="K633" s="117"/>
      <c r="L633" s="100"/>
      <c r="M633" s="100"/>
      <c r="N633" s="100"/>
      <c r="O633" s="100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17"/>
      <c r="K634" s="117"/>
      <c r="L634" s="100"/>
      <c r="M634" s="100"/>
      <c r="N634" s="100"/>
      <c r="O634" s="100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17"/>
      <c r="K635" s="117"/>
      <c r="L635" s="100"/>
      <c r="M635" s="100"/>
      <c r="N635" s="100"/>
      <c r="O635" s="100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17"/>
      <c r="K636" s="117"/>
      <c r="L636" s="100"/>
      <c r="M636" s="100"/>
      <c r="N636" s="100"/>
      <c r="O636" s="100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17"/>
      <c r="K637" s="117"/>
      <c r="L637" s="100"/>
      <c r="M637" s="100"/>
      <c r="N637" s="100"/>
      <c r="O637" s="100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17"/>
      <c r="K638" s="117"/>
      <c r="L638" s="100"/>
      <c r="M638" s="100"/>
      <c r="N638" s="100"/>
      <c r="O638" s="100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17"/>
      <c r="K639" s="117"/>
      <c r="L639" s="100"/>
      <c r="M639" s="100"/>
      <c r="N639" s="100"/>
      <c r="O639" s="100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17"/>
      <c r="K640" s="117"/>
      <c r="L640" s="100"/>
      <c r="M640" s="100"/>
      <c r="N640" s="100"/>
      <c r="O640" s="100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17"/>
      <c r="K641" s="117"/>
      <c r="L641" s="100"/>
      <c r="M641" s="100"/>
      <c r="N641" s="100"/>
      <c r="O641" s="100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17"/>
      <c r="K642" s="117"/>
      <c r="L642" s="100"/>
      <c r="M642" s="100"/>
      <c r="N642" s="100"/>
      <c r="O642" s="100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17"/>
      <c r="K643" s="117"/>
      <c r="L643" s="100"/>
      <c r="M643" s="100"/>
      <c r="N643" s="100"/>
      <c r="O643" s="100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17"/>
      <c r="K644" s="117"/>
      <c r="L644" s="100"/>
      <c r="M644" s="100"/>
      <c r="N644" s="100"/>
      <c r="O644" s="100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17"/>
      <c r="K645" s="117"/>
      <c r="L645" s="100"/>
      <c r="M645" s="100"/>
      <c r="N645" s="100"/>
      <c r="O645" s="100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17"/>
      <c r="K646" s="117"/>
      <c r="L646" s="100"/>
      <c r="M646" s="100"/>
      <c r="N646" s="100"/>
      <c r="O646" s="100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17"/>
      <c r="K647" s="117"/>
      <c r="L647" s="100"/>
      <c r="M647" s="100"/>
      <c r="N647" s="100"/>
      <c r="O647" s="100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17"/>
      <c r="K648" s="117"/>
      <c r="L648" s="100"/>
      <c r="M648" s="100"/>
      <c r="N648" s="100"/>
      <c r="O648" s="100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17"/>
      <c r="K649" s="117"/>
      <c r="L649" s="100"/>
      <c r="M649" s="100"/>
      <c r="N649" s="100"/>
      <c r="O649" s="100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17"/>
      <c r="K650" s="117"/>
      <c r="L650" s="100"/>
      <c r="M650" s="100"/>
      <c r="N650" s="100"/>
      <c r="O650" s="100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17"/>
      <c r="K651" s="117"/>
      <c r="L651" s="100"/>
      <c r="M651" s="100"/>
      <c r="N651" s="100"/>
      <c r="O651" s="100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17"/>
      <c r="K652" s="117"/>
      <c r="L652" s="100"/>
      <c r="M652" s="100"/>
      <c r="N652" s="100"/>
      <c r="O652" s="100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17"/>
      <c r="K653" s="117"/>
      <c r="L653" s="100"/>
      <c r="M653" s="100"/>
      <c r="N653" s="100"/>
      <c r="O653" s="100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17"/>
      <c r="K654" s="117"/>
      <c r="L654" s="100"/>
      <c r="M654" s="100"/>
      <c r="N654" s="100"/>
      <c r="O654" s="100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17"/>
      <c r="K655" s="117"/>
      <c r="L655" s="100"/>
      <c r="M655" s="100"/>
      <c r="N655" s="100"/>
      <c r="O655" s="100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17"/>
      <c r="K656" s="117"/>
      <c r="L656" s="100"/>
      <c r="M656" s="100"/>
      <c r="N656" s="100"/>
      <c r="O656" s="100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17"/>
      <c r="K657" s="117"/>
      <c r="L657" s="100"/>
      <c r="M657" s="100"/>
      <c r="N657" s="100"/>
      <c r="O657" s="100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17"/>
      <c r="K658" s="117"/>
      <c r="L658" s="100"/>
      <c r="M658" s="100"/>
      <c r="N658" s="100"/>
      <c r="O658" s="100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17"/>
      <c r="K659" s="117"/>
      <c r="L659" s="100"/>
      <c r="M659" s="100"/>
      <c r="N659" s="100"/>
      <c r="O659" s="100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17"/>
      <c r="K660" s="117"/>
      <c r="L660" s="100"/>
      <c r="M660" s="100"/>
      <c r="N660" s="100"/>
      <c r="O660" s="100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17"/>
      <c r="K661" s="117"/>
      <c r="L661" s="100"/>
      <c r="M661" s="100"/>
      <c r="N661" s="100"/>
      <c r="O661" s="100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17"/>
      <c r="K662" s="117"/>
      <c r="L662" s="100"/>
      <c r="M662" s="100"/>
      <c r="N662" s="100"/>
      <c r="O662" s="100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17"/>
      <c r="K663" s="117"/>
      <c r="L663" s="100"/>
      <c r="M663" s="100"/>
      <c r="N663" s="100"/>
      <c r="O663" s="100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17"/>
      <c r="K664" s="117"/>
      <c r="L664" s="100"/>
      <c r="M664" s="100"/>
      <c r="N664" s="100"/>
      <c r="O664" s="100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17"/>
      <c r="K665" s="117"/>
      <c r="L665" s="100"/>
      <c r="M665" s="100"/>
      <c r="N665" s="100"/>
      <c r="O665" s="100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17"/>
      <c r="K666" s="117"/>
      <c r="L666" s="100"/>
      <c r="M666" s="100"/>
      <c r="N666" s="100"/>
      <c r="O666" s="100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17"/>
      <c r="K667" s="117"/>
      <c r="L667" s="100"/>
      <c r="M667" s="100"/>
      <c r="N667" s="100"/>
      <c r="O667" s="100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17"/>
      <c r="K668" s="117"/>
      <c r="L668" s="100"/>
      <c r="M668" s="100"/>
      <c r="N668" s="100"/>
      <c r="O668" s="100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17"/>
      <c r="K669" s="117"/>
      <c r="L669" s="100"/>
      <c r="M669" s="100"/>
      <c r="N669" s="100"/>
      <c r="O669" s="100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17"/>
      <c r="K670" s="117"/>
      <c r="L670" s="100"/>
      <c r="M670" s="100"/>
      <c r="N670" s="100"/>
      <c r="O670" s="100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17"/>
      <c r="K671" s="117"/>
      <c r="L671" s="100"/>
      <c r="M671" s="100"/>
      <c r="N671" s="100"/>
      <c r="O671" s="100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17"/>
      <c r="K672" s="117"/>
      <c r="L672" s="100"/>
      <c r="M672" s="100"/>
      <c r="N672" s="100"/>
      <c r="O672" s="100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17"/>
      <c r="K673" s="117"/>
      <c r="L673" s="100"/>
      <c r="M673" s="100"/>
      <c r="N673" s="100"/>
      <c r="O673" s="100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17"/>
      <c r="K674" s="117"/>
      <c r="L674" s="100"/>
      <c r="M674" s="100"/>
      <c r="N674" s="100"/>
      <c r="O674" s="100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17"/>
      <c r="K675" s="117"/>
      <c r="L675" s="100"/>
      <c r="M675" s="100"/>
      <c r="N675" s="100"/>
      <c r="O675" s="100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17"/>
      <c r="K676" s="117"/>
      <c r="L676" s="100"/>
      <c r="M676" s="100"/>
      <c r="N676" s="100"/>
      <c r="O676" s="100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17"/>
      <c r="K677" s="117"/>
      <c r="L677" s="100"/>
      <c r="M677" s="100"/>
      <c r="N677" s="100"/>
      <c r="O677" s="100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17"/>
      <c r="K678" s="117"/>
      <c r="L678" s="100"/>
      <c r="M678" s="100"/>
      <c r="N678" s="100"/>
      <c r="O678" s="100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17"/>
      <c r="K679" s="117"/>
      <c r="L679" s="100"/>
      <c r="M679" s="100"/>
      <c r="N679" s="100"/>
      <c r="O679" s="100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17"/>
      <c r="K680" s="117"/>
      <c r="L680" s="100"/>
      <c r="M680" s="100"/>
      <c r="N680" s="100"/>
      <c r="O680" s="100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17"/>
      <c r="K681" s="117"/>
      <c r="L681" s="100"/>
      <c r="M681" s="100"/>
      <c r="N681" s="100"/>
      <c r="O681" s="100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17"/>
      <c r="K682" s="117"/>
      <c r="L682" s="100"/>
      <c r="M682" s="100"/>
      <c r="N682" s="100"/>
      <c r="O682" s="100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17"/>
      <c r="K683" s="117"/>
      <c r="L683" s="100"/>
      <c r="M683" s="100"/>
      <c r="N683" s="100"/>
      <c r="O683" s="100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17"/>
      <c r="K684" s="117"/>
      <c r="L684" s="100"/>
      <c r="M684" s="100"/>
      <c r="N684" s="100"/>
      <c r="O684" s="100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17"/>
      <c r="K685" s="117"/>
      <c r="L685" s="100"/>
      <c r="M685" s="100"/>
      <c r="N685" s="100"/>
      <c r="O685" s="100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17"/>
      <c r="K686" s="117"/>
      <c r="L686" s="100"/>
      <c r="M686" s="100"/>
      <c r="N686" s="100"/>
      <c r="O686" s="100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17"/>
      <c r="K687" s="117"/>
      <c r="L687" s="100"/>
      <c r="M687" s="100"/>
      <c r="N687" s="100"/>
      <c r="O687" s="100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17"/>
      <c r="K688" s="117"/>
      <c r="L688" s="100"/>
      <c r="M688" s="100"/>
      <c r="N688" s="100"/>
      <c r="O688" s="100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17"/>
      <c r="K689" s="117"/>
      <c r="L689" s="100"/>
      <c r="M689" s="100"/>
      <c r="N689" s="100"/>
      <c r="O689" s="100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17"/>
      <c r="K690" s="117"/>
      <c r="L690" s="100"/>
      <c r="M690" s="100"/>
      <c r="N690" s="100"/>
      <c r="O690" s="100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17"/>
      <c r="K691" s="117"/>
      <c r="L691" s="100"/>
      <c r="M691" s="100"/>
      <c r="N691" s="100"/>
      <c r="O691" s="100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17"/>
      <c r="K692" s="117"/>
      <c r="L692" s="100"/>
      <c r="M692" s="100"/>
      <c r="N692" s="100"/>
      <c r="O692" s="100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17"/>
      <c r="K693" s="117"/>
      <c r="L693" s="100"/>
      <c r="M693" s="100"/>
      <c r="N693" s="100"/>
      <c r="O693" s="100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17"/>
      <c r="K694" s="117"/>
      <c r="L694" s="100"/>
      <c r="M694" s="100"/>
      <c r="N694" s="100"/>
      <c r="O694" s="100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17"/>
      <c r="K695" s="117"/>
      <c r="L695" s="100"/>
      <c r="M695" s="100"/>
      <c r="N695" s="100"/>
      <c r="O695" s="100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17"/>
      <c r="K696" s="117"/>
      <c r="L696" s="100"/>
      <c r="M696" s="100"/>
      <c r="N696" s="100"/>
      <c r="O696" s="100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17"/>
      <c r="K697" s="117"/>
      <c r="L697" s="100"/>
      <c r="M697" s="100"/>
      <c r="N697" s="100"/>
      <c r="O697" s="100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17"/>
      <c r="K698" s="117"/>
      <c r="L698" s="100"/>
      <c r="M698" s="100"/>
      <c r="N698" s="100"/>
      <c r="O698" s="100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17"/>
      <c r="K699" s="117"/>
      <c r="L699" s="100"/>
      <c r="M699" s="100"/>
      <c r="N699" s="100"/>
      <c r="O699" s="100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17"/>
      <c r="K700" s="117"/>
      <c r="L700" s="100"/>
      <c r="M700" s="100"/>
      <c r="N700" s="100"/>
      <c r="O700" s="100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17"/>
      <c r="K701" s="117"/>
      <c r="L701" s="100"/>
      <c r="M701" s="100"/>
      <c r="N701" s="100"/>
      <c r="O701" s="100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17"/>
      <c r="K702" s="117"/>
      <c r="L702" s="100"/>
      <c r="M702" s="100"/>
      <c r="N702" s="100"/>
      <c r="O702" s="100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17"/>
      <c r="K703" s="117"/>
      <c r="L703" s="100"/>
      <c r="M703" s="100"/>
      <c r="N703" s="100"/>
      <c r="O703" s="100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17"/>
      <c r="K704" s="117"/>
      <c r="L704" s="100"/>
      <c r="M704" s="100"/>
      <c r="N704" s="100"/>
      <c r="O704" s="100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17"/>
      <c r="K705" s="117"/>
      <c r="L705" s="100"/>
      <c r="M705" s="100"/>
      <c r="N705" s="100"/>
      <c r="O705" s="100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17"/>
      <c r="K706" s="117"/>
      <c r="L706" s="100"/>
      <c r="M706" s="100"/>
      <c r="N706" s="100"/>
      <c r="O706" s="100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17"/>
      <c r="K707" s="117"/>
      <c r="L707" s="100"/>
      <c r="M707" s="100"/>
      <c r="N707" s="100"/>
      <c r="O707" s="100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17"/>
      <c r="K708" s="117"/>
      <c r="L708" s="100"/>
      <c r="M708" s="100"/>
      <c r="N708" s="100"/>
      <c r="O708" s="100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17"/>
      <c r="K709" s="117"/>
      <c r="L709" s="100"/>
      <c r="M709" s="100"/>
      <c r="N709" s="100"/>
      <c r="O709" s="100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17"/>
      <c r="K710" s="117"/>
      <c r="L710" s="100"/>
      <c r="M710" s="100"/>
      <c r="N710" s="100"/>
      <c r="O710" s="100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17"/>
      <c r="K711" s="117"/>
      <c r="L711" s="100"/>
      <c r="M711" s="100"/>
      <c r="N711" s="100"/>
      <c r="O711" s="100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17"/>
      <c r="K712" s="117"/>
      <c r="L712" s="100"/>
      <c r="M712" s="100"/>
      <c r="N712" s="100"/>
      <c r="O712" s="100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17"/>
      <c r="K713" s="117"/>
      <c r="L713" s="100"/>
      <c r="M713" s="100"/>
      <c r="N713" s="100"/>
      <c r="O713" s="100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17"/>
      <c r="K714" s="117"/>
      <c r="L714" s="100"/>
      <c r="M714" s="100"/>
      <c r="N714" s="100"/>
      <c r="O714" s="100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17"/>
      <c r="K715" s="117"/>
      <c r="L715" s="100"/>
      <c r="M715" s="100"/>
      <c r="N715" s="100"/>
      <c r="O715" s="100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17"/>
      <c r="K716" s="117"/>
      <c r="L716" s="100"/>
      <c r="M716" s="100"/>
      <c r="N716" s="100"/>
      <c r="O716" s="100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17"/>
      <c r="K717" s="117"/>
      <c r="L717" s="100"/>
      <c r="M717" s="100"/>
      <c r="N717" s="100"/>
      <c r="O717" s="100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17"/>
      <c r="K718" s="117"/>
      <c r="L718" s="100"/>
      <c r="M718" s="100"/>
      <c r="N718" s="100"/>
      <c r="O718" s="100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17"/>
      <c r="K719" s="117"/>
      <c r="L719" s="100"/>
      <c r="M719" s="100"/>
      <c r="N719" s="100"/>
      <c r="O719" s="100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17"/>
      <c r="K720" s="117"/>
      <c r="L720" s="100"/>
      <c r="M720" s="100"/>
      <c r="N720" s="100"/>
      <c r="O720" s="100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17"/>
      <c r="K721" s="117"/>
      <c r="L721" s="100"/>
      <c r="M721" s="100"/>
      <c r="N721" s="100"/>
      <c r="O721" s="100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17"/>
      <c r="K722" s="117"/>
      <c r="L722" s="100"/>
      <c r="M722" s="100"/>
      <c r="N722" s="100"/>
      <c r="O722" s="100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17"/>
      <c r="K723" s="117"/>
      <c r="L723" s="100"/>
      <c r="M723" s="100"/>
      <c r="N723" s="100"/>
      <c r="O723" s="100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17"/>
      <c r="K724" s="117"/>
      <c r="L724" s="100"/>
      <c r="M724" s="100"/>
      <c r="N724" s="100"/>
      <c r="O724" s="100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17"/>
      <c r="K725" s="117"/>
      <c r="L725" s="100"/>
      <c r="M725" s="100"/>
      <c r="N725" s="100"/>
      <c r="O725" s="100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17"/>
      <c r="K726" s="117"/>
      <c r="L726" s="100"/>
      <c r="M726" s="100"/>
      <c r="N726" s="100"/>
      <c r="O726" s="100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17"/>
      <c r="K727" s="117"/>
      <c r="L727" s="100"/>
      <c r="M727" s="100"/>
      <c r="N727" s="100"/>
      <c r="O727" s="100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17"/>
      <c r="K728" s="117"/>
      <c r="L728" s="100"/>
      <c r="M728" s="100"/>
      <c r="N728" s="100"/>
      <c r="O728" s="100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17"/>
      <c r="K729" s="117"/>
      <c r="L729" s="100"/>
      <c r="M729" s="100"/>
      <c r="N729" s="100"/>
      <c r="O729" s="100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17"/>
      <c r="K730" s="117"/>
      <c r="L730" s="100"/>
      <c r="M730" s="100"/>
      <c r="N730" s="100"/>
      <c r="O730" s="100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17"/>
      <c r="K731" s="117"/>
      <c r="L731" s="100"/>
      <c r="M731" s="100"/>
      <c r="N731" s="100"/>
      <c r="O731" s="100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17"/>
      <c r="K732" s="117"/>
      <c r="L732" s="100"/>
      <c r="M732" s="100"/>
      <c r="N732" s="100"/>
      <c r="O732" s="100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17"/>
      <c r="K733" s="117"/>
      <c r="L733" s="100"/>
      <c r="M733" s="100"/>
      <c r="N733" s="100"/>
      <c r="O733" s="100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17"/>
      <c r="K734" s="117"/>
      <c r="L734" s="100"/>
      <c r="M734" s="100"/>
      <c r="N734" s="100"/>
      <c r="O734" s="100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17"/>
      <c r="K735" s="117"/>
      <c r="L735" s="100"/>
      <c r="M735" s="100"/>
      <c r="N735" s="100"/>
      <c r="O735" s="100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17"/>
      <c r="K736" s="117"/>
      <c r="L736" s="100"/>
      <c r="M736" s="100"/>
      <c r="N736" s="100"/>
      <c r="O736" s="100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17"/>
      <c r="K737" s="117"/>
      <c r="L737" s="100"/>
      <c r="M737" s="100"/>
      <c r="N737" s="100"/>
      <c r="O737" s="100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17"/>
      <c r="K738" s="117"/>
      <c r="L738" s="100"/>
      <c r="M738" s="100"/>
      <c r="N738" s="100"/>
      <c r="O738" s="100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17"/>
      <c r="K739" s="117"/>
      <c r="L739" s="100"/>
      <c r="M739" s="100"/>
      <c r="N739" s="100"/>
      <c r="O739" s="100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17"/>
      <c r="K740" s="117"/>
      <c r="L740" s="100"/>
      <c r="M740" s="100"/>
      <c r="N740" s="100"/>
      <c r="O740" s="100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17"/>
      <c r="K741" s="117"/>
      <c r="L741" s="100"/>
      <c r="M741" s="100"/>
      <c r="N741" s="100"/>
      <c r="O741" s="100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17"/>
      <c r="K742" s="117"/>
      <c r="L742" s="100"/>
      <c r="M742" s="100"/>
      <c r="N742" s="100"/>
      <c r="O742" s="100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17"/>
      <c r="K743" s="117"/>
      <c r="L743" s="100"/>
      <c r="M743" s="100"/>
      <c r="N743" s="100"/>
      <c r="O743" s="100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17"/>
      <c r="K744" s="117"/>
      <c r="L744" s="100"/>
      <c r="M744" s="100"/>
      <c r="N744" s="100"/>
      <c r="O744" s="100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17"/>
      <c r="K745" s="117"/>
      <c r="L745" s="100"/>
      <c r="M745" s="100"/>
      <c r="N745" s="100"/>
      <c r="O745" s="100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17"/>
      <c r="K746" s="117"/>
      <c r="L746" s="100"/>
      <c r="M746" s="100"/>
      <c r="N746" s="100"/>
      <c r="O746" s="100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17"/>
      <c r="K747" s="117"/>
      <c r="L747" s="100"/>
      <c r="M747" s="100"/>
      <c r="N747" s="100"/>
      <c r="O747" s="100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17"/>
      <c r="K748" s="117"/>
      <c r="L748" s="100"/>
      <c r="M748" s="100"/>
      <c r="N748" s="100"/>
      <c r="O748" s="100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17"/>
      <c r="K749" s="117"/>
      <c r="L749" s="100"/>
      <c r="M749" s="100"/>
      <c r="N749" s="100"/>
      <c r="O749" s="100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17"/>
      <c r="K750" s="117"/>
      <c r="L750" s="100"/>
      <c r="M750" s="100"/>
      <c r="N750" s="100"/>
      <c r="O750" s="100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17"/>
      <c r="K751" s="117"/>
      <c r="L751" s="100"/>
      <c r="M751" s="100"/>
      <c r="N751" s="100"/>
      <c r="O751" s="100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17"/>
      <c r="K752" s="117"/>
      <c r="L752" s="100"/>
      <c r="M752" s="100"/>
      <c r="N752" s="100"/>
      <c r="O752" s="100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17"/>
      <c r="K753" s="117"/>
      <c r="L753" s="100"/>
      <c r="M753" s="100"/>
      <c r="N753" s="100"/>
      <c r="O753" s="100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17"/>
      <c r="K754" s="117"/>
      <c r="L754" s="100"/>
      <c r="M754" s="100"/>
      <c r="N754" s="100"/>
      <c r="O754" s="100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17"/>
      <c r="K755" s="117"/>
      <c r="L755" s="100"/>
      <c r="M755" s="100"/>
      <c r="N755" s="100"/>
      <c r="O755" s="100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17"/>
      <c r="K756" s="117"/>
      <c r="L756" s="100"/>
      <c r="M756" s="100"/>
      <c r="N756" s="100"/>
      <c r="O756" s="100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17"/>
      <c r="K757" s="117"/>
      <c r="L757" s="100"/>
      <c r="M757" s="100"/>
      <c r="N757" s="100"/>
      <c r="O757" s="100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17"/>
      <c r="K758" s="117"/>
      <c r="L758" s="100"/>
      <c r="M758" s="100"/>
      <c r="N758" s="100"/>
      <c r="O758" s="100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17"/>
      <c r="K759" s="117"/>
      <c r="L759" s="100"/>
      <c r="M759" s="100"/>
      <c r="N759" s="100"/>
      <c r="O759" s="100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17"/>
      <c r="K760" s="117"/>
      <c r="L760" s="100"/>
      <c r="M760" s="100"/>
      <c r="N760" s="100"/>
      <c r="O760" s="100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17"/>
      <c r="K761" s="117"/>
      <c r="L761" s="100"/>
      <c r="M761" s="100"/>
      <c r="N761" s="100"/>
      <c r="O761" s="100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17"/>
      <c r="K762" s="117"/>
      <c r="L762" s="100"/>
      <c r="M762" s="100"/>
      <c r="N762" s="100"/>
      <c r="O762" s="100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17"/>
      <c r="K763" s="117"/>
      <c r="L763" s="100"/>
      <c r="M763" s="100"/>
      <c r="N763" s="100"/>
      <c r="O763" s="100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17"/>
      <c r="K764" s="117"/>
      <c r="L764" s="100"/>
      <c r="M764" s="100"/>
      <c r="N764" s="100"/>
      <c r="O764" s="100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17"/>
      <c r="K765" s="117"/>
      <c r="L765" s="100"/>
      <c r="M765" s="100"/>
      <c r="N765" s="100"/>
      <c r="O765" s="100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17"/>
      <c r="K766" s="117"/>
      <c r="L766" s="100"/>
      <c r="M766" s="100"/>
      <c r="N766" s="100"/>
      <c r="O766" s="100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17"/>
      <c r="K767" s="117"/>
      <c r="L767" s="100"/>
      <c r="M767" s="100"/>
      <c r="N767" s="100"/>
      <c r="O767" s="100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17"/>
      <c r="K768" s="117"/>
      <c r="L768" s="100"/>
      <c r="M768" s="100"/>
      <c r="N768" s="100"/>
      <c r="O768" s="100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17"/>
      <c r="K769" s="117"/>
      <c r="L769" s="100"/>
      <c r="M769" s="100"/>
      <c r="N769" s="100"/>
      <c r="O769" s="100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17"/>
      <c r="K770" s="117"/>
      <c r="L770" s="100"/>
      <c r="M770" s="100"/>
      <c r="N770" s="100"/>
      <c r="O770" s="100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17"/>
      <c r="K771" s="117"/>
      <c r="L771" s="100"/>
      <c r="M771" s="100"/>
      <c r="N771" s="100"/>
      <c r="O771" s="100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17"/>
      <c r="K772" s="117"/>
      <c r="L772" s="100"/>
      <c r="M772" s="100"/>
      <c r="N772" s="100"/>
      <c r="O772" s="100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17"/>
      <c r="K773" s="117"/>
      <c r="L773" s="100"/>
      <c r="M773" s="100"/>
      <c r="N773" s="100"/>
      <c r="O773" s="100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17"/>
      <c r="K774" s="117"/>
      <c r="L774" s="100"/>
      <c r="M774" s="100"/>
      <c r="N774" s="100"/>
      <c r="O774" s="100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17"/>
      <c r="K775" s="117"/>
      <c r="L775" s="100"/>
      <c r="M775" s="100"/>
      <c r="N775" s="100"/>
      <c r="O775" s="100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17"/>
      <c r="K776" s="117"/>
      <c r="L776" s="100"/>
      <c r="M776" s="100"/>
      <c r="N776" s="100"/>
      <c r="O776" s="100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17"/>
      <c r="K777" s="117"/>
      <c r="L777" s="100"/>
      <c r="M777" s="100"/>
      <c r="N777" s="100"/>
      <c r="O777" s="100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17"/>
      <c r="K778" s="117"/>
      <c r="L778" s="100"/>
      <c r="M778" s="100"/>
      <c r="N778" s="100"/>
      <c r="O778" s="100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17"/>
      <c r="K779" s="117"/>
      <c r="L779" s="100"/>
      <c r="M779" s="100"/>
      <c r="N779" s="100"/>
      <c r="O779" s="100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17"/>
      <c r="K780" s="117"/>
      <c r="L780" s="100"/>
      <c r="M780" s="100"/>
      <c r="N780" s="100"/>
      <c r="O780" s="100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17"/>
      <c r="K781" s="117"/>
      <c r="L781" s="100"/>
      <c r="M781" s="100"/>
      <c r="N781" s="100"/>
      <c r="O781" s="100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17"/>
      <c r="K782" s="117"/>
      <c r="L782" s="100"/>
      <c r="M782" s="100"/>
      <c r="N782" s="100"/>
      <c r="O782" s="100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17"/>
      <c r="K783" s="117"/>
      <c r="L783" s="100"/>
      <c r="M783" s="100"/>
      <c r="N783" s="100"/>
      <c r="O783" s="100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17"/>
      <c r="K784" s="117"/>
      <c r="L784" s="100"/>
      <c r="M784" s="100"/>
      <c r="N784" s="100"/>
      <c r="O784" s="100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17"/>
      <c r="K785" s="117"/>
      <c r="L785" s="100"/>
      <c r="M785" s="100"/>
      <c r="N785" s="100"/>
      <c r="O785" s="100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17"/>
      <c r="K786" s="117"/>
      <c r="L786" s="100"/>
      <c r="M786" s="100"/>
      <c r="N786" s="100"/>
      <c r="O786" s="100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17"/>
      <c r="K787" s="117"/>
      <c r="L787" s="100"/>
      <c r="M787" s="100"/>
      <c r="N787" s="100"/>
      <c r="O787" s="100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17"/>
      <c r="K788" s="117"/>
      <c r="L788" s="100"/>
      <c r="M788" s="100"/>
      <c r="N788" s="100"/>
      <c r="O788" s="100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17"/>
      <c r="K789" s="117"/>
      <c r="L789" s="100"/>
      <c r="M789" s="100"/>
      <c r="N789" s="100"/>
      <c r="O789" s="100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17"/>
      <c r="K790" s="117"/>
      <c r="L790" s="100"/>
      <c r="M790" s="100"/>
      <c r="N790" s="100"/>
      <c r="O790" s="100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17"/>
      <c r="K791" s="117"/>
      <c r="L791" s="100"/>
      <c r="M791" s="100"/>
      <c r="N791" s="100"/>
      <c r="O791" s="100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17"/>
      <c r="K792" s="117"/>
      <c r="L792" s="100"/>
      <c r="M792" s="100"/>
      <c r="N792" s="100"/>
      <c r="O792" s="100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17"/>
      <c r="K793" s="117"/>
      <c r="L793" s="100"/>
      <c r="M793" s="100"/>
      <c r="N793" s="100"/>
      <c r="O793" s="100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17"/>
      <c r="K794" s="117"/>
      <c r="L794" s="100"/>
      <c r="M794" s="100"/>
      <c r="N794" s="100"/>
      <c r="O794" s="100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17"/>
      <c r="K795" s="117"/>
      <c r="L795" s="100"/>
      <c r="M795" s="100"/>
      <c r="N795" s="100"/>
      <c r="O795" s="100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17"/>
      <c r="K796" s="117"/>
      <c r="L796" s="100"/>
      <c r="M796" s="100"/>
      <c r="N796" s="100"/>
      <c r="O796" s="100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17"/>
      <c r="K797" s="117"/>
      <c r="L797" s="100"/>
      <c r="M797" s="100"/>
      <c r="N797" s="100"/>
      <c r="O797" s="100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17"/>
      <c r="K798" s="117"/>
      <c r="L798" s="100"/>
      <c r="M798" s="100"/>
      <c r="N798" s="100"/>
      <c r="O798" s="100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17"/>
      <c r="K799" s="117"/>
      <c r="L799" s="100"/>
      <c r="M799" s="100"/>
      <c r="N799" s="100"/>
      <c r="O799" s="100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17"/>
      <c r="K800" s="117"/>
      <c r="L800" s="100"/>
      <c r="M800" s="100"/>
      <c r="N800" s="100"/>
      <c r="O800" s="100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17"/>
      <c r="K801" s="117"/>
      <c r="L801" s="100"/>
      <c r="M801" s="100"/>
      <c r="N801" s="100"/>
      <c r="O801" s="100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17"/>
      <c r="K802" s="117"/>
      <c r="L802" s="100"/>
      <c r="M802" s="100"/>
      <c r="N802" s="100"/>
      <c r="O802" s="100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17"/>
      <c r="K803" s="117"/>
      <c r="L803" s="100"/>
      <c r="M803" s="100"/>
      <c r="N803" s="100"/>
      <c r="O803" s="100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17"/>
      <c r="K804" s="117"/>
      <c r="L804" s="100"/>
      <c r="M804" s="100"/>
      <c r="N804" s="100"/>
      <c r="O804" s="100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17"/>
      <c r="K805" s="117"/>
      <c r="L805" s="100"/>
      <c r="M805" s="100"/>
      <c r="N805" s="100"/>
      <c r="O805" s="100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17"/>
      <c r="K806" s="117"/>
      <c r="L806" s="100"/>
      <c r="M806" s="100"/>
      <c r="N806" s="100"/>
      <c r="O806" s="100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17"/>
      <c r="K807" s="117"/>
      <c r="L807" s="100"/>
      <c r="M807" s="100"/>
      <c r="N807" s="100"/>
      <c r="O807" s="100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17"/>
      <c r="K808" s="117"/>
      <c r="L808" s="100"/>
      <c r="M808" s="100"/>
      <c r="N808" s="100"/>
      <c r="O808" s="100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17"/>
      <c r="K809" s="117"/>
      <c r="L809" s="100"/>
      <c r="M809" s="100"/>
      <c r="N809" s="100"/>
      <c r="O809" s="100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17"/>
      <c r="K810" s="117"/>
      <c r="L810" s="100"/>
      <c r="M810" s="100"/>
      <c r="N810" s="100"/>
      <c r="O810" s="100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17"/>
      <c r="K811" s="117"/>
      <c r="L811" s="100"/>
      <c r="M811" s="100"/>
      <c r="N811" s="100"/>
      <c r="O811" s="100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17"/>
      <c r="K812" s="117"/>
      <c r="L812" s="100"/>
      <c r="M812" s="100"/>
      <c r="N812" s="100"/>
      <c r="O812" s="100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17"/>
      <c r="K813" s="117"/>
      <c r="L813" s="100"/>
      <c r="M813" s="100"/>
      <c r="N813" s="100"/>
      <c r="O813" s="100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17"/>
      <c r="K814" s="117"/>
      <c r="L814" s="100"/>
      <c r="M814" s="100"/>
      <c r="N814" s="100"/>
      <c r="O814" s="100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17"/>
      <c r="K815" s="117"/>
      <c r="L815" s="100"/>
      <c r="M815" s="100"/>
      <c r="N815" s="100"/>
      <c r="O815" s="100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17"/>
      <c r="K816" s="117"/>
      <c r="L816" s="100"/>
      <c r="M816" s="100"/>
      <c r="N816" s="100"/>
      <c r="O816" s="100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17"/>
      <c r="K817" s="117"/>
      <c r="L817" s="100"/>
      <c r="M817" s="100"/>
      <c r="N817" s="100"/>
      <c r="O817" s="100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17"/>
      <c r="K818" s="117"/>
      <c r="L818" s="100"/>
      <c r="M818" s="100"/>
      <c r="N818" s="100"/>
      <c r="O818" s="100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17"/>
      <c r="K819" s="117"/>
      <c r="L819" s="100"/>
      <c r="M819" s="100"/>
      <c r="N819" s="100"/>
      <c r="O819" s="100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17"/>
      <c r="K820" s="117"/>
      <c r="L820" s="100"/>
      <c r="M820" s="100"/>
      <c r="N820" s="100"/>
      <c r="O820" s="100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17"/>
      <c r="K821" s="117"/>
      <c r="L821" s="100"/>
      <c r="M821" s="100"/>
      <c r="N821" s="100"/>
      <c r="O821" s="100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17"/>
      <c r="K822" s="117"/>
      <c r="L822" s="100"/>
      <c r="M822" s="100"/>
      <c r="N822" s="100"/>
      <c r="O822" s="100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17"/>
      <c r="K823" s="117"/>
      <c r="L823" s="100"/>
      <c r="M823" s="100"/>
      <c r="N823" s="100"/>
      <c r="O823" s="100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17"/>
      <c r="K824" s="117"/>
      <c r="L824" s="100"/>
      <c r="M824" s="100"/>
      <c r="N824" s="100"/>
      <c r="O824" s="100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17"/>
      <c r="K825" s="117"/>
      <c r="L825" s="100"/>
      <c r="M825" s="100"/>
      <c r="N825" s="100"/>
      <c r="O825" s="100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17"/>
      <c r="K826" s="117"/>
      <c r="L826" s="100"/>
      <c r="M826" s="100"/>
      <c r="N826" s="100"/>
      <c r="O826" s="100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17"/>
      <c r="K827" s="117"/>
      <c r="L827" s="100"/>
      <c r="M827" s="100"/>
      <c r="N827" s="100"/>
      <c r="O827" s="100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17"/>
      <c r="K828" s="117"/>
      <c r="L828" s="100"/>
      <c r="M828" s="100"/>
      <c r="N828" s="100"/>
      <c r="O828" s="100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17"/>
      <c r="K829" s="117"/>
      <c r="L829" s="100"/>
      <c r="M829" s="100"/>
      <c r="N829" s="100"/>
      <c r="O829" s="100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17"/>
      <c r="K830" s="117"/>
      <c r="L830" s="100"/>
      <c r="M830" s="100"/>
      <c r="N830" s="100"/>
      <c r="O830" s="100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17"/>
      <c r="K831" s="117"/>
      <c r="L831" s="100"/>
      <c r="M831" s="100"/>
      <c r="N831" s="100"/>
      <c r="O831" s="100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17"/>
      <c r="K832" s="117"/>
      <c r="L832" s="100"/>
      <c r="M832" s="100"/>
      <c r="N832" s="100"/>
      <c r="O832" s="100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17"/>
      <c r="K833" s="117"/>
      <c r="L833" s="100"/>
      <c r="M833" s="100"/>
      <c r="N833" s="100"/>
      <c r="O833" s="100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17"/>
      <c r="K834" s="117"/>
      <c r="L834" s="100"/>
      <c r="M834" s="100"/>
      <c r="N834" s="100"/>
      <c r="O834" s="100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17"/>
      <c r="K835" s="117"/>
      <c r="L835" s="100"/>
      <c r="M835" s="100"/>
      <c r="N835" s="100"/>
      <c r="O835" s="100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17"/>
      <c r="K836" s="117"/>
      <c r="L836" s="100"/>
      <c r="M836" s="100"/>
      <c r="N836" s="100"/>
      <c r="O836" s="100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17"/>
      <c r="K837" s="117"/>
      <c r="L837" s="100"/>
      <c r="M837" s="100"/>
      <c r="N837" s="100"/>
      <c r="O837" s="100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17"/>
      <c r="K838" s="117"/>
      <c r="L838" s="100"/>
      <c r="M838" s="100"/>
      <c r="N838" s="100"/>
      <c r="O838" s="100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17"/>
      <c r="K839" s="117"/>
      <c r="L839" s="100"/>
      <c r="M839" s="100"/>
      <c r="N839" s="100"/>
      <c r="O839" s="100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17"/>
      <c r="K840" s="117"/>
      <c r="L840" s="100"/>
      <c r="M840" s="100"/>
      <c r="N840" s="100"/>
      <c r="O840" s="100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17"/>
      <c r="K841" s="117"/>
      <c r="L841" s="100"/>
      <c r="M841" s="100"/>
      <c r="N841" s="100"/>
      <c r="O841" s="100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17"/>
      <c r="K842" s="117"/>
      <c r="L842" s="100"/>
      <c r="M842" s="100"/>
      <c r="N842" s="100"/>
      <c r="O842" s="100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17"/>
      <c r="K843" s="117"/>
      <c r="L843" s="100"/>
      <c r="M843" s="100"/>
      <c r="N843" s="100"/>
      <c r="O843" s="100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17"/>
      <c r="K844" s="117"/>
      <c r="L844" s="100"/>
      <c r="M844" s="100"/>
      <c r="N844" s="100"/>
      <c r="O844" s="100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17"/>
      <c r="K845" s="117"/>
      <c r="L845" s="100"/>
      <c r="M845" s="100"/>
      <c r="N845" s="100"/>
      <c r="O845" s="100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17"/>
      <c r="K846" s="117"/>
      <c r="L846" s="100"/>
      <c r="M846" s="100"/>
      <c r="N846" s="100"/>
      <c r="O846" s="100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17"/>
      <c r="K847" s="117"/>
      <c r="L847" s="100"/>
      <c r="M847" s="100"/>
      <c r="N847" s="100"/>
      <c r="O847" s="100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17"/>
      <c r="K848" s="117"/>
      <c r="L848" s="100"/>
      <c r="M848" s="100"/>
      <c r="N848" s="100"/>
      <c r="O848" s="100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17"/>
      <c r="K849" s="117"/>
      <c r="L849" s="100"/>
      <c r="M849" s="100"/>
      <c r="N849" s="100"/>
      <c r="O849" s="100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17"/>
      <c r="K850" s="117"/>
      <c r="L850" s="100"/>
      <c r="M850" s="100"/>
      <c r="N850" s="100"/>
      <c r="O850" s="100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17"/>
      <c r="K851" s="117"/>
      <c r="L851" s="100"/>
      <c r="M851" s="100"/>
      <c r="N851" s="100"/>
      <c r="O851" s="100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17"/>
      <c r="K852" s="117"/>
      <c r="L852" s="100"/>
      <c r="M852" s="100"/>
      <c r="N852" s="100"/>
      <c r="O852" s="100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17"/>
      <c r="K853" s="117"/>
      <c r="L853" s="100"/>
      <c r="M853" s="100"/>
      <c r="N853" s="100"/>
      <c r="O853" s="100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17"/>
      <c r="K854" s="117"/>
      <c r="L854" s="100"/>
      <c r="M854" s="100"/>
      <c r="N854" s="100"/>
      <c r="O854" s="100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17"/>
      <c r="K855" s="117"/>
      <c r="L855" s="100"/>
      <c r="M855" s="100"/>
      <c r="N855" s="100"/>
      <c r="O855" s="100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17"/>
      <c r="K856" s="117"/>
      <c r="L856" s="100"/>
      <c r="M856" s="100"/>
      <c r="N856" s="100"/>
      <c r="O856" s="100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17"/>
      <c r="K857" s="117"/>
      <c r="L857" s="100"/>
      <c r="M857" s="100"/>
      <c r="N857" s="100"/>
      <c r="O857" s="100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17"/>
      <c r="K858" s="117"/>
      <c r="L858" s="100"/>
      <c r="M858" s="100"/>
      <c r="N858" s="100"/>
      <c r="O858" s="100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17"/>
      <c r="K859" s="117"/>
      <c r="L859" s="100"/>
      <c r="M859" s="100"/>
      <c r="N859" s="100"/>
      <c r="O859" s="100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17"/>
      <c r="K860" s="117"/>
      <c r="L860" s="100"/>
      <c r="M860" s="100"/>
      <c r="N860" s="100"/>
      <c r="O860" s="100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17"/>
      <c r="K861" s="117"/>
      <c r="L861" s="100"/>
      <c r="M861" s="100"/>
      <c r="N861" s="100"/>
      <c r="O861" s="100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17"/>
      <c r="K862" s="117"/>
      <c r="L862" s="100"/>
      <c r="M862" s="100"/>
      <c r="N862" s="100"/>
      <c r="O862" s="100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17"/>
      <c r="K863" s="117"/>
      <c r="L863" s="100"/>
      <c r="M863" s="100"/>
      <c r="N863" s="100"/>
      <c r="O863" s="100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17"/>
      <c r="K864" s="117"/>
      <c r="L864" s="100"/>
      <c r="M864" s="100"/>
      <c r="N864" s="100"/>
      <c r="O864" s="100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17"/>
      <c r="K865" s="117"/>
      <c r="L865" s="100"/>
      <c r="M865" s="100"/>
      <c r="N865" s="100"/>
      <c r="O865" s="100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17"/>
      <c r="K866" s="117"/>
      <c r="L866" s="100"/>
      <c r="M866" s="100"/>
      <c r="N866" s="100"/>
      <c r="O866" s="100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17"/>
      <c r="K867" s="117"/>
      <c r="L867" s="100"/>
      <c r="M867" s="100"/>
      <c r="N867" s="100"/>
      <c r="O867" s="100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17"/>
      <c r="K868" s="117"/>
      <c r="L868" s="100"/>
      <c r="M868" s="100"/>
      <c r="N868" s="100"/>
      <c r="O868" s="100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17"/>
      <c r="K869" s="117"/>
      <c r="L869" s="100"/>
      <c r="M869" s="100"/>
      <c r="N869" s="100"/>
      <c r="O869" s="100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17"/>
      <c r="K870" s="117"/>
      <c r="L870" s="100"/>
      <c r="M870" s="100"/>
      <c r="N870" s="100"/>
      <c r="O870" s="100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17"/>
      <c r="K871" s="117"/>
      <c r="L871" s="100"/>
      <c r="M871" s="100"/>
      <c r="N871" s="100"/>
      <c r="O871" s="100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17"/>
      <c r="K872" s="117"/>
      <c r="L872" s="100"/>
      <c r="M872" s="100"/>
      <c r="N872" s="100"/>
      <c r="O872" s="100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17"/>
      <c r="K873" s="117"/>
      <c r="L873" s="100"/>
      <c r="M873" s="100"/>
      <c r="N873" s="100"/>
      <c r="O873" s="100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17"/>
      <c r="K874" s="117"/>
      <c r="L874" s="100"/>
      <c r="M874" s="100"/>
      <c r="N874" s="100"/>
      <c r="O874" s="100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17"/>
      <c r="K875" s="117"/>
      <c r="L875" s="100"/>
      <c r="M875" s="100"/>
      <c r="N875" s="100"/>
      <c r="O875" s="100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17"/>
      <c r="K876" s="117"/>
      <c r="L876" s="100"/>
      <c r="M876" s="100"/>
      <c r="N876" s="100"/>
      <c r="O876" s="100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17"/>
      <c r="K877" s="117"/>
      <c r="L877" s="100"/>
      <c r="M877" s="100"/>
      <c r="N877" s="100"/>
      <c r="O877" s="100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17"/>
      <c r="K878" s="117"/>
      <c r="L878" s="100"/>
      <c r="M878" s="100"/>
      <c r="N878" s="100"/>
      <c r="O878" s="100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17"/>
      <c r="K879" s="117"/>
      <c r="L879" s="100"/>
      <c r="M879" s="100"/>
      <c r="N879" s="100"/>
      <c r="O879" s="100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17"/>
      <c r="K880" s="117"/>
      <c r="L880" s="100"/>
      <c r="M880" s="100"/>
      <c r="N880" s="100"/>
      <c r="O880" s="100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17"/>
      <c r="K881" s="117"/>
      <c r="L881" s="100"/>
      <c r="M881" s="100"/>
      <c r="N881" s="100"/>
      <c r="O881" s="100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17"/>
      <c r="K882" s="117"/>
      <c r="L882" s="100"/>
      <c r="M882" s="100"/>
      <c r="N882" s="100"/>
      <c r="O882" s="100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17"/>
      <c r="K883" s="117"/>
      <c r="L883" s="100"/>
      <c r="M883" s="100"/>
      <c r="N883" s="100"/>
      <c r="O883" s="100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17"/>
      <c r="K884" s="117"/>
      <c r="L884" s="100"/>
      <c r="M884" s="100"/>
      <c r="N884" s="100"/>
      <c r="O884" s="100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17"/>
      <c r="K885" s="117"/>
      <c r="L885" s="100"/>
      <c r="M885" s="100"/>
      <c r="N885" s="100"/>
      <c r="O885" s="100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17"/>
      <c r="K886" s="117"/>
      <c r="L886" s="100"/>
      <c r="M886" s="100"/>
      <c r="N886" s="100"/>
      <c r="O886" s="100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17"/>
      <c r="K887" s="117"/>
      <c r="L887" s="100"/>
      <c r="M887" s="100"/>
      <c r="N887" s="100"/>
      <c r="O887" s="100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17"/>
      <c r="K888" s="117"/>
      <c r="L888" s="100"/>
      <c r="M888" s="100"/>
      <c r="N888" s="100"/>
      <c r="O888" s="100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17"/>
      <c r="K889" s="117"/>
      <c r="L889" s="100"/>
      <c r="M889" s="100"/>
      <c r="N889" s="100"/>
      <c r="O889" s="100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17"/>
      <c r="K890" s="117"/>
      <c r="L890" s="100"/>
      <c r="M890" s="100"/>
      <c r="N890" s="100"/>
      <c r="O890" s="100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17"/>
      <c r="K891" s="117"/>
      <c r="L891" s="100"/>
      <c r="M891" s="100"/>
      <c r="N891" s="100"/>
      <c r="O891" s="100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17"/>
      <c r="K892" s="117"/>
      <c r="L892" s="100"/>
      <c r="M892" s="100"/>
      <c r="N892" s="100"/>
      <c r="O892" s="100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17"/>
      <c r="K893" s="117"/>
      <c r="L893" s="100"/>
      <c r="M893" s="100"/>
      <c r="N893" s="100"/>
      <c r="O893" s="100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17"/>
      <c r="K894" s="117"/>
      <c r="L894" s="100"/>
      <c r="M894" s="100"/>
      <c r="N894" s="100"/>
      <c r="O894" s="100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17"/>
      <c r="K895" s="117"/>
      <c r="L895" s="100"/>
      <c r="M895" s="100"/>
      <c r="N895" s="100"/>
      <c r="O895" s="100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17"/>
      <c r="K896" s="117"/>
      <c r="L896" s="100"/>
      <c r="M896" s="100"/>
      <c r="N896" s="100"/>
      <c r="O896" s="100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17"/>
      <c r="K897" s="117"/>
      <c r="L897" s="100"/>
      <c r="M897" s="100"/>
      <c r="N897" s="100"/>
      <c r="O897" s="100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17"/>
      <c r="K898" s="117"/>
      <c r="L898" s="100"/>
      <c r="M898" s="100"/>
      <c r="N898" s="100"/>
      <c r="O898" s="100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17"/>
      <c r="K899" s="117"/>
      <c r="L899" s="100"/>
      <c r="M899" s="100"/>
      <c r="N899" s="100"/>
      <c r="O899" s="100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17"/>
      <c r="K900" s="117"/>
      <c r="L900" s="100"/>
      <c r="M900" s="100"/>
      <c r="N900" s="100"/>
      <c r="O900" s="100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17"/>
      <c r="K901" s="117"/>
      <c r="L901" s="100"/>
      <c r="M901" s="100"/>
      <c r="N901" s="100"/>
      <c r="O901" s="100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17"/>
      <c r="K902" s="117"/>
      <c r="L902" s="100"/>
      <c r="M902" s="100"/>
      <c r="N902" s="100"/>
      <c r="O902" s="100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17"/>
      <c r="K903" s="117"/>
      <c r="L903" s="100"/>
      <c r="M903" s="100"/>
      <c r="N903" s="100"/>
      <c r="O903" s="100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17"/>
      <c r="K904" s="117"/>
      <c r="L904" s="100"/>
      <c r="M904" s="100"/>
      <c r="N904" s="100"/>
      <c r="O904" s="100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17"/>
      <c r="K905" s="117"/>
      <c r="L905" s="100"/>
      <c r="M905" s="100"/>
      <c r="N905" s="100"/>
      <c r="O905" s="100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17"/>
      <c r="K906" s="117"/>
      <c r="L906" s="100"/>
      <c r="M906" s="100"/>
      <c r="N906" s="100"/>
      <c r="O906" s="100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17"/>
      <c r="K907" s="117"/>
      <c r="L907" s="100"/>
      <c r="M907" s="100"/>
      <c r="N907" s="100"/>
      <c r="O907" s="100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17"/>
      <c r="K908" s="117"/>
      <c r="L908" s="100"/>
      <c r="M908" s="100"/>
      <c r="N908" s="100"/>
      <c r="O908" s="100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17"/>
      <c r="K909" s="117"/>
      <c r="L909" s="100"/>
      <c r="M909" s="100"/>
      <c r="N909" s="100"/>
      <c r="O909" s="100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17"/>
      <c r="K910" s="117"/>
      <c r="L910" s="100"/>
      <c r="M910" s="100"/>
      <c r="N910" s="100"/>
      <c r="O910" s="100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17"/>
      <c r="K911" s="117"/>
      <c r="L911" s="100"/>
      <c r="M911" s="100"/>
      <c r="N911" s="100"/>
      <c r="O911" s="100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17"/>
      <c r="K912" s="117"/>
      <c r="L912" s="100"/>
      <c r="M912" s="100"/>
      <c r="N912" s="100"/>
      <c r="O912" s="100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17"/>
      <c r="K913" s="117"/>
      <c r="L913" s="100"/>
      <c r="M913" s="100"/>
      <c r="N913" s="100"/>
      <c r="O913" s="100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17"/>
      <c r="K914" s="117"/>
      <c r="L914" s="100"/>
      <c r="M914" s="100"/>
      <c r="N914" s="100"/>
      <c r="O914" s="100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17"/>
      <c r="K915" s="117"/>
      <c r="L915" s="100"/>
      <c r="M915" s="100"/>
      <c r="N915" s="100"/>
      <c r="O915" s="100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17"/>
      <c r="K916" s="117"/>
      <c r="L916" s="100"/>
      <c r="M916" s="100"/>
      <c r="N916" s="100"/>
      <c r="O916" s="100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17"/>
      <c r="K917" s="117"/>
      <c r="L917" s="100"/>
      <c r="M917" s="100"/>
      <c r="N917" s="100"/>
      <c r="O917" s="100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17"/>
      <c r="K918" s="117"/>
      <c r="L918" s="100"/>
      <c r="M918" s="100"/>
      <c r="N918" s="100"/>
      <c r="O918" s="100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17"/>
      <c r="K919" s="117"/>
      <c r="L919" s="100"/>
      <c r="M919" s="100"/>
      <c r="N919" s="100"/>
      <c r="O919" s="100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17"/>
      <c r="K920" s="117"/>
      <c r="L920" s="100"/>
      <c r="M920" s="100"/>
      <c r="N920" s="100"/>
      <c r="O920" s="100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17"/>
      <c r="K921" s="117"/>
      <c r="L921" s="100"/>
      <c r="M921" s="100"/>
      <c r="N921" s="100"/>
      <c r="O921" s="100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17"/>
      <c r="K922" s="117"/>
      <c r="L922" s="100"/>
      <c r="M922" s="100"/>
      <c r="N922" s="100"/>
      <c r="O922" s="100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17"/>
      <c r="K923" s="117"/>
      <c r="L923" s="100"/>
      <c r="M923" s="100"/>
      <c r="N923" s="100"/>
      <c r="O923" s="100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17"/>
      <c r="K924" s="117"/>
      <c r="L924" s="100"/>
      <c r="M924" s="100"/>
      <c r="N924" s="100"/>
      <c r="O924" s="100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17"/>
      <c r="K925" s="117"/>
      <c r="L925" s="100"/>
      <c r="M925" s="100"/>
      <c r="N925" s="100"/>
      <c r="O925" s="100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17"/>
      <c r="K926" s="117"/>
      <c r="L926" s="100"/>
      <c r="M926" s="100"/>
      <c r="N926" s="100"/>
      <c r="O926" s="100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17"/>
      <c r="K927" s="117"/>
      <c r="L927" s="100"/>
      <c r="M927" s="100"/>
      <c r="N927" s="100"/>
      <c r="O927" s="100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17"/>
      <c r="K928" s="117"/>
      <c r="L928" s="100"/>
      <c r="M928" s="100"/>
      <c r="N928" s="100"/>
      <c r="O928" s="100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17"/>
      <c r="K929" s="117"/>
      <c r="L929" s="100"/>
      <c r="M929" s="100"/>
      <c r="N929" s="100"/>
      <c r="O929" s="100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17"/>
      <c r="K930" s="117"/>
      <c r="L930" s="100"/>
      <c r="M930" s="100"/>
      <c r="N930" s="100"/>
      <c r="O930" s="100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17"/>
      <c r="K931" s="117"/>
      <c r="L931" s="100"/>
      <c r="M931" s="100"/>
      <c r="N931" s="100"/>
      <c r="O931" s="100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17"/>
      <c r="K932" s="117"/>
      <c r="L932" s="100"/>
      <c r="M932" s="100"/>
      <c r="N932" s="100"/>
      <c r="O932" s="100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17"/>
      <c r="K933" s="117"/>
      <c r="L933" s="100"/>
      <c r="M933" s="100"/>
      <c r="N933" s="100"/>
      <c r="O933" s="100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17"/>
      <c r="K934" s="117"/>
      <c r="L934" s="100"/>
      <c r="M934" s="100"/>
      <c r="N934" s="100"/>
      <c r="O934" s="100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17"/>
      <c r="K935" s="117"/>
      <c r="L935" s="100"/>
      <c r="M935" s="100"/>
      <c r="N935" s="100"/>
      <c r="O935" s="100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17"/>
      <c r="K936" s="117"/>
      <c r="L936" s="100"/>
      <c r="M936" s="100"/>
      <c r="N936" s="100"/>
      <c r="O936" s="100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17"/>
      <c r="K937" s="117"/>
      <c r="L937" s="100"/>
      <c r="M937" s="100"/>
      <c r="N937" s="100"/>
      <c r="O937" s="100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17"/>
      <c r="K938" s="117"/>
      <c r="L938" s="100"/>
      <c r="M938" s="100"/>
      <c r="N938" s="100"/>
      <c r="O938" s="100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17"/>
      <c r="K939" s="117"/>
      <c r="L939" s="100"/>
      <c r="M939" s="100"/>
      <c r="N939" s="100"/>
      <c r="O939" s="100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17"/>
      <c r="K940" s="117"/>
      <c r="L940" s="100"/>
      <c r="M940" s="100"/>
      <c r="N940" s="100"/>
      <c r="O940" s="100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17"/>
      <c r="K941" s="117"/>
      <c r="L941" s="100"/>
      <c r="M941" s="100"/>
      <c r="N941" s="100"/>
      <c r="O941" s="100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17"/>
      <c r="K942" s="117"/>
      <c r="L942" s="100"/>
      <c r="M942" s="100"/>
      <c r="N942" s="100"/>
      <c r="O942" s="100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17"/>
      <c r="K943" s="117"/>
      <c r="L943" s="100"/>
      <c r="M943" s="100"/>
      <c r="N943" s="100"/>
      <c r="O943" s="100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17"/>
      <c r="K944" s="117"/>
      <c r="L944" s="100"/>
      <c r="M944" s="100"/>
      <c r="N944" s="100"/>
      <c r="O944" s="100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17"/>
      <c r="K945" s="117"/>
      <c r="L945" s="100"/>
      <c r="M945" s="100"/>
      <c r="N945" s="100"/>
      <c r="O945" s="100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17"/>
      <c r="K946" s="117"/>
      <c r="L946" s="100"/>
      <c r="M946" s="100"/>
      <c r="N946" s="100"/>
      <c r="O946" s="100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17"/>
      <c r="K947" s="117"/>
      <c r="L947" s="100"/>
      <c r="M947" s="100"/>
      <c r="N947" s="100"/>
      <c r="O947" s="100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17"/>
      <c r="K948" s="117"/>
      <c r="L948" s="100"/>
      <c r="M948" s="100"/>
      <c r="N948" s="100"/>
      <c r="O948" s="100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17"/>
      <c r="K949" s="117"/>
      <c r="L949" s="100"/>
      <c r="M949" s="100"/>
      <c r="N949" s="100"/>
      <c r="O949" s="100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17"/>
      <c r="K950" s="117"/>
      <c r="L950" s="100"/>
      <c r="M950" s="100"/>
      <c r="N950" s="100"/>
      <c r="O950" s="100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17"/>
      <c r="K951" s="117"/>
      <c r="L951" s="100"/>
      <c r="M951" s="100"/>
      <c r="N951" s="100"/>
      <c r="O951" s="100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17"/>
      <c r="K952" s="117"/>
      <c r="L952" s="100"/>
      <c r="M952" s="100"/>
      <c r="N952" s="100"/>
      <c r="O952" s="100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17"/>
      <c r="K953" s="117"/>
      <c r="L953" s="100"/>
      <c r="M953" s="100"/>
      <c r="N953" s="100"/>
      <c r="O953" s="100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17"/>
      <c r="K954" s="117"/>
      <c r="L954" s="100"/>
      <c r="M954" s="100"/>
      <c r="N954" s="100"/>
      <c r="O954" s="100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17"/>
      <c r="K955" s="117"/>
      <c r="L955" s="100"/>
      <c r="M955" s="100"/>
      <c r="N955" s="100"/>
      <c r="O955" s="100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17"/>
      <c r="K956" s="117"/>
      <c r="L956" s="100"/>
      <c r="M956" s="100"/>
      <c r="N956" s="100"/>
      <c r="O956" s="100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17"/>
      <c r="K957" s="117"/>
      <c r="L957" s="100"/>
      <c r="M957" s="100"/>
      <c r="N957" s="100"/>
      <c r="O957" s="100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17"/>
      <c r="K958" s="117"/>
      <c r="L958" s="100"/>
      <c r="M958" s="100"/>
      <c r="N958" s="100"/>
      <c r="O958" s="100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17"/>
      <c r="K959" s="117"/>
      <c r="L959" s="100"/>
      <c r="M959" s="100"/>
      <c r="N959" s="100"/>
      <c r="O959" s="100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17"/>
      <c r="K960" s="117"/>
      <c r="L960" s="100"/>
      <c r="M960" s="100"/>
      <c r="N960" s="100"/>
      <c r="O960" s="100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17"/>
      <c r="K961" s="117"/>
      <c r="L961" s="100"/>
      <c r="M961" s="100"/>
      <c r="N961" s="100"/>
      <c r="O961" s="100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17"/>
      <c r="K962" s="117"/>
      <c r="L962" s="100"/>
      <c r="M962" s="100"/>
      <c r="N962" s="100"/>
      <c r="O962" s="100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17"/>
      <c r="K963" s="117"/>
      <c r="L963" s="100"/>
      <c r="M963" s="100"/>
      <c r="N963" s="100"/>
      <c r="O963" s="100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17"/>
      <c r="K964" s="117"/>
      <c r="L964" s="100"/>
      <c r="M964" s="100"/>
      <c r="N964" s="100"/>
      <c r="O964" s="100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17"/>
      <c r="K965" s="117"/>
      <c r="L965" s="100"/>
      <c r="M965" s="100"/>
      <c r="N965" s="100"/>
      <c r="O965" s="100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17"/>
      <c r="K966" s="117"/>
      <c r="L966" s="100"/>
      <c r="M966" s="100"/>
      <c r="N966" s="100"/>
      <c r="O966" s="100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17"/>
      <c r="K967" s="117"/>
      <c r="L967" s="100"/>
      <c r="M967" s="100"/>
      <c r="N967" s="100"/>
      <c r="O967" s="100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17"/>
      <c r="K968" s="117"/>
      <c r="L968" s="100"/>
      <c r="M968" s="100"/>
      <c r="N968" s="100"/>
      <c r="O968" s="100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17"/>
      <c r="K969" s="117"/>
      <c r="L969" s="100"/>
      <c r="M969" s="100"/>
      <c r="N969" s="100"/>
      <c r="O969" s="100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17"/>
      <c r="K970" s="117"/>
      <c r="L970" s="100"/>
      <c r="M970" s="100"/>
      <c r="N970" s="100"/>
      <c r="O970" s="100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17"/>
      <c r="K971" s="117"/>
      <c r="L971" s="100"/>
      <c r="M971" s="100"/>
      <c r="N971" s="100"/>
      <c r="O971" s="100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17"/>
      <c r="K972" s="117"/>
      <c r="L972" s="100"/>
      <c r="M972" s="100"/>
      <c r="N972" s="100"/>
      <c r="O972" s="100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17"/>
      <c r="K973" s="117"/>
      <c r="L973" s="100"/>
      <c r="M973" s="100"/>
      <c r="N973" s="100"/>
      <c r="O973" s="100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17"/>
      <c r="K974" s="117"/>
      <c r="L974" s="100"/>
      <c r="M974" s="100"/>
      <c r="N974" s="100"/>
      <c r="O974" s="100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17"/>
      <c r="K975" s="117"/>
      <c r="L975" s="100"/>
      <c r="M975" s="100"/>
      <c r="N975" s="100"/>
      <c r="O975" s="100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17"/>
      <c r="K976" s="117"/>
      <c r="L976" s="100"/>
      <c r="M976" s="100"/>
      <c r="N976" s="100"/>
      <c r="O976" s="100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17"/>
      <c r="K977" s="117"/>
      <c r="L977" s="100"/>
      <c r="M977" s="100"/>
      <c r="N977" s="100"/>
      <c r="O977" s="100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17"/>
      <c r="K978" s="117"/>
      <c r="L978" s="100"/>
      <c r="M978" s="100"/>
      <c r="N978" s="100"/>
      <c r="O978" s="100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17"/>
      <c r="K979" s="117"/>
      <c r="L979" s="100"/>
      <c r="M979" s="100"/>
      <c r="N979" s="100"/>
      <c r="O979" s="100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17"/>
      <c r="K980" s="117"/>
      <c r="L980" s="100"/>
      <c r="M980" s="100"/>
      <c r="N980" s="100"/>
      <c r="O980" s="100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17"/>
      <c r="K981" s="117"/>
      <c r="L981" s="100"/>
      <c r="M981" s="100"/>
      <c r="N981" s="100"/>
      <c r="O981" s="100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17"/>
      <c r="K982" s="117"/>
      <c r="L982" s="100"/>
      <c r="M982" s="100"/>
      <c r="N982" s="100"/>
      <c r="O982" s="100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17"/>
      <c r="K983" s="117"/>
      <c r="L983" s="100"/>
      <c r="M983" s="100"/>
      <c r="N983" s="100"/>
      <c r="O983" s="100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17"/>
      <c r="K984" s="117"/>
      <c r="L984" s="100"/>
      <c r="M984" s="100"/>
      <c r="N984" s="100"/>
      <c r="O984" s="100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17"/>
      <c r="K985" s="117"/>
      <c r="L985" s="100"/>
      <c r="M985" s="100"/>
      <c r="N985" s="100"/>
      <c r="O985" s="100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17"/>
      <c r="K986" s="117"/>
      <c r="L986" s="100"/>
      <c r="M986" s="100"/>
      <c r="N986" s="100"/>
      <c r="O986" s="100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17"/>
      <c r="K987" s="117"/>
      <c r="L987" s="100"/>
      <c r="M987" s="100"/>
      <c r="N987" s="100"/>
      <c r="O987" s="100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17"/>
      <c r="K988" s="117"/>
      <c r="L988" s="100"/>
      <c r="M988" s="100"/>
      <c r="N988" s="100"/>
      <c r="O988" s="100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17"/>
      <c r="K989" s="117"/>
      <c r="L989" s="100"/>
      <c r="M989" s="100"/>
      <c r="N989" s="100"/>
      <c r="O989" s="100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17"/>
      <c r="K990" s="117"/>
      <c r="L990" s="100"/>
      <c r="M990" s="100"/>
      <c r="N990" s="100"/>
      <c r="O990" s="100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17"/>
      <c r="K991" s="117"/>
      <c r="L991" s="100"/>
      <c r="M991" s="100"/>
      <c r="N991" s="100"/>
      <c r="O991" s="100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17"/>
      <c r="K992" s="117"/>
      <c r="L992" s="100"/>
      <c r="M992" s="100"/>
      <c r="N992" s="100"/>
      <c r="O992" s="100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17"/>
      <c r="K993" s="117"/>
      <c r="L993" s="100"/>
      <c r="M993" s="100"/>
      <c r="N993" s="100"/>
      <c r="O993" s="100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17"/>
      <c r="K994" s="117"/>
      <c r="L994" s="100"/>
      <c r="M994" s="100"/>
      <c r="N994" s="100"/>
      <c r="O994" s="100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17"/>
      <c r="K995" s="117"/>
      <c r="L995" s="100"/>
      <c r="M995" s="100"/>
      <c r="N995" s="100"/>
      <c r="O995" s="100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17"/>
      <c r="K996" s="117"/>
      <c r="L996" s="100"/>
      <c r="M996" s="100"/>
      <c r="N996" s="100"/>
      <c r="O996" s="100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17"/>
      <c r="K997" s="117"/>
      <c r="L997" s="100"/>
      <c r="M997" s="100"/>
      <c r="N997" s="100"/>
      <c r="O997" s="100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17"/>
      <c r="K998" s="117"/>
      <c r="L998" s="100"/>
      <c r="M998" s="100"/>
      <c r="N998" s="100"/>
      <c r="O998" s="100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17"/>
      <c r="K999" s="117"/>
      <c r="L999" s="100"/>
      <c r="M999" s="100"/>
      <c r="N999" s="100"/>
      <c r="O999" s="100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17"/>
      <c r="K1000" s="117"/>
      <c r="L1000" s="100"/>
      <c r="M1000" s="100"/>
      <c r="N1000" s="100"/>
      <c r="O1000" s="100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B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10.71"/>
    <col customWidth="1" min="6" max="6" width="10.86"/>
    <col customWidth="1" min="7" max="11" width="10.71"/>
    <col customWidth="1" min="12" max="12" width="9.0"/>
    <col customWidth="1" min="13" max="13" width="11.14"/>
    <col customWidth="1" min="14" max="14" width="12.57"/>
    <col customWidth="1" min="15" max="17" width="13.43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78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257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258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235" t="s">
        <v>259</v>
      </c>
      <c r="E7" s="90">
        <v>1.73</v>
      </c>
      <c r="F7" s="90">
        <v>2.69</v>
      </c>
      <c r="G7" s="50">
        <v>2.41</v>
      </c>
      <c r="H7" s="50">
        <v>0.55</v>
      </c>
      <c r="I7" s="50">
        <v>0.64</v>
      </c>
      <c r="J7" s="90">
        <v>6.4</v>
      </c>
      <c r="K7" s="50">
        <v>6.2</v>
      </c>
      <c r="L7" s="50">
        <v>4.58</v>
      </c>
      <c r="M7" s="90">
        <v>6.4</v>
      </c>
      <c r="N7" s="90">
        <v>5.1</v>
      </c>
      <c r="O7" s="114" t="s">
        <v>70</v>
      </c>
      <c r="P7" s="114" t="s">
        <v>70</v>
      </c>
      <c r="Q7" s="174">
        <f t="shared" ref="Q7:Q26" si="1">AVERAGE(E7,F7,G7,H7,I7,J7,K7,L7,M7,N7,O7,P7)</f>
        <v>3.67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16" t="s">
        <v>260</v>
      </c>
      <c r="E8" s="24">
        <v>1.71</v>
      </c>
      <c r="F8" s="91">
        <v>0.86</v>
      </c>
      <c r="G8" s="54">
        <v>1.98</v>
      </c>
      <c r="H8" s="54">
        <v>0.46</v>
      </c>
      <c r="I8" s="54">
        <v>0.63</v>
      </c>
      <c r="J8" s="25">
        <v>6.0</v>
      </c>
      <c r="K8" s="54" t="s">
        <v>70</v>
      </c>
      <c r="L8" s="54" t="s">
        <v>70</v>
      </c>
      <c r="M8" s="54" t="s">
        <v>70</v>
      </c>
      <c r="N8" s="91" t="s">
        <v>70</v>
      </c>
      <c r="O8" s="24" t="s">
        <v>70</v>
      </c>
      <c r="P8" s="24" t="s">
        <v>70</v>
      </c>
      <c r="Q8" s="176">
        <f t="shared" si="1"/>
        <v>1.94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1"/>
      <c r="C9" s="22">
        <v>3.0</v>
      </c>
      <c r="D9" s="116" t="s">
        <v>261</v>
      </c>
      <c r="E9" s="24">
        <v>1.29</v>
      </c>
      <c r="F9" s="24">
        <v>1.13</v>
      </c>
      <c r="G9" s="54">
        <v>1.88</v>
      </c>
      <c r="H9" s="54">
        <v>0.43</v>
      </c>
      <c r="I9" s="54">
        <v>0.64</v>
      </c>
      <c r="J9" s="25">
        <v>5.9</v>
      </c>
      <c r="K9" s="54">
        <v>6.1</v>
      </c>
      <c r="L9" s="54">
        <v>4.24</v>
      </c>
      <c r="M9" s="24">
        <v>6.7</v>
      </c>
      <c r="N9" s="24">
        <v>5.7</v>
      </c>
      <c r="O9" s="91">
        <v>6.2</v>
      </c>
      <c r="P9" s="24">
        <v>6.2</v>
      </c>
      <c r="Q9" s="176">
        <f t="shared" si="1"/>
        <v>3.8675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6.5" customHeight="1">
      <c r="A10" s="20"/>
      <c r="B10" s="27"/>
      <c r="C10" s="22">
        <v>4.0</v>
      </c>
      <c r="D10" s="157" t="s">
        <v>262</v>
      </c>
      <c r="E10" s="24">
        <v>1.92</v>
      </c>
      <c r="F10" s="91">
        <v>3.48</v>
      </c>
      <c r="G10" s="54">
        <v>1.65</v>
      </c>
      <c r="H10" s="54">
        <v>0.55</v>
      </c>
      <c r="I10" s="54">
        <v>0.6</v>
      </c>
      <c r="J10" s="25">
        <v>6.0</v>
      </c>
      <c r="K10" s="54">
        <v>6.6</v>
      </c>
      <c r="L10" s="54">
        <v>4.9</v>
      </c>
      <c r="M10" s="24">
        <v>7.0</v>
      </c>
      <c r="N10" s="24">
        <v>5.8</v>
      </c>
      <c r="O10" s="91">
        <v>5.8</v>
      </c>
      <c r="P10" s="24">
        <v>5.7</v>
      </c>
      <c r="Q10" s="176">
        <f t="shared" si="1"/>
        <v>4.166666667</v>
      </c>
      <c r="R10" s="23">
        <v>6.0</v>
      </c>
      <c r="S10" s="100"/>
      <c r="T10" s="100"/>
      <c r="U10" s="100"/>
      <c r="V10" s="100"/>
      <c r="W10" s="100"/>
      <c r="X10" s="100"/>
      <c r="Y10" s="100"/>
      <c r="Z10" s="100"/>
    </row>
    <row r="11">
      <c r="A11" s="20"/>
      <c r="B11" s="15" t="s">
        <v>33</v>
      </c>
      <c r="C11" s="16">
        <v>1.0</v>
      </c>
      <c r="D11" s="236" t="s">
        <v>259</v>
      </c>
      <c r="E11" s="114">
        <v>64.0</v>
      </c>
      <c r="F11" s="92">
        <v>30.0</v>
      </c>
      <c r="G11" s="59">
        <v>57.0</v>
      </c>
      <c r="H11" s="59">
        <v>155.0</v>
      </c>
      <c r="I11" s="59">
        <v>45.0</v>
      </c>
      <c r="J11" s="89">
        <v>44.0</v>
      </c>
      <c r="K11" s="59">
        <v>63.0</v>
      </c>
      <c r="L11" s="59">
        <v>41.0</v>
      </c>
      <c r="M11" s="114">
        <v>72.0</v>
      </c>
      <c r="N11" s="114">
        <v>59.0</v>
      </c>
      <c r="O11" s="114" t="s">
        <v>70</v>
      </c>
      <c r="P11" s="114" t="s">
        <v>70</v>
      </c>
      <c r="Q11" s="178">
        <f t="shared" si="1"/>
        <v>63</v>
      </c>
      <c r="R11" s="17">
        <v>50.0</v>
      </c>
      <c r="S11" s="100"/>
      <c r="T11" s="100"/>
      <c r="U11" s="100"/>
      <c r="V11" s="100"/>
      <c r="W11" s="100"/>
      <c r="X11" s="100"/>
      <c r="Y11" s="100"/>
      <c r="Z11" s="100"/>
    </row>
    <row r="12">
      <c r="A12" s="20"/>
      <c r="B12" s="21"/>
      <c r="C12" s="22">
        <v>2.0</v>
      </c>
      <c r="D12" s="116" t="s">
        <v>260</v>
      </c>
      <c r="E12" s="91">
        <v>39.0</v>
      </c>
      <c r="F12" s="91">
        <v>28.0</v>
      </c>
      <c r="G12" s="62">
        <v>77.0</v>
      </c>
      <c r="H12" s="62">
        <v>132.0</v>
      </c>
      <c r="I12" s="62">
        <v>65.0</v>
      </c>
      <c r="J12" s="135">
        <v>57.0</v>
      </c>
      <c r="K12" s="54" t="s">
        <v>70</v>
      </c>
      <c r="L12" s="54" t="s">
        <v>70</v>
      </c>
      <c r="M12" s="54" t="s">
        <v>70</v>
      </c>
      <c r="N12" s="91" t="s">
        <v>70</v>
      </c>
      <c r="O12" s="24" t="s">
        <v>70</v>
      </c>
      <c r="P12" s="24" t="s">
        <v>70</v>
      </c>
      <c r="Q12" s="179">
        <f t="shared" si="1"/>
        <v>66.33333333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>
      <c r="A13" s="20"/>
      <c r="B13" s="21"/>
      <c r="C13" s="22">
        <v>3.0</v>
      </c>
      <c r="D13" s="116" t="s">
        <v>261</v>
      </c>
      <c r="E13" s="91">
        <v>34.0</v>
      </c>
      <c r="F13" s="30">
        <v>31.0</v>
      </c>
      <c r="G13" s="62">
        <v>84.0</v>
      </c>
      <c r="H13" s="62">
        <v>45.0</v>
      </c>
      <c r="I13" s="62">
        <v>31.0</v>
      </c>
      <c r="J13" s="135">
        <v>58.0</v>
      </c>
      <c r="K13" s="62">
        <v>22.0</v>
      </c>
      <c r="L13" s="62">
        <v>31.0</v>
      </c>
      <c r="M13" s="91">
        <v>70.0</v>
      </c>
      <c r="N13" s="91">
        <v>72.0</v>
      </c>
      <c r="O13" s="91">
        <v>48.0</v>
      </c>
      <c r="P13" s="91">
        <v>27.0</v>
      </c>
      <c r="Q13" s="179">
        <f t="shared" si="1"/>
        <v>46.08333333</v>
      </c>
      <c r="R13" s="23">
        <v>50.0</v>
      </c>
      <c r="S13" s="100"/>
      <c r="T13" s="100"/>
      <c r="U13" s="100"/>
      <c r="V13" s="100"/>
      <c r="W13" s="100"/>
      <c r="X13" s="100"/>
      <c r="Y13" s="100"/>
      <c r="Z13" s="100"/>
    </row>
    <row r="14">
      <c r="A14" s="20"/>
      <c r="B14" s="27"/>
      <c r="C14" s="156">
        <v>4.0</v>
      </c>
      <c r="D14" s="157" t="s">
        <v>262</v>
      </c>
      <c r="E14" s="91">
        <v>44.0</v>
      </c>
      <c r="F14" s="91">
        <v>29.0</v>
      </c>
      <c r="G14" s="62">
        <v>58.0</v>
      </c>
      <c r="H14" s="62">
        <v>40.0</v>
      </c>
      <c r="I14" s="62">
        <v>18.0</v>
      </c>
      <c r="J14" s="135">
        <v>41.0</v>
      </c>
      <c r="K14" s="62">
        <v>32.0</v>
      </c>
      <c r="L14" s="62">
        <v>22.0</v>
      </c>
      <c r="M14" s="91">
        <v>67.0</v>
      </c>
      <c r="N14" s="91">
        <v>71.0</v>
      </c>
      <c r="O14" s="91">
        <v>43.0</v>
      </c>
      <c r="P14" s="91">
        <v>26.0</v>
      </c>
      <c r="Q14" s="179">
        <f t="shared" si="1"/>
        <v>40.91666667</v>
      </c>
      <c r="R14" s="66">
        <v>50.0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15" t="s">
        <v>34</v>
      </c>
      <c r="C15" s="16">
        <v>1.0</v>
      </c>
      <c r="D15" s="236" t="s">
        <v>259</v>
      </c>
      <c r="E15" s="18">
        <v>7.0</v>
      </c>
      <c r="F15" s="90">
        <v>7.32</v>
      </c>
      <c r="G15" s="50">
        <v>8.15</v>
      </c>
      <c r="H15" s="50">
        <v>7.46</v>
      </c>
      <c r="I15" s="50">
        <v>7.33</v>
      </c>
      <c r="J15" s="114">
        <v>7.23</v>
      </c>
      <c r="K15" s="50">
        <v>7.33</v>
      </c>
      <c r="L15" s="50">
        <v>7.38</v>
      </c>
      <c r="M15" s="114">
        <v>7.69</v>
      </c>
      <c r="N15" s="114">
        <v>7.85</v>
      </c>
      <c r="O15" s="114" t="s">
        <v>70</v>
      </c>
      <c r="P15" s="114" t="s">
        <v>70</v>
      </c>
      <c r="Q15" s="174">
        <f t="shared" si="1"/>
        <v>7.474</v>
      </c>
      <c r="R15" s="65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21"/>
      <c r="C16" s="22">
        <v>2.0</v>
      </c>
      <c r="D16" s="116" t="s">
        <v>260</v>
      </c>
      <c r="E16" s="24">
        <v>7.14</v>
      </c>
      <c r="F16" s="91">
        <v>7.32</v>
      </c>
      <c r="G16" s="54">
        <v>8.13</v>
      </c>
      <c r="H16" s="54">
        <v>7.55</v>
      </c>
      <c r="I16" s="54">
        <v>7.15</v>
      </c>
      <c r="J16" s="135">
        <v>7.26</v>
      </c>
      <c r="K16" s="54">
        <v>7.65</v>
      </c>
      <c r="L16" s="54" t="s">
        <v>70</v>
      </c>
      <c r="M16" s="91" t="s">
        <v>70</v>
      </c>
      <c r="N16" s="91" t="s">
        <v>70</v>
      </c>
      <c r="O16" s="24" t="s">
        <v>70</v>
      </c>
      <c r="P16" s="24" t="s">
        <v>70</v>
      </c>
      <c r="Q16" s="176">
        <f t="shared" si="1"/>
        <v>7.457142857</v>
      </c>
      <c r="R16" s="66" t="s">
        <v>177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3.0</v>
      </c>
      <c r="D17" s="116" t="s">
        <v>261</v>
      </c>
      <c r="E17" s="24">
        <v>7.18</v>
      </c>
      <c r="F17" s="24">
        <v>7.3</v>
      </c>
      <c r="G17" s="54">
        <v>8.02</v>
      </c>
      <c r="H17" s="54">
        <v>7.48</v>
      </c>
      <c r="I17" s="54">
        <v>7.12</v>
      </c>
      <c r="J17" s="24">
        <v>7.33</v>
      </c>
      <c r="K17" s="237">
        <v>7.44</v>
      </c>
      <c r="L17" s="54">
        <v>7.46</v>
      </c>
      <c r="M17" s="91">
        <v>8.08</v>
      </c>
      <c r="N17" s="91">
        <v>7.84</v>
      </c>
      <c r="O17" s="91">
        <v>7.29</v>
      </c>
      <c r="P17" s="24">
        <v>7.0</v>
      </c>
      <c r="Q17" s="176">
        <f t="shared" si="1"/>
        <v>7.461666667</v>
      </c>
      <c r="R17" s="66" t="s">
        <v>177</v>
      </c>
      <c r="S17" s="100"/>
      <c r="T17" s="100"/>
      <c r="U17" s="100"/>
      <c r="V17" s="100"/>
      <c r="W17" s="100"/>
      <c r="X17" s="100"/>
      <c r="Y17" s="100"/>
      <c r="Z17" s="100"/>
    </row>
    <row r="18" ht="16.5" customHeight="1">
      <c r="A18" s="20"/>
      <c r="B18" s="27"/>
      <c r="C18" s="22">
        <v>4.0</v>
      </c>
      <c r="D18" s="157" t="s">
        <v>262</v>
      </c>
      <c r="E18" s="91">
        <v>7.69</v>
      </c>
      <c r="F18" s="91">
        <v>7.52</v>
      </c>
      <c r="G18" s="54">
        <v>8.1</v>
      </c>
      <c r="H18" s="54">
        <v>7.3</v>
      </c>
      <c r="I18" s="54">
        <v>7.11</v>
      </c>
      <c r="J18" s="135">
        <v>7.34</v>
      </c>
      <c r="K18" s="54">
        <v>7.37</v>
      </c>
      <c r="L18" s="54">
        <v>7.44</v>
      </c>
      <c r="M18" s="91">
        <v>8.05</v>
      </c>
      <c r="N18" s="91">
        <v>7.85</v>
      </c>
      <c r="O18" s="91">
        <v>7.37</v>
      </c>
      <c r="P18" s="24">
        <v>7.0</v>
      </c>
      <c r="Q18" s="176">
        <f t="shared" si="1"/>
        <v>7.511666667</v>
      </c>
      <c r="R18" s="66" t="s">
        <v>177</v>
      </c>
      <c r="S18" s="100"/>
      <c r="T18" s="100"/>
      <c r="U18" s="100"/>
      <c r="V18" s="100"/>
      <c r="W18" s="100"/>
      <c r="X18" s="100"/>
      <c r="Y18" s="100"/>
      <c r="Z18" s="100"/>
    </row>
    <row r="19" ht="15.75" customHeight="1">
      <c r="A19" s="20"/>
      <c r="B19" s="15" t="s">
        <v>263</v>
      </c>
      <c r="C19" s="16">
        <v>1.0</v>
      </c>
      <c r="D19" s="236" t="s">
        <v>259</v>
      </c>
      <c r="E19" s="50">
        <v>26.3</v>
      </c>
      <c r="F19" s="90">
        <v>29.932</v>
      </c>
      <c r="G19" s="50">
        <v>29.15</v>
      </c>
      <c r="H19" s="50">
        <v>31.0</v>
      </c>
      <c r="I19" s="50">
        <v>31.2</v>
      </c>
      <c r="J19" s="18">
        <v>30.03</v>
      </c>
      <c r="K19" s="50">
        <v>30.1</v>
      </c>
      <c r="L19" s="50">
        <v>30.22</v>
      </c>
      <c r="M19" s="18">
        <v>31.53</v>
      </c>
      <c r="N19" s="18">
        <v>30.6</v>
      </c>
      <c r="O19" s="18" t="s">
        <v>70</v>
      </c>
      <c r="P19" s="114" t="s">
        <v>70</v>
      </c>
      <c r="Q19" s="174">
        <f t="shared" si="1"/>
        <v>30.0062</v>
      </c>
      <c r="R19" s="18" t="s">
        <v>179</v>
      </c>
      <c r="S19" s="100"/>
      <c r="T19" s="100"/>
      <c r="U19" s="100"/>
      <c r="V19" s="100"/>
      <c r="W19" s="100"/>
      <c r="X19" s="100"/>
      <c r="Y19" s="100"/>
      <c r="Z19" s="100"/>
    </row>
    <row r="20" ht="15.75" customHeight="1">
      <c r="A20" s="20"/>
      <c r="B20" s="21"/>
      <c r="C20" s="22">
        <v>2.0</v>
      </c>
      <c r="D20" s="116" t="s">
        <v>260</v>
      </c>
      <c r="E20" s="54">
        <v>25.98</v>
      </c>
      <c r="F20" s="91">
        <v>29.8</v>
      </c>
      <c r="G20" s="54">
        <v>30.0</v>
      </c>
      <c r="H20" s="54">
        <v>31.1</v>
      </c>
      <c r="I20" s="54">
        <v>30.6</v>
      </c>
      <c r="J20" s="25">
        <v>30.5</v>
      </c>
      <c r="K20" s="54">
        <v>30.3</v>
      </c>
      <c r="L20" s="54" t="s">
        <v>70</v>
      </c>
      <c r="M20" s="24" t="s">
        <v>70</v>
      </c>
      <c r="N20" s="24" t="s">
        <v>70</v>
      </c>
      <c r="O20" s="91" t="s">
        <v>70</v>
      </c>
      <c r="P20" s="24" t="s">
        <v>70</v>
      </c>
      <c r="Q20" s="176">
        <f t="shared" si="1"/>
        <v>29.75428571</v>
      </c>
      <c r="R20" s="24" t="s">
        <v>179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1"/>
      <c r="C21" s="22">
        <v>3.0</v>
      </c>
      <c r="D21" s="116" t="s">
        <v>261</v>
      </c>
      <c r="E21" s="54">
        <v>26.7</v>
      </c>
      <c r="F21" s="24">
        <v>31.3</v>
      </c>
      <c r="G21" s="54">
        <v>30.5</v>
      </c>
      <c r="H21" s="54">
        <v>31.1</v>
      </c>
      <c r="I21" s="54">
        <v>30.5</v>
      </c>
      <c r="J21" s="25">
        <v>30.5</v>
      </c>
      <c r="K21" s="237">
        <v>30.44</v>
      </c>
      <c r="L21" s="54">
        <v>30.3</v>
      </c>
      <c r="M21" s="24">
        <v>31.8</v>
      </c>
      <c r="N21" s="24">
        <v>30.3</v>
      </c>
      <c r="O21" s="24">
        <v>30.92</v>
      </c>
      <c r="P21" s="24">
        <v>28.0</v>
      </c>
      <c r="Q21" s="176">
        <f t="shared" si="1"/>
        <v>30.19666667</v>
      </c>
      <c r="R21" s="24" t="s">
        <v>179</v>
      </c>
      <c r="S21" s="100"/>
      <c r="T21" s="100"/>
      <c r="U21" s="100"/>
      <c r="V21" s="100"/>
      <c r="W21" s="100"/>
      <c r="X21" s="100"/>
      <c r="Y21" s="100"/>
      <c r="Z21" s="100"/>
    </row>
    <row r="22" ht="16.5" customHeight="1">
      <c r="A22" s="20"/>
      <c r="B22" s="27"/>
      <c r="C22" s="22">
        <v>4.0</v>
      </c>
      <c r="D22" s="157" t="s">
        <v>262</v>
      </c>
      <c r="E22" s="54">
        <v>28.6</v>
      </c>
      <c r="F22" s="91">
        <v>30.32</v>
      </c>
      <c r="G22" s="54">
        <v>32.25</v>
      </c>
      <c r="H22" s="54">
        <v>31.6</v>
      </c>
      <c r="I22" s="54">
        <v>32.2</v>
      </c>
      <c r="J22" s="25">
        <v>31.08</v>
      </c>
      <c r="K22" s="54">
        <v>30.47</v>
      </c>
      <c r="L22" s="54">
        <v>29.0</v>
      </c>
      <c r="M22" s="24">
        <v>31.26</v>
      </c>
      <c r="N22" s="24">
        <v>29.8</v>
      </c>
      <c r="O22" s="24">
        <v>30.4</v>
      </c>
      <c r="P22" s="24">
        <v>28.0</v>
      </c>
      <c r="Q22" s="176">
        <f t="shared" si="1"/>
        <v>30.415</v>
      </c>
      <c r="R22" s="24" t="s">
        <v>179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15" t="s">
        <v>38</v>
      </c>
      <c r="C23" s="16">
        <v>1.0</v>
      </c>
      <c r="D23" s="236" t="s">
        <v>259</v>
      </c>
      <c r="E23" s="114">
        <v>20.0</v>
      </c>
      <c r="F23" s="92">
        <v>5.0</v>
      </c>
      <c r="G23" s="59">
        <v>5.0</v>
      </c>
      <c r="H23" s="59">
        <v>5.0</v>
      </c>
      <c r="I23" s="59">
        <v>5.0</v>
      </c>
      <c r="J23" s="114">
        <v>5.0</v>
      </c>
      <c r="K23" s="59">
        <v>5.0</v>
      </c>
      <c r="L23" s="59">
        <v>5.0</v>
      </c>
      <c r="M23" s="114">
        <v>5.0</v>
      </c>
      <c r="N23" s="114">
        <v>5.0</v>
      </c>
      <c r="O23" s="114" t="s">
        <v>70</v>
      </c>
      <c r="P23" s="114" t="s">
        <v>70</v>
      </c>
      <c r="Q23" s="178">
        <f t="shared" si="1"/>
        <v>6.5</v>
      </c>
      <c r="R23" s="28">
        <v>50.0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1"/>
      <c r="C24" s="22">
        <v>2.0</v>
      </c>
      <c r="D24" s="116" t="s">
        <v>260</v>
      </c>
      <c r="E24" s="91">
        <v>15.0</v>
      </c>
      <c r="F24" s="30">
        <v>5.0</v>
      </c>
      <c r="G24" s="62">
        <v>5.0</v>
      </c>
      <c r="H24" s="62">
        <v>5.0</v>
      </c>
      <c r="I24" s="62">
        <v>5.0</v>
      </c>
      <c r="J24" s="91">
        <v>5.0</v>
      </c>
      <c r="K24" s="62" t="s">
        <v>70</v>
      </c>
      <c r="L24" s="237" t="s">
        <v>70</v>
      </c>
      <c r="M24" s="91" t="s">
        <v>70</v>
      </c>
      <c r="N24" s="91" t="s">
        <v>70</v>
      </c>
      <c r="O24" s="24" t="s">
        <v>70</v>
      </c>
      <c r="P24" s="24" t="s">
        <v>70</v>
      </c>
      <c r="Q24" s="179">
        <f t="shared" si="1"/>
        <v>6.666666667</v>
      </c>
      <c r="R24" s="30">
        <v>50.0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21"/>
      <c r="C25" s="22">
        <v>3.0</v>
      </c>
      <c r="D25" s="116" t="s">
        <v>261</v>
      </c>
      <c r="E25" s="91">
        <v>20.0</v>
      </c>
      <c r="F25" s="30">
        <v>5.0</v>
      </c>
      <c r="G25" s="62">
        <v>5.0</v>
      </c>
      <c r="H25" s="62">
        <v>5.0</v>
      </c>
      <c r="I25" s="62">
        <v>5.0</v>
      </c>
      <c r="J25" s="30">
        <v>5.0</v>
      </c>
      <c r="K25" s="62">
        <v>5.0</v>
      </c>
      <c r="L25" s="62">
        <v>5.0</v>
      </c>
      <c r="M25" s="91">
        <v>5.0</v>
      </c>
      <c r="N25" s="91">
        <v>5.0</v>
      </c>
      <c r="O25" s="91">
        <v>5.0</v>
      </c>
      <c r="P25" s="91">
        <v>10.0</v>
      </c>
      <c r="Q25" s="179">
        <f t="shared" si="1"/>
        <v>6.666666667</v>
      </c>
      <c r="R25" s="30">
        <v>50.0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7"/>
      <c r="C26" s="22">
        <v>4.0</v>
      </c>
      <c r="D26" s="157" t="s">
        <v>262</v>
      </c>
      <c r="E26" s="91">
        <v>15.0</v>
      </c>
      <c r="F26" s="30">
        <v>5.0</v>
      </c>
      <c r="G26" s="62">
        <v>5.0</v>
      </c>
      <c r="H26" s="62">
        <v>5.0</v>
      </c>
      <c r="I26" s="62">
        <v>5.0</v>
      </c>
      <c r="J26" s="91">
        <v>5.0</v>
      </c>
      <c r="K26" s="62">
        <v>5.0</v>
      </c>
      <c r="L26" s="62">
        <v>5.0</v>
      </c>
      <c r="M26" s="91">
        <v>5.0</v>
      </c>
      <c r="N26" s="91">
        <v>5.0</v>
      </c>
      <c r="O26" s="91">
        <v>5.0</v>
      </c>
      <c r="P26" s="91">
        <v>10.0</v>
      </c>
      <c r="Q26" s="179">
        <f t="shared" si="1"/>
        <v>6.25</v>
      </c>
      <c r="R26" s="30">
        <v>50.0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15" t="s">
        <v>40</v>
      </c>
      <c r="C27" s="16">
        <v>1.0</v>
      </c>
      <c r="D27" s="236" t="s">
        <v>259</v>
      </c>
      <c r="E27" s="164">
        <v>16000.0</v>
      </c>
      <c r="F27" s="94">
        <v>1600.0</v>
      </c>
      <c r="G27" s="70">
        <v>5400.0</v>
      </c>
      <c r="H27" s="70">
        <v>16000.0</v>
      </c>
      <c r="I27" s="70">
        <v>5400.0</v>
      </c>
      <c r="J27" s="33">
        <v>9200.0</v>
      </c>
      <c r="K27" s="70">
        <v>3500.0</v>
      </c>
      <c r="L27" s="164">
        <v>2400.0</v>
      </c>
      <c r="M27" s="32">
        <v>920.0</v>
      </c>
      <c r="N27" s="32">
        <v>1100.0</v>
      </c>
      <c r="O27" s="114" t="s">
        <v>70</v>
      </c>
      <c r="P27" s="114" t="s">
        <v>70</v>
      </c>
      <c r="Q27" s="197">
        <f>GEOMEAN(1600,F27,G27,H27,I27,J27,K27,1600,M27,N27,O27,P27)</f>
        <v>3015.993377</v>
      </c>
      <c r="R27" s="17">
        <v>100.0</v>
      </c>
      <c r="S27" s="130">
        <f>geomean(Q27:Q30)</f>
        <v>1674.718991</v>
      </c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21"/>
      <c r="C28" s="22">
        <v>2.0</v>
      </c>
      <c r="D28" s="116" t="s">
        <v>260</v>
      </c>
      <c r="E28" s="182">
        <v>5400.0</v>
      </c>
      <c r="F28" s="34">
        <v>110.0</v>
      </c>
      <c r="G28" s="73">
        <v>92.0</v>
      </c>
      <c r="H28" s="73">
        <v>160000.0</v>
      </c>
      <c r="I28" s="73">
        <v>1600.0</v>
      </c>
      <c r="J28" s="34">
        <v>24000.0</v>
      </c>
      <c r="K28" s="237" t="s">
        <v>70</v>
      </c>
      <c r="L28" s="54" t="s">
        <v>70</v>
      </c>
      <c r="M28" s="54" t="s">
        <v>70</v>
      </c>
      <c r="N28" s="37" t="s">
        <v>70</v>
      </c>
      <c r="O28" s="24" t="s">
        <v>70</v>
      </c>
      <c r="P28" s="24" t="s">
        <v>70</v>
      </c>
      <c r="Q28" s="198">
        <f t="shared" ref="Q28:Q30" si="2">GEOMEAN(E28,F28,G28,H28,I28,J28,K28,L28,M28,N28,O28,P28)</f>
        <v>2636.357164</v>
      </c>
      <c r="R28" s="23">
        <v>100.0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3.0</v>
      </c>
      <c r="D29" s="116" t="s">
        <v>261</v>
      </c>
      <c r="E29" s="182">
        <v>2400.0</v>
      </c>
      <c r="F29" s="34">
        <v>240.0</v>
      </c>
      <c r="G29" s="73">
        <v>2400.0</v>
      </c>
      <c r="H29" s="73">
        <v>9200.0</v>
      </c>
      <c r="I29" s="73">
        <v>540.0</v>
      </c>
      <c r="J29" s="34">
        <v>2800.0</v>
      </c>
      <c r="K29" s="54" t="s">
        <v>70</v>
      </c>
      <c r="L29" s="238">
        <v>3500.0</v>
      </c>
      <c r="M29" s="37">
        <v>2400.0</v>
      </c>
      <c r="N29" s="37">
        <v>700.0</v>
      </c>
      <c r="O29" s="37">
        <v>49.0</v>
      </c>
      <c r="P29" s="37">
        <v>130.0</v>
      </c>
      <c r="Q29" s="198">
        <f t="shared" si="2"/>
        <v>970.609538</v>
      </c>
      <c r="R29" s="23">
        <v>100.0</v>
      </c>
      <c r="S29" s="100"/>
      <c r="T29" s="100"/>
      <c r="U29" s="100"/>
      <c r="V29" s="100"/>
      <c r="W29" s="100"/>
      <c r="X29" s="100"/>
      <c r="Y29" s="100"/>
      <c r="Z29" s="100"/>
    </row>
    <row r="30" ht="16.5" customHeight="1">
      <c r="A30" s="20"/>
      <c r="B30" s="27"/>
      <c r="C30" s="22">
        <v>4.0</v>
      </c>
      <c r="D30" s="157" t="s">
        <v>262</v>
      </c>
      <c r="E30" s="239">
        <v>130.0</v>
      </c>
      <c r="F30" s="34">
        <v>21.0</v>
      </c>
      <c r="G30" s="62">
        <v>280.0</v>
      </c>
      <c r="H30" s="73">
        <v>5400.0</v>
      </c>
      <c r="I30" s="62">
        <v>170.0</v>
      </c>
      <c r="J30" s="34">
        <v>24000.0</v>
      </c>
      <c r="K30" s="73">
        <v>5400.0</v>
      </c>
      <c r="L30" s="62">
        <v>460.0</v>
      </c>
      <c r="M30" s="37">
        <v>1100.0</v>
      </c>
      <c r="N30" s="37">
        <v>5400.0</v>
      </c>
      <c r="O30" s="91">
        <v>46.0</v>
      </c>
      <c r="P30" s="37">
        <v>110000.0</v>
      </c>
      <c r="Q30" s="198">
        <f t="shared" si="2"/>
        <v>1019.268485</v>
      </c>
      <c r="R30" s="23">
        <v>100.0</v>
      </c>
      <c r="S30" s="100"/>
      <c r="T30" s="100"/>
      <c r="U30" s="100"/>
      <c r="V30" s="100"/>
      <c r="W30" s="100"/>
      <c r="X30" s="100"/>
      <c r="Y30" s="100"/>
      <c r="Z30" s="100"/>
    </row>
    <row r="31" ht="15.75" customHeight="1">
      <c r="A31" s="20"/>
      <c r="B31" s="15" t="s">
        <v>264</v>
      </c>
      <c r="C31" s="16">
        <v>1.0</v>
      </c>
      <c r="D31" s="236" t="s">
        <v>259</v>
      </c>
      <c r="E31" s="40">
        <v>0.269</v>
      </c>
      <c r="F31" s="96">
        <v>0.178</v>
      </c>
      <c r="G31" s="77">
        <v>0.164</v>
      </c>
      <c r="H31" s="50" t="s">
        <v>42</v>
      </c>
      <c r="I31" s="77">
        <v>1.126</v>
      </c>
      <c r="J31" s="114" t="s">
        <v>42</v>
      </c>
      <c r="K31" s="50" t="s">
        <v>42</v>
      </c>
      <c r="L31" s="114">
        <v>0.516</v>
      </c>
      <c r="M31" s="114">
        <v>0.171</v>
      </c>
      <c r="N31" s="114">
        <v>0.53</v>
      </c>
      <c r="O31" s="114" t="s">
        <v>70</v>
      </c>
      <c r="P31" s="114" t="s">
        <v>70</v>
      </c>
      <c r="Q31" s="185">
        <f>AVERAGE(E31,F31,G31,H31,I31,0.045,K31,L31,0.045,N31,O31,P31)</f>
        <v>0.359125</v>
      </c>
      <c r="R31" s="17">
        <v>10.0</v>
      </c>
      <c r="S31" s="100"/>
      <c r="T31" s="100"/>
      <c r="U31" s="100"/>
      <c r="V31" s="100"/>
      <c r="W31" s="100"/>
      <c r="X31" s="100"/>
      <c r="Y31" s="100"/>
      <c r="Z31" s="100"/>
    </row>
    <row r="32" ht="15.75" customHeight="1">
      <c r="A32" s="20"/>
      <c r="B32" s="21"/>
      <c r="C32" s="22">
        <v>2.0</v>
      </c>
      <c r="D32" s="116" t="s">
        <v>260</v>
      </c>
      <c r="E32" s="91">
        <v>0.276</v>
      </c>
      <c r="F32" s="43">
        <v>0.157</v>
      </c>
      <c r="G32" s="78">
        <v>0.111</v>
      </c>
      <c r="H32" s="78" t="s">
        <v>42</v>
      </c>
      <c r="I32" s="54" t="s">
        <v>42</v>
      </c>
      <c r="J32" s="43">
        <v>0.11</v>
      </c>
      <c r="K32" s="237" t="s">
        <v>70</v>
      </c>
      <c r="L32" s="54" t="s">
        <v>70</v>
      </c>
      <c r="M32" s="54" t="s">
        <v>70</v>
      </c>
      <c r="N32" s="91" t="s">
        <v>70</v>
      </c>
      <c r="O32" s="24" t="s">
        <v>70</v>
      </c>
      <c r="P32" s="24" t="s">
        <v>70</v>
      </c>
      <c r="Q32" s="187">
        <f>AVERAGE(E32,F32,G32,H32,I32,0.045,K32,L32,M32,N32,O32,P32)</f>
        <v>0.14725</v>
      </c>
      <c r="R32" s="23">
        <v>10.0</v>
      </c>
      <c r="S32" s="100"/>
      <c r="T32" s="100"/>
      <c r="U32" s="100"/>
      <c r="V32" s="100"/>
      <c r="W32" s="100"/>
      <c r="X32" s="100"/>
      <c r="Y32" s="100"/>
      <c r="Z32" s="100"/>
    </row>
    <row r="33" ht="15.75" customHeight="1">
      <c r="A33" s="20"/>
      <c r="B33" s="21"/>
      <c r="C33" s="22">
        <v>3.0</v>
      </c>
      <c r="D33" s="116" t="s">
        <v>261</v>
      </c>
      <c r="E33" s="91">
        <v>0.401</v>
      </c>
      <c r="F33" s="43">
        <v>0.208</v>
      </c>
      <c r="G33" s="78">
        <v>0.286</v>
      </c>
      <c r="H33" s="78" t="s">
        <v>42</v>
      </c>
      <c r="I33" s="78">
        <v>0.083</v>
      </c>
      <c r="J33" s="91" t="s">
        <v>42</v>
      </c>
      <c r="K33" s="54" t="s">
        <v>70</v>
      </c>
      <c r="L33" s="78">
        <v>0.339</v>
      </c>
      <c r="M33" s="43" t="s">
        <v>42</v>
      </c>
      <c r="N33" s="91">
        <v>0.695</v>
      </c>
      <c r="O33" s="91">
        <v>0.102</v>
      </c>
      <c r="P33" s="91" t="s">
        <v>42</v>
      </c>
      <c r="Q33" s="187">
        <f>AVERAGE(E33,F33,G33,H33,I33,0.045,K33,L33,0.045,N33,O33,P33)</f>
        <v>0.2448888889</v>
      </c>
      <c r="R33" s="23">
        <v>10.0</v>
      </c>
      <c r="S33" s="100"/>
      <c r="T33" s="100"/>
      <c r="U33" s="100"/>
      <c r="V33" s="100"/>
      <c r="W33" s="100"/>
      <c r="X33" s="100"/>
      <c r="Y33" s="100"/>
      <c r="Z33" s="100"/>
    </row>
    <row r="34" ht="16.5" customHeight="1">
      <c r="A34" s="20"/>
      <c r="B34" s="27"/>
      <c r="C34" s="22">
        <v>4.0</v>
      </c>
      <c r="D34" s="157" t="s">
        <v>262</v>
      </c>
      <c r="E34" s="91">
        <v>0.366</v>
      </c>
      <c r="F34" s="43">
        <v>0.225</v>
      </c>
      <c r="G34" s="78">
        <v>0.177</v>
      </c>
      <c r="H34" s="78" t="s">
        <v>42</v>
      </c>
      <c r="I34" s="54" t="s">
        <v>42</v>
      </c>
      <c r="J34" s="91" t="s">
        <v>42</v>
      </c>
      <c r="K34" s="78">
        <v>0.168</v>
      </c>
      <c r="L34" s="78">
        <v>0.174</v>
      </c>
      <c r="M34" s="91">
        <v>0.141</v>
      </c>
      <c r="N34" s="91">
        <v>0.094</v>
      </c>
      <c r="O34" s="43">
        <v>0.163</v>
      </c>
      <c r="P34" s="91">
        <v>0.608</v>
      </c>
      <c r="Q34" s="187">
        <f>AVERAGE(E34,F34,G34,H34,I34,0.045,K34,L34,M34,N34,O34,P34)</f>
        <v>0.2161</v>
      </c>
      <c r="R34" s="23">
        <v>10.0</v>
      </c>
      <c r="S34" s="100"/>
      <c r="T34" s="100"/>
      <c r="U34" s="100"/>
      <c r="V34" s="100"/>
      <c r="W34" s="100"/>
      <c r="X34" s="100"/>
      <c r="Y34" s="100"/>
      <c r="Z34" s="100"/>
    </row>
    <row r="35" ht="15.75" customHeight="1">
      <c r="A35" s="20"/>
      <c r="B35" s="15" t="s">
        <v>265</v>
      </c>
      <c r="C35" s="16">
        <v>1.0</v>
      </c>
      <c r="D35" s="236" t="s">
        <v>259</v>
      </c>
      <c r="E35" s="114">
        <v>0.163</v>
      </c>
      <c r="F35" s="96">
        <v>0.026</v>
      </c>
      <c r="G35" s="77">
        <v>0.061</v>
      </c>
      <c r="H35" s="77">
        <v>0.104</v>
      </c>
      <c r="I35" s="77">
        <v>0.168</v>
      </c>
      <c r="J35" s="114">
        <v>0.065</v>
      </c>
      <c r="K35" s="77">
        <v>0.212</v>
      </c>
      <c r="L35" s="77">
        <v>0.082</v>
      </c>
      <c r="M35" s="114">
        <v>0.171</v>
      </c>
      <c r="N35" s="114">
        <v>0.069</v>
      </c>
      <c r="O35" s="114" t="s">
        <v>70</v>
      </c>
      <c r="P35" s="114" t="s">
        <v>70</v>
      </c>
      <c r="Q35" s="185">
        <f t="shared" ref="Q35:Q38" si="3">AVERAGE(E35,F35,G35,H35,I35,0.017,K35,L35,M35,N35,O35,P35)</f>
        <v>0.1073</v>
      </c>
      <c r="R35" s="17">
        <v>0.5</v>
      </c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20"/>
      <c r="B36" s="21"/>
      <c r="C36" s="22">
        <v>2.0</v>
      </c>
      <c r="D36" s="116" t="s">
        <v>260</v>
      </c>
      <c r="E36" s="91">
        <v>0.082</v>
      </c>
      <c r="F36" s="91" t="s">
        <v>206</v>
      </c>
      <c r="G36" s="78">
        <v>0.056</v>
      </c>
      <c r="H36" s="78">
        <v>0.064</v>
      </c>
      <c r="I36" s="78">
        <v>0.14</v>
      </c>
      <c r="J36" s="91">
        <v>0.125</v>
      </c>
      <c r="K36" s="54" t="s">
        <v>70</v>
      </c>
      <c r="L36" s="54" t="s">
        <v>70</v>
      </c>
      <c r="M36" s="54" t="s">
        <v>70</v>
      </c>
      <c r="N36" s="91" t="s">
        <v>70</v>
      </c>
      <c r="O36" s="24" t="s">
        <v>70</v>
      </c>
      <c r="P36" s="24" t="s">
        <v>70</v>
      </c>
      <c r="Q36" s="187">
        <f t="shared" si="3"/>
        <v>0.0718</v>
      </c>
      <c r="R36" s="23">
        <v>0.5</v>
      </c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20"/>
      <c r="B37" s="21"/>
      <c r="C37" s="22">
        <v>3.0</v>
      </c>
      <c r="D37" s="116" t="s">
        <v>261</v>
      </c>
      <c r="E37" s="43">
        <v>0.074</v>
      </c>
      <c r="F37" s="24" t="s">
        <v>206</v>
      </c>
      <c r="G37" s="78">
        <v>0.062</v>
      </c>
      <c r="H37" s="78">
        <v>0.041</v>
      </c>
      <c r="I37" s="78">
        <v>0.18</v>
      </c>
      <c r="J37" s="43">
        <v>0.103</v>
      </c>
      <c r="K37" s="78">
        <v>0.395</v>
      </c>
      <c r="L37" s="78">
        <v>0.052</v>
      </c>
      <c r="M37" s="91">
        <v>0.051</v>
      </c>
      <c r="N37" s="91">
        <v>0.053</v>
      </c>
      <c r="O37" s="91">
        <v>0.079</v>
      </c>
      <c r="P37" s="91">
        <v>0.063</v>
      </c>
      <c r="Q37" s="187">
        <f t="shared" si="3"/>
        <v>0.097</v>
      </c>
      <c r="R37" s="23">
        <v>0.5</v>
      </c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20"/>
      <c r="B38" s="27"/>
      <c r="C38" s="22">
        <v>4.0</v>
      </c>
      <c r="D38" s="157" t="s">
        <v>262</v>
      </c>
      <c r="E38" s="91">
        <v>0.061</v>
      </c>
      <c r="F38" s="91" t="s">
        <v>206</v>
      </c>
      <c r="G38" s="78">
        <v>0.078</v>
      </c>
      <c r="H38" s="78">
        <v>0.039</v>
      </c>
      <c r="I38" s="78">
        <v>0.138</v>
      </c>
      <c r="J38" s="91">
        <v>0.065</v>
      </c>
      <c r="K38" s="78">
        <v>0.042</v>
      </c>
      <c r="L38" s="78">
        <v>0.079</v>
      </c>
      <c r="M38" s="91">
        <v>0.039</v>
      </c>
      <c r="N38" s="91">
        <v>0.055</v>
      </c>
      <c r="O38" s="43">
        <v>0.042</v>
      </c>
      <c r="P38" s="91">
        <v>0.111</v>
      </c>
      <c r="Q38" s="187">
        <f t="shared" si="3"/>
        <v>0.06372727273</v>
      </c>
      <c r="R38" s="23">
        <v>0.5</v>
      </c>
      <c r="S38" s="100"/>
      <c r="T38" s="100"/>
      <c r="U38" s="100"/>
      <c r="V38" s="100"/>
      <c r="W38" s="100"/>
      <c r="X38" s="100"/>
      <c r="Y38" s="100"/>
      <c r="Z38" s="100"/>
    </row>
    <row r="39" ht="15.75" hidden="1" customHeight="1">
      <c r="A39" s="20"/>
      <c r="B39" s="15" t="s">
        <v>46</v>
      </c>
      <c r="C39" s="16">
        <v>1.0</v>
      </c>
      <c r="D39" s="236" t="s">
        <v>259</v>
      </c>
      <c r="E39" s="188"/>
      <c r="F39" s="188"/>
      <c r="G39" s="188"/>
      <c r="H39" s="114">
        <v>0.066</v>
      </c>
      <c r="I39" s="188"/>
      <c r="J39" s="188"/>
      <c r="K39" s="188"/>
      <c r="L39" s="188"/>
      <c r="M39" s="188"/>
      <c r="N39" s="188"/>
      <c r="O39" s="188"/>
      <c r="P39" s="188"/>
      <c r="Q39" s="174">
        <f t="shared" ref="Q39:Q42" si="4">AVERAGE(E39,F39,G39,H39,I39,J39,K39,L39,M39,N39,O39,P39)</f>
        <v>0.066</v>
      </c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hidden="1" customHeight="1">
      <c r="A40" s="20"/>
      <c r="B40" s="21"/>
      <c r="C40" s="22">
        <v>2.0</v>
      </c>
      <c r="D40" s="116" t="s">
        <v>260</v>
      </c>
      <c r="E40" s="20"/>
      <c r="F40" s="20"/>
      <c r="G40" s="20"/>
      <c r="H40" s="91">
        <v>0.099</v>
      </c>
      <c r="I40" s="20"/>
      <c r="J40" s="20"/>
      <c r="K40" s="20"/>
      <c r="L40" s="20"/>
      <c r="M40" s="20"/>
      <c r="N40" s="20"/>
      <c r="O40" s="20"/>
      <c r="P40" s="20"/>
      <c r="Q40" s="176">
        <f t="shared" si="4"/>
        <v>0.099</v>
      </c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hidden="1" customHeight="1">
      <c r="A41" s="20"/>
      <c r="B41" s="21"/>
      <c r="C41" s="22">
        <v>3.0</v>
      </c>
      <c r="D41" s="116" t="s">
        <v>266</v>
      </c>
      <c r="E41" s="20"/>
      <c r="F41" s="20"/>
      <c r="G41" s="20"/>
      <c r="H41" s="91">
        <v>0.031</v>
      </c>
      <c r="I41" s="20"/>
      <c r="J41" s="20"/>
      <c r="K41" s="20"/>
      <c r="L41" s="20"/>
      <c r="M41" s="20"/>
      <c r="N41" s="20"/>
      <c r="O41" s="20"/>
      <c r="P41" s="20"/>
      <c r="Q41" s="176">
        <f t="shared" si="4"/>
        <v>0.031</v>
      </c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hidden="1" customHeight="1">
      <c r="A42" s="20"/>
      <c r="B42" s="27"/>
      <c r="C42" s="22">
        <v>4.0</v>
      </c>
      <c r="D42" s="157" t="s">
        <v>267</v>
      </c>
      <c r="E42" s="20"/>
      <c r="F42" s="20"/>
      <c r="G42" s="20"/>
      <c r="H42" s="91">
        <v>0.064</v>
      </c>
      <c r="I42" s="20"/>
      <c r="J42" s="20"/>
      <c r="K42" s="20"/>
      <c r="L42" s="20"/>
      <c r="M42" s="20"/>
      <c r="N42" s="20"/>
      <c r="O42" s="20"/>
      <c r="P42" s="20"/>
      <c r="Q42" s="176">
        <f t="shared" si="4"/>
        <v>0.064</v>
      </c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17"/>
      <c r="O43" s="117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97" t="s">
        <v>87</v>
      </c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17"/>
      <c r="O44" s="117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17"/>
      <c r="O45" s="117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0" customHeight="1">
      <c r="A46" s="107" t="s">
        <v>268</v>
      </c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17"/>
      <c r="O46" s="117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17"/>
      <c r="O47" s="117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17"/>
      <c r="O48" s="117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17"/>
      <c r="O49" s="117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17"/>
      <c r="O50" s="117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17"/>
      <c r="O51" s="117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17"/>
      <c r="O52" s="117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17"/>
      <c r="O53" s="117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17"/>
      <c r="O54" s="117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17"/>
      <c r="O55" s="117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17"/>
      <c r="O56" s="117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17"/>
      <c r="O57" s="117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17"/>
      <c r="O58" s="117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17"/>
      <c r="O59" s="117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17"/>
      <c r="O60" s="117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17"/>
      <c r="O61" s="117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17"/>
      <c r="O62" s="117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17"/>
      <c r="O63" s="117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17"/>
      <c r="O64" s="117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17"/>
      <c r="O65" s="117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17"/>
      <c r="O66" s="117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17"/>
      <c r="O67" s="117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17"/>
      <c r="O68" s="117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17"/>
      <c r="O69" s="117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17"/>
      <c r="O70" s="117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17"/>
      <c r="O71" s="117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17"/>
      <c r="O72" s="117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17"/>
      <c r="O73" s="117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17"/>
      <c r="O74" s="117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17"/>
      <c r="O75" s="117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17"/>
      <c r="O76" s="117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17"/>
      <c r="O77" s="117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17"/>
      <c r="O78" s="117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17"/>
      <c r="O79" s="117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17"/>
      <c r="O80" s="117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17"/>
      <c r="O81" s="117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17"/>
      <c r="O82" s="117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17"/>
      <c r="O83" s="117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17"/>
      <c r="O84" s="117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17"/>
      <c r="O85" s="117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17"/>
      <c r="O86" s="117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17"/>
      <c r="O87" s="117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17"/>
      <c r="O88" s="117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17"/>
      <c r="O89" s="117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17"/>
      <c r="O90" s="117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17"/>
      <c r="O91" s="117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17"/>
      <c r="O92" s="117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17"/>
      <c r="O93" s="117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17"/>
      <c r="O94" s="117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17"/>
      <c r="O95" s="117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17"/>
      <c r="O96" s="117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17"/>
      <c r="O97" s="117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17"/>
      <c r="O98" s="117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17"/>
      <c r="O99" s="117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17"/>
      <c r="O100" s="117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17"/>
      <c r="O101" s="117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17"/>
      <c r="O102" s="117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17"/>
      <c r="O103" s="117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17"/>
      <c r="O104" s="117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17"/>
      <c r="O105" s="117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17"/>
      <c r="O106" s="117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17"/>
      <c r="O107" s="117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17"/>
      <c r="O108" s="117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17"/>
      <c r="O109" s="117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17"/>
      <c r="O110" s="117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17"/>
      <c r="O111" s="117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17"/>
      <c r="O112" s="117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17"/>
      <c r="O113" s="117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17"/>
      <c r="O114" s="117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17"/>
      <c r="O115" s="117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17"/>
      <c r="O116" s="117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17"/>
      <c r="O117" s="117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17"/>
      <c r="O118" s="117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17"/>
      <c r="O119" s="117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17"/>
      <c r="O120" s="117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17"/>
      <c r="O121" s="117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17"/>
      <c r="O122" s="117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17"/>
      <c r="O123" s="117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17"/>
      <c r="O124" s="117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17"/>
      <c r="O125" s="117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17"/>
      <c r="O126" s="117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17"/>
      <c r="O127" s="117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17"/>
      <c r="O128" s="117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17"/>
      <c r="O129" s="117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17"/>
      <c r="O130" s="117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17"/>
      <c r="O131" s="117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17"/>
      <c r="O132" s="117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17"/>
      <c r="O133" s="117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17"/>
      <c r="O134" s="117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17"/>
      <c r="O135" s="117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17"/>
      <c r="O136" s="117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17"/>
      <c r="O137" s="117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17"/>
      <c r="O138" s="117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17"/>
      <c r="O139" s="117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17"/>
      <c r="O140" s="117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17"/>
      <c r="O141" s="117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17"/>
      <c r="O142" s="117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17"/>
      <c r="O143" s="117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17"/>
      <c r="O144" s="117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17"/>
      <c r="O145" s="117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17"/>
      <c r="O146" s="117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17"/>
      <c r="O147" s="117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17"/>
      <c r="O148" s="117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17"/>
      <c r="O149" s="117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17"/>
      <c r="O150" s="117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17"/>
      <c r="O151" s="117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17"/>
      <c r="O152" s="117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17"/>
      <c r="O153" s="117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17"/>
      <c r="O154" s="117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17"/>
      <c r="O155" s="117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17"/>
      <c r="O156" s="117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17"/>
      <c r="O157" s="117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17"/>
      <c r="O158" s="117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17"/>
      <c r="O159" s="117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17"/>
      <c r="O160" s="117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17"/>
      <c r="O161" s="117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17"/>
      <c r="O162" s="117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17"/>
      <c r="O163" s="117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17"/>
      <c r="O164" s="117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17"/>
      <c r="O165" s="117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17"/>
      <c r="O166" s="117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17"/>
      <c r="O167" s="117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17"/>
      <c r="O168" s="117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17"/>
      <c r="O169" s="117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17"/>
      <c r="O170" s="117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17"/>
      <c r="O171" s="117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17"/>
      <c r="O172" s="117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17"/>
      <c r="O173" s="117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17"/>
      <c r="O174" s="117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17"/>
      <c r="O175" s="117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17"/>
      <c r="O176" s="117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17"/>
      <c r="O177" s="117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17"/>
      <c r="O178" s="117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17"/>
      <c r="O179" s="117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17"/>
      <c r="O180" s="117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17"/>
      <c r="O181" s="117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17"/>
      <c r="O182" s="117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17"/>
      <c r="O183" s="117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17"/>
      <c r="O184" s="117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17"/>
      <c r="O185" s="117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17"/>
      <c r="O186" s="117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17"/>
      <c r="O187" s="117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17"/>
      <c r="O188" s="117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17"/>
      <c r="O189" s="117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17"/>
      <c r="O190" s="117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17"/>
      <c r="O191" s="117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17"/>
      <c r="O192" s="117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17"/>
      <c r="O193" s="117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17"/>
      <c r="O194" s="117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17"/>
      <c r="O195" s="117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17"/>
      <c r="O196" s="117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17"/>
      <c r="O197" s="117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17"/>
      <c r="O198" s="117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17"/>
      <c r="O199" s="117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17"/>
      <c r="O200" s="117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17"/>
      <c r="O201" s="117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17"/>
      <c r="O202" s="117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17"/>
      <c r="O203" s="117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17"/>
      <c r="O204" s="117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17"/>
      <c r="O205" s="117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17"/>
      <c r="O206" s="117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17"/>
      <c r="O207" s="117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17"/>
      <c r="O208" s="117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17"/>
      <c r="O209" s="117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17"/>
      <c r="O210" s="117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17"/>
      <c r="O211" s="117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17"/>
      <c r="O212" s="117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17"/>
      <c r="O213" s="117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17"/>
      <c r="O214" s="117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17"/>
      <c r="O215" s="117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17"/>
      <c r="O216" s="117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17"/>
      <c r="O217" s="117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17"/>
      <c r="O218" s="117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17"/>
      <c r="O219" s="117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17"/>
      <c r="O220" s="117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17"/>
      <c r="O221" s="117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17"/>
      <c r="O222" s="117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17"/>
      <c r="O223" s="117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17"/>
      <c r="O224" s="117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17"/>
      <c r="O225" s="117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17"/>
      <c r="O226" s="117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17"/>
      <c r="O227" s="117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17"/>
      <c r="O228" s="117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17"/>
      <c r="O229" s="117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17"/>
      <c r="O230" s="117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17"/>
      <c r="O231" s="117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17"/>
      <c r="O232" s="117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17"/>
      <c r="O233" s="117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17"/>
      <c r="O234" s="117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17"/>
      <c r="O235" s="117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17"/>
      <c r="O236" s="117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17"/>
      <c r="O237" s="117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17"/>
      <c r="O238" s="117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17"/>
      <c r="O239" s="117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17"/>
      <c r="O240" s="117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17"/>
      <c r="O241" s="117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17"/>
      <c r="O242" s="117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17"/>
      <c r="O243" s="117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17"/>
      <c r="O244" s="117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17"/>
      <c r="O245" s="117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17"/>
      <c r="O246" s="117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17"/>
      <c r="O247" s="117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17"/>
      <c r="O248" s="117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17"/>
      <c r="O249" s="117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17"/>
      <c r="O250" s="117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17"/>
      <c r="O251" s="117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17"/>
      <c r="O252" s="117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17"/>
      <c r="O253" s="117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17"/>
      <c r="O254" s="117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17"/>
      <c r="O255" s="117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17"/>
      <c r="O256" s="117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17"/>
      <c r="O257" s="117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17"/>
      <c r="O258" s="117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17"/>
      <c r="O259" s="117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17"/>
      <c r="O260" s="117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17"/>
      <c r="O261" s="117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17"/>
      <c r="O262" s="117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17"/>
      <c r="O263" s="117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17"/>
      <c r="O264" s="117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17"/>
      <c r="O265" s="117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17"/>
      <c r="O266" s="117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17"/>
      <c r="O267" s="117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17"/>
      <c r="O268" s="117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17"/>
      <c r="O269" s="117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17"/>
      <c r="O270" s="117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17"/>
      <c r="O271" s="117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17"/>
      <c r="O272" s="117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17"/>
      <c r="O273" s="117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17"/>
      <c r="O274" s="117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17"/>
      <c r="O275" s="117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17"/>
      <c r="O276" s="117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17"/>
      <c r="O277" s="117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17"/>
      <c r="O278" s="117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17"/>
      <c r="O279" s="117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17"/>
      <c r="O280" s="117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17"/>
      <c r="O281" s="117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17"/>
      <c r="O282" s="117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17"/>
      <c r="O283" s="117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17"/>
      <c r="O284" s="117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17"/>
      <c r="O285" s="117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17"/>
      <c r="O286" s="117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17"/>
      <c r="O287" s="117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17"/>
      <c r="O288" s="117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17"/>
      <c r="O289" s="117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17"/>
      <c r="O290" s="117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17"/>
      <c r="O291" s="117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17"/>
      <c r="O292" s="117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17"/>
      <c r="O293" s="117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17"/>
      <c r="O294" s="117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17"/>
      <c r="O295" s="117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17"/>
      <c r="O296" s="117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17"/>
      <c r="O297" s="117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17"/>
      <c r="O298" s="117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17"/>
      <c r="O299" s="117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17"/>
      <c r="O300" s="117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17"/>
      <c r="O301" s="117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17"/>
      <c r="O302" s="117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17"/>
      <c r="O303" s="117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17"/>
      <c r="O304" s="117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17"/>
      <c r="O305" s="117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17"/>
      <c r="O306" s="117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17"/>
      <c r="O307" s="117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17"/>
      <c r="O308" s="117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17"/>
      <c r="O309" s="117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17"/>
      <c r="O310" s="117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17"/>
      <c r="O311" s="117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17"/>
      <c r="O312" s="117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17"/>
      <c r="O313" s="117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17"/>
      <c r="O314" s="117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17"/>
      <c r="O315" s="117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17"/>
      <c r="O316" s="117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17"/>
      <c r="O317" s="117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17"/>
      <c r="O318" s="117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17"/>
      <c r="O319" s="117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17"/>
      <c r="O320" s="117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17"/>
      <c r="O321" s="117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17"/>
      <c r="O322" s="117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17"/>
      <c r="O323" s="117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17"/>
      <c r="O324" s="117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17"/>
      <c r="O325" s="117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17"/>
      <c r="O326" s="117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17"/>
      <c r="O327" s="117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17"/>
      <c r="O328" s="117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17"/>
      <c r="O329" s="117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17"/>
      <c r="O330" s="117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17"/>
      <c r="O331" s="117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17"/>
      <c r="O332" s="117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17"/>
      <c r="O333" s="117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17"/>
      <c r="O334" s="117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17"/>
      <c r="O335" s="117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17"/>
      <c r="O336" s="117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17"/>
      <c r="O337" s="117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17"/>
      <c r="O338" s="117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17"/>
      <c r="O339" s="117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17"/>
      <c r="O340" s="117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17"/>
      <c r="O341" s="117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17"/>
      <c r="O342" s="117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17"/>
      <c r="O343" s="117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17"/>
      <c r="O344" s="117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17"/>
      <c r="O345" s="117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17"/>
      <c r="O346" s="117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17"/>
      <c r="O347" s="117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17"/>
      <c r="O348" s="117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17"/>
      <c r="O349" s="117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17"/>
      <c r="O350" s="117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17"/>
      <c r="O351" s="117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17"/>
      <c r="O352" s="117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17"/>
      <c r="O353" s="117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17"/>
      <c r="O354" s="117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17"/>
      <c r="O355" s="117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17"/>
      <c r="O356" s="117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17"/>
      <c r="O357" s="117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17"/>
      <c r="O358" s="117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17"/>
      <c r="O359" s="117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17"/>
      <c r="O360" s="117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17"/>
      <c r="O361" s="117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17"/>
      <c r="O362" s="117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17"/>
      <c r="O363" s="117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17"/>
      <c r="O364" s="117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17"/>
      <c r="O365" s="117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17"/>
      <c r="O366" s="117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17"/>
      <c r="O367" s="117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17"/>
      <c r="O368" s="117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17"/>
      <c r="O369" s="117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17"/>
      <c r="O370" s="117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17"/>
      <c r="O371" s="117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17"/>
      <c r="O372" s="117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17"/>
      <c r="O373" s="117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17"/>
      <c r="O374" s="117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17"/>
      <c r="O375" s="117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17"/>
      <c r="O376" s="117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17"/>
      <c r="O377" s="117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17"/>
      <c r="O378" s="117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17"/>
      <c r="O379" s="117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17"/>
      <c r="O380" s="117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17"/>
      <c r="O381" s="117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17"/>
      <c r="O382" s="117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17"/>
      <c r="O383" s="117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17"/>
      <c r="O384" s="117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17"/>
      <c r="O385" s="117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17"/>
      <c r="O386" s="117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17"/>
      <c r="O387" s="117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17"/>
      <c r="O388" s="117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17"/>
      <c r="O389" s="117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17"/>
      <c r="O390" s="117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17"/>
      <c r="O391" s="117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17"/>
      <c r="O392" s="117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17"/>
      <c r="O393" s="117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17"/>
      <c r="O394" s="117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17"/>
      <c r="O395" s="117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17"/>
      <c r="O396" s="117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17"/>
      <c r="O397" s="117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17"/>
      <c r="O398" s="117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17"/>
      <c r="O399" s="117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17"/>
      <c r="O400" s="117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17"/>
      <c r="O401" s="117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17"/>
      <c r="O402" s="117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17"/>
      <c r="O403" s="117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17"/>
      <c r="O404" s="117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17"/>
      <c r="O405" s="117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17"/>
      <c r="O406" s="117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17"/>
      <c r="O407" s="117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17"/>
      <c r="O408" s="117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17"/>
      <c r="O409" s="117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17"/>
      <c r="O410" s="117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17"/>
      <c r="O411" s="117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17"/>
      <c r="O412" s="117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17"/>
      <c r="O413" s="117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17"/>
      <c r="O414" s="117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17"/>
      <c r="O415" s="117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17"/>
      <c r="O416" s="117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17"/>
      <c r="O417" s="117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17"/>
      <c r="O418" s="117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17"/>
      <c r="O419" s="117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17"/>
      <c r="O420" s="117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17"/>
      <c r="O421" s="117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17"/>
      <c r="O422" s="117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17"/>
      <c r="O423" s="117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17"/>
      <c r="O424" s="117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17"/>
      <c r="O425" s="117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17"/>
      <c r="O426" s="117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17"/>
      <c r="O427" s="117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17"/>
      <c r="O428" s="117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17"/>
      <c r="O429" s="117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17"/>
      <c r="O430" s="117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17"/>
      <c r="O431" s="117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17"/>
      <c r="O432" s="117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17"/>
      <c r="O433" s="117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17"/>
      <c r="O434" s="117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17"/>
      <c r="O435" s="117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17"/>
      <c r="O436" s="117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17"/>
      <c r="O437" s="117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17"/>
      <c r="O438" s="117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17"/>
      <c r="O439" s="117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17"/>
      <c r="O440" s="117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17"/>
      <c r="O441" s="117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17"/>
      <c r="O442" s="117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17"/>
      <c r="O443" s="117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17"/>
      <c r="O444" s="117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17"/>
      <c r="O445" s="117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17"/>
      <c r="O446" s="117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17"/>
      <c r="O447" s="117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17"/>
      <c r="O448" s="117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17"/>
      <c r="O449" s="117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17"/>
      <c r="O450" s="117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17"/>
      <c r="O451" s="117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17"/>
      <c r="O452" s="117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17"/>
      <c r="O453" s="117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17"/>
      <c r="O454" s="117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17"/>
      <c r="O455" s="117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17"/>
      <c r="O456" s="117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17"/>
      <c r="O457" s="117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17"/>
      <c r="O458" s="117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17"/>
      <c r="O459" s="117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17"/>
      <c r="O460" s="117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17"/>
      <c r="O461" s="117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17"/>
      <c r="O462" s="117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17"/>
      <c r="O463" s="117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17"/>
      <c r="O464" s="117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17"/>
      <c r="O465" s="117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17"/>
      <c r="O466" s="117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17"/>
      <c r="O467" s="117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17"/>
      <c r="O468" s="117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17"/>
      <c r="O469" s="117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17"/>
      <c r="O470" s="117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17"/>
      <c r="O471" s="117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17"/>
      <c r="O472" s="117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17"/>
      <c r="O473" s="117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17"/>
      <c r="O474" s="117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17"/>
      <c r="O475" s="117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17"/>
      <c r="O476" s="117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17"/>
      <c r="O477" s="117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17"/>
      <c r="O478" s="117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17"/>
      <c r="O479" s="117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17"/>
      <c r="O480" s="117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17"/>
      <c r="O481" s="117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17"/>
      <c r="O482" s="117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17"/>
      <c r="O483" s="117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17"/>
      <c r="O484" s="117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17"/>
      <c r="O485" s="117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17"/>
      <c r="O486" s="117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17"/>
      <c r="O487" s="117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17"/>
      <c r="O488" s="117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17"/>
      <c r="O489" s="117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17"/>
      <c r="O490" s="117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17"/>
      <c r="O491" s="117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17"/>
      <c r="O492" s="117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17"/>
      <c r="O493" s="117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17"/>
      <c r="O494" s="117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17"/>
      <c r="O495" s="117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17"/>
      <c r="O496" s="117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17"/>
      <c r="O497" s="117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17"/>
      <c r="O498" s="117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17"/>
      <c r="O499" s="117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17"/>
      <c r="O500" s="117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17"/>
      <c r="O501" s="117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17"/>
      <c r="O502" s="117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17"/>
      <c r="O503" s="117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17"/>
      <c r="O504" s="117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17"/>
      <c r="O505" s="117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17"/>
      <c r="O506" s="117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17"/>
      <c r="O507" s="117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17"/>
      <c r="O508" s="117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17"/>
      <c r="O509" s="117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17"/>
      <c r="O510" s="117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17"/>
      <c r="O511" s="117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17"/>
      <c r="O512" s="117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17"/>
      <c r="O513" s="117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17"/>
      <c r="O514" s="117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17"/>
      <c r="O515" s="117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17"/>
      <c r="O516" s="117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17"/>
      <c r="O517" s="117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17"/>
      <c r="O518" s="117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17"/>
      <c r="O519" s="117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17"/>
      <c r="O520" s="117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17"/>
      <c r="O521" s="117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17"/>
      <c r="O522" s="117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17"/>
      <c r="O523" s="117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17"/>
      <c r="O524" s="117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17"/>
      <c r="O525" s="117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17"/>
      <c r="O526" s="117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17"/>
      <c r="O527" s="117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17"/>
      <c r="O528" s="117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17"/>
      <c r="O529" s="117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17"/>
      <c r="O530" s="117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17"/>
      <c r="O531" s="117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17"/>
      <c r="O532" s="117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17"/>
      <c r="O533" s="117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17"/>
      <c r="O534" s="117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17"/>
      <c r="O535" s="117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17"/>
      <c r="O536" s="117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17"/>
      <c r="O537" s="117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17"/>
      <c r="O538" s="117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17"/>
      <c r="O539" s="117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17"/>
      <c r="O540" s="117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17"/>
      <c r="O541" s="117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17"/>
      <c r="O542" s="117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17"/>
      <c r="O543" s="117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17"/>
      <c r="O544" s="117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17"/>
      <c r="O545" s="117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17"/>
      <c r="O546" s="117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17"/>
      <c r="O547" s="117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17"/>
      <c r="O548" s="117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17"/>
      <c r="O549" s="117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17"/>
      <c r="O550" s="117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17"/>
      <c r="O551" s="117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17"/>
      <c r="O552" s="117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17"/>
      <c r="O553" s="117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17"/>
      <c r="O554" s="117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17"/>
      <c r="O555" s="117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17"/>
      <c r="O556" s="117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17"/>
      <c r="O557" s="117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17"/>
      <c r="O558" s="117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17"/>
      <c r="O559" s="117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17"/>
      <c r="O560" s="117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17"/>
      <c r="O561" s="117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17"/>
      <c r="O562" s="117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17"/>
      <c r="O563" s="117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17"/>
      <c r="O564" s="117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17"/>
      <c r="O565" s="117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17"/>
      <c r="O566" s="117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17"/>
      <c r="O567" s="117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17"/>
      <c r="O568" s="117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17"/>
      <c r="O569" s="117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17"/>
      <c r="O570" s="117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17"/>
      <c r="O571" s="117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17"/>
      <c r="O572" s="117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17"/>
      <c r="O573" s="117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17"/>
      <c r="O574" s="117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17"/>
      <c r="O575" s="117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17"/>
      <c r="O576" s="117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17"/>
      <c r="O577" s="117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17"/>
      <c r="O578" s="117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17"/>
      <c r="O579" s="117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17"/>
      <c r="O580" s="117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17"/>
      <c r="O581" s="117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17"/>
      <c r="O582" s="117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17"/>
      <c r="O583" s="117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17"/>
      <c r="O584" s="117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17"/>
      <c r="O585" s="117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17"/>
      <c r="O586" s="117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17"/>
      <c r="O587" s="117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17"/>
      <c r="O588" s="117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17"/>
      <c r="O589" s="117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17"/>
      <c r="O590" s="117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17"/>
      <c r="O591" s="117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17"/>
      <c r="O592" s="117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17"/>
      <c r="O593" s="117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17"/>
      <c r="O594" s="117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17"/>
      <c r="O595" s="117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17"/>
      <c r="O596" s="117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17"/>
      <c r="O597" s="117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17"/>
      <c r="O598" s="117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17"/>
      <c r="O599" s="117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17"/>
      <c r="O600" s="117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17"/>
      <c r="O601" s="117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17"/>
      <c r="O602" s="117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17"/>
      <c r="O603" s="117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17"/>
      <c r="O604" s="117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17"/>
      <c r="O605" s="117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17"/>
      <c r="O606" s="117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17"/>
      <c r="O607" s="117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17"/>
      <c r="O608" s="117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17"/>
      <c r="O609" s="117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17"/>
      <c r="O610" s="117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17"/>
      <c r="O611" s="117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17"/>
      <c r="O612" s="117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17"/>
      <c r="O613" s="117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17"/>
      <c r="O614" s="117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17"/>
      <c r="O615" s="117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17"/>
      <c r="O616" s="117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17"/>
      <c r="O617" s="117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17"/>
      <c r="O618" s="117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17"/>
      <c r="O619" s="117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17"/>
      <c r="O620" s="117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17"/>
      <c r="O621" s="117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17"/>
      <c r="O622" s="117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17"/>
      <c r="O623" s="117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17"/>
      <c r="O624" s="117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17"/>
      <c r="O625" s="117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17"/>
      <c r="O626" s="117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17"/>
      <c r="O627" s="117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17"/>
      <c r="O628" s="117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17"/>
      <c r="O629" s="117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17"/>
      <c r="O630" s="117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17"/>
      <c r="O631" s="117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17"/>
      <c r="O632" s="117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17"/>
      <c r="O633" s="117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17"/>
      <c r="O634" s="117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17"/>
      <c r="O635" s="117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17"/>
      <c r="O636" s="117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17"/>
      <c r="O637" s="117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17"/>
      <c r="O638" s="117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17"/>
      <c r="O639" s="117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17"/>
      <c r="O640" s="117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17"/>
      <c r="O641" s="117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17"/>
      <c r="O642" s="117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17"/>
      <c r="O643" s="117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17"/>
      <c r="O644" s="117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17"/>
      <c r="O645" s="117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17"/>
      <c r="O646" s="117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17"/>
      <c r="O647" s="117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17"/>
      <c r="O648" s="117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17"/>
      <c r="O649" s="117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17"/>
      <c r="O650" s="117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17"/>
      <c r="O651" s="117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17"/>
      <c r="O652" s="117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17"/>
      <c r="O653" s="117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17"/>
      <c r="O654" s="117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17"/>
      <c r="O655" s="117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17"/>
      <c r="O656" s="117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17"/>
      <c r="O657" s="117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17"/>
      <c r="O658" s="117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17"/>
      <c r="O659" s="117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17"/>
      <c r="O660" s="117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17"/>
      <c r="O661" s="117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17"/>
      <c r="O662" s="117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17"/>
      <c r="O663" s="117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17"/>
      <c r="O664" s="117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17"/>
      <c r="O665" s="117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17"/>
      <c r="O666" s="117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17"/>
      <c r="O667" s="117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17"/>
      <c r="O668" s="117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17"/>
      <c r="O669" s="117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17"/>
      <c r="O670" s="117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17"/>
      <c r="O671" s="117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17"/>
      <c r="O672" s="117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17"/>
      <c r="O673" s="117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17"/>
      <c r="O674" s="117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17"/>
      <c r="O675" s="117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17"/>
      <c r="O676" s="117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17"/>
      <c r="O677" s="117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17"/>
      <c r="O678" s="117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17"/>
      <c r="O679" s="117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17"/>
      <c r="O680" s="117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17"/>
      <c r="O681" s="117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17"/>
      <c r="O682" s="117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17"/>
      <c r="O683" s="117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17"/>
      <c r="O684" s="117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17"/>
      <c r="O685" s="117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17"/>
      <c r="O686" s="117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17"/>
      <c r="O687" s="117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17"/>
      <c r="O688" s="117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17"/>
      <c r="O689" s="117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17"/>
      <c r="O690" s="117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17"/>
      <c r="O691" s="117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17"/>
      <c r="O692" s="117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17"/>
      <c r="O693" s="117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17"/>
      <c r="O694" s="117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17"/>
      <c r="O695" s="117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17"/>
      <c r="O696" s="117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17"/>
      <c r="O697" s="117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17"/>
      <c r="O698" s="117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17"/>
      <c r="O699" s="117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17"/>
      <c r="O700" s="117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17"/>
      <c r="O701" s="117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17"/>
      <c r="O702" s="117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17"/>
      <c r="O703" s="117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17"/>
      <c r="O704" s="117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17"/>
      <c r="O705" s="117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17"/>
      <c r="O706" s="117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17"/>
      <c r="O707" s="117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17"/>
      <c r="O708" s="117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17"/>
      <c r="O709" s="117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17"/>
      <c r="O710" s="117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17"/>
      <c r="O711" s="117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17"/>
      <c r="O712" s="117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17"/>
      <c r="O713" s="117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17"/>
      <c r="O714" s="117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17"/>
      <c r="O715" s="117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17"/>
      <c r="O716" s="117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17"/>
      <c r="O717" s="117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17"/>
      <c r="O718" s="117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17"/>
      <c r="O719" s="117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17"/>
      <c r="O720" s="117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17"/>
      <c r="O721" s="117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17"/>
      <c r="O722" s="117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17"/>
      <c r="O723" s="117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17"/>
      <c r="O724" s="117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17"/>
      <c r="O725" s="117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17"/>
      <c r="O726" s="117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17"/>
      <c r="O727" s="117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17"/>
      <c r="O728" s="117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17"/>
      <c r="O729" s="117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17"/>
      <c r="O730" s="117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17"/>
      <c r="O731" s="117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17"/>
      <c r="O732" s="117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17"/>
      <c r="O733" s="117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17"/>
      <c r="O734" s="117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17"/>
      <c r="O735" s="117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17"/>
      <c r="O736" s="117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17"/>
      <c r="O737" s="117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17"/>
      <c r="O738" s="117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17"/>
      <c r="O739" s="117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17"/>
      <c r="O740" s="117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17"/>
      <c r="O741" s="117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17"/>
      <c r="O742" s="117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17"/>
      <c r="O743" s="117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17"/>
      <c r="O744" s="117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17"/>
      <c r="O745" s="117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17"/>
      <c r="O746" s="117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17"/>
      <c r="O747" s="117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17"/>
      <c r="O748" s="117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17"/>
      <c r="O749" s="117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17"/>
      <c r="O750" s="117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17"/>
      <c r="O751" s="117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17"/>
      <c r="O752" s="117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17"/>
      <c r="O753" s="117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17"/>
      <c r="O754" s="117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17"/>
      <c r="O755" s="117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17"/>
      <c r="O756" s="117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17"/>
      <c r="O757" s="117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17"/>
      <c r="O758" s="117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17"/>
      <c r="O759" s="117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17"/>
      <c r="O760" s="117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17"/>
      <c r="O761" s="117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17"/>
      <c r="O762" s="117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17"/>
      <c r="O763" s="117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17"/>
      <c r="O764" s="117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17"/>
      <c r="O765" s="117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17"/>
      <c r="O766" s="117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17"/>
      <c r="O767" s="117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17"/>
      <c r="O768" s="117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17"/>
      <c r="O769" s="117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17"/>
      <c r="O770" s="117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17"/>
      <c r="O771" s="117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17"/>
      <c r="O772" s="117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17"/>
      <c r="O773" s="117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17"/>
      <c r="O774" s="117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17"/>
      <c r="O775" s="117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17"/>
      <c r="O776" s="117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17"/>
      <c r="O777" s="117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17"/>
      <c r="O778" s="117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17"/>
      <c r="O779" s="117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17"/>
      <c r="O780" s="117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17"/>
      <c r="O781" s="117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17"/>
      <c r="O782" s="117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17"/>
      <c r="O783" s="117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17"/>
      <c r="O784" s="117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17"/>
      <c r="O785" s="117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17"/>
      <c r="O786" s="117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17"/>
      <c r="O787" s="117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17"/>
      <c r="O788" s="117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17"/>
      <c r="O789" s="117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17"/>
      <c r="O790" s="117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17"/>
      <c r="O791" s="117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17"/>
      <c r="O792" s="117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17"/>
      <c r="O793" s="117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17"/>
      <c r="O794" s="117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17"/>
      <c r="O795" s="117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17"/>
      <c r="O796" s="117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17"/>
      <c r="O797" s="117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17"/>
      <c r="O798" s="117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17"/>
      <c r="O799" s="117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17"/>
      <c r="O800" s="117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17"/>
      <c r="O801" s="117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17"/>
      <c r="O802" s="117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17"/>
      <c r="O803" s="117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17"/>
      <c r="O804" s="117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17"/>
      <c r="O805" s="117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17"/>
      <c r="O806" s="117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17"/>
      <c r="O807" s="117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17"/>
      <c r="O808" s="117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17"/>
      <c r="O809" s="117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17"/>
      <c r="O810" s="117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17"/>
      <c r="O811" s="117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17"/>
      <c r="O812" s="117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17"/>
      <c r="O813" s="117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17"/>
      <c r="O814" s="117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17"/>
      <c r="O815" s="117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17"/>
      <c r="O816" s="117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17"/>
      <c r="O817" s="117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17"/>
      <c r="O818" s="117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17"/>
      <c r="O819" s="117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17"/>
      <c r="O820" s="117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17"/>
      <c r="O821" s="117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17"/>
      <c r="O822" s="117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17"/>
      <c r="O823" s="117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17"/>
      <c r="O824" s="117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17"/>
      <c r="O825" s="117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17"/>
      <c r="O826" s="117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17"/>
      <c r="O827" s="117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17"/>
      <c r="O828" s="117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17"/>
      <c r="O829" s="117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17"/>
      <c r="O830" s="117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17"/>
      <c r="O831" s="117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17"/>
      <c r="O832" s="117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17"/>
      <c r="O833" s="117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17"/>
      <c r="O834" s="117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17"/>
      <c r="O835" s="117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17"/>
      <c r="O836" s="117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17"/>
      <c r="O837" s="117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17"/>
      <c r="O838" s="117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17"/>
      <c r="O839" s="117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17"/>
      <c r="O840" s="117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17"/>
      <c r="O841" s="117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17"/>
      <c r="O842" s="117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17"/>
      <c r="O843" s="117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17"/>
      <c r="O844" s="117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17"/>
      <c r="O845" s="117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17"/>
      <c r="O846" s="117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17"/>
      <c r="O847" s="117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17"/>
      <c r="O848" s="117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17"/>
      <c r="O849" s="117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17"/>
      <c r="O850" s="117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17"/>
      <c r="O851" s="117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17"/>
      <c r="O852" s="117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17"/>
      <c r="O853" s="117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17"/>
      <c r="O854" s="117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17"/>
      <c r="O855" s="117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17"/>
      <c r="O856" s="117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17"/>
      <c r="O857" s="117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17"/>
      <c r="O858" s="117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17"/>
      <c r="O859" s="117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17"/>
      <c r="O860" s="117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17"/>
      <c r="O861" s="117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17"/>
      <c r="O862" s="117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17"/>
      <c r="O863" s="117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17"/>
      <c r="O864" s="117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17"/>
      <c r="O865" s="117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17"/>
      <c r="O866" s="117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17"/>
      <c r="O867" s="117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17"/>
      <c r="O868" s="117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17"/>
      <c r="O869" s="117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17"/>
      <c r="O870" s="117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17"/>
      <c r="O871" s="117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17"/>
      <c r="O872" s="117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17"/>
      <c r="O873" s="117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17"/>
      <c r="O874" s="117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17"/>
      <c r="O875" s="117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17"/>
      <c r="O876" s="117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17"/>
      <c r="O877" s="117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17"/>
      <c r="O878" s="117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17"/>
      <c r="O879" s="117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17"/>
      <c r="O880" s="117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17"/>
      <c r="O881" s="117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17"/>
      <c r="O882" s="117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17"/>
      <c r="O883" s="117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17"/>
      <c r="O884" s="117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17"/>
      <c r="O885" s="117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17"/>
      <c r="O886" s="117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17"/>
      <c r="O887" s="117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17"/>
      <c r="O888" s="117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17"/>
      <c r="O889" s="117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17"/>
      <c r="O890" s="117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17"/>
      <c r="O891" s="117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17"/>
      <c r="O892" s="117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17"/>
      <c r="O893" s="117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17"/>
      <c r="O894" s="117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17"/>
      <c r="O895" s="117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17"/>
      <c r="O896" s="117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17"/>
      <c r="O897" s="117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17"/>
      <c r="O898" s="117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17"/>
      <c r="O899" s="117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17"/>
      <c r="O900" s="117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17"/>
      <c r="O901" s="117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17"/>
      <c r="O902" s="117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17"/>
      <c r="O903" s="117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17"/>
      <c r="O904" s="117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17"/>
      <c r="O905" s="117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17"/>
      <c r="O906" s="117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17"/>
      <c r="O907" s="117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17"/>
      <c r="O908" s="117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17"/>
      <c r="O909" s="117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17"/>
      <c r="O910" s="117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17"/>
      <c r="O911" s="117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17"/>
      <c r="O912" s="117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17"/>
      <c r="O913" s="117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17"/>
      <c r="O914" s="117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17"/>
      <c r="O915" s="117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17"/>
      <c r="O916" s="117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17"/>
      <c r="O917" s="117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17"/>
      <c r="O918" s="117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17"/>
      <c r="O919" s="117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17"/>
      <c r="O920" s="117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17"/>
      <c r="O921" s="117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17"/>
      <c r="O922" s="117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17"/>
      <c r="O923" s="117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17"/>
      <c r="O924" s="117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17"/>
      <c r="O925" s="117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17"/>
      <c r="O926" s="117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17"/>
      <c r="O927" s="117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17"/>
      <c r="O928" s="117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17"/>
      <c r="O929" s="117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17"/>
      <c r="O930" s="117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17"/>
      <c r="O931" s="117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17"/>
      <c r="O932" s="117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17"/>
      <c r="O933" s="117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17"/>
      <c r="O934" s="117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17"/>
      <c r="O935" s="117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17"/>
      <c r="O936" s="117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17"/>
      <c r="O937" s="117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17"/>
      <c r="O938" s="117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17"/>
      <c r="O939" s="117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17"/>
      <c r="O940" s="117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17"/>
      <c r="O941" s="117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17"/>
      <c r="O942" s="117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17"/>
      <c r="O943" s="117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17"/>
      <c r="O944" s="117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17"/>
      <c r="O945" s="117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17"/>
      <c r="O946" s="117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17"/>
      <c r="O947" s="117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17"/>
      <c r="O948" s="117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17"/>
      <c r="O949" s="117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17"/>
      <c r="O950" s="117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17"/>
      <c r="O951" s="117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17"/>
      <c r="O952" s="117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17"/>
      <c r="O953" s="117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17"/>
      <c r="O954" s="117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17"/>
      <c r="O955" s="117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17"/>
      <c r="O956" s="117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17"/>
      <c r="O957" s="117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17"/>
      <c r="O958" s="117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17"/>
      <c r="O959" s="117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17"/>
      <c r="O960" s="117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17"/>
      <c r="O961" s="117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17"/>
      <c r="O962" s="117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17"/>
      <c r="O963" s="117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17"/>
      <c r="O964" s="117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17"/>
      <c r="O965" s="117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17"/>
      <c r="O966" s="117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17"/>
      <c r="O967" s="117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17"/>
      <c r="O968" s="117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17"/>
      <c r="O969" s="117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17"/>
      <c r="O970" s="117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17"/>
      <c r="O971" s="117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17"/>
      <c r="O972" s="117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17"/>
      <c r="O973" s="117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17"/>
      <c r="O974" s="117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17"/>
      <c r="O975" s="117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17"/>
      <c r="O976" s="117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17"/>
      <c r="O977" s="117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17"/>
      <c r="O978" s="117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17"/>
      <c r="O979" s="117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17"/>
      <c r="O980" s="117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17"/>
      <c r="O981" s="117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17"/>
      <c r="O982" s="117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17"/>
      <c r="O983" s="117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17"/>
      <c r="O984" s="117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17"/>
      <c r="O985" s="117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17"/>
      <c r="O986" s="117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17"/>
      <c r="O987" s="117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17"/>
      <c r="O988" s="117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17"/>
      <c r="O989" s="117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17"/>
      <c r="O990" s="117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17"/>
      <c r="O991" s="117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17"/>
      <c r="O992" s="117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17"/>
      <c r="O993" s="117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17"/>
      <c r="O994" s="117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17"/>
      <c r="O995" s="117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17"/>
      <c r="O996" s="117"/>
      <c r="P996" s="117"/>
      <c r="S996" s="100"/>
      <c r="T996" s="100"/>
      <c r="U996" s="100"/>
      <c r="V996" s="100"/>
      <c r="W996" s="100"/>
      <c r="X996" s="100"/>
      <c r="Y996" s="100"/>
      <c r="Z996" s="100"/>
    </row>
  </sheetData>
  <mergeCells count="16">
    <mergeCell ref="A1:R1"/>
    <mergeCell ref="A2:R2"/>
    <mergeCell ref="A3:R3"/>
    <mergeCell ref="A5:R5"/>
    <mergeCell ref="A6:R6"/>
    <mergeCell ref="B7:B10"/>
    <mergeCell ref="B11:B14"/>
    <mergeCell ref="A44:C45"/>
    <mergeCell ref="A46:C47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scale="88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1" width="10.71"/>
    <col customWidth="1" min="12" max="12" width="13.0"/>
    <col customWidth="1" min="13" max="17" width="12.43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269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247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229" t="s">
        <v>254</v>
      </c>
      <c r="E7" s="89">
        <v>3.04</v>
      </c>
      <c r="F7" s="18">
        <v>4.16</v>
      </c>
      <c r="G7" s="90">
        <v>2.96</v>
      </c>
      <c r="H7" s="18">
        <v>3.83</v>
      </c>
      <c r="I7" s="18">
        <v>4.93</v>
      </c>
      <c r="J7" s="90">
        <v>3.23</v>
      </c>
      <c r="K7" s="18">
        <v>3.71</v>
      </c>
      <c r="L7" s="90">
        <v>4.73</v>
      </c>
      <c r="M7" s="90">
        <v>2.09</v>
      </c>
      <c r="N7" s="90">
        <v>3.25</v>
      </c>
      <c r="O7" s="90">
        <v>3.99</v>
      </c>
      <c r="P7" s="90">
        <v>4.63</v>
      </c>
      <c r="Q7" s="174">
        <f t="shared" ref="Q7:Q21" si="1">AVERAGE(E7,F7,G7,H7,I7,J7,K7,L7,M7,N7,O7,P7)</f>
        <v>3.7125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32" t="s">
        <v>255</v>
      </c>
      <c r="E8" s="24">
        <v>3.16</v>
      </c>
      <c r="F8" s="24">
        <v>4.35</v>
      </c>
      <c r="G8" s="24">
        <v>2.85</v>
      </c>
      <c r="H8" s="24">
        <v>3.55</v>
      </c>
      <c r="I8" s="24">
        <v>4.51</v>
      </c>
      <c r="J8" s="24">
        <v>3.11</v>
      </c>
      <c r="K8" s="24">
        <v>3.92</v>
      </c>
      <c r="L8" s="24">
        <v>4.13</v>
      </c>
      <c r="M8" s="24">
        <v>1.81</v>
      </c>
      <c r="N8" s="24">
        <v>3.11</v>
      </c>
      <c r="O8" s="24">
        <v>4.05</v>
      </c>
      <c r="P8" s="24">
        <v>4.81</v>
      </c>
      <c r="Q8" s="176">
        <f t="shared" si="1"/>
        <v>3.613333333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>
      <c r="A9" s="20"/>
      <c r="B9" s="27"/>
      <c r="C9" s="22">
        <v>3.0</v>
      </c>
      <c r="D9" s="132" t="s">
        <v>256</v>
      </c>
      <c r="E9" s="91">
        <v>3.12</v>
      </c>
      <c r="F9" s="24">
        <v>4.12</v>
      </c>
      <c r="G9" s="24">
        <v>3.07</v>
      </c>
      <c r="H9" s="24">
        <v>3.7</v>
      </c>
      <c r="I9" s="24">
        <v>4.65</v>
      </c>
      <c r="J9" s="24">
        <v>3.04</v>
      </c>
      <c r="K9" s="24">
        <v>3.76</v>
      </c>
      <c r="L9" s="24">
        <v>4.2</v>
      </c>
      <c r="M9" s="24">
        <v>1.59</v>
      </c>
      <c r="N9" s="24">
        <v>3.16</v>
      </c>
      <c r="O9" s="24">
        <v>3.84</v>
      </c>
      <c r="P9" s="24">
        <v>5.03</v>
      </c>
      <c r="Q9" s="176">
        <f t="shared" si="1"/>
        <v>3.606666667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231" t="s">
        <v>254</v>
      </c>
      <c r="E10" s="114">
        <v>42.0</v>
      </c>
      <c r="F10" s="28">
        <v>33.0</v>
      </c>
      <c r="G10" s="92">
        <v>24.0</v>
      </c>
      <c r="H10" s="28">
        <v>50.0</v>
      </c>
      <c r="I10" s="28">
        <v>33.0</v>
      </c>
      <c r="J10" s="28">
        <v>46.0</v>
      </c>
      <c r="K10" s="28">
        <v>21.0</v>
      </c>
      <c r="L10" s="28">
        <v>44.0</v>
      </c>
      <c r="M10" s="28">
        <v>37.0</v>
      </c>
      <c r="N10" s="28">
        <v>43.0</v>
      </c>
      <c r="O10" s="28">
        <v>46.0</v>
      </c>
      <c r="P10" s="28">
        <v>35.0</v>
      </c>
      <c r="Q10" s="178">
        <f t="shared" si="1"/>
        <v>37.83333333</v>
      </c>
      <c r="R10" s="17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32" t="s">
        <v>255</v>
      </c>
      <c r="E11" s="91">
        <v>45.0</v>
      </c>
      <c r="F11" s="30">
        <v>36.0</v>
      </c>
      <c r="G11" s="30">
        <v>29.0</v>
      </c>
      <c r="H11" s="30">
        <v>48.0</v>
      </c>
      <c r="I11" s="30">
        <v>37.0</v>
      </c>
      <c r="J11" s="30">
        <v>41.0</v>
      </c>
      <c r="K11" s="30">
        <v>25.0</v>
      </c>
      <c r="L11" s="30">
        <v>45.0</v>
      </c>
      <c r="M11" s="30">
        <v>27.0</v>
      </c>
      <c r="N11" s="30">
        <v>52.0</v>
      </c>
      <c r="O11" s="30">
        <v>42.0</v>
      </c>
      <c r="P11" s="30">
        <v>40.0</v>
      </c>
      <c r="Q11" s="179">
        <f t="shared" si="1"/>
        <v>38.91666667</v>
      </c>
      <c r="R11" s="23">
        <v>50.0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32" t="s">
        <v>256</v>
      </c>
      <c r="E12" s="91">
        <v>61.0</v>
      </c>
      <c r="F12" s="30">
        <v>41.0</v>
      </c>
      <c r="G12" s="30">
        <v>34.0</v>
      </c>
      <c r="H12" s="30">
        <v>60.0</v>
      </c>
      <c r="I12" s="30">
        <v>33.0</v>
      </c>
      <c r="J12" s="30">
        <v>38.0</v>
      </c>
      <c r="K12" s="30">
        <v>9.0</v>
      </c>
      <c r="L12" s="30">
        <v>43.0</v>
      </c>
      <c r="M12" s="30">
        <v>20.0</v>
      </c>
      <c r="N12" s="30">
        <v>52.0</v>
      </c>
      <c r="O12" s="30">
        <v>53.0</v>
      </c>
      <c r="P12" s="30">
        <v>41.0</v>
      </c>
      <c r="Q12" s="179">
        <f t="shared" si="1"/>
        <v>40.41666667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231" t="s">
        <v>254</v>
      </c>
      <c r="E13" s="114">
        <v>8.15</v>
      </c>
      <c r="F13" s="18">
        <v>7.89</v>
      </c>
      <c r="G13" s="90">
        <v>7.64</v>
      </c>
      <c r="H13" s="18">
        <v>6.97</v>
      </c>
      <c r="I13" s="18">
        <v>6.92</v>
      </c>
      <c r="J13" s="18">
        <v>6.98</v>
      </c>
      <c r="K13" s="18">
        <v>6.66</v>
      </c>
      <c r="L13" s="18">
        <v>7.1</v>
      </c>
      <c r="M13" s="18">
        <v>7.14</v>
      </c>
      <c r="N13" s="18">
        <v>7.06</v>
      </c>
      <c r="O13" s="90">
        <v>7.2</v>
      </c>
      <c r="P13" s="90">
        <v>7.09</v>
      </c>
      <c r="Q13" s="174">
        <f t="shared" si="1"/>
        <v>7.233333333</v>
      </c>
      <c r="R13" s="65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32" t="s">
        <v>255</v>
      </c>
      <c r="E14" s="24">
        <v>8.21</v>
      </c>
      <c r="F14" s="24">
        <v>7.9</v>
      </c>
      <c r="G14" s="24">
        <v>7.68</v>
      </c>
      <c r="H14" s="24">
        <v>6.96</v>
      </c>
      <c r="I14" s="24">
        <v>6.95</v>
      </c>
      <c r="J14" s="24">
        <v>9.87</v>
      </c>
      <c r="K14" s="24">
        <v>6.69</v>
      </c>
      <c r="L14" s="24">
        <v>7.16</v>
      </c>
      <c r="M14" s="24">
        <v>7.18</v>
      </c>
      <c r="N14" s="24">
        <v>7.03</v>
      </c>
      <c r="O14" s="24">
        <v>7.15</v>
      </c>
      <c r="P14" s="24">
        <v>7.21</v>
      </c>
      <c r="Q14" s="176">
        <f t="shared" si="1"/>
        <v>7.499166667</v>
      </c>
      <c r="R14" s="66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32" t="s">
        <v>256</v>
      </c>
      <c r="E15" s="91">
        <v>8.18</v>
      </c>
      <c r="F15" s="24">
        <v>7.87</v>
      </c>
      <c r="G15" s="24">
        <v>7.63</v>
      </c>
      <c r="H15" s="24">
        <v>6.94</v>
      </c>
      <c r="I15" s="24">
        <v>6.98</v>
      </c>
      <c r="J15" s="24">
        <v>7.01</v>
      </c>
      <c r="K15" s="24">
        <v>6.81</v>
      </c>
      <c r="L15" s="24">
        <v>7.03</v>
      </c>
      <c r="M15" s="24">
        <v>7.11</v>
      </c>
      <c r="N15" s="24">
        <v>7.08</v>
      </c>
      <c r="O15" s="24">
        <v>7.17</v>
      </c>
      <c r="P15" s="24">
        <v>7.15</v>
      </c>
      <c r="Q15" s="176">
        <f t="shared" si="1"/>
        <v>7.246666667</v>
      </c>
      <c r="R15" s="66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270</v>
      </c>
      <c r="C16" s="16">
        <v>1.0</v>
      </c>
      <c r="D16" s="231" t="s">
        <v>254</v>
      </c>
      <c r="E16" s="18">
        <v>27.07</v>
      </c>
      <c r="F16" s="18">
        <v>28.03</v>
      </c>
      <c r="G16" s="90">
        <v>28.8</v>
      </c>
      <c r="H16" s="18">
        <v>27.93</v>
      </c>
      <c r="I16" s="18">
        <v>31.2</v>
      </c>
      <c r="J16" s="18">
        <v>29.78</v>
      </c>
      <c r="K16" s="18">
        <v>30.03</v>
      </c>
      <c r="L16" s="18">
        <v>28.1</v>
      </c>
      <c r="M16" s="18">
        <v>29.78</v>
      </c>
      <c r="N16" s="18">
        <v>28.6</v>
      </c>
      <c r="O16" s="90">
        <v>29.15</v>
      </c>
      <c r="P16" s="90">
        <v>28.25</v>
      </c>
      <c r="Q16" s="174">
        <f t="shared" si="1"/>
        <v>28.89333333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32" t="s">
        <v>255</v>
      </c>
      <c r="E17" s="24">
        <v>27.08</v>
      </c>
      <c r="F17" s="24">
        <v>27.68</v>
      </c>
      <c r="G17" s="24">
        <v>29.2</v>
      </c>
      <c r="H17" s="24">
        <v>28.3</v>
      </c>
      <c r="I17" s="24">
        <v>31.13</v>
      </c>
      <c r="J17" s="24">
        <v>29.9</v>
      </c>
      <c r="K17" s="24">
        <v>29.98</v>
      </c>
      <c r="L17" s="24">
        <v>28.33</v>
      </c>
      <c r="M17" s="24">
        <v>30.1</v>
      </c>
      <c r="N17" s="24">
        <v>28.53</v>
      </c>
      <c r="O17" s="24">
        <v>29.4</v>
      </c>
      <c r="P17" s="24">
        <v>28.3</v>
      </c>
      <c r="Q17" s="176">
        <f t="shared" si="1"/>
        <v>28.99416667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 ht="15.75" customHeight="1">
      <c r="A18" s="20"/>
      <c r="B18" s="27"/>
      <c r="C18" s="22">
        <v>3.0</v>
      </c>
      <c r="D18" s="132" t="s">
        <v>256</v>
      </c>
      <c r="E18" s="24">
        <v>27.17</v>
      </c>
      <c r="F18" s="24">
        <v>27.65</v>
      </c>
      <c r="G18" s="24">
        <v>28.8</v>
      </c>
      <c r="H18" s="24">
        <v>28.35</v>
      </c>
      <c r="I18" s="24">
        <v>31.1</v>
      </c>
      <c r="J18" s="24">
        <v>29.8</v>
      </c>
      <c r="K18" s="24">
        <v>30.16</v>
      </c>
      <c r="L18" s="24">
        <v>28.4</v>
      </c>
      <c r="M18" s="24">
        <v>30.28</v>
      </c>
      <c r="N18" s="24">
        <v>28.62</v>
      </c>
      <c r="O18" s="24">
        <v>29.88</v>
      </c>
      <c r="P18" s="24">
        <v>28.41</v>
      </c>
      <c r="Q18" s="176">
        <f t="shared" si="1"/>
        <v>29.05166667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231" t="s">
        <v>254</v>
      </c>
      <c r="E19" s="28">
        <v>10.0</v>
      </c>
      <c r="F19" s="28">
        <v>5.0</v>
      </c>
      <c r="G19" s="28">
        <v>3.0</v>
      </c>
      <c r="H19" s="28">
        <v>3.0</v>
      </c>
      <c r="I19" s="28">
        <v>5.0</v>
      </c>
      <c r="J19" s="28">
        <v>5.0</v>
      </c>
      <c r="K19" s="28">
        <v>5.0</v>
      </c>
      <c r="L19" s="28">
        <v>5.0</v>
      </c>
      <c r="M19" s="28">
        <v>3.0</v>
      </c>
      <c r="N19" s="28">
        <v>5.0</v>
      </c>
      <c r="O19" s="28">
        <v>5.0</v>
      </c>
      <c r="P19" s="28">
        <v>3.0</v>
      </c>
      <c r="Q19" s="178">
        <f t="shared" si="1"/>
        <v>4.75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132" t="s">
        <v>255</v>
      </c>
      <c r="E20" s="91">
        <v>10.0</v>
      </c>
      <c r="F20" s="30">
        <v>5.0</v>
      </c>
      <c r="G20" s="30">
        <v>3.0</v>
      </c>
      <c r="H20" s="30">
        <v>3.0</v>
      </c>
      <c r="I20" s="30">
        <v>5.0</v>
      </c>
      <c r="J20" s="30">
        <v>5.0</v>
      </c>
      <c r="K20" s="30">
        <v>5.0</v>
      </c>
      <c r="L20" s="30">
        <v>5.0</v>
      </c>
      <c r="M20" s="30">
        <v>3.0</v>
      </c>
      <c r="N20" s="30">
        <v>5.0</v>
      </c>
      <c r="O20" s="30">
        <v>5.0</v>
      </c>
      <c r="P20" s="30">
        <v>3.0</v>
      </c>
      <c r="Q20" s="179">
        <f t="shared" si="1"/>
        <v>4.75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32" t="s">
        <v>256</v>
      </c>
      <c r="E21" s="30">
        <v>10.0</v>
      </c>
      <c r="F21" s="30">
        <v>5.0</v>
      </c>
      <c r="G21" s="30">
        <v>3.0</v>
      </c>
      <c r="H21" s="30">
        <v>3.0</v>
      </c>
      <c r="I21" s="30">
        <v>5.0</v>
      </c>
      <c r="J21" s="30">
        <v>3.0</v>
      </c>
      <c r="K21" s="30">
        <v>5.0</v>
      </c>
      <c r="L21" s="30">
        <v>5.0</v>
      </c>
      <c r="M21" s="30">
        <v>3.0</v>
      </c>
      <c r="N21" s="30">
        <v>5.0</v>
      </c>
      <c r="O21" s="30">
        <v>5.0</v>
      </c>
      <c r="P21" s="30">
        <v>3.0</v>
      </c>
      <c r="Q21" s="179">
        <f t="shared" si="1"/>
        <v>4.583333333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231" t="s">
        <v>254</v>
      </c>
      <c r="E22" s="32">
        <v>3500.0</v>
      </c>
      <c r="F22" s="145">
        <v>7.8</v>
      </c>
      <c r="G22" s="90" t="s">
        <v>218</v>
      </c>
      <c r="H22" s="33">
        <v>49.0</v>
      </c>
      <c r="I22" s="28">
        <v>13.0</v>
      </c>
      <c r="J22" s="32">
        <v>11.0</v>
      </c>
      <c r="K22" s="18" t="s">
        <v>218</v>
      </c>
      <c r="L22" s="33">
        <v>16000.0</v>
      </c>
      <c r="M22" s="28">
        <v>17.0</v>
      </c>
      <c r="N22" s="33">
        <v>1600.0</v>
      </c>
      <c r="O22" s="28">
        <v>130.0</v>
      </c>
      <c r="P22" s="28">
        <v>130.0</v>
      </c>
      <c r="Q22" s="178">
        <f>GEOMEAN(E22,F22,G22,H22,I22,J22,K22,L22,M22,N22,O22,P22)</f>
        <v>130.2647876</v>
      </c>
      <c r="R22" s="17">
        <v>100.0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32" t="s">
        <v>255</v>
      </c>
      <c r="E23" s="37">
        <v>280.0</v>
      </c>
      <c r="F23" s="24" t="s">
        <v>218</v>
      </c>
      <c r="G23" s="24" t="s">
        <v>218</v>
      </c>
      <c r="H23" s="34">
        <v>49000.0</v>
      </c>
      <c r="I23" s="34">
        <v>1600.0</v>
      </c>
      <c r="J23" s="37">
        <v>13.0</v>
      </c>
      <c r="K23" s="24" t="s">
        <v>218</v>
      </c>
      <c r="L23" s="34">
        <v>2400.0</v>
      </c>
      <c r="M23" s="30">
        <v>70.0</v>
      </c>
      <c r="N23" s="34">
        <v>350.0</v>
      </c>
      <c r="O23" s="30">
        <v>920.0</v>
      </c>
      <c r="P23" s="30">
        <v>110.0</v>
      </c>
      <c r="Q23" s="179">
        <f>GEOMEAN(E23,F23,1.8,H23,I23,J23,K23,L23,M23,N23,O23,P23)</f>
        <v>280.8825628</v>
      </c>
      <c r="R23" s="2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32" t="s">
        <v>256</v>
      </c>
      <c r="E24" s="37">
        <v>700.0</v>
      </c>
      <c r="F24" s="147">
        <v>6.8</v>
      </c>
      <c r="G24" s="24" t="s">
        <v>218</v>
      </c>
      <c r="H24" s="34">
        <v>920.0</v>
      </c>
      <c r="I24" s="30">
        <v>700.0</v>
      </c>
      <c r="J24" s="37">
        <v>23.0</v>
      </c>
      <c r="K24" s="24" t="s">
        <v>218</v>
      </c>
      <c r="L24" s="34">
        <v>1700.0</v>
      </c>
      <c r="M24" s="30">
        <v>39.0</v>
      </c>
      <c r="N24" s="34">
        <v>1600.0</v>
      </c>
      <c r="O24" s="34">
        <v>33.0</v>
      </c>
      <c r="P24" s="30">
        <v>49.0</v>
      </c>
      <c r="Q24" s="179">
        <f>GEOMEAN(E24)</f>
        <v>700</v>
      </c>
      <c r="R24" s="23">
        <v>100.0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271</v>
      </c>
      <c r="C25" s="16">
        <v>1.0</v>
      </c>
      <c r="D25" s="231" t="s">
        <v>254</v>
      </c>
      <c r="E25" s="114" t="s">
        <v>42</v>
      </c>
      <c r="F25" s="18" t="s">
        <v>42</v>
      </c>
      <c r="G25" s="18" t="s">
        <v>42</v>
      </c>
      <c r="H25" s="40">
        <v>0.413</v>
      </c>
      <c r="I25" s="18" t="s">
        <v>42</v>
      </c>
      <c r="J25" s="40" t="s">
        <v>42</v>
      </c>
      <c r="K25" s="18" t="s">
        <v>42</v>
      </c>
      <c r="L25" s="18" t="s">
        <v>42</v>
      </c>
      <c r="M25" s="18">
        <v>0.526</v>
      </c>
      <c r="N25" s="40">
        <v>0.131</v>
      </c>
      <c r="O25" s="40">
        <v>0.111</v>
      </c>
      <c r="P25" s="40">
        <v>0.445</v>
      </c>
      <c r="Q25" s="185">
        <f t="shared" ref="Q25:Q27" si="2">AVERAGE(0.045,F25,0.045,H25,I25,J25,K25,0.045,0.045,N25,O25,P25)</f>
        <v>0.16</v>
      </c>
      <c r="R25" s="17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32" t="s">
        <v>255</v>
      </c>
      <c r="E26" s="91" t="s">
        <v>42</v>
      </c>
      <c r="F26" s="24" t="s">
        <v>42</v>
      </c>
      <c r="G26" s="24" t="s">
        <v>42</v>
      </c>
      <c r="H26" s="43">
        <v>0.306</v>
      </c>
      <c r="I26" s="24" t="s">
        <v>42</v>
      </c>
      <c r="J26" s="24" t="s">
        <v>42</v>
      </c>
      <c r="K26" s="24" t="s">
        <v>42</v>
      </c>
      <c r="L26" s="24" t="s">
        <v>42</v>
      </c>
      <c r="M26" s="24" t="s">
        <v>42</v>
      </c>
      <c r="N26" s="43" t="s">
        <v>42</v>
      </c>
      <c r="O26" s="43">
        <v>0.085</v>
      </c>
      <c r="P26" s="43">
        <v>0.353</v>
      </c>
      <c r="Q26" s="187">
        <f t="shared" si="2"/>
        <v>0.132</v>
      </c>
      <c r="R26" s="2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32" t="s">
        <v>256</v>
      </c>
      <c r="E27" s="91" t="s">
        <v>42</v>
      </c>
      <c r="F27" s="24" t="s">
        <v>42</v>
      </c>
      <c r="G27" s="24" t="s">
        <v>42</v>
      </c>
      <c r="H27" s="43">
        <v>0.303</v>
      </c>
      <c r="I27" s="43">
        <v>0.131</v>
      </c>
      <c r="J27" s="43" t="s">
        <v>42</v>
      </c>
      <c r="K27" s="24" t="s">
        <v>42</v>
      </c>
      <c r="L27" s="24" t="s">
        <v>42</v>
      </c>
      <c r="M27" s="24" t="s">
        <v>42</v>
      </c>
      <c r="N27" s="43">
        <v>0.198</v>
      </c>
      <c r="O27" s="43" t="s">
        <v>42</v>
      </c>
      <c r="P27" s="43">
        <v>0.163</v>
      </c>
      <c r="Q27" s="187">
        <f t="shared" si="2"/>
        <v>0.121875</v>
      </c>
      <c r="R27" s="2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272</v>
      </c>
      <c r="C28" s="16">
        <v>1.0</v>
      </c>
      <c r="D28" s="231" t="s">
        <v>254</v>
      </c>
      <c r="E28" s="114">
        <v>0.044</v>
      </c>
      <c r="F28" s="40">
        <v>0.044</v>
      </c>
      <c r="G28" s="40">
        <v>0.031</v>
      </c>
      <c r="H28" s="40">
        <v>0.125</v>
      </c>
      <c r="I28" s="40">
        <v>0.032</v>
      </c>
      <c r="J28" s="40">
        <v>0.034</v>
      </c>
      <c r="K28" s="18" t="s">
        <v>206</v>
      </c>
      <c r="L28" s="40">
        <v>0.081</v>
      </c>
      <c r="M28" s="40">
        <v>0.039</v>
      </c>
      <c r="N28" s="40">
        <v>0.049</v>
      </c>
      <c r="O28" s="40">
        <v>0.035</v>
      </c>
      <c r="P28" s="18" t="s">
        <v>273</v>
      </c>
      <c r="Q28" s="185">
        <f t="shared" ref="Q28:Q30" si="3">AVERAGE(E28,0.025,0.025,H28,I28,J28,K28,0.025,M28,N28,O28,P28)</f>
        <v>0.0433</v>
      </c>
      <c r="R28" s="17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32" t="s">
        <v>255</v>
      </c>
      <c r="E29" s="91">
        <v>0.031</v>
      </c>
      <c r="F29" s="43">
        <v>0.078</v>
      </c>
      <c r="G29" s="43" t="s">
        <v>206</v>
      </c>
      <c r="H29" s="43">
        <v>0.028</v>
      </c>
      <c r="I29" s="24" t="s">
        <v>206</v>
      </c>
      <c r="J29" s="43">
        <v>0.041</v>
      </c>
      <c r="K29" s="24" t="s">
        <v>206</v>
      </c>
      <c r="L29" s="43">
        <v>0.103</v>
      </c>
      <c r="M29" s="43">
        <v>0.043</v>
      </c>
      <c r="N29" s="43">
        <v>0.064</v>
      </c>
      <c r="O29" s="43">
        <v>0.035</v>
      </c>
      <c r="P29" s="24" t="s">
        <v>273</v>
      </c>
      <c r="Q29" s="187">
        <f t="shared" si="3"/>
        <v>0.03522222222</v>
      </c>
      <c r="R29" s="2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32" t="s">
        <v>256</v>
      </c>
      <c r="E30" s="91">
        <v>0.036</v>
      </c>
      <c r="F30" s="43">
        <v>0.074</v>
      </c>
      <c r="G30" s="43">
        <v>0.042</v>
      </c>
      <c r="H30" s="43" t="s">
        <v>206</v>
      </c>
      <c r="I30" s="43">
        <v>0.03</v>
      </c>
      <c r="J30" s="43">
        <v>0.051</v>
      </c>
      <c r="K30" s="24" t="s">
        <v>206</v>
      </c>
      <c r="L30" s="43">
        <v>0.095</v>
      </c>
      <c r="M30" s="43">
        <v>0.071</v>
      </c>
      <c r="N30" s="43">
        <v>0.067</v>
      </c>
      <c r="O30" s="43">
        <v>0.033</v>
      </c>
      <c r="P30" s="24">
        <v>0.021</v>
      </c>
      <c r="Q30" s="187">
        <f t="shared" si="3"/>
        <v>0.0384</v>
      </c>
      <c r="R30" s="2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231" t="s">
        <v>254</v>
      </c>
      <c r="E31" s="188"/>
      <c r="F31" s="188"/>
      <c r="G31" s="188"/>
      <c r="H31" s="114" t="s">
        <v>274</v>
      </c>
      <c r="I31" s="188"/>
      <c r="J31" s="188"/>
      <c r="K31" s="188"/>
      <c r="L31" s="188"/>
      <c r="M31" s="188"/>
      <c r="N31" s="232"/>
      <c r="O31" s="232"/>
      <c r="P31" s="232"/>
      <c r="Q31" s="174" t="str">
        <f t="shared" ref="Q31:Q33" si="4">AVERAGE(E31,F31,G31,H31,I31,J31,K31,L31,M31,N31,O31,P31)</f>
        <v>#DIV/0!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132" t="s">
        <v>255</v>
      </c>
      <c r="E32" s="20"/>
      <c r="F32" s="20"/>
      <c r="G32" s="20"/>
      <c r="H32" s="91" t="s">
        <v>274</v>
      </c>
      <c r="I32" s="20"/>
      <c r="J32" s="20"/>
      <c r="K32" s="20"/>
      <c r="L32" s="20"/>
      <c r="M32" s="20"/>
      <c r="N32" s="20"/>
      <c r="O32" s="20"/>
      <c r="P32" s="20"/>
      <c r="Q32" s="176" t="str">
        <f t="shared" si="4"/>
        <v>#DIV/0!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132" t="s">
        <v>256</v>
      </c>
      <c r="E33" s="20"/>
      <c r="F33" s="20"/>
      <c r="G33" s="20"/>
      <c r="H33" s="100"/>
      <c r="I33" s="20"/>
      <c r="J33" s="20"/>
      <c r="K33" s="20"/>
      <c r="L33" s="20"/>
      <c r="M33" s="20"/>
      <c r="N33" s="20"/>
      <c r="O33" s="20"/>
      <c r="P33" s="20"/>
      <c r="Q33" s="176" t="str">
        <f t="shared" si="4"/>
        <v>#DIV/0!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17"/>
      <c r="M34" s="117"/>
      <c r="N34" s="100"/>
      <c r="O34" s="100"/>
      <c r="P34" s="117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0" customHeight="1">
      <c r="A35" s="100"/>
      <c r="B35" s="100"/>
      <c r="C35" s="107"/>
      <c r="E35" s="100"/>
      <c r="F35" s="100"/>
      <c r="G35" s="100"/>
      <c r="H35" s="100"/>
      <c r="I35" s="100"/>
      <c r="J35" s="100"/>
      <c r="K35" s="100"/>
      <c r="L35" s="117"/>
      <c r="M35" s="117"/>
      <c r="N35" s="100"/>
      <c r="O35" s="100"/>
      <c r="P35" s="117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A36" s="45"/>
      <c r="B36" s="240"/>
      <c r="E36" s="100"/>
      <c r="F36" s="100"/>
      <c r="G36" s="100"/>
      <c r="H36" s="225"/>
      <c r="I36" s="100"/>
      <c r="J36" s="100"/>
      <c r="K36" s="100"/>
      <c r="L36" s="117"/>
      <c r="M36" s="117"/>
      <c r="N36" s="100"/>
      <c r="O36" s="100"/>
      <c r="P36" s="117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241" t="s">
        <v>47</v>
      </c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00"/>
      <c r="O37" s="100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00"/>
      <c r="O38" s="100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00"/>
      <c r="O39" s="100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17"/>
      <c r="N40" s="100"/>
      <c r="O40" s="100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17"/>
      <c r="N41" s="100"/>
      <c r="O41" s="100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17"/>
      <c r="N42" s="100"/>
      <c r="O42" s="100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00"/>
      <c r="O43" s="100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00"/>
      <c r="O44" s="100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00"/>
      <c r="O45" s="100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00"/>
      <c r="O46" s="100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00"/>
      <c r="O47" s="100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00"/>
      <c r="O48" s="100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00"/>
      <c r="O49" s="100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00"/>
      <c r="O50" s="100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00"/>
      <c r="O51" s="100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00"/>
      <c r="O52" s="100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00"/>
      <c r="O53" s="100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00"/>
      <c r="O54" s="100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00"/>
      <c r="O55" s="100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00"/>
      <c r="O56" s="100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00"/>
      <c r="O57" s="100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00"/>
      <c r="O58" s="100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00"/>
      <c r="O59" s="100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00"/>
      <c r="O60" s="100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00"/>
      <c r="O61" s="100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00"/>
      <c r="O62" s="100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00"/>
      <c r="O63" s="100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00"/>
      <c r="O64" s="100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00"/>
      <c r="O65" s="100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00"/>
      <c r="O66" s="100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00"/>
      <c r="O67" s="100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00"/>
      <c r="O68" s="100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00"/>
      <c r="O69" s="100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00"/>
      <c r="O70" s="100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00"/>
      <c r="O71" s="100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00"/>
      <c r="O72" s="100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00"/>
      <c r="O73" s="100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00"/>
      <c r="O74" s="100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00"/>
      <c r="O75" s="100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00"/>
      <c r="O76" s="100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00"/>
      <c r="O77" s="100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00"/>
      <c r="O78" s="100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00"/>
      <c r="O79" s="100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00"/>
      <c r="O80" s="100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00"/>
      <c r="O81" s="100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00"/>
      <c r="O82" s="100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00"/>
      <c r="O83" s="100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00"/>
      <c r="O84" s="100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00"/>
      <c r="O85" s="100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00"/>
      <c r="O86" s="100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00"/>
      <c r="O87" s="100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00"/>
      <c r="O88" s="100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00"/>
      <c r="O89" s="100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00"/>
      <c r="O90" s="100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00"/>
      <c r="O91" s="100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00"/>
      <c r="O92" s="100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00"/>
      <c r="O93" s="100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00"/>
      <c r="O94" s="100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00"/>
      <c r="O95" s="100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00"/>
      <c r="O96" s="100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00"/>
      <c r="O97" s="100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00"/>
      <c r="O98" s="100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00"/>
      <c r="O99" s="100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00"/>
      <c r="O100" s="100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00"/>
      <c r="O101" s="100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00"/>
      <c r="O102" s="100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00"/>
      <c r="O103" s="100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00"/>
      <c r="O104" s="100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00"/>
      <c r="O105" s="100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00"/>
      <c r="O106" s="100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00"/>
      <c r="O107" s="100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00"/>
      <c r="O108" s="100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00"/>
      <c r="O109" s="100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00"/>
      <c r="O110" s="100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00"/>
      <c r="O111" s="100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00"/>
      <c r="O112" s="100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00"/>
      <c r="O113" s="100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00"/>
      <c r="O114" s="100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00"/>
      <c r="O115" s="100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00"/>
      <c r="O116" s="100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00"/>
      <c r="O117" s="100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00"/>
      <c r="O118" s="100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00"/>
      <c r="O119" s="100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00"/>
      <c r="O120" s="100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00"/>
      <c r="O121" s="100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00"/>
      <c r="O122" s="100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00"/>
      <c r="O123" s="100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00"/>
      <c r="O124" s="100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00"/>
      <c r="O125" s="100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00"/>
      <c r="O126" s="100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00"/>
      <c r="O127" s="100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00"/>
      <c r="O128" s="100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00"/>
      <c r="O129" s="100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00"/>
      <c r="O130" s="100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00"/>
      <c r="O131" s="100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00"/>
      <c r="O132" s="100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00"/>
      <c r="O133" s="100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00"/>
      <c r="O134" s="100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00"/>
      <c r="O135" s="100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00"/>
      <c r="O136" s="100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00"/>
      <c r="O137" s="100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00"/>
      <c r="O138" s="100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00"/>
      <c r="O139" s="100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00"/>
      <c r="O140" s="100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00"/>
      <c r="O141" s="100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00"/>
      <c r="O142" s="100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00"/>
      <c r="O143" s="100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00"/>
      <c r="O144" s="100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00"/>
      <c r="O145" s="100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00"/>
      <c r="O146" s="100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00"/>
      <c r="O147" s="100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00"/>
      <c r="O148" s="100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00"/>
      <c r="O149" s="100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00"/>
      <c r="O150" s="100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00"/>
      <c r="O151" s="100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00"/>
      <c r="O152" s="100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00"/>
      <c r="O153" s="100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00"/>
      <c r="O154" s="100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00"/>
      <c r="O155" s="100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00"/>
      <c r="O156" s="100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00"/>
      <c r="O157" s="100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00"/>
      <c r="O158" s="100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00"/>
      <c r="O159" s="100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00"/>
      <c r="O160" s="100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00"/>
      <c r="O161" s="100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00"/>
      <c r="O162" s="100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00"/>
      <c r="O163" s="100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00"/>
      <c r="O164" s="100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00"/>
      <c r="O165" s="100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00"/>
      <c r="O166" s="100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00"/>
      <c r="O167" s="100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00"/>
      <c r="O168" s="100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00"/>
      <c r="O169" s="100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00"/>
      <c r="O170" s="100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00"/>
      <c r="O171" s="100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00"/>
      <c r="O172" s="100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00"/>
      <c r="O173" s="100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00"/>
      <c r="O174" s="100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00"/>
      <c r="O175" s="100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00"/>
      <c r="O176" s="100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00"/>
      <c r="O177" s="100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00"/>
      <c r="O178" s="100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00"/>
      <c r="O179" s="100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00"/>
      <c r="O180" s="100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00"/>
      <c r="O181" s="100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00"/>
      <c r="O182" s="100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00"/>
      <c r="O183" s="100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00"/>
      <c r="O184" s="100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00"/>
      <c r="O185" s="100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00"/>
      <c r="O186" s="100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00"/>
      <c r="O187" s="100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00"/>
      <c r="O188" s="100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00"/>
      <c r="O189" s="100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00"/>
      <c r="O190" s="100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00"/>
      <c r="O191" s="100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00"/>
      <c r="O192" s="100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00"/>
      <c r="O193" s="100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00"/>
      <c r="O194" s="100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00"/>
      <c r="O195" s="100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00"/>
      <c r="O196" s="100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00"/>
      <c r="O197" s="100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00"/>
      <c r="O198" s="100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00"/>
      <c r="O199" s="100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00"/>
      <c r="O200" s="100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00"/>
      <c r="O201" s="100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00"/>
      <c r="O202" s="100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00"/>
      <c r="O203" s="100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00"/>
      <c r="O204" s="100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00"/>
      <c r="O205" s="100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00"/>
      <c r="O206" s="100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00"/>
      <c r="O207" s="100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00"/>
      <c r="O208" s="100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00"/>
      <c r="O209" s="100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00"/>
      <c r="O210" s="100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00"/>
      <c r="O211" s="100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00"/>
      <c r="O212" s="100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00"/>
      <c r="O213" s="100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00"/>
      <c r="O214" s="100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00"/>
      <c r="O215" s="100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00"/>
      <c r="O216" s="100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00"/>
      <c r="O217" s="100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00"/>
      <c r="O218" s="100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00"/>
      <c r="O219" s="100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00"/>
      <c r="O220" s="100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00"/>
      <c r="O221" s="100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00"/>
      <c r="O222" s="100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00"/>
      <c r="O223" s="100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00"/>
      <c r="O224" s="100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00"/>
      <c r="O225" s="100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00"/>
      <c r="O226" s="100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00"/>
      <c r="O227" s="100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00"/>
      <c r="O228" s="100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00"/>
      <c r="O229" s="100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00"/>
      <c r="O230" s="100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00"/>
      <c r="O231" s="100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00"/>
      <c r="O232" s="100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00"/>
      <c r="O233" s="100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00"/>
      <c r="O234" s="100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00"/>
      <c r="O235" s="100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00"/>
      <c r="O236" s="100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00"/>
      <c r="O237" s="100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00"/>
      <c r="O238" s="100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00"/>
      <c r="O239" s="100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00"/>
      <c r="O240" s="100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00"/>
      <c r="O241" s="100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00"/>
      <c r="O242" s="100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00"/>
      <c r="O243" s="100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00"/>
      <c r="O244" s="100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00"/>
      <c r="O245" s="100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00"/>
      <c r="O246" s="100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00"/>
      <c r="O247" s="100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00"/>
      <c r="O248" s="100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00"/>
      <c r="O249" s="100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00"/>
      <c r="O250" s="100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00"/>
      <c r="O251" s="100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00"/>
      <c r="O252" s="100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00"/>
      <c r="O253" s="100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00"/>
      <c r="O254" s="100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00"/>
      <c r="O255" s="100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00"/>
      <c r="O256" s="100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00"/>
      <c r="O257" s="100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00"/>
      <c r="O258" s="100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00"/>
      <c r="O259" s="100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00"/>
      <c r="O260" s="100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00"/>
      <c r="O261" s="100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00"/>
      <c r="O262" s="100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00"/>
      <c r="O263" s="100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00"/>
      <c r="O264" s="100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00"/>
      <c r="O265" s="100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00"/>
      <c r="O266" s="100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00"/>
      <c r="O267" s="100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00"/>
      <c r="O268" s="100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00"/>
      <c r="O269" s="100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00"/>
      <c r="O270" s="100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00"/>
      <c r="O271" s="100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00"/>
      <c r="O272" s="100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00"/>
      <c r="O273" s="100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00"/>
      <c r="O274" s="100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00"/>
      <c r="O275" s="100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00"/>
      <c r="O276" s="100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00"/>
      <c r="O277" s="100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00"/>
      <c r="O278" s="100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00"/>
      <c r="O279" s="100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00"/>
      <c r="O280" s="100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00"/>
      <c r="O281" s="100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00"/>
      <c r="O282" s="100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00"/>
      <c r="O283" s="100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00"/>
      <c r="O284" s="100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00"/>
      <c r="O285" s="100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00"/>
      <c r="O286" s="100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00"/>
      <c r="O287" s="100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00"/>
      <c r="O288" s="100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00"/>
      <c r="O289" s="100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00"/>
      <c r="O290" s="100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00"/>
      <c r="O291" s="100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00"/>
      <c r="O292" s="100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00"/>
      <c r="O293" s="100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00"/>
      <c r="O294" s="100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00"/>
      <c r="O295" s="100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00"/>
      <c r="O296" s="100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00"/>
      <c r="O297" s="100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00"/>
      <c r="O298" s="100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00"/>
      <c r="O299" s="100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00"/>
      <c r="O300" s="100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00"/>
      <c r="O301" s="100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00"/>
      <c r="O302" s="100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00"/>
      <c r="O303" s="100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00"/>
      <c r="O304" s="100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00"/>
      <c r="O305" s="100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00"/>
      <c r="O306" s="100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00"/>
      <c r="O307" s="100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00"/>
      <c r="O308" s="100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00"/>
      <c r="O309" s="100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00"/>
      <c r="O310" s="100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00"/>
      <c r="O311" s="100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00"/>
      <c r="O312" s="100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00"/>
      <c r="O313" s="100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00"/>
      <c r="O314" s="100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00"/>
      <c r="O315" s="100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00"/>
      <c r="O316" s="100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00"/>
      <c r="O317" s="100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00"/>
      <c r="O318" s="100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00"/>
      <c r="O319" s="100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00"/>
      <c r="O320" s="100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00"/>
      <c r="O321" s="100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00"/>
      <c r="O322" s="100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00"/>
      <c r="O323" s="100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00"/>
      <c r="O324" s="100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00"/>
      <c r="O325" s="100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00"/>
      <c r="O326" s="100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00"/>
      <c r="O327" s="100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00"/>
      <c r="O328" s="100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00"/>
      <c r="O329" s="100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00"/>
      <c r="O330" s="100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00"/>
      <c r="O331" s="100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00"/>
      <c r="O332" s="100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00"/>
      <c r="O333" s="100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00"/>
      <c r="O334" s="100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00"/>
      <c r="O335" s="100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00"/>
      <c r="O336" s="100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00"/>
      <c r="O337" s="100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00"/>
      <c r="O338" s="100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00"/>
      <c r="O339" s="100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00"/>
      <c r="O340" s="100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00"/>
      <c r="O341" s="100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00"/>
      <c r="O342" s="100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00"/>
      <c r="O343" s="100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00"/>
      <c r="O344" s="100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00"/>
      <c r="O345" s="100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00"/>
      <c r="O346" s="100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00"/>
      <c r="O347" s="100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00"/>
      <c r="O348" s="100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00"/>
      <c r="O349" s="100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00"/>
      <c r="O350" s="100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00"/>
      <c r="O351" s="100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00"/>
      <c r="O352" s="100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00"/>
      <c r="O353" s="100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00"/>
      <c r="O354" s="100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00"/>
      <c r="O355" s="100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00"/>
      <c r="O356" s="100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00"/>
      <c r="O357" s="100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00"/>
      <c r="O358" s="100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00"/>
      <c r="O359" s="100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00"/>
      <c r="O360" s="100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00"/>
      <c r="O361" s="100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00"/>
      <c r="O362" s="100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00"/>
      <c r="O363" s="100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00"/>
      <c r="O364" s="100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00"/>
      <c r="O365" s="100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00"/>
      <c r="O366" s="100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00"/>
      <c r="O367" s="100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00"/>
      <c r="O368" s="100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00"/>
      <c r="O369" s="100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00"/>
      <c r="O370" s="100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00"/>
      <c r="O371" s="100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00"/>
      <c r="O372" s="100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00"/>
      <c r="O373" s="100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00"/>
      <c r="O374" s="100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00"/>
      <c r="O375" s="100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00"/>
      <c r="O376" s="100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00"/>
      <c r="O377" s="100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00"/>
      <c r="O378" s="100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00"/>
      <c r="O379" s="100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00"/>
      <c r="O380" s="100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00"/>
      <c r="O381" s="100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00"/>
      <c r="O382" s="100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00"/>
      <c r="O383" s="100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00"/>
      <c r="O384" s="100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00"/>
      <c r="O385" s="100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00"/>
      <c r="O386" s="100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00"/>
      <c r="O387" s="100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00"/>
      <c r="O388" s="100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00"/>
      <c r="O389" s="100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00"/>
      <c r="O390" s="100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00"/>
      <c r="O391" s="100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00"/>
      <c r="O392" s="100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00"/>
      <c r="O393" s="100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00"/>
      <c r="O394" s="100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00"/>
      <c r="O395" s="100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00"/>
      <c r="O396" s="100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00"/>
      <c r="O397" s="100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00"/>
      <c r="O398" s="100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00"/>
      <c r="O399" s="100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00"/>
      <c r="O400" s="100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00"/>
      <c r="O401" s="100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00"/>
      <c r="O402" s="100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00"/>
      <c r="O403" s="100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00"/>
      <c r="O404" s="100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00"/>
      <c r="O405" s="100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00"/>
      <c r="O406" s="100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00"/>
      <c r="O407" s="100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00"/>
      <c r="O408" s="100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00"/>
      <c r="O409" s="100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00"/>
      <c r="O410" s="100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00"/>
      <c r="O411" s="100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00"/>
      <c r="O412" s="100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00"/>
      <c r="O413" s="100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00"/>
      <c r="O414" s="100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00"/>
      <c r="O415" s="100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00"/>
      <c r="O416" s="100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00"/>
      <c r="O417" s="100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00"/>
      <c r="O418" s="100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00"/>
      <c r="O419" s="100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00"/>
      <c r="O420" s="100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00"/>
      <c r="O421" s="100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00"/>
      <c r="O422" s="100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00"/>
      <c r="O423" s="100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00"/>
      <c r="O424" s="100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00"/>
      <c r="O425" s="100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00"/>
      <c r="O426" s="100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00"/>
      <c r="O427" s="100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00"/>
      <c r="O428" s="100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00"/>
      <c r="O429" s="100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00"/>
      <c r="O430" s="100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00"/>
      <c r="O431" s="100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00"/>
      <c r="O432" s="100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00"/>
      <c r="O433" s="100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00"/>
      <c r="O434" s="100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00"/>
      <c r="O435" s="100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00"/>
      <c r="O436" s="100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00"/>
      <c r="O437" s="100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00"/>
      <c r="O438" s="100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00"/>
      <c r="O439" s="100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00"/>
      <c r="O440" s="100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00"/>
      <c r="O441" s="100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00"/>
      <c r="O442" s="100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00"/>
      <c r="O443" s="100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00"/>
      <c r="O444" s="100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00"/>
      <c r="O445" s="100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00"/>
      <c r="O446" s="100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00"/>
      <c r="O447" s="100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00"/>
      <c r="O448" s="100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00"/>
      <c r="O449" s="100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00"/>
      <c r="O450" s="100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00"/>
      <c r="O451" s="100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00"/>
      <c r="O452" s="100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00"/>
      <c r="O453" s="100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00"/>
      <c r="O454" s="100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00"/>
      <c r="O455" s="100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00"/>
      <c r="O456" s="100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00"/>
      <c r="O457" s="100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00"/>
      <c r="O458" s="100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00"/>
      <c r="O459" s="100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00"/>
      <c r="O460" s="100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00"/>
      <c r="O461" s="100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00"/>
      <c r="O462" s="100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00"/>
      <c r="O463" s="100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00"/>
      <c r="O464" s="100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00"/>
      <c r="O465" s="100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00"/>
      <c r="O466" s="100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00"/>
      <c r="O467" s="100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00"/>
      <c r="O468" s="100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00"/>
      <c r="O469" s="100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00"/>
      <c r="O470" s="100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00"/>
      <c r="O471" s="100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00"/>
      <c r="O472" s="100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00"/>
      <c r="O473" s="100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00"/>
      <c r="O474" s="100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00"/>
      <c r="O475" s="100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00"/>
      <c r="O476" s="100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00"/>
      <c r="O477" s="100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00"/>
      <c r="O478" s="100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00"/>
      <c r="O479" s="100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00"/>
      <c r="O480" s="100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00"/>
      <c r="O481" s="100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00"/>
      <c r="O482" s="100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00"/>
      <c r="O483" s="100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00"/>
      <c r="O484" s="100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00"/>
      <c r="O485" s="100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00"/>
      <c r="O486" s="100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00"/>
      <c r="O487" s="100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00"/>
      <c r="O488" s="100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00"/>
      <c r="O489" s="100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00"/>
      <c r="O490" s="100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00"/>
      <c r="O491" s="100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00"/>
      <c r="O492" s="100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00"/>
      <c r="O493" s="100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00"/>
      <c r="O494" s="100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00"/>
      <c r="O495" s="100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00"/>
      <c r="O496" s="100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00"/>
      <c r="O497" s="100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00"/>
      <c r="O498" s="100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00"/>
      <c r="O499" s="100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00"/>
      <c r="O500" s="100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00"/>
      <c r="O501" s="100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00"/>
      <c r="O502" s="100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00"/>
      <c r="O503" s="100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00"/>
      <c r="O504" s="100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00"/>
      <c r="O505" s="100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00"/>
      <c r="O506" s="100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00"/>
      <c r="O507" s="100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00"/>
      <c r="O508" s="100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00"/>
      <c r="O509" s="100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00"/>
      <c r="O510" s="100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00"/>
      <c r="O511" s="100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00"/>
      <c r="O512" s="100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00"/>
      <c r="O513" s="100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00"/>
      <c r="O514" s="100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00"/>
      <c r="O515" s="100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00"/>
      <c r="O516" s="100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00"/>
      <c r="O517" s="100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00"/>
      <c r="O518" s="100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00"/>
      <c r="O519" s="100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00"/>
      <c r="O520" s="100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00"/>
      <c r="O521" s="100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00"/>
      <c r="O522" s="100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00"/>
      <c r="O523" s="100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00"/>
      <c r="O524" s="100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00"/>
      <c r="O525" s="100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00"/>
      <c r="O526" s="100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00"/>
      <c r="O527" s="100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00"/>
      <c r="O528" s="100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00"/>
      <c r="O529" s="100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00"/>
      <c r="O530" s="100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00"/>
      <c r="O531" s="100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00"/>
      <c r="O532" s="100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00"/>
      <c r="O533" s="100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00"/>
      <c r="O534" s="100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00"/>
      <c r="O535" s="100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00"/>
      <c r="O536" s="100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00"/>
      <c r="O537" s="100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00"/>
      <c r="O538" s="100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00"/>
      <c r="O539" s="100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00"/>
      <c r="O540" s="100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00"/>
      <c r="O541" s="100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00"/>
      <c r="O542" s="100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00"/>
      <c r="O543" s="100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00"/>
      <c r="O544" s="100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00"/>
      <c r="O545" s="100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00"/>
      <c r="O546" s="100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00"/>
      <c r="O547" s="100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00"/>
      <c r="O548" s="100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00"/>
      <c r="O549" s="100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00"/>
      <c r="O550" s="100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00"/>
      <c r="O551" s="100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00"/>
      <c r="O552" s="100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00"/>
      <c r="O553" s="100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00"/>
      <c r="O554" s="100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00"/>
      <c r="O555" s="100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00"/>
      <c r="O556" s="100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00"/>
      <c r="O557" s="100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00"/>
      <c r="O558" s="100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00"/>
      <c r="O559" s="100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00"/>
      <c r="O560" s="100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00"/>
      <c r="O561" s="100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00"/>
      <c r="O562" s="100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00"/>
      <c r="O563" s="100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00"/>
      <c r="O564" s="100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00"/>
      <c r="O565" s="100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00"/>
      <c r="O566" s="100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00"/>
      <c r="O567" s="100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00"/>
      <c r="O568" s="100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00"/>
      <c r="O569" s="100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00"/>
      <c r="O570" s="100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00"/>
      <c r="O571" s="100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00"/>
      <c r="O572" s="100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00"/>
      <c r="O573" s="100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00"/>
      <c r="O574" s="100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00"/>
      <c r="O575" s="100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00"/>
      <c r="O576" s="100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00"/>
      <c r="O577" s="100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00"/>
      <c r="O578" s="100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00"/>
      <c r="O579" s="100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00"/>
      <c r="O580" s="100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00"/>
      <c r="O581" s="100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00"/>
      <c r="O582" s="100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00"/>
      <c r="O583" s="100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00"/>
      <c r="O584" s="100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00"/>
      <c r="O585" s="100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00"/>
      <c r="O586" s="100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00"/>
      <c r="O587" s="100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00"/>
      <c r="O588" s="100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00"/>
      <c r="O589" s="100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00"/>
      <c r="O590" s="100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00"/>
      <c r="O591" s="100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00"/>
      <c r="O592" s="100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00"/>
      <c r="O593" s="100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00"/>
      <c r="O594" s="100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00"/>
      <c r="O595" s="100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00"/>
      <c r="O596" s="100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00"/>
      <c r="O597" s="100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00"/>
      <c r="O598" s="100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00"/>
      <c r="O599" s="100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00"/>
      <c r="O600" s="100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00"/>
      <c r="O601" s="100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00"/>
      <c r="O602" s="100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00"/>
      <c r="O603" s="100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00"/>
      <c r="O604" s="100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00"/>
      <c r="O605" s="100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00"/>
      <c r="O606" s="100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00"/>
      <c r="O607" s="100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00"/>
      <c r="O608" s="100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00"/>
      <c r="O609" s="100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00"/>
      <c r="O610" s="100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00"/>
      <c r="O611" s="100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00"/>
      <c r="O612" s="100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00"/>
      <c r="O613" s="100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00"/>
      <c r="O614" s="100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00"/>
      <c r="O615" s="100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00"/>
      <c r="O616" s="100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00"/>
      <c r="O617" s="100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00"/>
      <c r="O618" s="100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00"/>
      <c r="O619" s="100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00"/>
      <c r="O620" s="100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00"/>
      <c r="O621" s="100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00"/>
      <c r="O622" s="100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00"/>
      <c r="O623" s="100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00"/>
      <c r="O624" s="100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00"/>
      <c r="O625" s="100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00"/>
      <c r="O626" s="100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00"/>
      <c r="O627" s="100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00"/>
      <c r="O628" s="100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00"/>
      <c r="O629" s="100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00"/>
      <c r="O630" s="100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00"/>
      <c r="O631" s="100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00"/>
      <c r="O632" s="100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00"/>
      <c r="O633" s="100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00"/>
      <c r="O634" s="100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00"/>
      <c r="O635" s="100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00"/>
      <c r="O636" s="100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00"/>
      <c r="O637" s="100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00"/>
      <c r="O638" s="100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00"/>
      <c r="O639" s="100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00"/>
      <c r="O640" s="100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00"/>
      <c r="O641" s="100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00"/>
      <c r="O642" s="100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00"/>
      <c r="O643" s="100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00"/>
      <c r="O644" s="100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00"/>
      <c r="O645" s="100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00"/>
      <c r="O646" s="100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00"/>
      <c r="O647" s="100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00"/>
      <c r="O648" s="100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00"/>
      <c r="O649" s="100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00"/>
      <c r="O650" s="100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00"/>
      <c r="O651" s="100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00"/>
      <c r="O652" s="100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00"/>
      <c r="O653" s="100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00"/>
      <c r="O654" s="100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00"/>
      <c r="O655" s="100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00"/>
      <c r="O656" s="100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00"/>
      <c r="O657" s="100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00"/>
      <c r="O658" s="100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00"/>
      <c r="O659" s="100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00"/>
      <c r="O660" s="100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00"/>
      <c r="O661" s="100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00"/>
      <c r="O662" s="100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00"/>
      <c r="O663" s="100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00"/>
      <c r="O664" s="100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00"/>
      <c r="O665" s="100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00"/>
      <c r="O666" s="100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00"/>
      <c r="O667" s="100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00"/>
      <c r="O668" s="100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00"/>
      <c r="O669" s="100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00"/>
      <c r="O670" s="100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00"/>
      <c r="O671" s="100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00"/>
      <c r="O672" s="100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00"/>
      <c r="O673" s="100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00"/>
      <c r="O674" s="100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00"/>
      <c r="O675" s="100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00"/>
      <c r="O676" s="100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00"/>
      <c r="O677" s="100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00"/>
      <c r="O678" s="100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00"/>
      <c r="O679" s="100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00"/>
      <c r="O680" s="100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00"/>
      <c r="O681" s="100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00"/>
      <c r="O682" s="100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00"/>
      <c r="O683" s="100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00"/>
      <c r="O684" s="100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00"/>
      <c r="O685" s="100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00"/>
      <c r="O686" s="100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00"/>
      <c r="O687" s="100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00"/>
      <c r="O688" s="100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00"/>
      <c r="O689" s="100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00"/>
      <c r="O690" s="100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00"/>
      <c r="O691" s="100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00"/>
      <c r="O692" s="100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00"/>
      <c r="O693" s="100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00"/>
      <c r="O694" s="100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00"/>
      <c r="O695" s="100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00"/>
      <c r="O696" s="100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00"/>
      <c r="O697" s="100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00"/>
      <c r="O698" s="100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00"/>
      <c r="O699" s="100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00"/>
      <c r="O700" s="100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00"/>
      <c r="O701" s="100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00"/>
      <c r="O702" s="100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00"/>
      <c r="O703" s="100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00"/>
      <c r="O704" s="100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00"/>
      <c r="O705" s="100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00"/>
      <c r="O706" s="100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00"/>
      <c r="O707" s="100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00"/>
      <c r="O708" s="100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00"/>
      <c r="O709" s="100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00"/>
      <c r="O710" s="100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00"/>
      <c r="O711" s="100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00"/>
      <c r="O712" s="100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00"/>
      <c r="O713" s="100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00"/>
      <c r="O714" s="100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00"/>
      <c r="O715" s="100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00"/>
      <c r="O716" s="100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00"/>
      <c r="O717" s="100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00"/>
      <c r="O718" s="100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00"/>
      <c r="O719" s="100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00"/>
      <c r="O720" s="100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00"/>
      <c r="O721" s="100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00"/>
      <c r="O722" s="100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00"/>
      <c r="O723" s="100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00"/>
      <c r="O724" s="100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00"/>
      <c r="O725" s="100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00"/>
      <c r="O726" s="100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00"/>
      <c r="O727" s="100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00"/>
      <c r="O728" s="100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00"/>
      <c r="O729" s="100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00"/>
      <c r="O730" s="100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00"/>
      <c r="O731" s="100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00"/>
      <c r="O732" s="100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00"/>
      <c r="O733" s="100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00"/>
      <c r="O734" s="100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00"/>
      <c r="O735" s="100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00"/>
      <c r="O736" s="100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00"/>
      <c r="O737" s="100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00"/>
      <c r="O738" s="100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00"/>
      <c r="O739" s="100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00"/>
      <c r="O740" s="100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00"/>
      <c r="O741" s="100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00"/>
      <c r="O742" s="100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00"/>
      <c r="O743" s="100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00"/>
      <c r="O744" s="100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00"/>
      <c r="O745" s="100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00"/>
      <c r="O746" s="100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00"/>
      <c r="O747" s="100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00"/>
      <c r="O748" s="100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00"/>
      <c r="O749" s="100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00"/>
      <c r="O750" s="100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00"/>
      <c r="O751" s="100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00"/>
      <c r="O752" s="100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00"/>
      <c r="O753" s="100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00"/>
      <c r="O754" s="100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00"/>
      <c r="O755" s="100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00"/>
      <c r="O756" s="100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00"/>
      <c r="O757" s="100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00"/>
      <c r="O758" s="100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00"/>
      <c r="O759" s="100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00"/>
      <c r="O760" s="100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00"/>
      <c r="O761" s="100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00"/>
      <c r="O762" s="100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00"/>
      <c r="O763" s="100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00"/>
      <c r="O764" s="100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00"/>
      <c r="O765" s="100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00"/>
      <c r="O766" s="100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00"/>
      <c r="O767" s="100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00"/>
      <c r="O768" s="100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00"/>
      <c r="O769" s="100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00"/>
      <c r="O770" s="100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00"/>
      <c r="O771" s="100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00"/>
      <c r="O772" s="100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00"/>
      <c r="O773" s="100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00"/>
      <c r="O774" s="100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00"/>
      <c r="O775" s="100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00"/>
      <c r="O776" s="100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00"/>
      <c r="O777" s="100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00"/>
      <c r="O778" s="100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00"/>
      <c r="O779" s="100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00"/>
      <c r="O780" s="100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00"/>
      <c r="O781" s="100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00"/>
      <c r="O782" s="100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00"/>
      <c r="O783" s="100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00"/>
      <c r="O784" s="100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00"/>
      <c r="O785" s="100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00"/>
      <c r="O786" s="100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00"/>
      <c r="O787" s="100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00"/>
      <c r="O788" s="100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00"/>
      <c r="O789" s="100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00"/>
      <c r="O790" s="100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00"/>
      <c r="O791" s="100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00"/>
      <c r="O792" s="100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00"/>
      <c r="O793" s="100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00"/>
      <c r="O794" s="100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00"/>
      <c r="O795" s="100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00"/>
      <c r="O796" s="100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00"/>
      <c r="O797" s="100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00"/>
      <c r="O798" s="100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00"/>
      <c r="O799" s="100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00"/>
      <c r="O800" s="100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00"/>
      <c r="O801" s="100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00"/>
      <c r="O802" s="100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00"/>
      <c r="O803" s="100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00"/>
      <c r="O804" s="100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00"/>
      <c r="O805" s="100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00"/>
      <c r="O806" s="100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00"/>
      <c r="O807" s="100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00"/>
      <c r="O808" s="100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00"/>
      <c r="O809" s="100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00"/>
      <c r="O810" s="100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00"/>
      <c r="O811" s="100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00"/>
      <c r="O812" s="100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00"/>
      <c r="O813" s="100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00"/>
      <c r="O814" s="100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00"/>
      <c r="O815" s="100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00"/>
      <c r="O816" s="100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00"/>
      <c r="O817" s="100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00"/>
      <c r="O818" s="100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00"/>
      <c r="O819" s="100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00"/>
      <c r="O820" s="100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00"/>
      <c r="O821" s="100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00"/>
      <c r="O822" s="100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00"/>
      <c r="O823" s="100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00"/>
      <c r="O824" s="100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00"/>
      <c r="O825" s="100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00"/>
      <c r="O826" s="100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00"/>
      <c r="O827" s="100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00"/>
      <c r="O828" s="100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00"/>
      <c r="O829" s="100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00"/>
      <c r="O830" s="100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00"/>
      <c r="O831" s="100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00"/>
      <c r="O832" s="100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00"/>
      <c r="O833" s="100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00"/>
      <c r="O834" s="100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00"/>
      <c r="O835" s="100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00"/>
      <c r="O836" s="100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00"/>
      <c r="O837" s="100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00"/>
      <c r="O838" s="100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00"/>
      <c r="O839" s="100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00"/>
      <c r="O840" s="100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00"/>
      <c r="O841" s="100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00"/>
      <c r="O842" s="100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00"/>
      <c r="O843" s="100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00"/>
      <c r="O844" s="100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00"/>
      <c r="O845" s="100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00"/>
      <c r="O846" s="100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00"/>
      <c r="O847" s="100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00"/>
      <c r="O848" s="100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00"/>
      <c r="O849" s="100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00"/>
      <c r="O850" s="100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00"/>
      <c r="O851" s="100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00"/>
      <c r="O852" s="100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00"/>
      <c r="O853" s="100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00"/>
      <c r="O854" s="100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00"/>
      <c r="O855" s="100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00"/>
      <c r="O856" s="100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00"/>
      <c r="O857" s="100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00"/>
      <c r="O858" s="100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00"/>
      <c r="O859" s="100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00"/>
      <c r="O860" s="100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00"/>
      <c r="O861" s="100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00"/>
      <c r="O862" s="100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00"/>
      <c r="O863" s="100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00"/>
      <c r="O864" s="100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00"/>
      <c r="O865" s="100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00"/>
      <c r="O866" s="100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00"/>
      <c r="O867" s="100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00"/>
      <c r="O868" s="100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00"/>
      <c r="O869" s="100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00"/>
      <c r="O870" s="100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00"/>
      <c r="O871" s="100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00"/>
      <c r="O872" s="100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00"/>
      <c r="O873" s="100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00"/>
      <c r="O874" s="100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00"/>
      <c r="O875" s="100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00"/>
      <c r="O876" s="100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00"/>
      <c r="O877" s="100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00"/>
      <c r="O878" s="100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00"/>
      <c r="O879" s="100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00"/>
      <c r="O880" s="100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00"/>
      <c r="O881" s="100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00"/>
      <c r="O882" s="100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00"/>
      <c r="O883" s="100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00"/>
      <c r="O884" s="100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00"/>
      <c r="O885" s="100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00"/>
      <c r="O886" s="100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00"/>
      <c r="O887" s="100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00"/>
      <c r="O888" s="100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00"/>
      <c r="O889" s="100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00"/>
      <c r="O890" s="100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00"/>
      <c r="O891" s="100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00"/>
      <c r="O892" s="100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00"/>
      <c r="O893" s="100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00"/>
      <c r="O894" s="100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00"/>
      <c r="O895" s="100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00"/>
      <c r="O896" s="100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00"/>
      <c r="O897" s="100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00"/>
      <c r="O898" s="100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00"/>
      <c r="O899" s="100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00"/>
      <c r="O900" s="100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00"/>
      <c r="O901" s="100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00"/>
      <c r="O902" s="100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00"/>
      <c r="O903" s="100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00"/>
      <c r="O904" s="100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00"/>
      <c r="O905" s="100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00"/>
      <c r="O906" s="100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00"/>
      <c r="O907" s="100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00"/>
      <c r="O908" s="100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00"/>
      <c r="O909" s="100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00"/>
      <c r="O910" s="100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00"/>
      <c r="O911" s="100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00"/>
      <c r="O912" s="100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00"/>
      <c r="O913" s="100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00"/>
      <c r="O914" s="100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00"/>
      <c r="O915" s="100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00"/>
      <c r="O916" s="100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00"/>
      <c r="O917" s="100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00"/>
      <c r="O918" s="100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00"/>
      <c r="O919" s="100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00"/>
      <c r="O920" s="100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00"/>
      <c r="O921" s="100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00"/>
      <c r="O922" s="100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00"/>
      <c r="O923" s="100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00"/>
      <c r="O924" s="100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00"/>
      <c r="O925" s="100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00"/>
      <c r="O926" s="100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00"/>
      <c r="O927" s="100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00"/>
      <c r="O928" s="100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00"/>
      <c r="O929" s="100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00"/>
      <c r="O930" s="100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00"/>
      <c r="O931" s="100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00"/>
      <c r="O932" s="100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00"/>
      <c r="O933" s="100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00"/>
      <c r="O934" s="100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00"/>
      <c r="O935" s="100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00"/>
      <c r="O936" s="100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00"/>
      <c r="O937" s="100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00"/>
      <c r="O938" s="100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00"/>
      <c r="O939" s="100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00"/>
      <c r="O940" s="100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00"/>
      <c r="O941" s="100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00"/>
      <c r="O942" s="100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00"/>
      <c r="O943" s="100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00"/>
      <c r="O944" s="100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00"/>
      <c r="O945" s="100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00"/>
      <c r="O946" s="100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00"/>
      <c r="O947" s="100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00"/>
      <c r="O948" s="100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00"/>
      <c r="O949" s="100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00"/>
      <c r="O950" s="100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00"/>
      <c r="O951" s="100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00"/>
      <c r="O952" s="100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00"/>
      <c r="O953" s="100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00"/>
      <c r="O954" s="100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00"/>
      <c r="O955" s="100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00"/>
      <c r="O956" s="100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00"/>
      <c r="O957" s="100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00"/>
      <c r="O958" s="100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00"/>
      <c r="O959" s="100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00"/>
      <c r="O960" s="100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00"/>
      <c r="O961" s="100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00"/>
      <c r="O962" s="100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00"/>
      <c r="O963" s="100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00"/>
      <c r="O964" s="100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00"/>
      <c r="O965" s="100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00"/>
      <c r="O966" s="100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00"/>
      <c r="O967" s="100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00"/>
      <c r="O968" s="100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00"/>
      <c r="O969" s="100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00"/>
      <c r="O970" s="100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00"/>
      <c r="O971" s="100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00"/>
      <c r="O972" s="100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00"/>
      <c r="O973" s="100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00"/>
      <c r="O974" s="100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00"/>
      <c r="O975" s="100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00"/>
      <c r="O976" s="100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00"/>
      <c r="O977" s="100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00"/>
      <c r="O978" s="100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00"/>
      <c r="O979" s="100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00"/>
      <c r="O980" s="100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00"/>
      <c r="O981" s="100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00"/>
      <c r="O982" s="100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00"/>
      <c r="O983" s="100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00"/>
      <c r="O984" s="100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00"/>
      <c r="O985" s="100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00"/>
      <c r="O986" s="100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00"/>
      <c r="O987" s="100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00"/>
      <c r="O988" s="100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00"/>
      <c r="O989" s="100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00"/>
      <c r="O990" s="100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00"/>
      <c r="O991" s="100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00"/>
      <c r="O992" s="100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00"/>
      <c r="O993" s="100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00"/>
      <c r="O994" s="100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00"/>
      <c r="O995" s="100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00"/>
      <c r="O996" s="100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00"/>
      <c r="O997" s="100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00"/>
      <c r="O998" s="100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00"/>
      <c r="O999" s="100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00"/>
      <c r="O1000" s="100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C35:D36"/>
    <mergeCell ref="A37:C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11" width="10.71"/>
    <col customWidth="1" min="12" max="12" width="10.29"/>
    <col customWidth="1" min="13" max="13" width="11.14"/>
    <col customWidth="1" min="14" max="14" width="11.29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00"/>
      <c r="T1" s="100"/>
      <c r="U1" s="100"/>
      <c r="V1" s="100"/>
      <c r="W1" s="100"/>
      <c r="X1" s="100"/>
      <c r="Y1" s="100"/>
      <c r="Z1" s="10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00"/>
      <c r="T2" s="100"/>
      <c r="U2" s="100"/>
      <c r="V2" s="100"/>
      <c r="W2" s="100"/>
      <c r="X2" s="100"/>
      <c r="Y2" s="100"/>
      <c r="Z2" s="100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100"/>
      <c r="T3" s="100"/>
      <c r="U3" s="100"/>
      <c r="V3" s="100"/>
      <c r="W3" s="100"/>
      <c r="X3" s="100"/>
      <c r="Y3" s="100"/>
      <c r="Z3" s="100"/>
    </row>
    <row r="4">
      <c r="A4" s="242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  <c r="S4" s="100"/>
      <c r="T4" s="100"/>
      <c r="U4" s="100"/>
      <c r="V4" s="100"/>
      <c r="W4" s="100"/>
      <c r="X4" s="100"/>
      <c r="Y4" s="100"/>
      <c r="Z4" s="100"/>
    </row>
    <row r="5">
      <c r="A5" s="10" t="s">
        <v>275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100"/>
      <c r="T5" s="100"/>
      <c r="U5" s="100"/>
      <c r="V5" s="100"/>
      <c r="W5" s="100"/>
      <c r="X5" s="100"/>
      <c r="Y5" s="100"/>
      <c r="Z5" s="100"/>
    </row>
    <row r="6">
      <c r="A6" s="13" t="s">
        <v>173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100"/>
      <c r="T6" s="100"/>
      <c r="U6" s="100"/>
      <c r="V6" s="100"/>
      <c r="W6" s="100"/>
      <c r="X6" s="100"/>
      <c r="Y6" s="100"/>
      <c r="Z6" s="100"/>
    </row>
    <row r="7" ht="15.75" customHeight="1">
      <c r="A7" s="86" t="s">
        <v>23</v>
      </c>
      <c r="B7" s="48" t="s">
        <v>24</v>
      </c>
      <c r="C7" s="87">
        <v>1.0</v>
      </c>
      <c r="D7" s="243" t="s">
        <v>276</v>
      </c>
      <c r="E7" s="89">
        <v>5.75</v>
      </c>
      <c r="F7" s="90">
        <v>6.9</v>
      </c>
      <c r="G7" s="90">
        <v>2.7</v>
      </c>
      <c r="H7" s="89">
        <v>4.01</v>
      </c>
      <c r="I7" s="244" t="s">
        <v>277</v>
      </c>
      <c r="J7" s="90">
        <v>5.2</v>
      </c>
      <c r="K7" s="244" t="s">
        <v>278</v>
      </c>
      <c r="L7" s="89">
        <v>4.35</v>
      </c>
      <c r="M7" s="89">
        <v>4.15</v>
      </c>
      <c r="N7" s="89">
        <v>3.45</v>
      </c>
      <c r="O7" s="89">
        <v>3.56</v>
      </c>
      <c r="P7" s="89">
        <v>5.03</v>
      </c>
      <c r="Q7" s="174">
        <f t="shared" ref="Q7:Q21" si="1">AVERAGE(E7,F7,G7,H7,I7,J7,K7,L7,M7,N7,O7,P7)</f>
        <v>4.51</v>
      </c>
      <c r="R7" s="149">
        <v>6.0</v>
      </c>
      <c r="S7" s="100"/>
      <c r="T7" s="100"/>
      <c r="U7" s="100"/>
      <c r="V7" s="100"/>
      <c r="W7" s="100"/>
      <c r="X7" s="100"/>
      <c r="Y7" s="100"/>
      <c r="Z7" s="100"/>
    </row>
    <row r="8" ht="15.75" customHeight="1">
      <c r="A8" s="20"/>
      <c r="B8" s="21"/>
      <c r="C8" s="22">
        <v>2.0</v>
      </c>
      <c r="D8" s="157" t="s">
        <v>279</v>
      </c>
      <c r="E8" s="91">
        <v>5.68</v>
      </c>
      <c r="F8" s="24">
        <v>6.9</v>
      </c>
      <c r="G8" s="91">
        <v>2.86</v>
      </c>
      <c r="H8" s="91">
        <v>3.95</v>
      </c>
      <c r="I8" s="186" t="s">
        <v>280</v>
      </c>
      <c r="J8" s="24">
        <v>4.77</v>
      </c>
      <c r="K8" s="186" t="s">
        <v>281</v>
      </c>
      <c r="L8" s="91">
        <v>4.16</v>
      </c>
      <c r="M8" s="91">
        <v>4.18</v>
      </c>
      <c r="N8" s="91">
        <v>3.18</v>
      </c>
      <c r="O8" s="91">
        <v>3.45</v>
      </c>
      <c r="P8" s="91">
        <v>5.16</v>
      </c>
      <c r="Q8" s="176">
        <f t="shared" si="1"/>
        <v>4.429</v>
      </c>
      <c r="R8" s="23">
        <v>6.0</v>
      </c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20"/>
      <c r="B9" s="27"/>
      <c r="C9" s="22">
        <v>3.0</v>
      </c>
      <c r="D9" s="157" t="s">
        <v>282</v>
      </c>
      <c r="E9" s="24">
        <v>5.51</v>
      </c>
      <c r="F9" s="24">
        <v>6.7</v>
      </c>
      <c r="G9" s="24">
        <v>3.1</v>
      </c>
      <c r="H9" s="24">
        <v>4.3</v>
      </c>
      <c r="I9" s="186" t="s">
        <v>283</v>
      </c>
      <c r="J9" s="24">
        <v>5.06</v>
      </c>
      <c r="K9" s="186" t="s">
        <v>284</v>
      </c>
      <c r="L9" s="91">
        <v>4.09</v>
      </c>
      <c r="M9" s="91">
        <v>4.08</v>
      </c>
      <c r="N9" s="91">
        <v>3.4</v>
      </c>
      <c r="O9" s="24">
        <v>3.5</v>
      </c>
      <c r="P9" s="91">
        <v>5.23</v>
      </c>
      <c r="Q9" s="176">
        <f t="shared" si="1"/>
        <v>4.497</v>
      </c>
      <c r="R9" s="23">
        <v>6.0</v>
      </c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20"/>
      <c r="B10" s="15" t="s">
        <v>33</v>
      </c>
      <c r="C10" s="16">
        <v>1.0</v>
      </c>
      <c r="D10" s="131" t="s">
        <v>276</v>
      </c>
      <c r="E10" s="114">
        <v>31.0</v>
      </c>
      <c r="F10" s="114">
        <v>34.0</v>
      </c>
      <c r="G10" s="114">
        <v>33.0</v>
      </c>
      <c r="H10" s="89">
        <v>32.0</v>
      </c>
      <c r="I10" s="244" t="s">
        <v>285</v>
      </c>
      <c r="J10" s="114">
        <v>113.0</v>
      </c>
      <c r="K10" s="244" t="s">
        <v>286</v>
      </c>
      <c r="L10" s="89">
        <v>33.0</v>
      </c>
      <c r="M10" s="114">
        <v>4.0</v>
      </c>
      <c r="N10" s="114">
        <v>34.0</v>
      </c>
      <c r="O10" s="114">
        <v>17.0</v>
      </c>
      <c r="P10" s="244" t="s">
        <v>287</v>
      </c>
      <c r="Q10" s="178">
        <f t="shared" si="1"/>
        <v>36.77777778</v>
      </c>
      <c r="R10" s="17">
        <v>50.0</v>
      </c>
      <c r="S10" s="100"/>
      <c r="T10" s="100"/>
      <c r="U10" s="100"/>
      <c r="V10" s="100"/>
      <c r="W10" s="100"/>
      <c r="X10" s="100"/>
      <c r="Y10" s="100"/>
      <c r="Z10" s="100"/>
    </row>
    <row r="11" ht="15.75" customHeight="1">
      <c r="A11" s="20"/>
      <c r="B11" s="21"/>
      <c r="C11" s="22">
        <v>2.0</v>
      </c>
      <c r="D11" s="157" t="s">
        <v>279</v>
      </c>
      <c r="E11" s="91">
        <v>64.0</v>
      </c>
      <c r="F11" s="91">
        <v>98.0</v>
      </c>
      <c r="G11" s="91">
        <v>50.0</v>
      </c>
      <c r="H11" s="91">
        <v>33.0</v>
      </c>
      <c r="I11" s="186" t="s">
        <v>288</v>
      </c>
      <c r="J11" s="91">
        <v>171.0</v>
      </c>
      <c r="K11" s="186" t="s">
        <v>289</v>
      </c>
      <c r="L11" s="91">
        <v>38.0</v>
      </c>
      <c r="M11" s="91">
        <v>5.0</v>
      </c>
      <c r="N11" s="91">
        <v>30.0</v>
      </c>
      <c r="O11" s="91">
        <v>17.0</v>
      </c>
      <c r="P11" s="186" t="s">
        <v>287</v>
      </c>
      <c r="Q11" s="179">
        <f t="shared" si="1"/>
        <v>56.22222222</v>
      </c>
      <c r="R11" s="23">
        <v>50.0</v>
      </c>
      <c r="S11" s="100"/>
      <c r="T11" s="100"/>
      <c r="U11" s="100"/>
      <c r="V11" s="100"/>
      <c r="W11" s="100"/>
      <c r="X11" s="100"/>
      <c r="Y11" s="100"/>
      <c r="Z11" s="100"/>
    </row>
    <row r="12" ht="15.75" customHeight="1">
      <c r="A12" s="20"/>
      <c r="B12" s="27"/>
      <c r="C12" s="22">
        <v>3.0</v>
      </c>
      <c r="D12" s="157" t="s">
        <v>282</v>
      </c>
      <c r="E12" s="91">
        <v>29.0</v>
      </c>
      <c r="F12" s="91">
        <v>41.0</v>
      </c>
      <c r="G12" s="91">
        <v>25.0</v>
      </c>
      <c r="H12" s="91">
        <v>43.0</v>
      </c>
      <c r="I12" s="186" t="s">
        <v>290</v>
      </c>
      <c r="J12" s="91">
        <v>170.0</v>
      </c>
      <c r="K12" s="186" t="s">
        <v>290</v>
      </c>
      <c r="L12" s="91">
        <v>39.0</v>
      </c>
      <c r="M12" s="91">
        <v>9.0</v>
      </c>
      <c r="N12" s="91">
        <v>30.0</v>
      </c>
      <c r="O12" s="91">
        <v>30.0</v>
      </c>
      <c r="P12" s="186" t="s">
        <v>291</v>
      </c>
      <c r="Q12" s="179">
        <f t="shared" si="1"/>
        <v>46.22222222</v>
      </c>
      <c r="R12" s="23">
        <v>50.0</v>
      </c>
      <c r="S12" s="100"/>
      <c r="T12" s="100"/>
      <c r="U12" s="100"/>
      <c r="V12" s="100"/>
      <c r="W12" s="100"/>
      <c r="X12" s="100"/>
      <c r="Y12" s="100"/>
      <c r="Z12" s="100"/>
    </row>
    <row r="13" ht="15.75" customHeight="1">
      <c r="A13" s="20"/>
      <c r="B13" s="15" t="s">
        <v>34</v>
      </c>
      <c r="C13" s="16">
        <v>1.0</v>
      </c>
      <c r="D13" s="131" t="s">
        <v>276</v>
      </c>
      <c r="E13" s="114">
        <v>7.93</v>
      </c>
      <c r="F13" s="114">
        <v>7.62</v>
      </c>
      <c r="G13" s="18">
        <v>7.3</v>
      </c>
      <c r="H13" s="89">
        <v>7.01</v>
      </c>
      <c r="I13" s="244" t="s">
        <v>292</v>
      </c>
      <c r="J13" s="114">
        <v>7.12</v>
      </c>
      <c r="K13" s="244" t="s">
        <v>293</v>
      </c>
      <c r="L13" s="18">
        <v>6.92</v>
      </c>
      <c r="M13" s="114">
        <v>7.02</v>
      </c>
      <c r="N13" s="114">
        <v>7.02</v>
      </c>
      <c r="O13" s="89">
        <v>7.08</v>
      </c>
      <c r="P13" s="89">
        <v>7.01</v>
      </c>
      <c r="Q13" s="174">
        <f t="shared" si="1"/>
        <v>7.203</v>
      </c>
      <c r="R13" s="65" t="s">
        <v>177</v>
      </c>
      <c r="S13" s="100"/>
      <c r="T13" s="100"/>
      <c r="U13" s="100"/>
      <c r="V13" s="100"/>
      <c r="W13" s="100"/>
      <c r="X13" s="100"/>
      <c r="Y13" s="100"/>
      <c r="Z13" s="100"/>
    </row>
    <row r="14" ht="15.75" customHeight="1">
      <c r="A14" s="20"/>
      <c r="B14" s="21"/>
      <c r="C14" s="22">
        <v>2.0</v>
      </c>
      <c r="D14" s="157" t="s">
        <v>279</v>
      </c>
      <c r="E14" s="91">
        <v>8.01</v>
      </c>
      <c r="F14" s="91">
        <v>8.15</v>
      </c>
      <c r="G14" s="24">
        <v>7.33</v>
      </c>
      <c r="H14" s="91">
        <v>7.05</v>
      </c>
      <c r="I14" s="186" t="s">
        <v>294</v>
      </c>
      <c r="J14" s="24">
        <v>7.12</v>
      </c>
      <c r="K14" s="186" t="s">
        <v>295</v>
      </c>
      <c r="L14" s="24">
        <v>6.98</v>
      </c>
      <c r="M14" s="91">
        <v>7.05</v>
      </c>
      <c r="N14" s="91">
        <v>7.01</v>
      </c>
      <c r="O14" s="91">
        <v>7.06</v>
      </c>
      <c r="P14" s="91">
        <v>7.12</v>
      </c>
      <c r="Q14" s="176">
        <f t="shared" si="1"/>
        <v>7.288</v>
      </c>
      <c r="R14" s="66" t="s">
        <v>177</v>
      </c>
      <c r="S14" s="100"/>
      <c r="T14" s="100"/>
      <c r="U14" s="100"/>
      <c r="V14" s="100"/>
      <c r="W14" s="100"/>
      <c r="X14" s="100"/>
      <c r="Y14" s="100"/>
      <c r="Z14" s="100"/>
    </row>
    <row r="15" ht="15.75" customHeight="1">
      <c r="A15" s="20"/>
      <c r="B15" s="27"/>
      <c r="C15" s="22">
        <v>3.0</v>
      </c>
      <c r="D15" s="157" t="s">
        <v>282</v>
      </c>
      <c r="E15" s="91">
        <v>7.96</v>
      </c>
      <c r="F15" s="24">
        <v>8.0</v>
      </c>
      <c r="G15" s="24">
        <v>7.4</v>
      </c>
      <c r="H15" s="91">
        <v>7.12</v>
      </c>
      <c r="I15" s="186" t="s">
        <v>294</v>
      </c>
      <c r="J15" s="91">
        <v>7.13</v>
      </c>
      <c r="K15" s="186" t="s">
        <v>294</v>
      </c>
      <c r="L15" s="24">
        <v>6.93</v>
      </c>
      <c r="M15" s="91">
        <v>7.03</v>
      </c>
      <c r="N15" s="91">
        <v>7.03</v>
      </c>
      <c r="O15" s="91">
        <v>7.09</v>
      </c>
      <c r="P15" s="91">
        <v>7.06</v>
      </c>
      <c r="Q15" s="176">
        <f t="shared" si="1"/>
        <v>7.275</v>
      </c>
      <c r="R15" s="66" t="s">
        <v>177</v>
      </c>
      <c r="S15" s="100"/>
      <c r="T15" s="100"/>
      <c r="U15" s="100"/>
      <c r="V15" s="100"/>
      <c r="W15" s="100"/>
      <c r="X15" s="100"/>
      <c r="Y15" s="100"/>
      <c r="Z15" s="100"/>
    </row>
    <row r="16" ht="15.75" customHeight="1">
      <c r="A16" s="20"/>
      <c r="B16" s="15" t="s">
        <v>296</v>
      </c>
      <c r="C16" s="16">
        <v>1.0</v>
      </c>
      <c r="D16" s="131" t="s">
        <v>276</v>
      </c>
      <c r="E16" s="18">
        <v>29.1</v>
      </c>
      <c r="F16" s="184" t="s">
        <v>70</v>
      </c>
      <c r="G16" s="18">
        <v>29.6</v>
      </c>
      <c r="H16" s="90">
        <v>29.2</v>
      </c>
      <c r="I16" s="244" t="s">
        <v>297</v>
      </c>
      <c r="J16" s="18">
        <v>32.7</v>
      </c>
      <c r="K16" s="244" t="s">
        <v>298</v>
      </c>
      <c r="L16" s="18">
        <v>29.4</v>
      </c>
      <c r="M16" s="18">
        <v>29.6</v>
      </c>
      <c r="N16" s="18">
        <v>28.6</v>
      </c>
      <c r="O16" s="90">
        <v>30.4</v>
      </c>
      <c r="P16" s="90">
        <v>28.6</v>
      </c>
      <c r="Q16" s="174">
        <f t="shared" si="1"/>
        <v>29.68888889</v>
      </c>
      <c r="R16" s="18" t="s">
        <v>179</v>
      </c>
      <c r="S16" s="100"/>
      <c r="T16" s="100"/>
      <c r="U16" s="100"/>
      <c r="V16" s="100"/>
      <c r="W16" s="100"/>
      <c r="X16" s="100"/>
      <c r="Y16" s="100"/>
      <c r="Z16" s="100"/>
    </row>
    <row r="17" ht="15.75" customHeight="1">
      <c r="A17" s="20"/>
      <c r="B17" s="21"/>
      <c r="C17" s="22">
        <v>2.0</v>
      </c>
      <c r="D17" s="157" t="s">
        <v>279</v>
      </c>
      <c r="E17" s="24">
        <v>29.2</v>
      </c>
      <c r="F17" s="186" t="s">
        <v>70</v>
      </c>
      <c r="G17" s="24">
        <v>29.85</v>
      </c>
      <c r="H17" s="24">
        <v>29.3</v>
      </c>
      <c r="I17" s="186" t="s">
        <v>299</v>
      </c>
      <c r="J17" s="24">
        <v>32.95</v>
      </c>
      <c r="K17" s="186" t="s">
        <v>300</v>
      </c>
      <c r="L17" s="24">
        <v>29.8</v>
      </c>
      <c r="M17" s="24">
        <v>29.7</v>
      </c>
      <c r="N17" s="24">
        <v>28.3</v>
      </c>
      <c r="O17" s="24">
        <v>30.1</v>
      </c>
      <c r="P17" s="24">
        <v>28.5</v>
      </c>
      <c r="Q17" s="176">
        <f t="shared" si="1"/>
        <v>29.74444444</v>
      </c>
      <c r="R17" s="24" t="s">
        <v>179</v>
      </c>
      <c r="S17" s="100"/>
      <c r="T17" s="100"/>
      <c r="U17" s="100"/>
      <c r="V17" s="100"/>
      <c r="W17" s="100"/>
      <c r="X17" s="100"/>
      <c r="Y17" s="100"/>
      <c r="Z17" s="100"/>
    </row>
    <row r="18">
      <c r="A18" s="20"/>
      <c r="B18" s="27"/>
      <c r="C18" s="22">
        <v>3.0</v>
      </c>
      <c r="D18" s="157" t="s">
        <v>282</v>
      </c>
      <c r="E18" s="24">
        <v>29.1</v>
      </c>
      <c r="F18" s="186" t="s">
        <v>70</v>
      </c>
      <c r="G18" s="24">
        <v>29.8</v>
      </c>
      <c r="H18" s="24">
        <v>29.5</v>
      </c>
      <c r="I18" s="186" t="s">
        <v>301</v>
      </c>
      <c r="J18" s="24">
        <v>32.9</v>
      </c>
      <c r="K18" s="186" t="s">
        <v>302</v>
      </c>
      <c r="L18" s="24">
        <v>29.9</v>
      </c>
      <c r="M18" s="24">
        <v>29.5</v>
      </c>
      <c r="N18" s="24">
        <v>28.9</v>
      </c>
      <c r="O18" s="24">
        <v>30.2</v>
      </c>
      <c r="P18" s="91">
        <v>26.55</v>
      </c>
      <c r="Q18" s="176">
        <f t="shared" si="1"/>
        <v>29.59444444</v>
      </c>
      <c r="R18" s="24" t="s">
        <v>179</v>
      </c>
      <c r="S18" s="100"/>
      <c r="T18" s="100"/>
      <c r="U18" s="100"/>
      <c r="V18" s="100"/>
      <c r="W18" s="100"/>
      <c r="X18" s="100"/>
      <c r="Y18" s="100"/>
      <c r="Z18" s="100"/>
    </row>
    <row r="19">
      <c r="A19" s="20"/>
      <c r="B19" s="15" t="s">
        <v>38</v>
      </c>
      <c r="C19" s="16">
        <v>1.0</v>
      </c>
      <c r="D19" s="131" t="s">
        <v>276</v>
      </c>
      <c r="E19" s="114">
        <v>3.0</v>
      </c>
      <c r="F19" s="114">
        <v>5.0</v>
      </c>
      <c r="G19" s="114">
        <v>5.0</v>
      </c>
      <c r="H19" s="89">
        <v>10.0</v>
      </c>
      <c r="I19" s="244" t="s">
        <v>303</v>
      </c>
      <c r="J19" s="114">
        <v>5.0</v>
      </c>
      <c r="K19" s="244" t="s">
        <v>304</v>
      </c>
      <c r="L19" s="89">
        <v>33.0</v>
      </c>
      <c r="M19" s="114">
        <v>5.0</v>
      </c>
      <c r="N19" s="114">
        <v>3.0</v>
      </c>
      <c r="O19" s="114">
        <v>3.0</v>
      </c>
      <c r="P19" s="244" t="s">
        <v>303</v>
      </c>
      <c r="Q19" s="178">
        <f t="shared" si="1"/>
        <v>8</v>
      </c>
      <c r="R19" s="28">
        <v>50.0</v>
      </c>
      <c r="S19" s="100"/>
      <c r="T19" s="100"/>
      <c r="U19" s="100"/>
      <c r="V19" s="100"/>
      <c r="W19" s="100"/>
      <c r="X19" s="100"/>
      <c r="Y19" s="100"/>
      <c r="Z19" s="100"/>
    </row>
    <row r="20">
      <c r="A20" s="20"/>
      <c r="B20" s="21"/>
      <c r="C20" s="22">
        <v>2.0</v>
      </c>
      <c r="D20" s="157" t="s">
        <v>279</v>
      </c>
      <c r="E20" s="91">
        <v>3.0</v>
      </c>
      <c r="F20" s="91">
        <v>5.0</v>
      </c>
      <c r="G20" s="91">
        <v>5.0</v>
      </c>
      <c r="H20" s="91">
        <v>5.0</v>
      </c>
      <c r="I20" s="186" t="s">
        <v>303</v>
      </c>
      <c r="J20" s="91">
        <v>5.0</v>
      </c>
      <c r="K20" s="186" t="s">
        <v>304</v>
      </c>
      <c r="L20" s="91">
        <v>38.0</v>
      </c>
      <c r="M20" s="91">
        <v>5.0</v>
      </c>
      <c r="N20" s="91">
        <v>3.0</v>
      </c>
      <c r="O20" s="91">
        <v>3.0</v>
      </c>
      <c r="P20" s="186" t="s">
        <v>303</v>
      </c>
      <c r="Q20" s="179">
        <f t="shared" si="1"/>
        <v>8</v>
      </c>
      <c r="R20" s="30">
        <v>50.0</v>
      </c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20"/>
      <c r="B21" s="27"/>
      <c r="C21" s="22">
        <v>3.0</v>
      </c>
      <c r="D21" s="157" t="s">
        <v>282</v>
      </c>
      <c r="E21" s="91">
        <v>3.0</v>
      </c>
      <c r="F21" s="91">
        <v>5.0</v>
      </c>
      <c r="G21" s="91">
        <v>5.0</v>
      </c>
      <c r="H21" s="91">
        <v>10.0</v>
      </c>
      <c r="I21" s="186" t="s">
        <v>303</v>
      </c>
      <c r="J21" s="91">
        <v>5.0</v>
      </c>
      <c r="K21" s="186" t="s">
        <v>304</v>
      </c>
      <c r="L21" s="91">
        <v>29.0</v>
      </c>
      <c r="M21" s="91">
        <v>5.0</v>
      </c>
      <c r="N21" s="91">
        <v>3.0</v>
      </c>
      <c r="O21" s="91">
        <v>3.0</v>
      </c>
      <c r="P21" s="186" t="s">
        <v>303</v>
      </c>
      <c r="Q21" s="179">
        <f t="shared" si="1"/>
        <v>7.555555556</v>
      </c>
      <c r="R21" s="30">
        <v>50.0</v>
      </c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20"/>
      <c r="B22" s="15" t="s">
        <v>40</v>
      </c>
      <c r="C22" s="16">
        <v>1.0</v>
      </c>
      <c r="D22" s="131" t="s">
        <v>276</v>
      </c>
      <c r="E22" s="33">
        <v>23.0</v>
      </c>
      <c r="F22" s="114">
        <v>920.0</v>
      </c>
      <c r="G22" s="164">
        <v>240.0</v>
      </c>
      <c r="H22" s="89">
        <v>920.0</v>
      </c>
      <c r="I22" s="244" t="s">
        <v>305</v>
      </c>
      <c r="J22" s="32">
        <v>920.0</v>
      </c>
      <c r="K22" s="244" t="s">
        <v>306</v>
      </c>
      <c r="L22" s="32">
        <v>350.0</v>
      </c>
      <c r="M22" s="32">
        <v>2100.0</v>
      </c>
      <c r="N22" s="184" t="s">
        <v>307</v>
      </c>
      <c r="O22" s="32">
        <v>460.0</v>
      </c>
      <c r="P22" s="244" t="s">
        <v>308</v>
      </c>
      <c r="Q22" s="197">
        <f>GEOMEAN(E22:P22)</f>
        <v>441.8689311</v>
      </c>
      <c r="R22" s="17">
        <v>100.0</v>
      </c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20"/>
      <c r="B23" s="21"/>
      <c r="C23" s="22">
        <v>2.0</v>
      </c>
      <c r="D23" s="157" t="s">
        <v>279</v>
      </c>
      <c r="E23" s="34">
        <v>23.0</v>
      </c>
      <c r="F23" s="91">
        <v>920.0</v>
      </c>
      <c r="G23" s="182">
        <v>33.0</v>
      </c>
      <c r="H23" s="91">
        <v>540.0</v>
      </c>
      <c r="I23" s="186" t="s">
        <v>309</v>
      </c>
      <c r="J23" s="37">
        <v>5400.0</v>
      </c>
      <c r="K23" s="186" t="s">
        <v>306</v>
      </c>
      <c r="L23" s="37">
        <v>240.0</v>
      </c>
      <c r="M23" s="37">
        <v>24000.0</v>
      </c>
      <c r="N23" s="37">
        <v>2400.0</v>
      </c>
      <c r="O23" s="37">
        <v>920.0</v>
      </c>
      <c r="P23" s="186" t="s">
        <v>310</v>
      </c>
      <c r="Q23" s="198">
        <f t="shared" ref="Q23:Q24" si="2">GEOMEAN(E23,F23,G23,H23,I23,J23,K23,L23,M23,N23,O23,P23)</f>
        <v>666.3358599</v>
      </c>
      <c r="R23" s="23">
        <v>100.0</v>
      </c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20"/>
      <c r="B24" s="27"/>
      <c r="C24" s="22">
        <v>3.0</v>
      </c>
      <c r="D24" s="157" t="s">
        <v>282</v>
      </c>
      <c r="E24" s="34">
        <v>23.0</v>
      </c>
      <c r="F24" s="91">
        <v>540.0</v>
      </c>
      <c r="G24" s="182">
        <v>350.0</v>
      </c>
      <c r="H24" s="37">
        <v>9200.0</v>
      </c>
      <c r="I24" s="186" t="s">
        <v>311</v>
      </c>
      <c r="J24" s="91">
        <v>240.0</v>
      </c>
      <c r="K24" s="186" t="s">
        <v>311</v>
      </c>
      <c r="L24" s="37">
        <v>170.0</v>
      </c>
      <c r="M24" s="37">
        <v>16000.0</v>
      </c>
      <c r="N24" s="37">
        <v>5400.0</v>
      </c>
      <c r="O24" s="186" t="s">
        <v>312</v>
      </c>
      <c r="P24" s="186" t="s">
        <v>313</v>
      </c>
      <c r="Q24" s="198">
        <f t="shared" si="2"/>
        <v>782.7875715</v>
      </c>
      <c r="R24" s="23">
        <v>10.0</v>
      </c>
      <c r="S24" s="100"/>
      <c r="T24" s="100"/>
      <c r="U24" s="100"/>
      <c r="V24" s="100"/>
      <c r="W24" s="100"/>
      <c r="X24" s="100"/>
      <c r="Y24" s="100"/>
      <c r="Z24" s="100"/>
    </row>
    <row r="25" ht="15.75" customHeight="1">
      <c r="A25" s="20"/>
      <c r="B25" s="15" t="s">
        <v>314</v>
      </c>
      <c r="C25" s="16">
        <v>1.0</v>
      </c>
      <c r="D25" s="131" t="s">
        <v>276</v>
      </c>
      <c r="E25" s="184" t="s">
        <v>42</v>
      </c>
      <c r="F25" s="184" t="s">
        <v>42</v>
      </c>
      <c r="G25" s="184" t="s">
        <v>42</v>
      </c>
      <c r="H25" s="96">
        <v>1.307</v>
      </c>
      <c r="I25" s="244" t="s">
        <v>42</v>
      </c>
      <c r="J25" s="244" t="s">
        <v>42</v>
      </c>
      <c r="K25" s="244" t="s">
        <v>42</v>
      </c>
      <c r="L25" s="244" t="s">
        <v>42</v>
      </c>
      <c r="M25" s="244" t="s">
        <v>42</v>
      </c>
      <c r="N25" s="184" t="s">
        <v>42</v>
      </c>
      <c r="O25" s="244" t="s">
        <v>42</v>
      </c>
      <c r="P25" s="244" t="s">
        <v>315</v>
      </c>
      <c r="Q25" s="185">
        <f>AVERAGE(0.045,0.045,G25,H25,I25,0.045,K25,0.045,M25,N25,O25,P25)</f>
        <v>0.2974</v>
      </c>
      <c r="R25" s="17">
        <v>10.0</v>
      </c>
      <c r="S25" s="100"/>
      <c r="T25" s="100"/>
      <c r="U25" s="100"/>
      <c r="V25" s="100"/>
      <c r="W25" s="100"/>
      <c r="X25" s="100"/>
      <c r="Y25" s="100"/>
      <c r="Z25" s="100"/>
    </row>
    <row r="26" ht="15.75" customHeight="1">
      <c r="A26" s="20"/>
      <c r="B26" s="21"/>
      <c r="C26" s="22">
        <v>2.0</v>
      </c>
      <c r="D26" s="157" t="s">
        <v>279</v>
      </c>
      <c r="E26" s="91" t="s">
        <v>42</v>
      </c>
      <c r="F26" s="91" t="s">
        <v>42</v>
      </c>
      <c r="G26" s="91" t="s">
        <v>42</v>
      </c>
      <c r="H26" s="43">
        <v>1.307</v>
      </c>
      <c r="I26" s="186" t="s">
        <v>42</v>
      </c>
      <c r="J26" s="245" t="s">
        <v>316</v>
      </c>
      <c r="K26" s="186" t="s">
        <v>317</v>
      </c>
      <c r="L26" s="186" t="s">
        <v>42</v>
      </c>
      <c r="M26" s="186" t="s">
        <v>42</v>
      </c>
      <c r="N26" s="91" t="s">
        <v>42</v>
      </c>
      <c r="O26" s="186" t="s">
        <v>42</v>
      </c>
      <c r="P26" s="186" t="s">
        <v>318</v>
      </c>
      <c r="Q26" s="187">
        <f>AVERAGE(E26,0.045,G26,H26,I26,J26,K26,0.045,M26,N26,O26,P26)</f>
        <v>0.4656666667</v>
      </c>
      <c r="R26" s="23">
        <v>10.0</v>
      </c>
      <c r="S26" s="100"/>
      <c r="T26" s="100"/>
      <c r="U26" s="100"/>
      <c r="V26" s="100"/>
      <c r="W26" s="100"/>
      <c r="X26" s="100"/>
      <c r="Y26" s="100"/>
      <c r="Z26" s="100"/>
    </row>
    <row r="27" ht="15.75" customHeight="1">
      <c r="A27" s="20"/>
      <c r="B27" s="27"/>
      <c r="C27" s="22">
        <v>3.0</v>
      </c>
      <c r="D27" s="157" t="s">
        <v>282</v>
      </c>
      <c r="E27" s="186" t="s">
        <v>42</v>
      </c>
      <c r="F27" s="186" t="s">
        <v>42</v>
      </c>
      <c r="G27" s="186" t="s">
        <v>42</v>
      </c>
      <c r="H27" s="43">
        <v>0.37</v>
      </c>
      <c r="I27" s="186" t="s">
        <v>42</v>
      </c>
      <c r="J27" s="186" t="s">
        <v>319</v>
      </c>
      <c r="K27" s="186" t="s">
        <v>320</v>
      </c>
      <c r="L27" s="186" t="s">
        <v>42</v>
      </c>
      <c r="M27" s="186" t="s">
        <v>321</v>
      </c>
      <c r="N27" s="186" t="s">
        <v>42</v>
      </c>
      <c r="O27" s="186" t="s">
        <v>321</v>
      </c>
      <c r="P27" s="186" t="s">
        <v>322</v>
      </c>
      <c r="Q27" s="187">
        <f>AVERAGE(0.045,F27,G27,H27,I27,0.045,K27,0.045,M27,N27,O27,P27)</f>
        <v>0.12625</v>
      </c>
      <c r="R27" s="23">
        <v>10.0</v>
      </c>
      <c r="S27" s="100"/>
      <c r="T27" s="100"/>
      <c r="U27" s="100"/>
      <c r="V27" s="100"/>
      <c r="W27" s="100"/>
      <c r="X27" s="100"/>
      <c r="Y27" s="100"/>
      <c r="Z27" s="100"/>
    </row>
    <row r="28" ht="15.75" customHeight="1">
      <c r="A28" s="20"/>
      <c r="B28" s="15" t="s">
        <v>323</v>
      </c>
      <c r="C28" s="16">
        <v>1.0</v>
      </c>
      <c r="D28" s="131" t="s">
        <v>276</v>
      </c>
      <c r="E28" s="40" t="s">
        <v>206</v>
      </c>
      <c r="F28" s="114">
        <v>0.035</v>
      </c>
      <c r="G28" s="40" t="s">
        <v>206</v>
      </c>
      <c r="H28" s="96" t="s">
        <v>206</v>
      </c>
      <c r="I28" s="244" t="s">
        <v>206</v>
      </c>
      <c r="J28" s="244" t="s">
        <v>206</v>
      </c>
      <c r="K28" s="244" t="s">
        <v>324</v>
      </c>
      <c r="L28" s="184" t="s">
        <v>325</v>
      </c>
      <c r="M28" s="114">
        <v>0.087</v>
      </c>
      <c r="N28" s="114">
        <v>0.042</v>
      </c>
      <c r="O28" s="114">
        <v>0.019</v>
      </c>
      <c r="P28" s="244" t="s">
        <v>326</v>
      </c>
      <c r="Q28" s="185">
        <f t="shared" ref="Q28:Q30" si="3">AVERAGE(E28,0.025,G28,H28,I28,J28,K28,0.025,M28,N28,O28,P28)</f>
        <v>0.0396</v>
      </c>
      <c r="R28" s="17">
        <v>0.5</v>
      </c>
      <c r="S28" s="100"/>
      <c r="T28" s="100"/>
      <c r="U28" s="100"/>
      <c r="V28" s="100"/>
      <c r="W28" s="100"/>
      <c r="X28" s="100"/>
      <c r="Y28" s="100"/>
      <c r="Z28" s="100"/>
    </row>
    <row r="29" ht="15.75" customHeight="1">
      <c r="A29" s="20"/>
      <c r="B29" s="21"/>
      <c r="C29" s="22">
        <v>2.0</v>
      </c>
      <c r="D29" s="157" t="s">
        <v>279</v>
      </c>
      <c r="E29" s="43" t="s">
        <v>206</v>
      </c>
      <c r="F29" s="91">
        <v>0.043</v>
      </c>
      <c r="G29" s="43">
        <v>0.049</v>
      </c>
      <c r="H29" s="43">
        <v>0.027</v>
      </c>
      <c r="I29" s="186" t="s">
        <v>206</v>
      </c>
      <c r="J29" s="91">
        <v>0.032</v>
      </c>
      <c r="K29" s="186" t="s">
        <v>327</v>
      </c>
      <c r="L29" s="186" t="s">
        <v>328</v>
      </c>
      <c r="M29" s="91">
        <v>0.103</v>
      </c>
      <c r="N29" s="91">
        <v>0.042</v>
      </c>
      <c r="O29" s="91">
        <v>0.032</v>
      </c>
      <c r="P29" s="186" t="s">
        <v>273</v>
      </c>
      <c r="Q29" s="187">
        <f t="shared" si="3"/>
        <v>0.041875</v>
      </c>
      <c r="R29" s="23">
        <v>0.5</v>
      </c>
      <c r="S29" s="100"/>
      <c r="T29" s="100"/>
      <c r="U29" s="100"/>
      <c r="V29" s="100"/>
      <c r="W29" s="100"/>
      <c r="X29" s="100"/>
      <c r="Y29" s="100"/>
      <c r="Z29" s="100"/>
    </row>
    <row r="30" ht="15.75" customHeight="1">
      <c r="A30" s="20"/>
      <c r="B30" s="27"/>
      <c r="C30" s="22">
        <v>3.0</v>
      </c>
      <c r="D30" s="157" t="s">
        <v>282</v>
      </c>
      <c r="E30" s="43" t="s">
        <v>206</v>
      </c>
      <c r="F30" s="91">
        <v>0.039</v>
      </c>
      <c r="G30" s="43">
        <v>0.042</v>
      </c>
      <c r="H30" s="43" t="s">
        <v>206</v>
      </c>
      <c r="I30" s="186" t="s">
        <v>206</v>
      </c>
      <c r="J30" s="186" t="s">
        <v>206</v>
      </c>
      <c r="K30" s="186" t="s">
        <v>206</v>
      </c>
      <c r="L30" s="186" t="s">
        <v>324</v>
      </c>
      <c r="M30" s="43">
        <v>0.02</v>
      </c>
      <c r="N30" s="91">
        <v>0.042</v>
      </c>
      <c r="O30" s="43">
        <v>0.019</v>
      </c>
      <c r="P30" s="186" t="s">
        <v>273</v>
      </c>
      <c r="Q30" s="187">
        <f t="shared" si="3"/>
        <v>0.02883333333</v>
      </c>
      <c r="R30" s="23">
        <v>0.5</v>
      </c>
      <c r="S30" s="100"/>
      <c r="T30" s="100"/>
      <c r="U30" s="100"/>
      <c r="V30" s="100"/>
      <c r="W30" s="100"/>
      <c r="X30" s="100"/>
      <c r="Y30" s="100"/>
      <c r="Z30" s="100"/>
    </row>
    <row r="31" ht="15.75" hidden="1" customHeight="1">
      <c r="A31" s="20"/>
      <c r="B31" s="15" t="s">
        <v>46</v>
      </c>
      <c r="C31" s="16">
        <v>1.0</v>
      </c>
      <c r="D31" s="131" t="s">
        <v>276</v>
      </c>
      <c r="E31" s="188"/>
      <c r="F31" s="188"/>
      <c r="G31" s="188"/>
      <c r="H31" s="246" t="s">
        <v>274</v>
      </c>
      <c r="I31" s="188"/>
      <c r="J31" s="188"/>
      <c r="K31" s="188"/>
      <c r="L31" s="188"/>
      <c r="M31" s="188"/>
      <c r="N31" s="188"/>
      <c r="O31" s="188"/>
      <c r="P31" s="188"/>
      <c r="Q31" s="174" t="str">
        <f t="shared" ref="Q31:Q33" si="4">AVERAGE(E31,F31,G31,H31,I31,J31,K31,L31,M31,N31,O31,P31)</f>
        <v>#DIV/0!</v>
      </c>
      <c r="S31" s="100"/>
      <c r="T31" s="100"/>
      <c r="U31" s="100"/>
      <c r="V31" s="100"/>
      <c r="W31" s="100"/>
      <c r="X31" s="100"/>
      <c r="Y31" s="100"/>
      <c r="Z31" s="100"/>
    </row>
    <row r="32" ht="15.75" hidden="1" customHeight="1">
      <c r="A32" s="20"/>
      <c r="B32" s="21"/>
      <c r="C32" s="22">
        <v>2.0</v>
      </c>
      <c r="D32" s="157" t="s">
        <v>279</v>
      </c>
      <c r="E32" s="20"/>
      <c r="F32" s="20"/>
      <c r="G32" s="20"/>
      <c r="H32" s="247" t="s">
        <v>274</v>
      </c>
      <c r="I32" s="20"/>
      <c r="J32" s="20"/>
      <c r="K32" s="20"/>
      <c r="L32" s="20"/>
      <c r="M32" s="20"/>
      <c r="N32" s="20"/>
      <c r="O32" s="20"/>
      <c r="P32" s="20"/>
      <c r="Q32" s="176" t="str">
        <f t="shared" si="4"/>
        <v>#DIV/0!</v>
      </c>
      <c r="S32" s="100"/>
      <c r="T32" s="100"/>
      <c r="U32" s="100"/>
      <c r="V32" s="100"/>
      <c r="W32" s="100"/>
      <c r="X32" s="100"/>
      <c r="Y32" s="100"/>
      <c r="Z32" s="100"/>
    </row>
    <row r="33" ht="15.75" hidden="1" customHeight="1">
      <c r="A33" s="20"/>
      <c r="B33" s="27"/>
      <c r="C33" s="22">
        <v>3.0</v>
      </c>
      <c r="D33" s="157" t="s">
        <v>282</v>
      </c>
      <c r="E33" s="20"/>
      <c r="F33" s="20"/>
      <c r="G33" s="20"/>
      <c r="H33" s="247" t="s">
        <v>274</v>
      </c>
      <c r="I33" s="20"/>
      <c r="J33" s="20"/>
      <c r="K33" s="20"/>
      <c r="L33" s="20"/>
      <c r="M33" s="20"/>
      <c r="N33" s="20"/>
      <c r="O33" s="20"/>
      <c r="P33" s="20"/>
      <c r="Q33" s="176" t="str">
        <f t="shared" si="4"/>
        <v>#DIV/0!</v>
      </c>
      <c r="S33" s="100"/>
      <c r="T33" s="100"/>
      <c r="U33" s="100"/>
      <c r="V33" s="100"/>
      <c r="W33" s="100"/>
      <c r="X33" s="100"/>
      <c r="Y33" s="100"/>
      <c r="Z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17"/>
      <c r="M34" s="117"/>
      <c r="N34" s="100"/>
      <c r="O34" s="100"/>
      <c r="P34" s="117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0" customHeight="1">
      <c r="A35" s="97" t="s">
        <v>47</v>
      </c>
      <c r="D35" s="100"/>
      <c r="E35" s="100"/>
      <c r="F35" s="100"/>
      <c r="G35" s="100"/>
      <c r="H35" s="100"/>
      <c r="I35" s="100"/>
      <c r="J35" s="100"/>
      <c r="K35" s="100"/>
      <c r="L35" s="117"/>
      <c r="M35" s="117"/>
      <c r="N35" s="100"/>
      <c r="O35" s="100"/>
      <c r="P35" s="117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75" customHeight="1">
      <c r="D36" s="100"/>
      <c r="E36" s="100"/>
      <c r="F36" s="100"/>
      <c r="G36" s="100"/>
      <c r="H36" s="100"/>
      <c r="I36" s="100"/>
      <c r="J36" s="100"/>
      <c r="K36" s="100"/>
      <c r="L36" s="117"/>
      <c r="M36" s="117"/>
      <c r="N36" s="100"/>
      <c r="O36" s="100"/>
      <c r="P36" s="117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7" t="s">
        <v>329</v>
      </c>
      <c r="D37" s="100"/>
      <c r="E37" s="100"/>
      <c r="F37" s="100"/>
      <c r="G37" s="100"/>
      <c r="H37" s="100"/>
      <c r="I37" s="100"/>
      <c r="J37" s="100"/>
      <c r="K37" s="100"/>
      <c r="L37" s="117"/>
      <c r="M37" s="117"/>
      <c r="N37" s="100"/>
      <c r="O37" s="100"/>
      <c r="P37" s="117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D38" s="100"/>
      <c r="E38" s="100"/>
      <c r="F38" s="100"/>
      <c r="G38" s="100"/>
      <c r="H38" s="100"/>
      <c r="I38" s="100"/>
      <c r="J38" s="100"/>
      <c r="K38" s="100"/>
      <c r="L38" s="117"/>
      <c r="M38" s="117"/>
      <c r="N38" s="100"/>
      <c r="O38" s="100"/>
      <c r="P38" s="117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17"/>
      <c r="M39" s="117"/>
      <c r="N39" s="100"/>
      <c r="O39" s="100"/>
      <c r="P39" s="117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17"/>
      <c r="M40" s="117"/>
      <c r="N40" s="100"/>
      <c r="O40" s="100"/>
      <c r="P40" s="117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17"/>
      <c r="M41" s="117"/>
      <c r="N41" s="100"/>
      <c r="O41" s="100"/>
      <c r="P41" s="117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17"/>
      <c r="M42" s="117"/>
      <c r="N42" s="100"/>
      <c r="O42" s="100"/>
      <c r="P42" s="117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17"/>
      <c r="M43" s="117"/>
      <c r="N43" s="100"/>
      <c r="O43" s="100"/>
      <c r="P43" s="117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17"/>
      <c r="M44" s="117"/>
      <c r="N44" s="100"/>
      <c r="O44" s="100"/>
      <c r="P44" s="117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17"/>
      <c r="M45" s="117"/>
      <c r="N45" s="100"/>
      <c r="O45" s="100"/>
      <c r="P45" s="117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17"/>
      <c r="M46" s="117"/>
      <c r="N46" s="100"/>
      <c r="O46" s="100"/>
      <c r="P46" s="117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17"/>
      <c r="M47" s="117"/>
      <c r="N47" s="100"/>
      <c r="O47" s="100"/>
      <c r="P47" s="117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17"/>
      <c r="M48" s="117"/>
      <c r="N48" s="100"/>
      <c r="O48" s="100"/>
      <c r="P48" s="117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17"/>
      <c r="M49" s="117"/>
      <c r="N49" s="100"/>
      <c r="O49" s="100"/>
      <c r="P49" s="117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17"/>
      <c r="M50" s="117"/>
      <c r="N50" s="100"/>
      <c r="O50" s="100"/>
      <c r="P50" s="117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17"/>
      <c r="M51" s="117"/>
      <c r="N51" s="100"/>
      <c r="O51" s="100"/>
      <c r="P51" s="117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17"/>
      <c r="M52" s="117"/>
      <c r="N52" s="100"/>
      <c r="O52" s="100"/>
      <c r="P52" s="117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17"/>
      <c r="M53" s="117"/>
      <c r="N53" s="100"/>
      <c r="O53" s="100"/>
      <c r="P53" s="117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17"/>
      <c r="M54" s="117"/>
      <c r="N54" s="100"/>
      <c r="O54" s="100"/>
      <c r="P54" s="117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17"/>
      <c r="M55" s="117"/>
      <c r="N55" s="100"/>
      <c r="O55" s="100"/>
      <c r="P55" s="117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17"/>
      <c r="M56" s="117"/>
      <c r="N56" s="100"/>
      <c r="O56" s="100"/>
      <c r="P56" s="117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17"/>
      <c r="M57" s="117"/>
      <c r="N57" s="100"/>
      <c r="O57" s="100"/>
      <c r="P57" s="117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17"/>
      <c r="M58" s="117"/>
      <c r="N58" s="100"/>
      <c r="O58" s="100"/>
      <c r="P58" s="117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17"/>
      <c r="M59" s="117"/>
      <c r="N59" s="100"/>
      <c r="O59" s="100"/>
      <c r="P59" s="117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17"/>
      <c r="M60" s="117"/>
      <c r="N60" s="100"/>
      <c r="O60" s="100"/>
      <c r="P60" s="117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17"/>
      <c r="M61" s="117"/>
      <c r="N61" s="100"/>
      <c r="O61" s="100"/>
      <c r="P61" s="117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17"/>
      <c r="M62" s="117"/>
      <c r="N62" s="100"/>
      <c r="O62" s="100"/>
      <c r="P62" s="117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17"/>
      <c r="M63" s="117"/>
      <c r="N63" s="100"/>
      <c r="O63" s="100"/>
      <c r="P63" s="117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17"/>
      <c r="M64" s="117"/>
      <c r="N64" s="100"/>
      <c r="O64" s="100"/>
      <c r="P64" s="117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17"/>
      <c r="M65" s="117"/>
      <c r="N65" s="100"/>
      <c r="O65" s="100"/>
      <c r="P65" s="117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17"/>
      <c r="M66" s="117"/>
      <c r="N66" s="100"/>
      <c r="O66" s="100"/>
      <c r="P66" s="117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17"/>
      <c r="M67" s="117"/>
      <c r="N67" s="100"/>
      <c r="O67" s="100"/>
      <c r="P67" s="117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17"/>
      <c r="M68" s="117"/>
      <c r="N68" s="100"/>
      <c r="O68" s="100"/>
      <c r="P68" s="117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17"/>
      <c r="M69" s="117"/>
      <c r="N69" s="100"/>
      <c r="O69" s="100"/>
      <c r="P69" s="117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17"/>
      <c r="M70" s="117"/>
      <c r="N70" s="100"/>
      <c r="O70" s="100"/>
      <c r="P70" s="117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00"/>
      <c r="O71" s="100"/>
      <c r="P71" s="117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00"/>
      <c r="O72" s="100"/>
      <c r="P72" s="117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00"/>
      <c r="O73" s="100"/>
      <c r="P73" s="117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17"/>
      <c r="M74" s="117"/>
      <c r="N74" s="100"/>
      <c r="O74" s="100"/>
      <c r="P74" s="117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17"/>
      <c r="M75" s="117"/>
      <c r="N75" s="100"/>
      <c r="O75" s="100"/>
      <c r="P75" s="117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17"/>
      <c r="M76" s="117"/>
      <c r="N76" s="100"/>
      <c r="O76" s="100"/>
      <c r="P76" s="117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17"/>
      <c r="M77" s="117"/>
      <c r="N77" s="100"/>
      <c r="O77" s="100"/>
      <c r="P77" s="117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17"/>
      <c r="M78" s="117"/>
      <c r="N78" s="100"/>
      <c r="O78" s="100"/>
      <c r="P78" s="117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17"/>
      <c r="M79" s="117"/>
      <c r="N79" s="100"/>
      <c r="O79" s="100"/>
      <c r="P79" s="117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17"/>
      <c r="M80" s="117"/>
      <c r="N80" s="100"/>
      <c r="O80" s="100"/>
      <c r="P80" s="117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17"/>
      <c r="M81" s="117"/>
      <c r="N81" s="100"/>
      <c r="O81" s="100"/>
      <c r="P81" s="117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17"/>
      <c r="M82" s="117"/>
      <c r="N82" s="100"/>
      <c r="O82" s="100"/>
      <c r="P82" s="117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17"/>
      <c r="M83" s="117"/>
      <c r="N83" s="100"/>
      <c r="O83" s="100"/>
      <c r="P83" s="117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17"/>
      <c r="M84" s="117"/>
      <c r="N84" s="100"/>
      <c r="O84" s="100"/>
      <c r="P84" s="117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17"/>
      <c r="M85" s="117"/>
      <c r="N85" s="100"/>
      <c r="O85" s="100"/>
      <c r="P85" s="117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17"/>
      <c r="M86" s="117"/>
      <c r="N86" s="100"/>
      <c r="O86" s="100"/>
      <c r="P86" s="117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17"/>
      <c r="M87" s="117"/>
      <c r="N87" s="100"/>
      <c r="O87" s="100"/>
      <c r="P87" s="117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17"/>
      <c r="M88" s="117"/>
      <c r="N88" s="100"/>
      <c r="O88" s="100"/>
      <c r="P88" s="117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17"/>
      <c r="M89" s="117"/>
      <c r="N89" s="100"/>
      <c r="O89" s="100"/>
      <c r="P89" s="117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17"/>
      <c r="M90" s="117"/>
      <c r="N90" s="100"/>
      <c r="O90" s="100"/>
      <c r="P90" s="117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17"/>
      <c r="M91" s="117"/>
      <c r="N91" s="100"/>
      <c r="O91" s="100"/>
      <c r="P91" s="117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17"/>
      <c r="M92" s="117"/>
      <c r="N92" s="100"/>
      <c r="O92" s="100"/>
      <c r="P92" s="117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17"/>
      <c r="M93" s="117"/>
      <c r="N93" s="100"/>
      <c r="O93" s="100"/>
      <c r="P93" s="117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17"/>
      <c r="M94" s="117"/>
      <c r="N94" s="100"/>
      <c r="O94" s="100"/>
      <c r="P94" s="117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17"/>
      <c r="M95" s="117"/>
      <c r="N95" s="100"/>
      <c r="O95" s="100"/>
      <c r="P95" s="117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17"/>
      <c r="M96" s="117"/>
      <c r="N96" s="100"/>
      <c r="O96" s="100"/>
      <c r="P96" s="117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17"/>
      <c r="M97" s="117"/>
      <c r="N97" s="100"/>
      <c r="O97" s="100"/>
      <c r="P97" s="117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17"/>
      <c r="M98" s="117"/>
      <c r="N98" s="100"/>
      <c r="O98" s="100"/>
      <c r="P98" s="117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17"/>
      <c r="M99" s="117"/>
      <c r="N99" s="100"/>
      <c r="O99" s="100"/>
      <c r="P99" s="117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17"/>
      <c r="M100" s="117"/>
      <c r="N100" s="100"/>
      <c r="O100" s="100"/>
      <c r="P100" s="117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17"/>
      <c r="M101" s="117"/>
      <c r="N101" s="100"/>
      <c r="O101" s="100"/>
      <c r="P101" s="117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17"/>
      <c r="M102" s="117"/>
      <c r="N102" s="100"/>
      <c r="O102" s="100"/>
      <c r="P102" s="117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17"/>
      <c r="M103" s="117"/>
      <c r="N103" s="100"/>
      <c r="O103" s="100"/>
      <c r="P103" s="117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17"/>
      <c r="M104" s="117"/>
      <c r="N104" s="100"/>
      <c r="O104" s="100"/>
      <c r="P104" s="117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17"/>
      <c r="M105" s="117"/>
      <c r="N105" s="100"/>
      <c r="O105" s="100"/>
      <c r="P105" s="117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17"/>
      <c r="M106" s="117"/>
      <c r="N106" s="100"/>
      <c r="O106" s="100"/>
      <c r="P106" s="117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17"/>
      <c r="M107" s="117"/>
      <c r="N107" s="100"/>
      <c r="O107" s="100"/>
      <c r="P107" s="117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17"/>
      <c r="M108" s="117"/>
      <c r="N108" s="100"/>
      <c r="O108" s="100"/>
      <c r="P108" s="117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17"/>
      <c r="M109" s="117"/>
      <c r="N109" s="100"/>
      <c r="O109" s="100"/>
      <c r="P109" s="117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17"/>
      <c r="M110" s="117"/>
      <c r="N110" s="100"/>
      <c r="O110" s="100"/>
      <c r="P110" s="117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17"/>
      <c r="M111" s="117"/>
      <c r="N111" s="100"/>
      <c r="O111" s="100"/>
      <c r="P111" s="117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17"/>
      <c r="M112" s="117"/>
      <c r="N112" s="100"/>
      <c r="O112" s="100"/>
      <c r="P112" s="117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17"/>
      <c r="M113" s="117"/>
      <c r="N113" s="100"/>
      <c r="O113" s="100"/>
      <c r="P113" s="117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17"/>
      <c r="M114" s="117"/>
      <c r="N114" s="100"/>
      <c r="O114" s="100"/>
      <c r="P114" s="117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17"/>
      <c r="M115" s="117"/>
      <c r="N115" s="100"/>
      <c r="O115" s="100"/>
      <c r="P115" s="117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17"/>
      <c r="M116" s="117"/>
      <c r="N116" s="100"/>
      <c r="O116" s="100"/>
      <c r="P116" s="117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17"/>
      <c r="M117" s="117"/>
      <c r="N117" s="100"/>
      <c r="O117" s="100"/>
      <c r="P117" s="117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17"/>
      <c r="M118" s="117"/>
      <c r="N118" s="100"/>
      <c r="O118" s="100"/>
      <c r="P118" s="117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17"/>
      <c r="M119" s="117"/>
      <c r="N119" s="100"/>
      <c r="O119" s="100"/>
      <c r="P119" s="117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17"/>
      <c r="M120" s="117"/>
      <c r="N120" s="100"/>
      <c r="O120" s="100"/>
      <c r="P120" s="117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17"/>
      <c r="M121" s="117"/>
      <c r="N121" s="100"/>
      <c r="O121" s="100"/>
      <c r="P121" s="117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17"/>
      <c r="M122" s="117"/>
      <c r="N122" s="100"/>
      <c r="O122" s="100"/>
      <c r="P122" s="117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17"/>
      <c r="M123" s="117"/>
      <c r="N123" s="100"/>
      <c r="O123" s="100"/>
      <c r="P123" s="117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17"/>
      <c r="M124" s="117"/>
      <c r="N124" s="100"/>
      <c r="O124" s="100"/>
      <c r="P124" s="117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17"/>
      <c r="M125" s="117"/>
      <c r="N125" s="100"/>
      <c r="O125" s="100"/>
      <c r="P125" s="117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17"/>
      <c r="M126" s="117"/>
      <c r="N126" s="100"/>
      <c r="O126" s="100"/>
      <c r="P126" s="117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17"/>
      <c r="M127" s="117"/>
      <c r="N127" s="100"/>
      <c r="O127" s="100"/>
      <c r="P127" s="117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17"/>
      <c r="M128" s="117"/>
      <c r="N128" s="100"/>
      <c r="O128" s="100"/>
      <c r="P128" s="117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17"/>
      <c r="M129" s="117"/>
      <c r="N129" s="100"/>
      <c r="O129" s="100"/>
      <c r="P129" s="117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17"/>
      <c r="M130" s="117"/>
      <c r="N130" s="100"/>
      <c r="O130" s="100"/>
      <c r="P130" s="117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17"/>
      <c r="M131" s="117"/>
      <c r="N131" s="100"/>
      <c r="O131" s="100"/>
      <c r="P131" s="117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17"/>
      <c r="M132" s="117"/>
      <c r="N132" s="100"/>
      <c r="O132" s="100"/>
      <c r="P132" s="117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17"/>
      <c r="M133" s="117"/>
      <c r="N133" s="100"/>
      <c r="O133" s="100"/>
      <c r="P133" s="117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17"/>
      <c r="M134" s="117"/>
      <c r="N134" s="100"/>
      <c r="O134" s="100"/>
      <c r="P134" s="117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17"/>
      <c r="M135" s="117"/>
      <c r="N135" s="100"/>
      <c r="O135" s="100"/>
      <c r="P135" s="117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17"/>
      <c r="M136" s="117"/>
      <c r="N136" s="100"/>
      <c r="O136" s="100"/>
      <c r="P136" s="117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17"/>
      <c r="M137" s="117"/>
      <c r="N137" s="100"/>
      <c r="O137" s="100"/>
      <c r="P137" s="117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17"/>
      <c r="M138" s="117"/>
      <c r="N138" s="100"/>
      <c r="O138" s="100"/>
      <c r="P138" s="117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17"/>
      <c r="M139" s="117"/>
      <c r="N139" s="100"/>
      <c r="O139" s="100"/>
      <c r="P139" s="117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17"/>
      <c r="M140" s="117"/>
      <c r="N140" s="100"/>
      <c r="O140" s="100"/>
      <c r="P140" s="117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17"/>
      <c r="M141" s="117"/>
      <c r="N141" s="100"/>
      <c r="O141" s="100"/>
      <c r="P141" s="117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17"/>
      <c r="M142" s="117"/>
      <c r="N142" s="100"/>
      <c r="O142" s="100"/>
      <c r="P142" s="117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17"/>
      <c r="M143" s="117"/>
      <c r="N143" s="100"/>
      <c r="O143" s="100"/>
      <c r="P143" s="117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17"/>
      <c r="M144" s="117"/>
      <c r="N144" s="100"/>
      <c r="O144" s="100"/>
      <c r="P144" s="117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17"/>
      <c r="M145" s="117"/>
      <c r="N145" s="100"/>
      <c r="O145" s="100"/>
      <c r="P145" s="117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17"/>
      <c r="M146" s="117"/>
      <c r="N146" s="100"/>
      <c r="O146" s="100"/>
      <c r="P146" s="117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17"/>
      <c r="M147" s="117"/>
      <c r="N147" s="100"/>
      <c r="O147" s="100"/>
      <c r="P147" s="117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17"/>
      <c r="M148" s="117"/>
      <c r="N148" s="100"/>
      <c r="O148" s="100"/>
      <c r="P148" s="117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17"/>
      <c r="M149" s="117"/>
      <c r="N149" s="100"/>
      <c r="O149" s="100"/>
      <c r="P149" s="117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17"/>
      <c r="M150" s="117"/>
      <c r="N150" s="100"/>
      <c r="O150" s="100"/>
      <c r="P150" s="117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17"/>
      <c r="M151" s="117"/>
      <c r="N151" s="100"/>
      <c r="O151" s="100"/>
      <c r="P151" s="117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17"/>
      <c r="M152" s="117"/>
      <c r="N152" s="100"/>
      <c r="O152" s="100"/>
      <c r="P152" s="117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17"/>
      <c r="M153" s="117"/>
      <c r="N153" s="100"/>
      <c r="O153" s="100"/>
      <c r="P153" s="117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17"/>
      <c r="M154" s="117"/>
      <c r="N154" s="100"/>
      <c r="O154" s="100"/>
      <c r="P154" s="117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17"/>
      <c r="M155" s="117"/>
      <c r="N155" s="100"/>
      <c r="O155" s="100"/>
      <c r="P155" s="117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17"/>
      <c r="M156" s="117"/>
      <c r="N156" s="100"/>
      <c r="O156" s="100"/>
      <c r="P156" s="117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17"/>
      <c r="M157" s="117"/>
      <c r="N157" s="100"/>
      <c r="O157" s="100"/>
      <c r="P157" s="117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17"/>
      <c r="M158" s="117"/>
      <c r="N158" s="100"/>
      <c r="O158" s="100"/>
      <c r="P158" s="117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17"/>
      <c r="M159" s="117"/>
      <c r="N159" s="100"/>
      <c r="O159" s="100"/>
      <c r="P159" s="117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17"/>
      <c r="M160" s="117"/>
      <c r="N160" s="100"/>
      <c r="O160" s="100"/>
      <c r="P160" s="117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17"/>
      <c r="M161" s="117"/>
      <c r="N161" s="100"/>
      <c r="O161" s="100"/>
      <c r="P161" s="117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17"/>
      <c r="M162" s="117"/>
      <c r="N162" s="100"/>
      <c r="O162" s="100"/>
      <c r="P162" s="117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17"/>
      <c r="M163" s="117"/>
      <c r="N163" s="100"/>
      <c r="O163" s="100"/>
      <c r="P163" s="117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17"/>
      <c r="M164" s="117"/>
      <c r="N164" s="100"/>
      <c r="O164" s="100"/>
      <c r="P164" s="117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17"/>
      <c r="M165" s="117"/>
      <c r="N165" s="100"/>
      <c r="O165" s="100"/>
      <c r="P165" s="117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17"/>
      <c r="M166" s="117"/>
      <c r="N166" s="100"/>
      <c r="O166" s="100"/>
      <c r="P166" s="117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17"/>
      <c r="M167" s="117"/>
      <c r="N167" s="100"/>
      <c r="O167" s="100"/>
      <c r="P167" s="117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17"/>
      <c r="M168" s="117"/>
      <c r="N168" s="100"/>
      <c r="O168" s="100"/>
      <c r="P168" s="117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17"/>
      <c r="M169" s="117"/>
      <c r="N169" s="100"/>
      <c r="O169" s="100"/>
      <c r="P169" s="117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17"/>
      <c r="M170" s="117"/>
      <c r="N170" s="100"/>
      <c r="O170" s="100"/>
      <c r="P170" s="117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17"/>
      <c r="M171" s="117"/>
      <c r="N171" s="100"/>
      <c r="O171" s="100"/>
      <c r="P171" s="117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17"/>
      <c r="M172" s="117"/>
      <c r="N172" s="100"/>
      <c r="O172" s="100"/>
      <c r="P172" s="117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17"/>
      <c r="M173" s="117"/>
      <c r="N173" s="100"/>
      <c r="O173" s="100"/>
      <c r="P173" s="117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17"/>
      <c r="M174" s="117"/>
      <c r="N174" s="100"/>
      <c r="O174" s="100"/>
      <c r="P174" s="117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17"/>
      <c r="M175" s="117"/>
      <c r="N175" s="100"/>
      <c r="O175" s="100"/>
      <c r="P175" s="117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17"/>
      <c r="M176" s="117"/>
      <c r="N176" s="100"/>
      <c r="O176" s="100"/>
      <c r="P176" s="117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17"/>
      <c r="M177" s="117"/>
      <c r="N177" s="100"/>
      <c r="O177" s="100"/>
      <c r="P177" s="117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17"/>
      <c r="M178" s="117"/>
      <c r="N178" s="100"/>
      <c r="O178" s="100"/>
      <c r="P178" s="117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17"/>
      <c r="M179" s="117"/>
      <c r="N179" s="100"/>
      <c r="O179" s="100"/>
      <c r="P179" s="117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17"/>
      <c r="M180" s="117"/>
      <c r="N180" s="100"/>
      <c r="O180" s="100"/>
      <c r="P180" s="117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17"/>
      <c r="M181" s="117"/>
      <c r="N181" s="100"/>
      <c r="O181" s="100"/>
      <c r="P181" s="117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17"/>
      <c r="M182" s="117"/>
      <c r="N182" s="100"/>
      <c r="O182" s="100"/>
      <c r="P182" s="117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17"/>
      <c r="M183" s="117"/>
      <c r="N183" s="100"/>
      <c r="O183" s="100"/>
      <c r="P183" s="117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17"/>
      <c r="M184" s="117"/>
      <c r="N184" s="100"/>
      <c r="O184" s="100"/>
      <c r="P184" s="117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17"/>
      <c r="M185" s="117"/>
      <c r="N185" s="100"/>
      <c r="O185" s="100"/>
      <c r="P185" s="117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17"/>
      <c r="M186" s="117"/>
      <c r="N186" s="100"/>
      <c r="O186" s="100"/>
      <c r="P186" s="117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17"/>
      <c r="M187" s="117"/>
      <c r="N187" s="100"/>
      <c r="O187" s="100"/>
      <c r="P187" s="117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17"/>
      <c r="M188" s="117"/>
      <c r="N188" s="100"/>
      <c r="O188" s="100"/>
      <c r="P188" s="117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17"/>
      <c r="M189" s="117"/>
      <c r="N189" s="100"/>
      <c r="O189" s="100"/>
      <c r="P189" s="117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17"/>
      <c r="M190" s="117"/>
      <c r="N190" s="100"/>
      <c r="O190" s="100"/>
      <c r="P190" s="117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17"/>
      <c r="M191" s="117"/>
      <c r="N191" s="100"/>
      <c r="O191" s="100"/>
      <c r="P191" s="117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17"/>
      <c r="M192" s="117"/>
      <c r="N192" s="100"/>
      <c r="O192" s="100"/>
      <c r="P192" s="117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17"/>
      <c r="M193" s="117"/>
      <c r="N193" s="100"/>
      <c r="O193" s="100"/>
      <c r="P193" s="117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17"/>
      <c r="M194" s="117"/>
      <c r="N194" s="100"/>
      <c r="O194" s="100"/>
      <c r="P194" s="117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17"/>
      <c r="M195" s="117"/>
      <c r="N195" s="100"/>
      <c r="O195" s="100"/>
      <c r="P195" s="117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17"/>
      <c r="M196" s="117"/>
      <c r="N196" s="100"/>
      <c r="O196" s="100"/>
      <c r="P196" s="117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17"/>
      <c r="M197" s="117"/>
      <c r="N197" s="100"/>
      <c r="O197" s="100"/>
      <c r="P197" s="117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17"/>
      <c r="M198" s="117"/>
      <c r="N198" s="100"/>
      <c r="O198" s="100"/>
      <c r="P198" s="117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17"/>
      <c r="M199" s="117"/>
      <c r="N199" s="100"/>
      <c r="O199" s="100"/>
      <c r="P199" s="117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17"/>
      <c r="M200" s="117"/>
      <c r="N200" s="100"/>
      <c r="O200" s="100"/>
      <c r="P200" s="117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17"/>
      <c r="M201" s="117"/>
      <c r="N201" s="100"/>
      <c r="O201" s="100"/>
      <c r="P201" s="117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17"/>
      <c r="M202" s="117"/>
      <c r="N202" s="100"/>
      <c r="O202" s="100"/>
      <c r="P202" s="117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17"/>
      <c r="M203" s="117"/>
      <c r="N203" s="100"/>
      <c r="O203" s="100"/>
      <c r="P203" s="117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17"/>
      <c r="M204" s="117"/>
      <c r="N204" s="100"/>
      <c r="O204" s="100"/>
      <c r="P204" s="117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17"/>
      <c r="M205" s="117"/>
      <c r="N205" s="100"/>
      <c r="O205" s="100"/>
      <c r="P205" s="117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17"/>
      <c r="M206" s="117"/>
      <c r="N206" s="100"/>
      <c r="O206" s="100"/>
      <c r="P206" s="117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17"/>
      <c r="M207" s="117"/>
      <c r="N207" s="100"/>
      <c r="O207" s="100"/>
      <c r="P207" s="117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17"/>
      <c r="M208" s="117"/>
      <c r="N208" s="100"/>
      <c r="O208" s="100"/>
      <c r="P208" s="117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17"/>
      <c r="M209" s="117"/>
      <c r="N209" s="100"/>
      <c r="O209" s="100"/>
      <c r="P209" s="117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17"/>
      <c r="M210" s="117"/>
      <c r="N210" s="100"/>
      <c r="O210" s="100"/>
      <c r="P210" s="117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17"/>
      <c r="M211" s="117"/>
      <c r="N211" s="100"/>
      <c r="O211" s="100"/>
      <c r="P211" s="117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17"/>
      <c r="M212" s="117"/>
      <c r="N212" s="100"/>
      <c r="O212" s="100"/>
      <c r="P212" s="117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17"/>
      <c r="M213" s="117"/>
      <c r="N213" s="100"/>
      <c r="O213" s="100"/>
      <c r="P213" s="117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17"/>
      <c r="M214" s="117"/>
      <c r="N214" s="100"/>
      <c r="O214" s="100"/>
      <c r="P214" s="117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17"/>
      <c r="M215" s="117"/>
      <c r="N215" s="100"/>
      <c r="O215" s="100"/>
      <c r="P215" s="117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17"/>
      <c r="M216" s="117"/>
      <c r="N216" s="100"/>
      <c r="O216" s="100"/>
      <c r="P216" s="117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17"/>
      <c r="M217" s="117"/>
      <c r="N217" s="100"/>
      <c r="O217" s="100"/>
      <c r="P217" s="117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17"/>
      <c r="M218" s="117"/>
      <c r="N218" s="100"/>
      <c r="O218" s="100"/>
      <c r="P218" s="117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17"/>
      <c r="M219" s="117"/>
      <c r="N219" s="100"/>
      <c r="O219" s="100"/>
      <c r="P219" s="117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17"/>
      <c r="M220" s="117"/>
      <c r="N220" s="100"/>
      <c r="O220" s="100"/>
      <c r="P220" s="117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17"/>
      <c r="M221" s="117"/>
      <c r="N221" s="100"/>
      <c r="O221" s="100"/>
      <c r="P221" s="117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17"/>
      <c r="M222" s="117"/>
      <c r="N222" s="100"/>
      <c r="O222" s="100"/>
      <c r="P222" s="117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17"/>
      <c r="M223" s="117"/>
      <c r="N223" s="100"/>
      <c r="O223" s="100"/>
      <c r="P223" s="117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17"/>
      <c r="M224" s="117"/>
      <c r="N224" s="100"/>
      <c r="O224" s="100"/>
      <c r="P224" s="117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17"/>
      <c r="M225" s="117"/>
      <c r="N225" s="100"/>
      <c r="O225" s="100"/>
      <c r="P225" s="117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17"/>
      <c r="M226" s="117"/>
      <c r="N226" s="100"/>
      <c r="O226" s="100"/>
      <c r="P226" s="117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17"/>
      <c r="M227" s="117"/>
      <c r="N227" s="100"/>
      <c r="O227" s="100"/>
      <c r="P227" s="117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17"/>
      <c r="M228" s="117"/>
      <c r="N228" s="100"/>
      <c r="O228" s="100"/>
      <c r="P228" s="117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17"/>
      <c r="M229" s="117"/>
      <c r="N229" s="100"/>
      <c r="O229" s="100"/>
      <c r="P229" s="117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17"/>
      <c r="M230" s="117"/>
      <c r="N230" s="100"/>
      <c r="O230" s="100"/>
      <c r="P230" s="117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17"/>
      <c r="M231" s="117"/>
      <c r="N231" s="100"/>
      <c r="O231" s="100"/>
      <c r="P231" s="117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17"/>
      <c r="M232" s="117"/>
      <c r="N232" s="100"/>
      <c r="O232" s="100"/>
      <c r="P232" s="117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17"/>
      <c r="M233" s="117"/>
      <c r="N233" s="100"/>
      <c r="O233" s="100"/>
      <c r="P233" s="117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17"/>
      <c r="M234" s="117"/>
      <c r="N234" s="100"/>
      <c r="O234" s="100"/>
      <c r="P234" s="117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17"/>
      <c r="M235" s="117"/>
      <c r="N235" s="100"/>
      <c r="O235" s="100"/>
      <c r="P235" s="117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17"/>
      <c r="M236" s="117"/>
      <c r="N236" s="100"/>
      <c r="O236" s="100"/>
      <c r="P236" s="117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17"/>
      <c r="M237" s="117"/>
      <c r="N237" s="100"/>
      <c r="O237" s="100"/>
      <c r="P237" s="117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17"/>
      <c r="M238" s="117"/>
      <c r="N238" s="100"/>
      <c r="O238" s="100"/>
      <c r="P238" s="117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17"/>
      <c r="M239" s="117"/>
      <c r="N239" s="100"/>
      <c r="O239" s="100"/>
      <c r="P239" s="117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17"/>
      <c r="M240" s="117"/>
      <c r="N240" s="100"/>
      <c r="O240" s="100"/>
      <c r="P240" s="117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17"/>
      <c r="M241" s="117"/>
      <c r="N241" s="100"/>
      <c r="O241" s="100"/>
      <c r="P241" s="117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17"/>
      <c r="M242" s="117"/>
      <c r="N242" s="100"/>
      <c r="O242" s="100"/>
      <c r="P242" s="117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17"/>
      <c r="M243" s="117"/>
      <c r="N243" s="100"/>
      <c r="O243" s="100"/>
      <c r="P243" s="117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17"/>
      <c r="M244" s="117"/>
      <c r="N244" s="100"/>
      <c r="O244" s="100"/>
      <c r="P244" s="117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17"/>
      <c r="M245" s="117"/>
      <c r="N245" s="100"/>
      <c r="O245" s="100"/>
      <c r="P245" s="117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17"/>
      <c r="M246" s="117"/>
      <c r="N246" s="100"/>
      <c r="O246" s="100"/>
      <c r="P246" s="117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17"/>
      <c r="M247" s="117"/>
      <c r="N247" s="100"/>
      <c r="O247" s="100"/>
      <c r="P247" s="117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17"/>
      <c r="M248" s="117"/>
      <c r="N248" s="100"/>
      <c r="O248" s="100"/>
      <c r="P248" s="117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17"/>
      <c r="M249" s="117"/>
      <c r="N249" s="100"/>
      <c r="O249" s="100"/>
      <c r="P249" s="117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17"/>
      <c r="M250" s="117"/>
      <c r="N250" s="100"/>
      <c r="O250" s="100"/>
      <c r="P250" s="117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17"/>
      <c r="M251" s="117"/>
      <c r="N251" s="100"/>
      <c r="O251" s="100"/>
      <c r="P251" s="117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17"/>
      <c r="M252" s="117"/>
      <c r="N252" s="100"/>
      <c r="O252" s="100"/>
      <c r="P252" s="117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17"/>
      <c r="M253" s="117"/>
      <c r="N253" s="100"/>
      <c r="O253" s="100"/>
      <c r="P253" s="117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17"/>
      <c r="M254" s="117"/>
      <c r="N254" s="100"/>
      <c r="O254" s="100"/>
      <c r="P254" s="117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17"/>
      <c r="M255" s="117"/>
      <c r="N255" s="100"/>
      <c r="O255" s="100"/>
      <c r="P255" s="117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17"/>
      <c r="M256" s="117"/>
      <c r="N256" s="100"/>
      <c r="O256" s="100"/>
      <c r="P256" s="117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17"/>
      <c r="M257" s="117"/>
      <c r="N257" s="100"/>
      <c r="O257" s="100"/>
      <c r="P257" s="117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17"/>
      <c r="M258" s="117"/>
      <c r="N258" s="100"/>
      <c r="O258" s="100"/>
      <c r="P258" s="117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17"/>
      <c r="M259" s="117"/>
      <c r="N259" s="100"/>
      <c r="O259" s="100"/>
      <c r="P259" s="117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17"/>
      <c r="M260" s="117"/>
      <c r="N260" s="100"/>
      <c r="O260" s="100"/>
      <c r="P260" s="117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17"/>
      <c r="M261" s="117"/>
      <c r="N261" s="100"/>
      <c r="O261" s="100"/>
      <c r="P261" s="117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17"/>
      <c r="M262" s="117"/>
      <c r="N262" s="100"/>
      <c r="O262" s="100"/>
      <c r="P262" s="117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17"/>
      <c r="M263" s="117"/>
      <c r="N263" s="100"/>
      <c r="O263" s="100"/>
      <c r="P263" s="117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17"/>
      <c r="M264" s="117"/>
      <c r="N264" s="100"/>
      <c r="O264" s="100"/>
      <c r="P264" s="117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17"/>
      <c r="M265" s="117"/>
      <c r="N265" s="100"/>
      <c r="O265" s="100"/>
      <c r="P265" s="117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17"/>
      <c r="M266" s="117"/>
      <c r="N266" s="100"/>
      <c r="O266" s="100"/>
      <c r="P266" s="117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17"/>
      <c r="M267" s="117"/>
      <c r="N267" s="100"/>
      <c r="O267" s="100"/>
      <c r="P267" s="117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17"/>
      <c r="M268" s="117"/>
      <c r="N268" s="100"/>
      <c r="O268" s="100"/>
      <c r="P268" s="117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17"/>
      <c r="M269" s="117"/>
      <c r="N269" s="100"/>
      <c r="O269" s="100"/>
      <c r="P269" s="117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17"/>
      <c r="M270" s="117"/>
      <c r="N270" s="100"/>
      <c r="O270" s="100"/>
      <c r="P270" s="117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17"/>
      <c r="M271" s="117"/>
      <c r="N271" s="100"/>
      <c r="O271" s="100"/>
      <c r="P271" s="117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17"/>
      <c r="M272" s="117"/>
      <c r="N272" s="100"/>
      <c r="O272" s="100"/>
      <c r="P272" s="117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17"/>
      <c r="M273" s="117"/>
      <c r="N273" s="100"/>
      <c r="O273" s="100"/>
      <c r="P273" s="117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17"/>
      <c r="M274" s="117"/>
      <c r="N274" s="100"/>
      <c r="O274" s="100"/>
      <c r="P274" s="117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17"/>
      <c r="M275" s="117"/>
      <c r="N275" s="100"/>
      <c r="O275" s="100"/>
      <c r="P275" s="117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17"/>
      <c r="M276" s="117"/>
      <c r="N276" s="100"/>
      <c r="O276" s="100"/>
      <c r="P276" s="117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17"/>
      <c r="M277" s="117"/>
      <c r="N277" s="100"/>
      <c r="O277" s="100"/>
      <c r="P277" s="117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17"/>
      <c r="M278" s="117"/>
      <c r="N278" s="100"/>
      <c r="O278" s="100"/>
      <c r="P278" s="117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17"/>
      <c r="M279" s="117"/>
      <c r="N279" s="100"/>
      <c r="O279" s="100"/>
      <c r="P279" s="117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17"/>
      <c r="M280" s="117"/>
      <c r="N280" s="100"/>
      <c r="O280" s="100"/>
      <c r="P280" s="117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17"/>
      <c r="M281" s="117"/>
      <c r="N281" s="100"/>
      <c r="O281" s="100"/>
      <c r="P281" s="117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17"/>
      <c r="M282" s="117"/>
      <c r="N282" s="100"/>
      <c r="O282" s="100"/>
      <c r="P282" s="117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17"/>
      <c r="M283" s="117"/>
      <c r="N283" s="100"/>
      <c r="O283" s="100"/>
      <c r="P283" s="117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17"/>
      <c r="M284" s="117"/>
      <c r="N284" s="100"/>
      <c r="O284" s="100"/>
      <c r="P284" s="117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17"/>
      <c r="M285" s="117"/>
      <c r="N285" s="100"/>
      <c r="O285" s="100"/>
      <c r="P285" s="117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17"/>
      <c r="M286" s="117"/>
      <c r="N286" s="100"/>
      <c r="O286" s="100"/>
      <c r="P286" s="117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17"/>
      <c r="M287" s="117"/>
      <c r="N287" s="100"/>
      <c r="O287" s="100"/>
      <c r="P287" s="117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17"/>
      <c r="M288" s="117"/>
      <c r="N288" s="100"/>
      <c r="O288" s="100"/>
      <c r="P288" s="117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17"/>
      <c r="M289" s="117"/>
      <c r="N289" s="100"/>
      <c r="O289" s="100"/>
      <c r="P289" s="117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17"/>
      <c r="M290" s="117"/>
      <c r="N290" s="100"/>
      <c r="O290" s="100"/>
      <c r="P290" s="117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17"/>
      <c r="M291" s="117"/>
      <c r="N291" s="100"/>
      <c r="O291" s="100"/>
      <c r="P291" s="117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17"/>
      <c r="M292" s="117"/>
      <c r="N292" s="100"/>
      <c r="O292" s="100"/>
      <c r="P292" s="117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17"/>
      <c r="M293" s="117"/>
      <c r="N293" s="100"/>
      <c r="O293" s="100"/>
      <c r="P293" s="117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17"/>
      <c r="M294" s="117"/>
      <c r="N294" s="100"/>
      <c r="O294" s="100"/>
      <c r="P294" s="117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17"/>
      <c r="M295" s="117"/>
      <c r="N295" s="100"/>
      <c r="O295" s="100"/>
      <c r="P295" s="117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17"/>
      <c r="M296" s="117"/>
      <c r="N296" s="100"/>
      <c r="O296" s="100"/>
      <c r="P296" s="117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17"/>
      <c r="M297" s="117"/>
      <c r="N297" s="100"/>
      <c r="O297" s="100"/>
      <c r="P297" s="117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17"/>
      <c r="M298" s="117"/>
      <c r="N298" s="100"/>
      <c r="O298" s="100"/>
      <c r="P298" s="117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17"/>
      <c r="M299" s="117"/>
      <c r="N299" s="100"/>
      <c r="O299" s="100"/>
      <c r="P299" s="117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17"/>
      <c r="M300" s="117"/>
      <c r="N300" s="100"/>
      <c r="O300" s="100"/>
      <c r="P300" s="117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17"/>
      <c r="M301" s="117"/>
      <c r="N301" s="100"/>
      <c r="O301" s="100"/>
      <c r="P301" s="117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17"/>
      <c r="M302" s="117"/>
      <c r="N302" s="100"/>
      <c r="O302" s="100"/>
      <c r="P302" s="117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17"/>
      <c r="M303" s="117"/>
      <c r="N303" s="100"/>
      <c r="O303" s="100"/>
      <c r="P303" s="117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17"/>
      <c r="M304" s="117"/>
      <c r="N304" s="100"/>
      <c r="O304" s="100"/>
      <c r="P304" s="117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17"/>
      <c r="M305" s="117"/>
      <c r="N305" s="100"/>
      <c r="O305" s="100"/>
      <c r="P305" s="117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17"/>
      <c r="M306" s="117"/>
      <c r="N306" s="100"/>
      <c r="O306" s="100"/>
      <c r="P306" s="117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17"/>
      <c r="M307" s="117"/>
      <c r="N307" s="100"/>
      <c r="O307" s="100"/>
      <c r="P307" s="117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17"/>
      <c r="M308" s="117"/>
      <c r="N308" s="100"/>
      <c r="O308" s="100"/>
      <c r="P308" s="117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17"/>
      <c r="M309" s="117"/>
      <c r="N309" s="100"/>
      <c r="O309" s="100"/>
      <c r="P309" s="117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17"/>
      <c r="M310" s="117"/>
      <c r="N310" s="100"/>
      <c r="O310" s="100"/>
      <c r="P310" s="117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17"/>
      <c r="M311" s="117"/>
      <c r="N311" s="100"/>
      <c r="O311" s="100"/>
      <c r="P311" s="117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17"/>
      <c r="M312" s="117"/>
      <c r="N312" s="100"/>
      <c r="O312" s="100"/>
      <c r="P312" s="117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17"/>
      <c r="M313" s="117"/>
      <c r="N313" s="100"/>
      <c r="O313" s="100"/>
      <c r="P313" s="117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17"/>
      <c r="M314" s="117"/>
      <c r="N314" s="100"/>
      <c r="O314" s="100"/>
      <c r="P314" s="117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17"/>
      <c r="M315" s="117"/>
      <c r="N315" s="100"/>
      <c r="O315" s="100"/>
      <c r="P315" s="117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17"/>
      <c r="M316" s="117"/>
      <c r="N316" s="100"/>
      <c r="O316" s="100"/>
      <c r="P316" s="117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17"/>
      <c r="M317" s="117"/>
      <c r="N317" s="100"/>
      <c r="O317" s="100"/>
      <c r="P317" s="117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17"/>
      <c r="M318" s="117"/>
      <c r="N318" s="100"/>
      <c r="O318" s="100"/>
      <c r="P318" s="117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17"/>
      <c r="M319" s="117"/>
      <c r="N319" s="100"/>
      <c r="O319" s="100"/>
      <c r="P319" s="117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17"/>
      <c r="M320" s="117"/>
      <c r="N320" s="100"/>
      <c r="O320" s="100"/>
      <c r="P320" s="117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17"/>
      <c r="M321" s="117"/>
      <c r="N321" s="100"/>
      <c r="O321" s="100"/>
      <c r="P321" s="117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17"/>
      <c r="M322" s="117"/>
      <c r="N322" s="100"/>
      <c r="O322" s="100"/>
      <c r="P322" s="117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17"/>
      <c r="M323" s="117"/>
      <c r="N323" s="100"/>
      <c r="O323" s="100"/>
      <c r="P323" s="117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17"/>
      <c r="M324" s="117"/>
      <c r="N324" s="100"/>
      <c r="O324" s="100"/>
      <c r="P324" s="117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17"/>
      <c r="M325" s="117"/>
      <c r="N325" s="100"/>
      <c r="O325" s="100"/>
      <c r="P325" s="117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17"/>
      <c r="M326" s="117"/>
      <c r="N326" s="100"/>
      <c r="O326" s="100"/>
      <c r="P326" s="117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17"/>
      <c r="M327" s="117"/>
      <c r="N327" s="100"/>
      <c r="O327" s="100"/>
      <c r="P327" s="117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17"/>
      <c r="M328" s="117"/>
      <c r="N328" s="100"/>
      <c r="O328" s="100"/>
      <c r="P328" s="117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17"/>
      <c r="M329" s="117"/>
      <c r="N329" s="100"/>
      <c r="O329" s="100"/>
      <c r="P329" s="117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17"/>
      <c r="M330" s="117"/>
      <c r="N330" s="100"/>
      <c r="O330" s="100"/>
      <c r="P330" s="117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17"/>
      <c r="M331" s="117"/>
      <c r="N331" s="100"/>
      <c r="O331" s="100"/>
      <c r="P331" s="117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17"/>
      <c r="M332" s="117"/>
      <c r="N332" s="100"/>
      <c r="O332" s="100"/>
      <c r="P332" s="117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17"/>
      <c r="M333" s="117"/>
      <c r="N333" s="100"/>
      <c r="O333" s="100"/>
      <c r="P333" s="117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17"/>
      <c r="M334" s="117"/>
      <c r="N334" s="100"/>
      <c r="O334" s="100"/>
      <c r="P334" s="117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17"/>
      <c r="M335" s="117"/>
      <c r="N335" s="100"/>
      <c r="O335" s="100"/>
      <c r="P335" s="117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17"/>
      <c r="M336" s="117"/>
      <c r="N336" s="100"/>
      <c r="O336" s="100"/>
      <c r="P336" s="117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17"/>
      <c r="M337" s="117"/>
      <c r="N337" s="100"/>
      <c r="O337" s="100"/>
      <c r="P337" s="117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17"/>
      <c r="M338" s="117"/>
      <c r="N338" s="100"/>
      <c r="O338" s="100"/>
      <c r="P338" s="117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17"/>
      <c r="M339" s="117"/>
      <c r="N339" s="100"/>
      <c r="O339" s="100"/>
      <c r="P339" s="117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17"/>
      <c r="M340" s="117"/>
      <c r="N340" s="100"/>
      <c r="O340" s="100"/>
      <c r="P340" s="117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17"/>
      <c r="M341" s="117"/>
      <c r="N341" s="100"/>
      <c r="O341" s="100"/>
      <c r="P341" s="117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17"/>
      <c r="M342" s="117"/>
      <c r="N342" s="100"/>
      <c r="O342" s="100"/>
      <c r="P342" s="117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17"/>
      <c r="M343" s="117"/>
      <c r="N343" s="100"/>
      <c r="O343" s="100"/>
      <c r="P343" s="117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17"/>
      <c r="M344" s="117"/>
      <c r="N344" s="100"/>
      <c r="O344" s="100"/>
      <c r="P344" s="117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17"/>
      <c r="M345" s="117"/>
      <c r="N345" s="100"/>
      <c r="O345" s="100"/>
      <c r="P345" s="117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17"/>
      <c r="M346" s="117"/>
      <c r="N346" s="100"/>
      <c r="O346" s="100"/>
      <c r="P346" s="117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17"/>
      <c r="M347" s="117"/>
      <c r="N347" s="100"/>
      <c r="O347" s="100"/>
      <c r="P347" s="117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17"/>
      <c r="M348" s="117"/>
      <c r="N348" s="100"/>
      <c r="O348" s="100"/>
      <c r="P348" s="117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17"/>
      <c r="M349" s="117"/>
      <c r="N349" s="100"/>
      <c r="O349" s="100"/>
      <c r="P349" s="117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17"/>
      <c r="M350" s="117"/>
      <c r="N350" s="100"/>
      <c r="O350" s="100"/>
      <c r="P350" s="117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17"/>
      <c r="M351" s="117"/>
      <c r="N351" s="100"/>
      <c r="O351" s="100"/>
      <c r="P351" s="117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17"/>
      <c r="M352" s="117"/>
      <c r="N352" s="100"/>
      <c r="O352" s="100"/>
      <c r="P352" s="117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17"/>
      <c r="M353" s="117"/>
      <c r="N353" s="100"/>
      <c r="O353" s="100"/>
      <c r="P353" s="117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17"/>
      <c r="M354" s="117"/>
      <c r="N354" s="100"/>
      <c r="O354" s="100"/>
      <c r="P354" s="117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17"/>
      <c r="M355" s="117"/>
      <c r="N355" s="100"/>
      <c r="O355" s="100"/>
      <c r="P355" s="117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17"/>
      <c r="M356" s="117"/>
      <c r="N356" s="100"/>
      <c r="O356" s="100"/>
      <c r="P356" s="117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17"/>
      <c r="M357" s="117"/>
      <c r="N357" s="100"/>
      <c r="O357" s="100"/>
      <c r="P357" s="117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17"/>
      <c r="M358" s="117"/>
      <c r="N358" s="100"/>
      <c r="O358" s="100"/>
      <c r="P358" s="117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17"/>
      <c r="M359" s="117"/>
      <c r="N359" s="100"/>
      <c r="O359" s="100"/>
      <c r="P359" s="117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17"/>
      <c r="M360" s="117"/>
      <c r="N360" s="100"/>
      <c r="O360" s="100"/>
      <c r="P360" s="117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17"/>
      <c r="M361" s="117"/>
      <c r="N361" s="100"/>
      <c r="O361" s="100"/>
      <c r="P361" s="117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17"/>
      <c r="M362" s="117"/>
      <c r="N362" s="100"/>
      <c r="O362" s="100"/>
      <c r="P362" s="117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17"/>
      <c r="M363" s="117"/>
      <c r="N363" s="100"/>
      <c r="O363" s="100"/>
      <c r="P363" s="117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17"/>
      <c r="M364" s="117"/>
      <c r="N364" s="100"/>
      <c r="O364" s="100"/>
      <c r="P364" s="117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17"/>
      <c r="M365" s="117"/>
      <c r="N365" s="100"/>
      <c r="O365" s="100"/>
      <c r="P365" s="117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17"/>
      <c r="M366" s="117"/>
      <c r="N366" s="100"/>
      <c r="O366" s="100"/>
      <c r="P366" s="117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17"/>
      <c r="M367" s="117"/>
      <c r="N367" s="100"/>
      <c r="O367" s="100"/>
      <c r="P367" s="117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17"/>
      <c r="M368" s="117"/>
      <c r="N368" s="100"/>
      <c r="O368" s="100"/>
      <c r="P368" s="117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17"/>
      <c r="M369" s="117"/>
      <c r="N369" s="100"/>
      <c r="O369" s="100"/>
      <c r="P369" s="117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17"/>
      <c r="M370" s="117"/>
      <c r="N370" s="100"/>
      <c r="O370" s="100"/>
      <c r="P370" s="117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17"/>
      <c r="M371" s="117"/>
      <c r="N371" s="100"/>
      <c r="O371" s="100"/>
      <c r="P371" s="117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17"/>
      <c r="M372" s="117"/>
      <c r="N372" s="100"/>
      <c r="O372" s="100"/>
      <c r="P372" s="117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17"/>
      <c r="M373" s="117"/>
      <c r="N373" s="100"/>
      <c r="O373" s="100"/>
      <c r="P373" s="117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17"/>
      <c r="M374" s="117"/>
      <c r="N374" s="100"/>
      <c r="O374" s="100"/>
      <c r="P374" s="117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17"/>
      <c r="M375" s="117"/>
      <c r="N375" s="100"/>
      <c r="O375" s="100"/>
      <c r="P375" s="117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17"/>
      <c r="M376" s="117"/>
      <c r="N376" s="100"/>
      <c r="O376" s="100"/>
      <c r="P376" s="117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17"/>
      <c r="M377" s="117"/>
      <c r="N377" s="100"/>
      <c r="O377" s="100"/>
      <c r="P377" s="117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17"/>
      <c r="M378" s="117"/>
      <c r="N378" s="100"/>
      <c r="O378" s="100"/>
      <c r="P378" s="117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17"/>
      <c r="M379" s="117"/>
      <c r="N379" s="100"/>
      <c r="O379" s="100"/>
      <c r="P379" s="117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17"/>
      <c r="M380" s="117"/>
      <c r="N380" s="100"/>
      <c r="O380" s="100"/>
      <c r="P380" s="117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17"/>
      <c r="M381" s="117"/>
      <c r="N381" s="100"/>
      <c r="O381" s="100"/>
      <c r="P381" s="117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17"/>
      <c r="M382" s="117"/>
      <c r="N382" s="100"/>
      <c r="O382" s="100"/>
      <c r="P382" s="117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17"/>
      <c r="M383" s="117"/>
      <c r="N383" s="100"/>
      <c r="O383" s="100"/>
      <c r="P383" s="117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17"/>
      <c r="M384" s="117"/>
      <c r="N384" s="100"/>
      <c r="O384" s="100"/>
      <c r="P384" s="117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17"/>
      <c r="M385" s="117"/>
      <c r="N385" s="100"/>
      <c r="O385" s="100"/>
      <c r="P385" s="117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17"/>
      <c r="M386" s="117"/>
      <c r="N386" s="100"/>
      <c r="O386" s="100"/>
      <c r="P386" s="117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17"/>
      <c r="M387" s="117"/>
      <c r="N387" s="100"/>
      <c r="O387" s="100"/>
      <c r="P387" s="117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17"/>
      <c r="M388" s="117"/>
      <c r="N388" s="100"/>
      <c r="O388" s="100"/>
      <c r="P388" s="117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17"/>
      <c r="M389" s="117"/>
      <c r="N389" s="100"/>
      <c r="O389" s="100"/>
      <c r="P389" s="117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17"/>
      <c r="M390" s="117"/>
      <c r="N390" s="100"/>
      <c r="O390" s="100"/>
      <c r="P390" s="117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17"/>
      <c r="M391" s="117"/>
      <c r="N391" s="100"/>
      <c r="O391" s="100"/>
      <c r="P391" s="117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17"/>
      <c r="M392" s="117"/>
      <c r="N392" s="100"/>
      <c r="O392" s="100"/>
      <c r="P392" s="117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17"/>
      <c r="M393" s="117"/>
      <c r="N393" s="100"/>
      <c r="O393" s="100"/>
      <c r="P393" s="117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17"/>
      <c r="M394" s="117"/>
      <c r="N394" s="100"/>
      <c r="O394" s="100"/>
      <c r="P394" s="117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17"/>
      <c r="M395" s="117"/>
      <c r="N395" s="100"/>
      <c r="O395" s="100"/>
      <c r="P395" s="117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17"/>
      <c r="M396" s="117"/>
      <c r="N396" s="100"/>
      <c r="O396" s="100"/>
      <c r="P396" s="117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17"/>
      <c r="M397" s="117"/>
      <c r="N397" s="100"/>
      <c r="O397" s="100"/>
      <c r="P397" s="117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17"/>
      <c r="M398" s="117"/>
      <c r="N398" s="100"/>
      <c r="O398" s="100"/>
      <c r="P398" s="117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17"/>
      <c r="M399" s="117"/>
      <c r="N399" s="100"/>
      <c r="O399" s="100"/>
      <c r="P399" s="117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17"/>
      <c r="M400" s="117"/>
      <c r="N400" s="100"/>
      <c r="O400" s="100"/>
      <c r="P400" s="117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17"/>
      <c r="M401" s="117"/>
      <c r="N401" s="100"/>
      <c r="O401" s="100"/>
      <c r="P401" s="117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17"/>
      <c r="M402" s="117"/>
      <c r="N402" s="100"/>
      <c r="O402" s="100"/>
      <c r="P402" s="117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17"/>
      <c r="M403" s="117"/>
      <c r="N403" s="100"/>
      <c r="O403" s="100"/>
      <c r="P403" s="117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17"/>
      <c r="M404" s="117"/>
      <c r="N404" s="100"/>
      <c r="O404" s="100"/>
      <c r="P404" s="117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17"/>
      <c r="M405" s="117"/>
      <c r="N405" s="100"/>
      <c r="O405" s="100"/>
      <c r="P405" s="117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17"/>
      <c r="M406" s="117"/>
      <c r="N406" s="100"/>
      <c r="O406" s="100"/>
      <c r="P406" s="117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17"/>
      <c r="M407" s="117"/>
      <c r="N407" s="100"/>
      <c r="O407" s="100"/>
      <c r="P407" s="117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17"/>
      <c r="M408" s="117"/>
      <c r="N408" s="100"/>
      <c r="O408" s="100"/>
      <c r="P408" s="117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17"/>
      <c r="M409" s="117"/>
      <c r="N409" s="100"/>
      <c r="O409" s="100"/>
      <c r="P409" s="117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17"/>
      <c r="M410" s="117"/>
      <c r="N410" s="100"/>
      <c r="O410" s="100"/>
      <c r="P410" s="117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17"/>
      <c r="M411" s="117"/>
      <c r="N411" s="100"/>
      <c r="O411" s="100"/>
      <c r="P411" s="117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17"/>
      <c r="M412" s="117"/>
      <c r="N412" s="100"/>
      <c r="O412" s="100"/>
      <c r="P412" s="117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17"/>
      <c r="M413" s="117"/>
      <c r="N413" s="100"/>
      <c r="O413" s="100"/>
      <c r="P413" s="117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17"/>
      <c r="M414" s="117"/>
      <c r="N414" s="100"/>
      <c r="O414" s="100"/>
      <c r="P414" s="117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17"/>
      <c r="M415" s="117"/>
      <c r="N415" s="100"/>
      <c r="O415" s="100"/>
      <c r="P415" s="117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17"/>
      <c r="M416" s="117"/>
      <c r="N416" s="100"/>
      <c r="O416" s="100"/>
      <c r="P416" s="117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17"/>
      <c r="M417" s="117"/>
      <c r="N417" s="100"/>
      <c r="O417" s="100"/>
      <c r="P417" s="117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17"/>
      <c r="M418" s="117"/>
      <c r="N418" s="100"/>
      <c r="O418" s="100"/>
      <c r="P418" s="117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17"/>
      <c r="M419" s="117"/>
      <c r="N419" s="100"/>
      <c r="O419" s="100"/>
      <c r="P419" s="117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17"/>
      <c r="M420" s="117"/>
      <c r="N420" s="100"/>
      <c r="O420" s="100"/>
      <c r="P420" s="117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17"/>
      <c r="M421" s="117"/>
      <c r="N421" s="100"/>
      <c r="O421" s="100"/>
      <c r="P421" s="117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17"/>
      <c r="M422" s="117"/>
      <c r="N422" s="100"/>
      <c r="O422" s="100"/>
      <c r="P422" s="117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17"/>
      <c r="M423" s="117"/>
      <c r="N423" s="100"/>
      <c r="O423" s="100"/>
      <c r="P423" s="117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17"/>
      <c r="M424" s="117"/>
      <c r="N424" s="100"/>
      <c r="O424" s="100"/>
      <c r="P424" s="117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17"/>
      <c r="M425" s="117"/>
      <c r="N425" s="100"/>
      <c r="O425" s="100"/>
      <c r="P425" s="117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17"/>
      <c r="M426" s="117"/>
      <c r="N426" s="100"/>
      <c r="O426" s="100"/>
      <c r="P426" s="117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17"/>
      <c r="M427" s="117"/>
      <c r="N427" s="100"/>
      <c r="O427" s="100"/>
      <c r="P427" s="117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17"/>
      <c r="M428" s="117"/>
      <c r="N428" s="100"/>
      <c r="O428" s="100"/>
      <c r="P428" s="117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17"/>
      <c r="M429" s="117"/>
      <c r="N429" s="100"/>
      <c r="O429" s="100"/>
      <c r="P429" s="117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17"/>
      <c r="M430" s="117"/>
      <c r="N430" s="100"/>
      <c r="O430" s="100"/>
      <c r="P430" s="117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17"/>
      <c r="M431" s="117"/>
      <c r="N431" s="100"/>
      <c r="O431" s="100"/>
      <c r="P431" s="117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17"/>
      <c r="M432" s="117"/>
      <c r="N432" s="100"/>
      <c r="O432" s="100"/>
      <c r="P432" s="117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17"/>
      <c r="M433" s="117"/>
      <c r="N433" s="100"/>
      <c r="O433" s="100"/>
      <c r="P433" s="117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17"/>
      <c r="M434" s="117"/>
      <c r="N434" s="100"/>
      <c r="O434" s="100"/>
      <c r="P434" s="117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17"/>
      <c r="M435" s="117"/>
      <c r="N435" s="100"/>
      <c r="O435" s="100"/>
      <c r="P435" s="117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17"/>
      <c r="M436" s="117"/>
      <c r="N436" s="100"/>
      <c r="O436" s="100"/>
      <c r="P436" s="117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17"/>
      <c r="M437" s="117"/>
      <c r="N437" s="100"/>
      <c r="O437" s="100"/>
      <c r="P437" s="117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17"/>
      <c r="M438" s="117"/>
      <c r="N438" s="100"/>
      <c r="O438" s="100"/>
      <c r="P438" s="117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17"/>
      <c r="M439" s="117"/>
      <c r="N439" s="100"/>
      <c r="O439" s="100"/>
      <c r="P439" s="117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17"/>
      <c r="M440" s="117"/>
      <c r="N440" s="100"/>
      <c r="O440" s="100"/>
      <c r="P440" s="117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17"/>
      <c r="M441" s="117"/>
      <c r="N441" s="100"/>
      <c r="O441" s="100"/>
      <c r="P441" s="117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17"/>
      <c r="M442" s="117"/>
      <c r="N442" s="100"/>
      <c r="O442" s="100"/>
      <c r="P442" s="117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17"/>
      <c r="M443" s="117"/>
      <c r="N443" s="100"/>
      <c r="O443" s="100"/>
      <c r="P443" s="117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17"/>
      <c r="M444" s="117"/>
      <c r="N444" s="100"/>
      <c r="O444" s="100"/>
      <c r="P444" s="117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17"/>
      <c r="M445" s="117"/>
      <c r="N445" s="100"/>
      <c r="O445" s="100"/>
      <c r="P445" s="117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17"/>
      <c r="M446" s="117"/>
      <c r="N446" s="100"/>
      <c r="O446" s="100"/>
      <c r="P446" s="117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17"/>
      <c r="M447" s="117"/>
      <c r="N447" s="100"/>
      <c r="O447" s="100"/>
      <c r="P447" s="117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17"/>
      <c r="M448" s="117"/>
      <c r="N448" s="100"/>
      <c r="O448" s="100"/>
      <c r="P448" s="117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17"/>
      <c r="M449" s="117"/>
      <c r="N449" s="100"/>
      <c r="O449" s="100"/>
      <c r="P449" s="117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17"/>
      <c r="M450" s="117"/>
      <c r="N450" s="100"/>
      <c r="O450" s="100"/>
      <c r="P450" s="117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17"/>
      <c r="M451" s="117"/>
      <c r="N451" s="100"/>
      <c r="O451" s="100"/>
      <c r="P451" s="117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17"/>
      <c r="M452" s="117"/>
      <c r="N452" s="100"/>
      <c r="O452" s="100"/>
      <c r="P452" s="117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17"/>
      <c r="M453" s="117"/>
      <c r="N453" s="100"/>
      <c r="O453" s="100"/>
      <c r="P453" s="117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17"/>
      <c r="M454" s="117"/>
      <c r="N454" s="100"/>
      <c r="O454" s="100"/>
      <c r="P454" s="117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17"/>
      <c r="M455" s="117"/>
      <c r="N455" s="100"/>
      <c r="O455" s="100"/>
      <c r="P455" s="117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17"/>
      <c r="M456" s="117"/>
      <c r="N456" s="100"/>
      <c r="O456" s="100"/>
      <c r="P456" s="117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17"/>
      <c r="M457" s="117"/>
      <c r="N457" s="100"/>
      <c r="O457" s="100"/>
      <c r="P457" s="117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17"/>
      <c r="M458" s="117"/>
      <c r="N458" s="100"/>
      <c r="O458" s="100"/>
      <c r="P458" s="117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17"/>
      <c r="M459" s="117"/>
      <c r="N459" s="100"/>
      <c r="O459" s="100"/>
      <c r="P459" s="117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17"/>
      <c r="M460" s="117"/>
      <c r="N460" s="100"/>
      <c r="O460" s="100"/>
      <c r="P460" s="117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17"/>
      <c r="M461" s="117"/>
      <c r="N461" s="100"/>
      <c r="O461" s="100"/>
      <c r="P461" s="117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17"/>
      <c r="M462" s="117"/>
      <c r="N462" s="100"/>
      <c r="O462" s="100"/>
      <c r="P462" s="117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17"/>
      <c r="M463" s="117"/>
      <c r="N463" s="100"/>
      <c r="O463" s="100"/>
      <c r="P463" s="117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17"/>
      <c r="M464" s="117"/>
      <c r="N464" s="100"/>
      <c r="O464" s="100"/>
      <c r="P464" s="117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17"/>
      <c r="M465" s="117"/>
      <c r="N465" s="100"/>
      <c r="O465" s="100"/>
      <c r="P465" s="117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17"/>
      <c r="M466" s="117"/>
      <c r="N466" s="100"/>
      <c r="O466" s="100"/>
      <c r="P466" s="117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17"/>
      <c r="M467" s="117"/>
      <c r="N467" s="100"/>
      <c r="O467" s="100"/>
      <c r="P467" s="117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17"/>
      <c r="M468" s="117"/>
      <c r="N468" s="100"/>
      <c r="O468" s="100"/>
      <c r="P468" s="117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17"/>
      <c r="M469" s="117"/>
      <c r="N469" s="100"/>
      <c r="O469" s="100"/>
      <c r="P469" s="117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17"/>
      <c r="M470" s="117"/>
      <c r="N470" s="100"/>
      <c r="O470" s="100"/>
      <c r="P470" s="117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17"/>
      <c r="M471" s="117"/>
      <c r="N471" s="100"/>
      <c r="O471" s="100"/>
      <c r="P471" s="117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17"/>
      <c r="M472" s="117"/>
      <c r="N472" s="100"/>
      <c r="O472" s="100"/>
      <c r="P472" s="117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17"/>
      <c r="M473" s="117"/>
      <c r="N473" s="100"/>
      <c r="O473" s="100"/>
      <c r="P473" s="117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17"/>
      <c r="M474" s="117"/>
      <c r="N474" s="100"/>
      <c r="O474" s="100"/>
      <c r="P474" s="117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17"/>
      <c r="M475" s="117"/>
      <c r="N475" s="100"/>
      <c r="O475" s="100"/>
      <c r="P475" s="117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17"/>
      <c r="M476" s="117"/>
      <c r="N476" s="100"/>
      <c r="O476" s="100"/>
      <c r="P476" s="117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17"/>
      <c r="M477" s="117"/>
      <c r="N477" s="100"/>
      <c r="O477" s="100"/>
      <c r="P477" s="117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17"/>
      <c r="M478" s="117"/>
      <c r="N478" s="100"/>
      <c r="O478" s="100"/>
      <c r="P478" s="117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17"/>
      <c r="M479" s="117"/>
      <c r="N479" s="100"/>
      <c r="O479" s="100"/>
      <c r="P479" s="117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17"/>
      <c r="M480" s="117"/>
      <c r="N480" s="100"/>
      <c r="O480" s="100"/>
      <c r="P480" s="117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17"/>
      <c r="M481" s="117"/>
      <c r="N481" s="100"/>
      <c r="O481" s="100"/>
      <c r="P481" s="117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17"/>
      <c r="M482" s="117"/>
      <c r="N482" s="100"/>
      <c r="O482" s="100"/>
      <c r="P482" s="117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17"/>
      <c r="M483" s="117"/>
      <c r="N483" s="100"/>
      <c r="O483" s="100"/>
      <c r="P483" s="117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17"/>
      <c r="M484" s="117"/>
      <c r="N484" s="100"/>
      <c r="O484" s="100"/>
      <c r="P484" s="117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17"/>
      <c r="M485" s="117"/>
      <c r="N485" s="100"/>
      <c r="O485" s="100"/>
      <c r="P485" s="117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17"/>
      <c r="M486" s="117"/>
      <c r="N486" s="100"/>
      <c r="O486" s="100"/>
      <c r="P486" s="117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17"/>
      <c r="M487" s="117"/>
      <c r="N487" s="100"/>
      <c r="O487" s="100"/>
      <c r="P487" s="117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17"/>
      <c r="M488" s="117"/>
      <c r="N488" s="100"/>
      <c r="O488" s="100"/>
      <c r="P488" s="117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17"/>
      <c r="M489" s="117"/>
      <c r="N489" s="100"/>
      <c r="O489" s="100"/>
      <c r="P489" s="117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17"/>
      <c r="M490" s="117"/>
      <c r="N490" s="100"/>
      <c r="O490" s="100"/>
      <c r="P490" s="117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17"/>
      <c r="M491" s="117"/>
      <c r="N491" s="100"/>
      <c r="O491" s="100"/>
      <c r="P491" s="117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17"/>
      <c r="M492" s="117"/>
      <c r="N492" s="100"/>
      <c r="O492" s="100"/>
      <c r="P492" s="117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17"/>
      <c r="M493" s="117"/>
      <c r="N493" s="100"/>
      <c r="O493" s="100"/>
      <c r="P493" s="117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17"/>
      <c r="M494" s="117"/>
      <c r="N494" s="100"/>
      <c r="O494" s="100"/>
      <c r="P494" s="117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17"/>
      <c r="M495" s="117"/>
      <c r="N495" s="100"/>
      <c r="O495" s="100"/>
      <c r="P495" s="117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17"/>
      <c r="M496" s="117"/>
      <c r="N496" s="100"/>
      <c r="O496" s="100"/>
      <c r="P496" s="117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17"/>
      <c r="M497" s="117"/>
      <c r="N497" s="100"/>
      <c r="O497" s="100"/>
      <c r="P497" s="117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17"/>
      <c r="M498" s="117"/>
      <c r="N498" s="100"/>
      <c r="O498" s="100"/>
      <c r="P498" s="117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17"/>
      <c r="M499" s="117"/>
      <c r="N499" s="100"/>
      <c r="O499" s="100"/>
      <c r="P499" s="117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17"/>
      <c r="M500" s="117"/>
      <c r="N500" s="100"/>
      <c r="O500" s="100"/>
      <c r="P500" s="117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17"/>
      <c r="M501" s="117"/>
      <c r="N501" s="100"/>
      <c r="O501" s="100"/>
      <c r="P501" s="117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17"/>
      <c r="M502" s="117"/>
      <c r="N502" s="100"/>
      <c r="O502" s="100"/>
      <c r="P502" s="117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17"/>
      <c r="M503" s="117"/>
      <c r="N503" s="100"/>
      <c r="O503" s="100"/>
      <c r="P503" s="117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17"/>
      <c r="M504" s="117"/>
      <c r="N504" s="100"/>
      <c r="O504" s="100"/>
      <c r="P504" s="117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17"/>
      <c r="M505" s="117"/>
      <c r="N505" s="100"/>
      <c r="O505" s="100"/>
      <c r="P505" s="117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17"/>
      <c r="M506" s="117"/>
      <c r="N506" s="100"/>
      <c r="O506" s="100"/>
      <c r="P506" s="117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17"/>
      <c r="M507" s="117"/>
      <c r="N507" s="100"/>
      <c r="O507" s="100"/>
      <c r="P507" s="117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17"/>
      <c r="M508" s="117"/>
      <c r="N508" s="100"/>
      <c r="O508" s="100"/>
      <c r="P508" s="117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17"/>
      <c r="M509" s="117"/>
      <c r="N509" s="100"/>
      <c r="O509" s="100"/>
      <c r="P509" s="117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17"/>
      <c r="M510" s="117"/>
      <c r="N510" s="100"/>
      <c r="O510" s="100"/>
      <c r="P510" s="117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17"/>
      <c r="M511" s="117"/>
      <c r="N511" s="100"/>
      <c r="O511" s="100"/>
      <c r="P511" s="117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17"/>
      <c r="M512" s="117"/>
      <c r="N512" s="100"/>
      <c r="O512" s="100"/>
      <c r="P512" s="117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17"/>
      <c r="M513" s="117"/>
      <c r="N513" s="100"/>
      <c r="O513" s="100"/>
      <c r="P513" s="117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17"/>
      <c r="M514" s="117"/>
      <c r="N514" s="100"/>
      <c r="O514" s="100"/>
      <c r="P514" s="117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17"/>
      <c r="M515" s="117"/>
      <c r="N515" s="100"/>
      <c r="O515" s="100"/>
      <c r="P515" s="117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17"/>
      <c r="M516" s="117"/>
      <c r="N516" s="100"/>
      <c r="O516" s="100"/>
      <c r="P516" s="117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17"/>
      <c r="M517" s="117"/>
      <c r="N517" s="100"/>
      <c r="O517" s="100"/>
      <c r="P517" s="117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17"/>
      <c r="M518" s="117"/>
      <c r="N518" s="100"/>
      <c r="O518" s="100"/>
      <c r="P518" s="117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17"/>
      <c r="M519" s="117"/>
      <c r="N519" s="100"/>
      <c r="O519" s="100"/>
      <c r="P519" s="117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17"/>
      <c r="M520" s="117"/>
      <c r="N520" s="100"/>
      <c r="O520" s="100"/>
      <c r="P520" s="117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17"/>
      <c r="M521" s="117"/>
      <c r="N521" s="100"/>
      <c r="O521" s="100"/>
      <c r="P521" s="117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17"/>
      <c r="M522" s="117"/>
      <c r="N522" s="100"/>
      <c r="O522" s="100"/>
      <c r="P522" s="117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17"/>
      <c r="M523" s="117"/>
      <c r="N523" s="100"/>
      <c r="O523" s="100"/>
      <c r="P523" s="117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17"/>
      <c r="M524" s="117"/>
      <c r="N524" s="100"/>
      <c r="O524" s="100"/>
      <c r="P524" s="117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17"/>
      <c r="M525" s="117"/>
      <c r="N525" s="100"/>
      <c r="O525" s="100"/>
      <c r="P525" s="117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17"/>
      <c r="M526" s="117"/>
      <c r="N526" s="100"/>
      <c r="O526" s="100"/>
      <c r="P526" s="117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17"/>
      <c r="M527" s="117"/>
      <c r="N527" s="100"/>
      <c r="O527" s="100"/>
      <c r="P527" s="117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17"/>
      <c r="M528" s="117"/>
      <c r="N528" s="100"/>
      <c r="O528" s="100"/>
      <c r="P528" s="117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17"/>
      <c r="M529" s="117"/>
      <c r="N529" s="100"/>
      <c r="O529" s="100"/>
      <c r="P529" s="117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17"/>
      <c r="M530" s="117"/>
      <c r="N530" s="100"/>
      <c r="O530" s="100"/>
      <c r="P530" s="117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17"/>
      <c r="M531" s="117"/>
      <c r="N531" s="100"/>
      <c r="O531" s="100"/>
      <c r="P531" s="117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17"/>
      <c r="M532" s="117"/>
      <c r="N532" s="100"/>
      <c r="O532" s="100"/>
      <c r="P532" s="117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17"/>
      <c r="M533" s="117"/>
      <c r="N533" s="100"/>
      <c r="O533" s="100"/>
      <c r="P533" s="117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17"/>
      <c r="M534" s="117"/>
      <c r="N534" s="100"/>
      <c r="O534" s="100"/>
      <c r="P534" s="117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17"/>
      <c r="M535" s="117"/>
      <c r="N535" s="100"/>
      <c r="O535" s="100"/>
      <c r="P535" s="117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17"/>
      <c r="M536" s="117"/>
      <c r="N536" s="100"/>
      <c r="O536" s="100"/>
      <c r="P536" s="117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17"/>
      <c r="M537" s="117"/>
      <c r="N537" s="100"/>
      <c r="O537" s="100"/>
      <c r="P537" s="117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17"/>
      <c r="M538" s="117"/>
      <c r="N538" s="100"/>
      <c r="O538" s="100"/>
      <c r="P538" s="117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17"/>
      <c r="M539" s="117"/>
      <c r="N539" s="100"/>
      <c r="O539" s="100"/>
      <c r="P539" s="117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17"/>
      <c r="M540" s="117"/>
      <c r="N540" s="100"/>
      <c r="O540" s="100"/>
      <c r="P540" s="117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17"/>
      <c r="M541" s="117"/>
      <c r="N541" s="100"/>
      <c r="O541" s="100"/>
      <c r="P541" s="117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17"/>
      <c r="M542" s="117"/>
      <c r="N542" s="100"/>
      <c r="O542" s="100"/>
      <c r="P542" s="117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17"/>
      <c r="M543" s="117"/>
      <c r="N543" s="100"/>
      <c r="O543" s="100"/>
      <c r="P543" s="117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17"/>
      <c r="M544" s="117"/>
      <c r="N544" s="100"/>
      <c r="O544" s="100"/>
      <c r="P544" s="117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17"/>
      <c r="M545" s="117"/>
      <c r="N545" s="100"/>
      <c r="O545" s="100"/>
      <c r="P545" s="117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17"/>
      <c r="M546" s="117"/>
      <c r="N546" s="100"/>
      <c r="O546" s="100"/>
      <c r="P546" s="117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17"/>
      <c r="M547" s="117"/>
      <c r="N547" s="100"/>
      <c r="O547" s="100"/>
      <c r="P547" s="117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17"/>
      <c r="M548" s="117"/>
      <c r="N548" s="100"/>
      <c r="O548" s="100"/>
      <c r="P548" s="117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17"/>
      <c r="M549" s="117"/>
      <c r="N549" s="100"/>
      <c r="O549" s="100"/>
      <c r="P549" s="117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17"/>
      <c r="M550" s="117"/>
      <c r="N550" s="100"/>
      <c r="O550" s="100"/>
      <c r="P550" s="117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17"/>
      <c r="M551" s="117"/>
      <c r="N551" s="100"/>
      <c r="O551" s="100"/>
      <c r="P551" s="117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17"/>
      <c r="M552" s="117"/>
      <c r="N552" s="100"/>
      <c r="O552" s="100"/>
      <c r="P552" s="117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17"/>
      <c r="M553" s="117"/>
      <c r="N553" s="100"/>
      <c r="O553" s="100"/>
      <c r="P553" s="117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17"/>
      <c r="M554" s="117"/>
      <c r="N554" s="100"/>
      <c r="O554" s="100"/>
      <c r="P554" s="117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17"/>
      <c r="M555" s="117"/>
      <c r="N555" s="100"/>
      <c r="O555" s="100"/>
      <c r="P555" s="117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17"/>
      <c r="M556" s="117"/>
      <c r="N556" s="100"/>
      <c r="O556" s="100"/>
      <c r="P556" s="117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17"/>
      <c r="M557" s="117"/>
      <c r="N557" s="100"/>
      <c r="O557" s="100"/>
      <c r="P557" s="117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17"/>
      <c r="M558" s="117"/>
      <c r="N558" s="100"/>
      <c r="O558" s="100"/>
      <c r="P558" s="117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17"/>
      <c r="M559" s="117"/>
      <c r="N559" s="100"/>
      <c r="O559" s="100"/>
      <c r="P559" s="117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17"/>
      <c r="M560" s="117"/>
      <c r="N560" s="100"/>
      <c r="O560" s="100"/>
      <c r="P560" s="117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17"/>
      <c r="M561" s="117"/>
      <c r="N561" s="100"/>
      <c r="O561" s="100"/>
      <c r="P561" s="117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17"/>
      <c r="M562" s="117"/>
      <c r="N562" s="100"/>
      <c r="O562" s="100"/>
      <c r="P562" s="117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17"/>
      <c r="M563" s="117"/>
      <c r="N563" s="100"/>
      <c r="O563" s="100"/>
      <c r="P563" s="117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17"/>
      <c r="M564" s="117"/>
      <c r="N564" s="100"/>
      <c r="O564" s="100"/>
      <c r="P564" s="117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17"/>
      <c r="M565" s="117"/>
      <c r="N565" s="100"/>
      <c r="O565" s="100"/>
      <c r="P565" s="117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17"/>
      <c r="M566" s="117"/>
      <c r="N566" s="100"/>
      <c r="O566" s="100"/>
      <c r="P566" s="117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17"/>
      <c r="M567" s="117"/>
      <c r="N567" s="100"/>
      <c r="O567" s="100"/>
      <c r="P567" s="117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17"/>
      <c r="M568" s="117"/>
      <c r="N568" s="100"/>
      <c r="O568" s="100"/>
      <c r="P568" s="117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17"/>
      <c r="M569" s="117"/>
      <c r="N569" s="100"/>
      <c r="O569" s="100"/>
      <c r="P569" s="117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17"/>
      <c r="M570" s="117"/>
      <c r="N570" s="100"/>
      <c r="O570" s="100"/>
      <c r="P570" s="117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17"/>
      <c r="M571" s="117"/>
      <c r="N571" s="100"/>
      <c r="O571" s="100"/>
      <c r="P571" s="117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17"/>
      <c r="M572" s="117"/>
      <c r="N572" s="100"/>
      <c r="O572" s="100"/>
      <c r="P572" s="117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17"/>
      <c r="M573" s="117"/>
      <c r="N573" s="100"/>
      <c r="O573" s="100"/>
      <c r="P573" s="117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17"/>
      <c r="M574" s="117"/>
      <c r="N574" s="100"/>
      <c r="O574" s="100"/>
      <c r="P574" s="117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17"/>
      <c r="M575" s="117"/>
      <c r="N575" s="100"/>
      <c r="O575" s="100"/>
      <c r="P575" s="117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17"/>
      <c r="M576" s="117"/>
      <c r="N576" s="100"/>
      <c r="O576" s="100"/>
      <c r="P576" s="117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17"/>
      <c r="M577" s="117"/>
      <c r="N577" s="100"/>
      <c r="O577" s="100"/>
      <c r="P577" s="117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17"/>
      <c r="M578" s="117"/>
      <c r="N578" s="100"/>
      <c r="O578" s="100"/>
      <c r="P578" s="117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17"/>
      <c r="M579" s="117"/>
      <c r="N579" s="100"/>
      <c r="O579" s="100"/>
      <c r="P579" s="117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17"/>
      <c r="M580" s="117"/>
      <c r="N580" s="100"/>
      <c r="O580" s="100"/>
      <c r="P580" s="117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17"/>
      <c r="M581" s="117"/>
      <c r="N581" s="100"/>
      <c r="O581" s="100"/>
      <c r="P581" s="117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17"/>
      <c r="M582" s="117"/>
      <c r="N582" s="100"/>
      <c r="O582" s="100"/>
      <c r="P582" s="117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17"/>
      <c r="M583" s="117"/>
      <c r="N583" s="100"/>
      <c r="O583" s="100"/>
      <c r="P583" s="117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17"/>
      <c r="M584" s="117"/>
      <c r="N584" s="100"/>
      <c r="O584" s="100"/>
      <c r="P584" s="117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17"/>
      <c r="M585" s="117"/>
      <c r="N585" s="100"/>
      <c r="O585" s="100"/>
      <c r="P585" s="117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17"/>
      <c r="M586" s="117"/>
      <c r="N586" s="100"/>
      <c r="O586" s="100"/>
      <c r="P586" s="117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17"/>
      <c r="M587" s="117"/>
      <c r="N587" s="100"/>
      <c r="O587" s="100"/>
      <c r="P587" s="117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17"/>
      <c r="M588" s="117"/>
      <c r="N588" s="100"/>
      <c r="O588" s="100"/>
      <c r="P588" s="117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17"/>
      <c r="M589" s="117"/>
      <c r="N589" s="100"/>
      <c r="O589" s="100"/>
      <c r="P589" s="117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17"/>
      <c r="M590" s="117"/>
      <c r="N590" s="100"/>
      <c r="O590" s="100"/>
      <c r="P590" s="117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17"/>
      <c r="M591" s="117"/>
      <c r="N591" s="100"/>
      <c r="O591" s="100"/>
      <c r="P591" s="117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17"/>
      <c r="M592" s="117"/>
      <c r="N592" s="100"/>
      <c r="O592" s="100"/>
      <c r="P592" s="117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17"/>
      <c r="M593" s="117"/>
      <c r="N593" s="100"/>
      <c r="O593" s="100"/>
      <c r="P593" s="117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17"/>
      <c r="M594" s="117"/>
      <c r="N594" s="100"/>
      <c r="O594" s="100"/>
      <c r="P594" s="117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17"/>
      <c r="M595" s="117"/>
      <c r="N595" s="100"/>
      <c r="O595" s="100"/>
      <c r="P595" s="117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17"/>
      <c r="M596" s="117"/>
      <c r="N596" s="100"/>
      <c r="O596" s="100"/>
      <c r="P596" s="117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17"/>
      <c r="M597" s="117"/>
      <c r="N597" s="100"/>
      <c r="O597" s="100"/>
      <c r="P597" s="117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17"/>
      <c r="M598" s="117"/>
      <c r="N598" s="100"/>
      <c r="O598" s="100"/>
      <c r="P598" s="117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17"/>
      <c r="M599" s="117"/>
      <c r="N599" s="100"/>
      <c r="O599" s="100"/>
      <c r="P599" s="117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17"/>
      <c r="M600" s="117"/>
      <c r="N600" s="100"/>
      <c r="O600" s="100"/>
      <c r="P600" s="117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17"/>
      <c r="M601" s="117"/>
      <c r="N601" s="100"/>
      <c r="O601" s="100"/>
      <c r="P601" s="117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17"/>
      <c r="M602" s="117"/>
      <c r="N602" s="100"/>
      <c r="O602" s="100"/>
      <c r="P602" s="117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17"/>
      <c r="M603" s="117"/>
      <c r="N603" s="100"/>
      <c r="O603" s="100"/>
      <c r="P603" s="117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17"/>
      <c r="M604" s="117"/>
      <c r="N604" s="100"/>
      <c r="O604" s="100"/>
      <c r="P604" s="117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17"/>
      <c r="M605" s="117"/>
      <c r="N605" s="100"/>
      <c r="O605" s="100"/>
      <c r="P605" s="117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17"/>
      <c r="M606" s="117"/>
      <c r="N606" s="100"/>
      <c r="O606" s="100"/>
      <c r="P606" s="117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17"/>
      <c r="M607" s="117"/>
      <c r="N607" s="100"/>
      <c r="O607" s="100"/>
      <c r="P607" s="117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17"/>
      <c r="M608" s="117"/>
      <c r="N608" s="100"/>
      <c r="O608" s="100"/>
      <c r="P608" s="117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17"/>
      <c r="M609" s="117"/>
      <c r="N609" s="100"/>
      <c r="O609" s="100"/>
      <c r="P609" s="117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17"/>
      <c r="M610" s="117"/>
      <c r="N610" s="100"/>
      <c r="O610" s="100"/>
      <c r="P610" s="117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17"/>
      <c r="M611" s="117"/>
      <c r="N611" s="100"/>
      <c r="O611" s="100"/>
      <c r="P611" s="117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17"/>
      <c r="M612" s="117"/>
      <c r="N612" s="100"/>
      <c r="O612" s="100"/>
      <c r="P612" s="117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17"/>
      <c r="M613" s="117"/>
      <c r="N613" s="100"/>
      <c r="O613" s="100"/>
      <c r="P613" s="117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17"/>
      <c r="M614" s="117"/>
      <c r="N614" s="100"/>
      <c r="O614" s="100"/>
      <c r="P614" s="117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17"/>
      <c r="M615" s="117"/>
      <c r="N615" s="100"/>
      <c r="O615" s="100"/>
      <c r="P615" s="117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17"/>
      <c r="M616" s="117"/>
      <c r="N616" s="100"/>
      <c r="O616" s="100"/>
      <c r="P616" s="117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17"/>
      <c r="M617" s="117"/>
      <c r="N617" s="100"/>
      <c r="O617" s="100"/>
      <c r="P617" s="117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17"/>
      <c r="M618" s="117"/>
      <c r="N618" s="100"/>
      <c r="O618" s="100"/>
      <c r="P618" s="117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17"/>
      <c r="M619" s="117"/>
      <c r="N619" s="100"/>
      <c r="O619" s="100"/>
      <c r="P619" s="117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17"/>
      <c r="M620" s="117"/>
      <c r="N620" s="100"/>
      <c r="O620" s="100"/>
      <c r="P620" s="117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17"/>
      <c r="M621" s="117"/>
      <c r="N621" s="100"/>
      <c r="O621" s="100"/>
      <c r="P621" s="117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17"/>
      <c r="M622" s="117"/>
      <c r="N622" s="100"/>
      <c r="O622" s="100"/>
      <c r="P622" s="117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17"/>
      <c r="M623" s="117"/>
      <c r="N623" s="100"/>
      <c r="O623" s="100"/>
      <c r="P623" s="117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17"/>
      <c r="M624" s="117"/>
      <c r="N624" s="100"/>
      <c r="O624" s="100"/>
      <c r="P624" s="117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17"/>
      <c r="M625" s="117"/>
      <c r="N625" s="100"/>
      <c r="O625" s="100"/>
      <c r="P625" s="117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17"/>
      <c r="M626" s="117"/>
      <c r="N626" s="100"/>
      <c r="O626" s="100"/>
      <c r="P626" s="117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17"/>
      <c r="M627" s="117"/>
      <c r="N627" s="100"/>
      <c r="O627" s="100"/>
      <c r="P627" s="117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17"/>
      <c r="M628" s="117"/>
      <c r="N628" s="100"/>
      <c r="O628" s="100"/>
      <c r="P628" s="117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17"/>
      <c r="M629" s="117"/>
      <c r="N629" s="100"/>
      <c r="O629" s="100"/>
      <c r="P629" s="117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17"/>
      <c r="M630" s="117"/>
      <c r="N630" s="100"/>
      <c r="O630" s="100"/>
      <c r="P630" s="117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17"/>
      <c r="M631" s="117"/>
      <c r="N631" s="100"/>
      <c r="O631" s="100"/>
      <c r="P631" s="117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17"/>
      <c r="M632" s="117"/>
      <c r="N632" s="100"/>
      <c r="O632" s="100"/>
      <c r="P632" s="117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17"/>
      <c r="M633" s="117"/>
      <c r="N633" s="100"/>
      <c r="O633" s="100"/>
      <c r="P633" s="117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17"/>
      <c r="M634" s="117"/>
      <c r="N634" s="100"/>
      <c r="O634" s="100"/>
      <c r="P634" s="117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17"/>
      <c r="M635" s="117"/>
      <c r="N635" s="100"/>
      <c r="O635" s="100"/>
      <c r="P635" s="117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17"/>
      <c r="M636" s="117"/>
      <c r="N636" s="100"/>
      <c r="O636" s="100"/>
      <c r="P636" s="117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17"/>
      <c r="M637" s="117"/>
      <c r="N637" s="100"/>
      <c r="O637" s="100"/>
      <c r="P637" s="117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17"/>
      <c r="M638" s="117"/>
      <c r="N638" s="100"/>
      <c r="O638" s="100"/>
      <c r="P638" s="117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17"/>
      <c r="M639" s="117"/>
      <c r="N639" s="100"/>
      <c r="O639" s="100"/>
      <c r="P639" s="117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17"/>
      <c r="M640" s="117"/>
      <c r="N640" s="100"/>
      <c r="O640" s="100"/>
      <c r="P640" s="117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17"/>
      <c r="M641" s="117"/>
      <c r="N641" s="100"/>
      <c r="O641" s="100"/>
      <c r="P641" s="117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17"/>
      <c r="M642" s="117"/>
      <c r="N642" s="100"/>
      <c r="O642" s="100"/>
      <c r="P642" s="117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17"/>
      <c r="M643" s="117"/>
      <c r="N643" s="100"/>
      <c r="O643" s="100"/>
      <c r="P643" s="117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17"/>
      <c r="M644" s="117"/>
      <c r="N644" s="100"/>
      <c r="O644" s="100"/>
      <c r="P644" s="117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17"/>
      <c r="M645" s="117"/>
      <c r="N645" s="100"/>
      <c r="O645" s="100"/>
      <c r="P645" s="117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17"/>
      <c r="M646" s="117"/>
      <c r="N646" s="100"/>
      <c r="O646" s="100"/>
      <c r="P646" s="117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17"/>
      <c r="M647" s="117"/>
      <c r="N647" s="100"/>
      <c r="O647" s="100"/>
      <c r="P647" s="117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17"/>
      <c r="M648" s="117"/>
      <c r="N648" s="100"/>
      <c r="O648" s="100"/>
      <c r="P648" s="117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17"/>
      <c r="M649" s="117"/>
      <c r="N649" s="100"/>
      <c r="O649" s="100"/>
      <c r="P649" s="117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17"/>
      <c r="M650" s="117"/>
      <c r="N650" s="100"/>
      <c r="O650" s="100"/>
      <c r="P650" s="117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17"/>
      <c r="M651" s="117"/>
      <c r="N651" s="100"/>
      <c r="O651" s="100"/>
      <c r="P651" s="117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17"/>
      <c r="M652" s="117"/>
      <c r="N652" s="100"/>
      <c r="O652" s="100"/>
      <c r="P652" s="117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17"/>
      <c r="M653" s="117"/>
      <c r="N653" s="100"/>
      <c r="O653" s="100"/>
      <c r="P653" s="117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17"/>
      <c r="M654" s="117"/>
      <c r="N654" s="100"/>
      <c r="O654" s="100"/>
      <c r="P654" s="117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17"/>
      <c r="M655" s="117"/>
      <c r="N655" s="100"/>
      <c r="O655" s="100"/>
      <c r="P655" s="117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17"/>
      <c r="M656" s="117"/>
      <c r="N656" s="100"/>
      <c r="O656" s="100"/>
      <c r="P656" s="117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17"/>
      <c r="M657" s="117"/>
      <c r="N657" s="100"/>
      <c r="O657" s="100"/>
      <c r="P657" s="117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17"/>
      <c r="M658" s="117"/>
      <c r="N658" s="100"/>
      <c r="O658" s="100"/>
      <c r="P658" s="117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17"/>
      <c r="M659" s="117"/>
      <c r="N659" s="100"/>
      <c r="O659" s="100"/>
      <c r="P659" s="117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17"/>
      <c r="M660" s="117"/>
      <c r="N660" s="100"/>
      <c r="O660" s="100"/>
      <c r="P660" s="117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17"/>
      <c r="M661" s="117"/>
      <c r="N661" s="100"/>
      <c r="O661" s="100"/>
      <c r="P661" s="117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17"/>
      <c r="M662" s="117"/>
      <c r="N662" s="100"/>
      <c r="O662" s="100"/>
      <c r="P662" s="117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17"/>
      <c r="M663" s="117"/>
      <c r="N663" s="100"/>
      <c r="O663" s="100"/>
      <c r="P663" s="117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17"/>
      <c r="M664" s="117"/>
      <c r="N664" s="100"/>
      <c r="O664" s="100"/>
      <c r="P664" s="117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17"/>
      <c r="M665" s="117"/>
      <c r="N665" s="100"/>
      <c r="O665" s="100"/>
      <c r="P665" s="117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17"/>
      <c r="M666" s="117"/>
      <c r="N666" s="100"/>
      <c r="O666" s="100"/>
      <c r="P666" s="117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17"/>
      <c r="M667" s="117"/>
      <c r="N667" s="100"/>
      <c r="O667" s="100"/>
      <c r="P667" s="117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17"/>
      <c r="M668" s="117"/>
      <c r="N668" s="100"/>
      <c r="O668" s="100"/>
      <c r="P668" s="117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17"/>
      <c r="M669" s="117"/>
      <c r="N669" s="100"/>
      <c r="O669" s="100"/>
      <c r="P669" s="117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17"/>
      <c r="M670" s="117"/>
      <c r="N670" s="100"/>
      <c r="O670" s="100"/>
      <c r="P670" s="117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17"/>
      <c r="M671" s="117"/>
      <c r="N671" s="100"/>
      <c r="O671" s="100"/>
      <c r="P671" s="117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17"/>
      <c r="M672" s="117"/>
      <c r="N672" s="100"/>
      <c r="O672" s="100"/>
      <c r="P672" s="117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17"/>
      <c r="M673" s="117"/>
      <c r="N673" s="100"/>
      <c r="O673" s="100"/>
      <c r="P673" s="117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17"/>
      <c r="M674" s="117"/>
      <c r="N674" s="100"/>
      <c r="O674" s="100"/>
      <c r="P674" s="117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17"/>
      <c r="M675" s="117"/>
      <c r="N675" s="100"/>
      <c r="O675" s="100"/>
      <c r="P675" s="117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17"/>
      <c r="M676" s="117"/>
      <c r="N676" s="100"/>
      <c r="O676" s="100"/>
      <c r="P676" s="117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17"/>
      <c r="M677" s="117"/>
      <c r="N677" s="100"/>
      <c r="O677" s="100"/>
      <c r="P677" s="117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17"/>
      <c r="M678" s="117"/>
      <c r="N678" s="100"/>
      <c r="O678" s="100"/>
      <c r="P678" s="117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17"/>
      <c r="M679" s="117"/>
      <c r="N679" s="100"/>
      <c r="O679" s="100"/>
      <c r="P679" s="117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17"/>
      <c r="M680" s="117"/>
      <c r="N680" s="100"/>
      <c r="O680" s="100"/>
      <c r="P680" s="117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17"/>
      <c r="M681" s="117"/>
      <c r="N681" s="100"/>
      <c r="O681" s="100"/>
      <c r="P681" s="117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17"/>
      <c r="M682" s="117"/>
      <c r="N682" s="100"/>
      <c r="O682" s="100"/>
      <c r="P682" s="117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17"/>
      <c r="M683" s="117"/>
      <c r="N683" s="100"/>
      <c r="O683" s="100"/>
      <c r="P683" s="117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17"/>
      <c r="M684" s="117"/>
      <c r="N684" s="100"/>
      <c r="O684" s="100"/>
      <c r="P684" s="117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17"/>
      <c r="M685" s="117"/>
      <c r="N685" s="100"/>
      <c r="O685" s="100"/>
      <c r="P685" s="117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17"/>
      <c r="M686" s="117"/>
      <c r="N686" s="100"/>
      <c r="O686" s="100"/>
      <c r="P686" s="117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17"/>
      <c r="M687" s="117"/>
      <c r="N687" s="100"/>
      <c r="O687" s="100"/>
      <c r="P687" s="117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17"/>
      <c r="M688" s="117"/>
      <c r="N688" s="100"/>
      <c r="O688" s="100"/>
      <c r="P688" s="117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17"/>
      <c r="M689" s="117"/>
      <c r="N689" s="100"/>
      <c r="O689" s="100"/>
      <c r="P689" s="117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17"/>
      <c r="M690" s="117"/>
      <c r="N690" s="100"/>
      <c r="O690" s="100"/>
      <c r="P690" s="117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17"/>
      <c r="M691" s="117"/>
      <c r="N691" s="100"/>
      <c r="O691" s="100"/>
      <c r="P691" s="117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17"/>
      <c r="M692" s="117"/>
      <c r="N692" s="100"/>
      <c r="O692" s="100"/>
      <c r="P692" s="117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17"/>
      <c r="M693" s="117"/>
      <c r="N693" s="100"/>
      <c r="O693" s="100"/>
      <c r="P693" s="117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17"/>
      <c r="M694" s="117"/>
      <c r="N694" s="100"/>
      <c r="O694" s="100"/>
      <c r="P694" s="117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17"/>
      <c r="M695" s="117"/>
      <c r="N695" s="100"/>
      <c r="O695" s="100"/>
      <c r="P695" s="117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17"/>
      <c r="M696" s="117"/>
      <c r="N696" s="100"/>
      <c r="O696" s="100"/>
      <c r="P696" s="117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17"/>
      <c r="M697" s="117"/>
      <c r="N697" s="100"/>
      <c r="O697" s="100"/>
      <c r="P697" s="117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17"/>
      <c r="M698" s="117"/>
      <c r="N698" s="100"/>
      <c r="O698" s="100"/>
      <c r="P698" s="117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17"/>
      <c r="M699" s="117"/>
      <c r="N699" s="100"/>
      <c r="O699" s="100"/>
      <c r="P699" s="117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17"/>
      <c r="M700" s="117"/>
      <c r="N700" s="100"/>
      <c r="O700" s="100"/>
      <c r="P700" s="117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17"/>
      <c r="M701" s="117"/>
      <c r="N701" s="100"/>
      <c r="O701" s="100"/>
      <c r="P701" s="117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17"/>
      <c r="M702" s="117"/>
      <c r="N702" s="100"/>
      <c r="O702" s="100"/>
      <c r="P702" s="117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17"/>
      <c r="M703" s="117"/>
      <c r="N703" s="100"/>
      <c r="O703" s="100"/>
      <c r="P703" s="117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17"/>
      <c r="M704" s="117"/>
      <c r="N704" s="100"/>
      <c r="O704" s="100"/>
      <c r="P704" s="117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17"/>
      <c r="M705" s="117"/>
      <c r="N705" s="100"/>
      <c r="O705" s="100"/>
      <c r="P705" s="117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17"/>
      <c r="M706" s="117"/>
      <c r="N706" s="100"/>
      <c r="O706" s="100"/>
      <c r="P706" s="117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17"/>
      <c r="M707" s="117"/>
      <c r="N707" s="100"/>
      <c r="O707" s="100"/>
      <c r="P707" s="117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17"/>
      <c r="M708" s="117"/>
      <c r="N708" s="100"/>
      <c r="O708" s="100"/>
      <c r="P708" s="117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17"/>
      <c r="M709" s="117"/>
      <c r="N709" s="100"/>
      <c r="O709" s="100"/>
      <c r="P709" s="117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17"/>
      <c r="M710" s="117"/>
      <c r="N710" s="100"/>
      <c r="O710" s="100"/>
      <c r="P710" s="117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17"/>
      <c r="M711" s="117"/>
      <c r="N711" s="100"/>
      <c r="O711" s="100"/>
      <c r="P711" s="117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17"/>
      <c r="M712" s="117"/>
      <c r="N712" s="100"/>
      <c r="O712" s="100"/>
      <c r="P712" s="117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17"/>
      <c r="M713" s="117"/>
      <c r="N713" s="100"/>
      <c r="O713" s="100"/>
      <c r="P713" s="117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17"/>
      <c r="M714" s="117"/>
      <c r="N714" s="100"/>
      <c r="O714" s="100"/>
      <c r="P714" s="117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17"/>
      <c r="M715" s="117"/>
      <c r="N715" s="100"/>
      <c r="O715" s="100"/>
      <c r="P715" s="117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17"/>
      <c r="M716" s="117"/>
      <c r="N716" s="100"/>
      <c r="O716" s="100"/>
      <c r="P716" s="117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17"/>
      <c r="M717" s="117"/>
      <c r="N717" s="100"/>
      <c r="O717" s="100"/>
      <c r="P717" s="117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17"/>
      <c r="M718" s="117"/>
      <c r="N718" s="100"/>
      <c r="O718" s="100"/>
      <c r="P718" s="117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17"/>
      <c r="M719" s="117"/>
      <c r="N719" s="100"/>
      <c r="O719" s="100"/>
      <c r="P719" s="117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17"/>
      <c r="M720" s="117"/>
      <c r="N720" s="100"/>
      <c r="O720" s="100"/>
      <c r="P720" s="117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17"/>
      <c r="M721" s="117"/>
      <c r="N721" s="100"/>
      <c r="O721" s="100"/>
      <c r="P721" s="117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17"/>
      <c r="M722" s="117"/>
      <c r="N722" s="100"/>
      <c r="O722" s="100"/>
      <c r="P722" s="117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17"/>
      <c r="M723" s="117"/>
      <c r="N723" s="100"/>
      <c r="O723" s="100"/>
      <c r="P723" s="117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17"/>
      <c r="M724" s="117"/>
      <c r="N724" s="100"/>
      <c r="O724" s="100"/>
      <c r="P724" s="117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17"/>
      <c r="M725" s="117"/>
      <c r="N725" s="100"/>
      <c r="O725" s="100"/>
      <c r="P725" s="117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17"/>
      <c r="M726" s="117"/>
      <c r="N726" s="100"/>
      <c r="O726" s="100"/>
      <c r="P726" s="117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17"/>
      <c r="M727" s="117"/>
      <c r="N727" s="100"/>
      <c r="O727" s="100"/>
      <c r="P727" s="117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17"/>
      <c r="M728" s="117"/>
      <c r="N728" s="100"/>
      <c r="O728" s="100"/>
      <c r="P728" s="117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17"/>
      <c r="M729" s="117"/>
      <c r="N729" s="100"/>
      <c r="O729" s="100"/>
      <c r="P729" s="117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17"/>
      <c r="M730" s="117"/>
      <c r="N730" s="100"/>
      <c r="O730" s="100"/>
      <c r="P730" s="117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17"/>
      <c r="M731" s="117"/>
      <c r="N731" s="100"/>
      <c r="O731" s="100"/>
      <c r="P731" s="117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17"/>
      <c r="M732" s="117"/>
      <c r="N732" s="100"/>
      <c r="O732" s="100"/>
      <c r="P732" s="117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17"/>
      <c r="M733" s="117"/>
      <c r="N733" s="100"/>
      <c r="O733" s="100"/>
      <c r="P733" s="117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17"/>
      <c r="M734" s="117"/>
      <c r="N734" s="100"/>
      <c r="O734" s="100"/>
      <c r="P734" s="117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17"/>
      <c r="M735" s="117"/>
      <c r="N735" s="100"/>
      <c r="O735" s="100"/>
      <c r="P735" s="117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17"/>
      <c r="M736" s="117"/>
      <c r="N736" s="100"/>
      <c r="O736" s="100"/>
      <c r="P736" s="117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17"/>
      <c r="M737" s="117"/>
      <c r="N737" s="100"/>
      <c r="O737" s="100"/>
      <c r="P737" s="117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17"/>
      <c r="M738" s="117"/>
      <c r="N738" s="100"/>
      <c r="O738" s="100"/>
      <c r="P738" s="117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17"/>
      <c r="M739" s="117"/>
      <c r="N739" s="100"/>
      <c r="O739" s="100"/>
      <c r="P739" s="117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17"/>
      <c r="M740" s="117"/>
      <c r="N740" s="100"/>
      <c r="O740" s="100"/>
      <c r="P740" s="117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17"/>
      <c r="M741" s="117"/>
      <c r="N741" s="100"/>
      <c r="O741" s="100"/>
      <c r="P741" s="117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17"/>
      <c r="M742" s="117"/>
      <c r="N742" s="100"/>
      <c r="O742" s="100"/>
      <c r="P742" s="117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17"/>
      <c r="M743" s="117"/>
      <c r="N743" s="100"/>
      <c r="O743" s="100"/>
      <c r="P743" s="117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17"/>
      <c r="M744" s="117"/>
      <c r="N744" s="100"/>
      <c r="O744" s="100"/>
      <c r="P744" s="117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17"/>
      <c r="M745" s="117"/>
      <c r="N745" s="100"/>
      <c r="O745" s="100"/>
      <c r="P745" s="117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17"/>
      <c r="M746" s="117"/>
      <c r="N746" s="100"/>
      <c r="O746" s="100"/>
      <c r="P746" s="117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17"/>
      <c r="M747" s="117"/>
      <c r="N747" s="100"/>
      <c r="O747" s="100"/>
      <c r="P747" s="117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17"/>
      <c r="M748" s="117"/>
      <c r="N748" s="100"/>
      <c r="O748" s="100"/>
      <c r="P748" s="117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17"/>
      <c r="M749" s="117"/>
      <c r="N749" s="100"/>
      <c r="O749" s="100"/>
      <c r="P749" s="117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17"/>
      <c r="M750" s="117"/>
      <c r="N750" s="100"/>
      <c r="O750" s="100"/>
      <c r="P750" s="117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17"/>
      <c r="M751" s="117"/>
      <c r="N751" s="100"/>
      <c r="O751" s="100"/>
      <c r="P751" s="117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17"/>
      <c r="M752" s="117"/>
      <c r="N752" s="100"/>
      <c r="O752" s="100"/>
      <c r="P752" s="117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17"/>
      <c r="M753" s="117"/>
      <c r="N753" s="100"/>
      <c r="O753" s="100"/>
      <c r="P753" s="117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17"/>
      <c r="M754" s="117"/>
      <c r="N754" s="100"/>
      <c r="O754" s="100"/>
      <c r="P754" s="117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17"/>
      <c r="M755" s="117"/>
      <c r="N755" s="100"/>
      <c r="O755" s="100"/>
      <c r="P755" s="117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17"/>
      <c r="M756" s="117"/>
      <c r="N756" s="100"/>
      <c r="O756" s="100"/>
      <c r="P756" s="117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17"/>
      <c r="M757" s="117"/>
      <c r="N757" s="100"/>
      <c r="O757" s="100"/>
      <c r="P757" s="117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17"/>
      <c r="M758" s="117"/>
      <c r="N758" s="100"/>
      <c r="O758" s="100"/>
      <c r="P758" s="117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17"/>
      <c r="M759" s="117"/>
      <c r="N759" s="100"/>
      <c r="O759" s="100"/>
      <c r="P759" s="117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17"/>
      <c r="M760" s="117"/>
      <c r="N760" s="100"/>
      <c r="O760" s="100"/>
      <c r="P760" s="117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17"/>
      <c r="M761" s="117"/>
      <c r="N761" s="100"/>
      <c r="O761" s="100"/>
      <c r="P761" s="117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17"/>
      <c r="M762" s="117"/>
      <c r="N762" s="100"/>
      <c r="O762" s="100"/>
      <c r="P762" s="117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17"/>
      <c r="M763" s="117"/>
      <c r="N763" s="100"/>
      <c r="O763" s="100"/>
      <c r="P763" s="117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17"/>
      <c r="M764" s="117"/>
      <c r="N764" s="100"/>
      <c r="O764" s="100"/>
      <c r="P764" s="117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17"/>
      <c r="M765" s="117"/>
      <c r="N765" s="100"/>
      <c r="O765" s="100"/>
      <c r="P765" s="117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17"/>
      <c r="M766" s="117"/>
      <c r="N766" s="100"/>
      <c r="O766" s="100"/>
      <c r="P766" s="117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17"/>
      <c r="M767" s="117"/>
      <c r="N767" s="100"/>
      <c r="O767" s="100"/>
      <c r="P767" s="117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17"/>
      <c r="M768" s="117"/>
      <c r="N768" s="100"/>
      <c r="O768" s="100"/>
      <c r="P768" s="117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17"/>
      <c r="M769" s="117"/>
      <c r="N769" s="100"/>
      <c r="O769" s="100"/>
      <c r="P769" s="117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17"/>
      <c r="M770" s="117"/>
      <c r="N770" s="100"/>
      <c r="O770" s="100"/>
      <c r="P770" s="117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17"/>
      <c r="M771" s="117"/>
      <c r="N771" s="100"/>
      <c r="O771" s="100"/>
      <c r="P771" s="117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17"/>
      <c r="M772" s="117"/>
      <c r="N772" s="100"/>
      <c r="O772" s="100"/>
      <c r="P772" s="117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17"/>
      <c r="M773" s="117"/>
      <c r="N773" s="100"/>
      <c r="O773" s="100"/>
      <c r="P773" s="117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17"/>
      <c r="M774" s="117"/>
      <c r="N774" s="100"/>
      <c r="O774" s="100"/>
      <c r="P774" s="117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17"/>
      <c r="M775" s="117"/>
      <c r="N775" s="100"/>
      <c r="O775" s="100"/>
      <c r="P775" s="117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17"/>
      <c r="M776" s="117"/>
      <c r="N776" s="100"/>
      <c r="O776" s="100"/>
      <c r="P776" s="117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17"/>
      <c r="M777" s="117"/>
      <c r="N777" s="100"/>
      <c r="O777" s="100"/>
      <c r="P777" s="117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17"/>
      <c r="M778" s="117"/>
      <c r="N778" s="100"/>
      <c r="O778" s="100"/>
      <c r="P778" s="117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17"/>
      <c r="M779" s="117"/>
      <c r="N779" s="100"/>
      <c r="O779" s="100"/>
      <c r="P779" s="117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17"/>
      <c r="M780" s="117"/>
      <c r="N780" s="100"/>
      <c r="O780" s="100"/>
      <c r="P780" s="117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17"/>
      <c r="M781" s="117"/>
      <c r="N781" s="100"/>
      <c r="O781" s="100"/>
      <c r="P781" s="117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17"/>
      <c r="M782" s="117"/>
      <c r="N782" s="100"/>
      <c r="O782" s="100"/>
      <c r="P782" s="117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17"/>
      <c r="M783" s="117"/>
      <c r="N783" s="100"/>
      <c r="O783" s="100"/>
      <c r="P783" s="117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17"/>
      <c r="M784" s="117"/>
      <c r="N784" s="100"/>
      <c r="O784" s="100"/>
      <c r="P784" s="117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17"/>
      <c r="M785" s="117"/>
      <c r="N785" s="100"/>
      <c r="O785" s="100"/>
      <c r="P785" s="117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17"/>
      <c r="M786" s="117"/>
      <c r="N786" s="100"/>
      <c r="O786" s="100"/>
      <c r="P786" s="117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17"/>
      <c r="M787" s="117"/>
      <c r="N787" s="100"/>
      <c r="O787" s="100"/>
      <c r="P787" s="117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17"/>
      <c r="M788" s="117"/>
      <c r="N788" s="100"/>
      <c r="O788" s="100"/>
      <c r="P788" s="117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17"/>
      <c r="M789" s="117"/>
      <c r="N789" s="100"/>
      <c r="O789" s="100"/>
      <c r="P789" s="117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17"/>
      <c r="M790" s="117"/>
      <c r="N790" s="100"/>
      <c r="O790" s="100"/>
      <c r="P790" s="117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17"/>
      <c r="M791" s="117"/>
      <c r="N791" s="100"/>
      <c r="O791" s="100"/>
      <c r="P791" s="117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17"/>
      <c r="M792" s="117"/>
      <c r="N792" s="100"/>
      <c r="O792" s="100"/>
      <c r="P792" s="117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17"/>
      <c r="M793" s="117"/>
      <c r="N793" s="100"/>
      <c r="O793" s="100"/>
      <c r="P793" s="117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17"/>
      <c r="M794" s="117"/>
      <c r="N794" s="100"/>
      <c r="O794" s="100"/>
      <c r="P794" s="117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17"/>
      <c r="M795" s="117"/>
      <c r="N795" s="100"/>
      <c r="O795" s="100"/>
      <c r="P795" s="117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17"/>
      <c r="M796" s="117"/>
      <c r="N796" s="100"/>
      <c r="O796" s="100"/>
      <c r="P796" s="117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17"/>
      <c r="M797" s="117"/>
      <c r="N797" s="100"/>
      <c r="O797" s="100"/>
      <c r="P797" s="117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17"/>
      <c r="M798" s="117"/>
      <c r="N798" s="100"/>
      <c r="O798" s="100"/>
      <c r="P798" s="117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17"/>
      <c r="M799" s="117"/>
      <c r="N799" s="100"/>
      <c r="O799" s="100"/>
      <c r="P799" s="117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17"/>
      <c r="M800" s="117"/>
      <c r="N800" s="100"/>
      <c r="O800" s="100"/>
      <c r="P800" s="117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17"/>
      <c r="M801" s="117"/>
      <c r="N801" s="100"/>
      <c r="O801" s="100"/>
      <c r="P801" s="117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17"/>
      <c r="M802" s="117"/>
      <c r="N802" s="100"/>
      <c r="O802" s="100"/>
      <c r="P802" s="117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17"/>
      <c r="M803" s="117"/>
      <c r="N803" s="100"/>
      <c r="O803" s="100"/>
      <c r="P803" s="117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17"/>
      <c r="M804" s="117"/>
      <c r="N804" s="100"/>
      <c r="O804" s="100"/>
      <c r="P804" s="117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17"/>
      <c r="M805" s="117"/>
      <c r="N805" s="100"/>
      <c r="O805" s="100"/>
      <c r="P805" s="117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17"/>
      <c r="M806" s="117"/>
      <c r="N806" s="100"/>
      <c r="O806" s="100"/>
      <c r="P806" s="117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17"/>
      <c r="M807" s="117"/>
      <c r="N807" s="100"/>
      <c r="O807" s="100"/>
      <c r="P807" s="117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17"/>
      <c r="M808" s="117"/>
      <c r="N808" s="100"/>
      <c r="O808" s="100"/>
      <c r="P808" s="117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17"/>
      <c r="M809" s="117"/>
      <c r="N809" s="100"/>
      <c r="O809" s="100"/>
      <c r="P809" s="117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17"/>
      <c r="M810" s="117"/>
      <c r="N810" s="100"/>
      <c r="O810" s="100"/>
      <c r="P810" s="117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17"/>
      <c r="M811" s="117"/>
      <c r="N811" s="100"/>
      <c r="O811" s="100"/>
      <c r="P811" s="117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17"/>
      <c r="M812" s="117"/>
      <c r="N812" s="100"/>
      <c r="O812" s="100"/>
      <c r="P812" s="117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17"/>
      <c r="M813" s="117"/>
      <c r="N813" s="100"/>
      <c r="O813" s="100"/>
      <c r="P813" s="117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17"/>
      <c r="M814" s="117"/>
      <c r="N814" s="100"/>
      <c r="O814" s="100"/>
      <c r="P814" s="117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17"/>
      <c r="M815" s="117"/>
      <c r="N815" s="100"/>
      <c r="O815" s="100"/>
      <c r="P815" s="117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17"/>
      <c r="M816" s="117"/>
      <c r="N816" s="100"/>
      <c r="O816" s="100"/>
      <c r="P816" s="117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17"/>
      <c r="M817" s="117"/>
      <c r="N817" s="100"/>
      <c r="O817" s="100"/>
      <c r="P817" s="117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17"/>
      <c r="M818" s="117"/>
      <c r="N818" s="100"/>
      <c r="O818" s="100"/>
      <c r="P818" s="117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17"/>
      <c r="M819" s="117"/>
      <c r="N819" s="100"/>
      <c r="O819" s="100"/>
      <c r="P819" s="117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17"/>
      <c r="M820" s="117"/>
      <c r="N820" s="100"/>
      <c r="O820" s="100"/>
      <c r="P820" s="117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17"/>
      <c r="M821" s="117"/>
      <c r="N821" s="100"/>
      <c r="O821" s="100"/>
      <c r="P821" s="117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17"/>
      <c r="M822" s="117"/>
      <c r="N822" s="100"/>
      <c r="O822" s="100"/>
      <c r="P822" s="117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17"/>
      <c r="M823" s="117"/>
      <c r="N823" s="100"/>
      <c r="O823" s="100"/>
      <c r="P823" s="117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17"/>
      <c r="M824" s="117"/>
      <c r="N824" s="100"/>
      <c r="O824" s="100"/>
      <c r="P824" s="117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17"/>
      <c r="M825" s="117"/>
      <c r="N825" s="100"/>
      <c r="O825" s="100"/>
      <c r="P825" s="117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17"/>
      <c r="M826" s="117"/>
      <c r="N826" s="100"/>
      <c r="O826" s="100"/>
      <c r="P826" s="117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17"/>
      <c r="M827" s="117"/>
      <c r="N827" s="100"/>
      <c r="O827" s="100"/>
      <c r="P827" s="117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17"/>
      <c r="M828" s="117"/>
      <c r="N828" s="100"/>
      <c r="O828" s="100"/>
      <c r="P828" s="117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17"/>
      <c r="M829" s="117"/>
      <c r="N829" s="100"/>
      <c r="O829" s="100"/>
      <c r="P829" s="117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17"/>
      <c r="M830" s="117"/>
      <c r="N830" s="100"/>
      <c r="O830" s="100"/>
      <c r="P830" s="117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17"/>
      <c r="M831" s="117"/>
      <c r="N831" s="100"/>
      <c r="O831" s="100"/>
      <c r="P831" s="117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17"/>
      <c r="M832" s="117"/>
      <c r="N832" s="100"/>
      <c r="O832" s="100"/>
      <c r="P832" s="117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17"/>
      <c r="M833" s="117"/>
      <c r="N833" s="100"/>
      <c r="O833" s="100"/>
      <c r="P833" s="117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17"/>
      <c r="M834" s="117"/>
      <c r="N834" s="100"/>
      <c r="O834" s="100"/>
      <c r="P834" s="117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17"/>
      <c r="M835" s="117"/>
      <c r="N835" s="100"/>
      <c r="O835" s="100"/>
      <c r="P835" s="117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17"/>
      <c r="M836" s="117"/>
      <c r="N836" s="100"/>
      <c r="O836" s="100"/>
      <c r="P836" s="117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17"/>
      <c r="M837" s="117"/>
      <c r="N837" s="100"/>
      <c r="O837" s="100"/>
      <c r="P837" s="117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17"/>
      <c r="M838" s="117"/>
      <c r="N838" s="100"/>
      <c r="O838" s="100"/>
      <c r="P838" s="117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17"/>
      <c r="M839" s="117"/>
      <c r="N839" s="100"/>
      <c r="O839" s="100"/>
      <c r="P839" s="117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17"/>
      <c r="M840" s="117"/>
      <c r="N840" s="100"/>
      <c r="O840" s="100"/>
      <c r="P840" s="117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17"/>
      <c r="M841" s="117"/>
      <c r="N841" s="100"/>
      <c r="O841" s="100"/>
      <c r="P841" s="117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17"/>
      <c r="M842" s="117"/>
      <c r="N842" s="100"/>
      <c r="O842" s="100"/>
      <c r="P842" s="117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17"/>
      <c r="M843" s="117"/>
      <c r="N843" s="100"/>
      <c r="O843" s="100"/>
      <c r="P843" s="117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17"/>
      <c r="M844" s="117"/>
      <c r="N844" s="100"/>
      <c r="O844" s="100"/>
      <c r="P844" s="117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17"/>
      <c r="M845" s="117"/>
      <c r="N845" s="100"/>
      <c r="O845" s="100"/>
      <c r="P845" s="117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17"/>
      <c r="M846" s="117"/>
      <c r="N846" s="100"/>
      <c r="O846" s="100"/>
      <c r="P846" s="117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17"/>
      <c r="M847" s="117"/>
      <c r="N847" s="100"/>
      <c r="O847" s="100"/>
      <c r="P847" s="117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17"/>
      <c r="M848" s="117"/>
      <c r="N848" s="100"/>
      <c r="O848" s="100"/>
      <c r="P848" s="117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17"/>
      <c r="M849" s="117"/>
      <c r="N849" s="100"/>
      <c r="O849" s="100"/>
      <c r="P849" s="117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17"/>
      <c r="M850" s="117"/>
      <c r="N850" s="100"/>
      <c r="O850" s="100"/>
      <c r="P850" s="117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17"/>
      <c r="M851" s="117"/>
      <c r="N851" s="100"/>
      <c r="O851" s="100"/>
      <c r="P851" s="117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17"/>
      <c r="M852" s="117"/>
      <c r="N852" s="100"/>
      <c r="O852" s="100"/>
      <c r="P852" s="117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17"/>
      <c r="M853" s="117"/>
      <c r="N853" s="100"/>
      <c r="O853" s="100"/>
      <c r="P853" s="117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17"/>
      <c r="M854" s="117"/>
      <c r="N854" s="100"/>
      <c r="O854" s="100"/>
      <c r="P854" s="117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17"/>
      <c r="M855" s="117"/>
      <c r="N855" s="100"/>
      <c r="O855" s="100"/>
      <c r="P855" s="117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17"/>
      <c r="M856" s="117"/>
      <c r="N856" s="100"/>
      <c r="O856" s="100"/>
      <c r="P856" s="117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17"/>
      <c r="M857" s="117"/>
      <c r="N857" s="100"/>
      <c r="O857" s="100"/>
      <c r="P857" s="117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17"/>
      <c r="M858" s="117"/>
      <c r="N858" s="100"/>
      <c r="O858" s="100"/>
      <c r="P858" s="117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17"/>
      <c r="M859" s="117"/>
      <c r="N859" s="100"/>
      <c r="O859" s="100"/>
      <c r="P859" s="117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17"/>
      <c r="M860" s="117"/>
      <c r="N860" s="100"/>
      <c r="O860" s="100"/>
      <c r="P860" s="117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17"/>
      <c r="M861" s="117"/>
      <c r="N861" s="100"/>
      <c r="O861" s="100"/>
      <c r="P861" s="117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17"/>
      <c r="M862" s="117"/>
      <c r="N862" s="100"/>
      <c r="O862" s="100"/>
      <c r="P862" s="117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17"/>
      <c r="M863" s="117"/>
      <c r="N863" s="100"/>
      <c r="O863" s="100"/>
      <c r="P863" s="117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17"/>
      <c r="M864" s="117"/>
      <c r="N864" s="100"/>
      <c r="O864" s="100"/>
      <c r="P864" s="117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17"/>
      <c r="M865" s="117"/>
      <c r="N865" s="100"/>
      <c r="O865" s="100"/>
      <c r="P865" s="117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17"/>
      <c r="M866" s="117"/>
      <c r="N866" s="100"/>
      <c r="O866" s="100"/>
      <c r="P866" s="117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17"/>
      <c r="M867" s="117"/>
      <c r="N867" s="100"/>
      <c r="O867" s="100"/>
      <c r="P867" s="117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17"/>
      <c r="M868" s="117"/>
      <c r="N868" s="100"/>
      <c r="O868" s="100"/>
      <c r="P868" s="117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17"/>
      <c r="M869" s="117"/>
      <c r="N869" s="100"/>
      <c r="O869" s="100"/>
      <c r="P869" s="117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17"/>
      <c r="M870" s="117"/>
      <c r="N870" s="100"/>
      <c r="O870" s="100"/>
      <c r="P870" s="117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17"/>
      <c r="M871" s="117"/>
      <c r="N871" s="100"/>
      <c r="O871" s="100"/>
      <c r="P871" s="117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17"/>
      <c r="M872" s="117"/>
      <c r="N872" s="100"/>
      <c r="O872" s="100"/>
      <c r="P872" s="117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17"/>
      <c r="M873" s="117"/>
      <c r="N873" s="100"/>
      <c r="O873" s="100"/>
      <c r="P873" s="117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17"/>
      <c r="M874" s="117"/>
      <c r="N874" s="100"/>
      <c r="O874" s="100"/>
      <c r="P874" s="117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17"/>
      <c r="M875" s="117"/>
      <c r="N875" s="100"/>
      <c r="O875" s="100"/>
      <c r="P875" s="117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17"/>
      <c r="M876" s="117"/>
      <c r="N876" s="100"/>
      <c r="O876" s="100"/>
      <c r="P876" s="117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17"/>
      <c r="M877" s="117"/>
      <c r="N877" s="100"/>
      <c r="O877" s="100"/>
      <c r="P877" s="117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17"/>
      <c r="M878" s="117"/>
      <c r="N878" s="100"/>
      <c r="O878" s="100"/>
      <c r="P878" s="117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17"/>
      <c r="M879" s="117"/>
      <c r="N879" s="100"/>
      <c r="O879" s="100"/>
      <c r="P879" s="117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17"/>
      <c r="M880" s="117"/>
      <c r="N880" s="100"/>
      <c r="O880" s="100"/>
      <c r="P880" s="117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17"/>
      <c r="M881" s="117"/>
      <c r="N881" s="100"/>
      <c r="O881" s="100"/>
      <c r="P881" s="117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17"/>
      <c r="M882" s="117"/>
      <c r="N882" s="100"/>
      <c r="O882" s="100"/>
      <c r="P882" s="117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17"/>
      <c r="M883" s="117"/>
      <c r="N883" s="100"/>
      <c r="O883" s="100"/>
      <c r="P883" s="117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17"/>
      <c r="M884" s="117"/>
      <c r="N884" s="100"/>
      <c r="O884" s="100"/>
      <c r="P884" s="117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17"/>
      <c r="M885" s="117"/>
      <c r="N885" s="100"/>
      <c r="O885" s="100"/>
      <c r="P885" s="117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17"/>
      <c r="M886" s="117"/>
      <c r="N886" s="100"/>
      <c r="O886" s="100"/>
      <c r="P886" s="117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17"/>
      <c r="M887" s="117"/>
      <c r="N887" s="100"/>
      <c r="O887" s="100"/>
      <c r="P887" s="117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17"/>
      <c r="M888" s="117"/>
      <c r="N888" s="100"/>
      <c r="O888" s="100"/>
      <c r="P888" s="117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17"/>
      <c r="M889" s="117"/>
      <c r="N889" s="100"/>
      <c r="O889" s="100"/>
      <c r="P889" s="117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17"/>
      <c r="M890" s="117"/>
      <c r="N890" s="100"/>
      <c r="O890" s="100"/>
      <c r="P890" s="117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17"/>
      <c r="M891" s="117"/>
      <c r="N891" s="100"/>
      <c r="O891" s="100"/>
      <c r="P891" s="117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17"/>
      <c r="M892" s="117"/>
      <c r="N892" s="100"/>
      <c r="O892" s="100"/>
      <c r="P892" s="117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17"/>
      <c r="M893" s="117"/>
      <c r="N893" s="100"/>
      <c r="O893" s="100"/>
      <c r="P893" s="117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17"/>
      <c r="M894" s="117"/>
      <c r="N894" s="100"/>
      <c r="O894" s="100"/>
      <c r="P894" s="117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17"/>
      <c r="M895" s="117"/>
      <c r="N895" s="100"/>
      <c r="O895" s="100"/>
      <c r="P895" s="117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17"/>
      <c r="M896" s="117"/>
      <c r="N896" s="100"/>
      <c r="O896" s="100"/>
      <c r="P896" s="117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17"/>
      <c r="M897" s="117"/>
      <c r="N897" s="100"/>
      <c r="O897" s="100"/>
      <c r="P897" s="117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17"/>
      <c r="M898" s="117"/>
      <c r="N898" s="100"/>
      <c r="O898" s="100"/>
      <c r="P898" s="117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17"/>
      <c r="M899" s="117"/>
      <c r="N899" s="100"/>
      <c r="O899" s="100"/>
      <c r="P899" s="117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17"/>
      <c r="M900" s="117"/>
      <c r="N900" s="100"/>
      <c r="O900" s="100"/>
      <c r="P900" s="117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17"/>
      <c r="M901" s="117"/>
      <c r="N901" s="100"/>
      <c r="O901" s="100"/>
      <c r="P901" s="117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17"/>
      <c r="M902" s="117"/>
      <c r="N902" s="100"/>
      <c r="O902" s="100"/>
      <c r="P902" s="117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17"/>
      <c r="M903" s="117"/>
      <c r="N903" s="100"/>
      <c r="O903" s="100"/>
      <c r="P903" s="117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17"/>
      <c r="M904" s="117"/>
      <c r="N904" s="100"/>
      <c r="O904" s="100"/>
      <c r="P904" s="117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17"/>
      <c r="M905" s="117"/>
      <c r="N905" s="100"/>
      <c r="O905" s="100"/>
      <c r="P905" s="117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17"/>
      <c r="M906" s="117"/>
      <c r="N906" s="100"/>
      <c r="O906" s="100"/>
      <c r="P906" s="117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17"/>
      <c r="M907" s="117"/>
      <c r="N907" s="100"/>
      <c r="O907" s="100"/>
      <c r="P907" s="117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17"/>
      <c r="M908" s="117"/>
      <c r="N908" s="100"/>
      <c r="O908" s="100"/>
      <c r="P908" s="117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17"/>
      <c r="M909" s="117"/>
      <c r="N909" s="100"/>
      <c r="O909" s="100"/>
      <c r="P909" s="117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17"/>
      <c r="M910" s="117"/>
      <c r="N910" s="100"/>
      <c r="O910" s="100"/>
      <c r="P910" s="117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17"/>
      <c r="M911" s="117"/>
      <c r="N911" s="100"/>
      <c r="O911" s="100"/>
      <c r="P911" s="117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17"/>
      <c r="M912" s="117"/>
      <c r="N912" s="100"/>
      <c r="O912" s="100"/>
      <c r="P912" s="117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17"/>
      <c r="M913" s="117"/>
      <c r="N913" s="100"/>
      <c r="O913" s="100"/>
      <c r="P913" s="117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17"/>
      <c r="M914" s="117"/>
      <c r="N914" s="100"/>
      <c r="O914" s="100"/>
      <c r="P914" s="117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17"/>
      <c r="M915" s="117"/>
      <c r="N915" s="100"/>
      <c r="O915" s="100"/>
      <c r="P915" s="117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17"/>
      <c r="M916" s="117"/>
      <c r="N916" s="100"/>
      <c r="O916" s="100"/>
      <c r="P916" s="117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17"/>
      <c r="M917" s="117"/>
      <c r="N917" s="100"/>
      <c r="O917" s="100"/>
      <c r="P917" s="117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17"/>
      <c r="M918" s="117"/>
      <c r="N918" s="100"/>
      <c r="O918" s="100"/>
      <c r="P918" s="117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17"/>
      <c r="M919" s="117"/>
      <c r="N919" s="100"/>
      <c r="O919" s="100"/>
      <c r="P919" s="117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17"/>
      <c r="M920" s="117"/>
      <c r="N920" s="100"/>
      <c r="O920" s="100"/>
      <c r="P920" s="117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17"/>
      <c r="M921" s="117"/>
      <c r="N921" s="100"/>
      <c r="O921" s="100"/>
      <c r="P921" s="117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17"/>
      <c r="M922" s="117"/>
      <c r="N922" s="100"/>
      <c r="O922" s="100"/>
      <c r="P922" s="117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17"/>
      <c r="M923" s="117"/>
      <c r="N923" s="100"/>
      <c r="O923" s="100"/>
      <c r="P923" s="117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17"/>
      <c r="M924" s="117"/>
      <c r="N924" s="100"/>
      <c r="O924" s="100"/>
      <c r="P924" s="117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17"/>
      <c r="M925" s="117"/>
      <c r="N925" s="100"/>
      <c r="O925" s="100"/>
      <c r="P925" s="117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17"/>
      <c r="M926" s="117"/>
      <c r="N926" s="100"/>
      <c r="O926" s="100"/>
      <c r="P926" s="117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17"/>
      <c r="M927" s="117"/>
      <c r="N927" s="100"/>
      <c r="O927" s="100"/>
      <c r="P927" s="117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17"/>
      <c r="M928" s="117"/>
      <c r="N928" s="100"/>
      <c r="O928" s="100"/>
      <c r="P928" s="117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17"/>
      <c r="M929" s="117"/>
      <c r="N929" s="100"/>
      <c r="O929" s="100"/>
      <c r="P929" s="117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17"/>
      <c r="M930" s="117"/>
      <c r="N930" s="100"/>
      <c r="O930" s="100"/>
      <c r="P930" s="117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17"/>
      <c r="M931" s="117"/>
      <c r="N931" s="100"/>
      <c r="O931" s="100"/>
      <c r="P931" s="117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17"/>
      <c r="M932" s="117"/>
      <c r="N932" s="100"/>
      <c r="O932" s="100"/>
      <c r="P932" s="117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17"/>
      <c r="M933" s="117"/>
      <c r="N933" s="100"/>
      <c r="O933" s="100"/>
      <c r="P933" s="117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17"/>
      <c r="M934" s="117"/>
      <c r="N934" s="100"/>
      <c r="O934" s="100"/>
      <c r="P934" s="117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17"/>
      <c r="M935" s="117"/>
      <c r="N935" s="100"/>
      <c r="O935" s="100"/>
      <c r="P935" s="117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17"/>
      <c r="M936" s="117"/>
      <c r="N936" s="100"/>
      <c r="O936" s="100"/>
      <c r="P936" s="117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17"/>
      <c r="M937" s="117"/>
      <c r="N937" s="100"/>
      <c r="O937" s="100"/>
      <c r="P937" s="117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17"/>
      <c r="M938" s="117"/>
      <c r="N938" s="100"/>
      <c r="O938" s="100"/>
      <c r="P938" s="117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17"/>
      <c r="M939" s="117"/>
      <c r="N939" s="100"/>
      <c r="O939" s="100"/>
      <c r="P939" s="117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17"/>
      <c r="M940" s="117"/>
      <c r="N940" s="100"/>
      <c r="O940" s="100"/>
      <c r="P940" s="117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17"/>
      <c r="M941" s="117"/>
      <c r="N941" s="100"/>
      <c r="O941" s="100"/>
      <c r="P941" s="117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17"/>
      <c r="M942" s="117"/>
      <c r="N942" s="100"/>
      <c r="O942" s="100"/>
      <c r="P942" s="117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17"/>
      <c r="M943" s="117"/>
      <c r="N943" s="100"/>
      <c r="O943" s="100"/>
      <c r="P943" s="117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17"/>
      <c r="M944" s="117"/>
      <c r="N944" s="100"/>
      <c r="O944" s="100"/>
      <c r="P944" s="117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17"/>
      <c r="M945" s="117"/>
      <c r="N945" s="100"/>
      <c r="O945" s="100"/>
      <c r="P945" s="117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17"/>
      <c r="M946" s="117"/>
      <c r="N946" s="100"/>
      <c r="O946" s="100"/>
      <c r="P946" s="117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17"/>
      <c r="M947" s="117"/>
      <c r="N947" s="100"/>
      <c r="O947" s="100"/>
      <c r="P947" s="117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17"/>
      <c r="M948" s="117"/>
      <c r="N948" s="100"/>
      <c r="O948" s="100"/>
      <c r="P948" s="117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17"/>
      <c r="M949" s="117"/>
      <c r="N949" s="100"/>
      <c r="O949" s="100"/>
      <c r="P949" s="117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17"/>
      <c r="M950" s="117"/>
      <c r="N950" s="100"/>
      <c r="O950" s="100"/>
      <c r="P950" s="117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17"/>
      <c r="M951" s="117"/>
      <c r="N951" s="100"/>
      <c r="O951" s="100"/>
      <c r="P951" s="117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17"/>
      <c r="M952" s="117"/>
      <c r="N952" s="100"/>
      <c r="O952" s="100"/>
      <c r="P952" s="117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17"/>
      <c r="M953" s="117"/>
      <c r="N953" s="100"/>
      <c r="O953" s="100"/>
      <c r="P953" s="117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17"/>
      <c r="M954" s="117"/>
      <c r="N954" s="100"/>
      <c r="O954" s="100"/>
      <c r="P954" s="117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17"/>
      <c r="M955" s="117"/>
      <c r="N955" s="100"/>
      <c r="O955" s="100"/>
      <c r="P955" s="117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17"/>
      <c r="M956" s="117"/>
      <c r="N956" s="100"/>
      <c r="O956" s="100"/>
      <c r="P956" s="117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17"/>
      <c r="M957" s="117"/>
      <c r="N957" s="100"/>
      <c r="O957" s="100"/>
      <c r="P957" s="117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17"/>
      <c r="M958" s="117"/>
      <c r="N958" s="100"/>
      <c r="O958" s="100"/>
      <c r="P958" s="117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17"/>
      <c r="M959" s="117"/>
      <c r="N959" s="100"/>
      <c r="O959" s="100"/>
      <c r="P959" s="117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17"/>
      <c r="M960" s="117"/>
      <c r="N960" s="100"/>
      <c r="O960" s="100"/>
      <c r="P960" s="117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17"/>
      <c r="M961" s="117"/>
      <c r="N961" s="100"/>
      <c r="O961" s="100"/>
      <c r="P961" s="117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17"/>
      <c r="M962" s="117"/>
      <c r="N962" s="100"/>
      <c r="O962" s="100"/>
      <c r="P962" s="117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17"/>
      <c r="M963" s="117"/>
      <c r="N963" s="100"/>
      <c r="O963" s="100"/>
      <c r="P963" s="117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17"/>
      <c r="M964" s="117"/>
      <c r="N964" s="100"/>
      <c r="O964" s="100"/>
      <c r="P964" s="117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17"/>
      <c r="M965" s="117"/>
      <c r="N965" s="100"/>
      <c r="O965" s="100"/>
      <c r="P965" s="117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17"/>
      <c r="M966" s="117"/>
      <c r="N966" s="100"/>
      <c r="O966" s="100"/>
      <c r="P966" s="117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17"/>
      <c r="M967" s="117"/>
      <c r="N967" s="100"/>
      <c r="O967" s="100"/>
      <c r="P967" s="117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17"/>
      <c r="M968" s="117"/>
      <c r="N968" s="100"/>
      <c r="O968" s="100"/>
      <c r="P968" s="117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17"/>
      <c r="M969" s="117"/>
      <c r="N969" s="100"/>
      <c r="O969" s="100"/>
      <c r="P969" s="117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17"/>
      <c r="M970" s="117"/>
      <c r="N970" s="100"/>
      <c r="O970" s="100"/>
      <c r="P970" s="117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17"/>
      <c r="M971" s="117"/>
      <c r="N971" s="100"/>
      <c r="O971" s="100"/>
      <c r="P971" s="117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17"/>
      <c r="M972" s="117"/>
      <c r="N972" s="100"/>
      <c r="O972" s="100"/>
      <c r="P972" s="117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17"/>
      <c r="M973" s="117"/>
      <c r="N973" s="100"/>
      <c r="O973" s="100"/>
      <c r="P973" s="117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17"/>
      <c r="M974" s="117"/>
      <c r="N974" s="100"/>
      <c r="O974" s="100"/>
      <c r="P974" s="117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17"/>
      <c r="M975" s="117"/>
      <c r="N975" s="100"/>
      <c r="O975" s="100"/>
      <c r="P975" s="117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17"/>
      <c r="M976" s="117"/>
      <c r="N976" s="100"/>
      <c r="O976" s="100"/>
      <c r="P976" s="117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17"/>
      <c r="M977" s="117"/>
      <c r="N977" s="100"/>
      <c r="O977" s="100"/>
      <c r="P977" s="117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17"/>
      <c r="M978" s="117"/>
      <c r="N978" s="100"/>
      <c r="O978" s="100"/>
      <c r="P978" s="117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17"/>
      <c r="M979" s="117"/>
      <c r="N979" s="100"/>
      <c r="O979" s="100"/>
      <c r="P979" s="117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17"/>
      <c r="M980" s="117"/>
      <c r="N980" s="100"/>
      <c r="O980" s="100"/>
      <c r="P980" s="117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17"/>
      <c r="M981" s="117"/>
      <c r="N981" s="100"/>
      <c r="O981" s="100"/>
      <c r="P981" s="117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17"/>
      <c r="M982" s="117"/>
      <c r="N982" s="100"/>
      <c r="O982" s="100"/>
      <c r="P982" s="117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17"/>
      <c r="M983" s="117"/>
      <c r="N983" s="100"/>
      <c r="O983" s="100"/>
      <c r="P983" s="117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17"/>
      <c r="M984" s="117"/>
      <c r="N984" s="100"/>
      <c r="O984" s="100"/>
      <c r="P984" s="117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17"/>
      <c r="M985" s="117"/>
      <c r="N985" s="100"/>
      <c r="O985" s="100"/>
      <c r="P985" s="117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17"/>
      <c r="M986" s="117"/>
      <c r="N986" s="100"/>
      <c r="O986" s="100"/>
      <c r="P986" s="117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17"/>
      <c r="M987" s="117"/>
      <c r="N987" s="100"/>
      <c r="O987" s="100"/>
      <c r="P987" s="117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17"/>
      <c r="M988" s="117"/>
      <c r="N988" s="100"/>
      <c r="O988" s="100"/>
      <c r="P988" s="117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17"/>
      <c r="M989" s="117"/>
      <c r="N989" s="100"/>
      <c r="O989" s="100"/>
      <c r="P989" s="117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17"/>
      <c r="M990" s="117"/>
      <c r="N990" s="100"/>
      <c r="O990" s="100"/>
      <c r="P990" s="117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17"/>
      <c r="M991" s="117"/>
      <c r="N991" s="100"/>
      <c r="O991" s="100"/>
      <c r="P991" s="117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17"/>
      <c r="M992" s="117"/>
      <c r="N992" s="100"/>
      <c r="O992" s="100"/>
      <c r="P992" s="117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17"/>
      <c r="M993" s="117"/>
      <c r="N993" s="100"/>
      <c r="O993" s="100"/>
      <c r="P993" s="117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17"/>
      <c r="M994" s="117"/>
      <c r="N994" s="100"/>
      <c r="O994" s="100"/>
      <c r="P994" s="117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17"/>
      <c r="M995" s="117"/>
      <c r="N995" s="100"/>
      <c r="O995" s="100"/>
      <c r="P995" s="117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17"/>
      <c r="M996" s="117"/>
      <c r="N996" s="100"/>
      <c r="O996" s="100"/>
      <c r="P996" s="117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17"/>
      <c r="M997" s="117"/>
      <c r="N997" s="100"/>
      <c r="O997" s="100"/>
      <c r="P997" s="117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17"/>
      <c r="M998" s="117"/>
      <c r="N998" s="100"/>
      <c r="O998" s="100"/>
      <c r="P998" s="117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17"/>
      <c r="M999" s="117"/>
      <c r="N999" s="100"/>
      <c r="O999" s="100"/>
      <c r="P999" s="117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17"/>
      <c r="M1000" s="117"/>
      <c r="N1000" s="100"/>
      <c r="O1000" s="100"/>
      <c r="P1000" s="117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4.71"/>
    <col customWidth="1" min="5" max="11" width="10.71"/>
    <col customWidth="1" min="12" max="12" width="11.71"/>
    <col customWidth="1" min="13" max="13" width="11.14"/>
    <col customWidth="1" min="14" max="14" width="8.71"/>
    <col customWidth="1" min="15" max="15" width="10.86"/>
    <col customWidth="1" min="16" max="16" width="13.0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71" t="s">
        <v>3</v>
      </c>
      <c r="B4" s="172" t="s">
        <v>4</v>
      </c>
      <c r="C4" s="172" t="s">
        <v>5</v>
      </c>
      <c r="D4" s="172" t="s">
        <v>6</v>
      </c>
      <c r="E4" s="172" t="s">
        <v>7</v>
      </c>
      <c r="F4" s="172" t="s">
        <v>8</v>
      </c>
      <c r="G4" s="172" t="s">
        <v>9</v>
      </c>
      <c r="H4" s="172" t="s">
        <v>10</v>
      </c>
      <c r="I4" s="172" t="s">
        <v>11</v>
      </c>
      <c r="J4" s="172" t="s">
        <v>12</v>
      </c>
      <c r="K4" s="172" t="s">
        <v>13</v>
      </c>
      <c r="L4" s="172" t="s">
        <v>14</v>
      </c>
      <c r="M4" s="172" t="s">
        <v>15</v>
      </c>
      <c r="N4" s="172" t="s">
        <v>16</v>
      </c>
      <c r="O4" s="172" t="s">
        <v>17</v>
      </c>
      <c r="P4" s="172" t="s">
        <v>18</v>
      </c>
      <c r="Q4" s="172" t="s">
        <v>19</v>
      </c>
      <c r="R4" s="172" t="s">
        <v>20</v>
      </c>
    </row>
    <row r="5">
      <c r="A5" s="10" t="s">
        <v>330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331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6" t="s">
        <v>23</v>
      </c>
      <c r="B7" s="156" t="s">
        <v>24</v>
      </c>
      <c r="C7" s="87">
        <v>1.0</v>
      </c>
      <c r="D7" s="248" t="s">
        <v>332</v>
      </c>
      <c r="E7" s="90">
        <v>4.56</v>
      </c>
      <c r="F7" s="90">
        <v>2.8</v>
      </c>
      <c r="G7" s="90">
        <v>4.03</v>
      </c>
      <c r="H7" s="89">
        <v>3.04</v>
      </c>
      <c r="I7" s="89">
        <v>4.01</v>
      </c>
      <c r="J7" s="89">
        <v>4.57</v>
      </c>
      <c r="K7" s="90">
        <v>4.35</v>
      </c>
      <c r="L7" s="90">
        <v>4.15</v>
      </c>
      <c r="M7" s="89">
        <v>4.66</v>
      </c>
      <c r="N7" s="90">
        <v>4.03</v>
      </c>
      <c r="O7" s="90" t="s">
        <v>26</v>
      </c>
      <c r="P7" s="90" t="s">
        <v>26</v>
      </c>
      <c r="Q7" s="174">
        <f t="shared" ref="Q7:Q46" si="1">AVERAGE(E7,F7,G7,H7,I7,J7,K7,L7,M7,N7,O7,P7)</f>
        <v>4.02</v>
      </c>
      <c r="R7" s="149">
        <v>6.0</v>
      </c>
    </row>
    <row r="8">
      <c r="A8" s="20"/>
      <c r="B8" s="21"/>
      <c r="C8" s="22">
        <v>2.0</v>
      </c>
      <c r="D8" s="134" t="s">
        <v>333</v>
      </c>
      <c r="E8" s="24">
        <v>4.17</v>
      </c>
      <c r="F8" s="24">
        <v>2.73</v>
      </c>
      <c r="G8" s="24">
        <v>3.98</v>
      </c>
      <c r="H8" s="208">
        <v>3.46</v>
      </c>
      <c r="I8" s="208">
        <v>4.05</v>
      </c>
      <c r="J8" s="208">
        <v>4.68</v>
      </c>
      <c r="K8" s="24">
        <v>4.16</v>
      </c>
      <c r="L8" s="24">
        <v>4.17</v>
      </c>
      <c r="M8" s="208">
        <v>4.78</v>
      </c>
      <c r="N8" s="24">
        <v>3.81</v>
      </c>
      <c r="O8" s="24" t="s">
        <v>26</v>
      </c>
      <c r="P8" s="24" t="s">
        <v>26</v>
      </c>
      <c r="Q8" s="176">
        <f t="shared" si="1"/>
        <v>3.999</v>
      </c>
      <c r="R8" s="23">
        <v>6.0</v>
      </c>
    </row>
    <row r="9">
      <c r="A9" s="20"/>
      <c r="B9" s="21"/>
      <c r="C9" s="22">
        <v>3.0</v>
      </c>
      <c r="D9" s="134" t="s">
        <v>334</v>
      </c>
      <c r="E9" s="24">
        <v>5.02</v>
      </c>
      <c r="F9" s="24">
        <v>2.56</v>
      </c>
      <c r="G9" s="24">
        <v>4.01</v>
      </c>
      <c r="H9" s="208">
        <v>3.53</v>
      </c>
      <c r="I9" s="209">
        <v>3.7</v>
      </c>
      <c r="J9" s="208">
        <v>4.43</v>
      </c>
      <c r="K9" s="24">
        <v>4.19</v>
      </c>
      <c r="L9" s="24">
        <v>4.09</v>
      </c>
      <c r="M9" s="208">
        <v>4.31</v>
      </c>
      <c r="N9" s="24">
        <v>3.74</v>
      </c>
      <c r="O9" s="24" t="s">
        <v>26</v>
      </c>
      <c r="P9" s="24" t="s">
        <v>26</v>
      </c>
      <c r="Q9" s="176">
        <f t="shared" si="1"/>
        <v>3.958</v>
      </c>
      <c r="R9" s="23">
        <v>6.0</v>
      </c>
    </row>
    <row r="10">
      <c r="A10" s="20"/>
      <c r="B10" s="21"/>
      <c r="C10" s="22">
        <v>4.0</v>
      </c>
      <c r="D10" s="53" t="s">
        <v>335</v>
      </c>
      <c r="E10" s="24">
        <v>4.29</v>
      </c>
      <c r="F10" s="24">
        <v>2.97</v>
      </c>
      <c r="G10" s="24">
        <v>3.99</v>
      </c>
      <c r="H10" s="208">
        <v>3.05</v>
      </c>
      <c r="I10" s="208">
        <v>3.81</v>
      </c>
      <c r="J10" s="208">
        <v>4.38</v>
      </c>
      <c r="K10" s="24">
        <v>4.23</v>
      </c>
      <c r="L10" s="24">
        <v>4.12</v>
      </c>
      <c r="M10" s="208">
        <v>4.69</v>
      </c>
      <c r="N10" s="24">
        <v>4.66</v>
      </c>
      <c r="O10" s="24" t="s">
        <v>26</v>
      </c>
      <c r="P10" s="24" t="s">
        <v>26</v>
      </c>
      <c r="Q10" s="176">
        <f t="shared" si="1"/>
        <v>4.019</v>
      </c>
      <c r="R10" s="210">
        <v>6.0</v>
      </c>
    </row>
    <row r="11">
      <c r="A11" s="20"/>
      <c r="B11" s="21"/>
      <c r="C11" s="22">
        <v>5.0</v>
      </c>
      <c r="D11" s="134" t="s">
        <v>336</v>
      </c>
      <c r="E11" s="24">
        <v>4.78</v>
      </c>
      <c r="F11" s="24">
        <v>2.83</v>
      </c>
      <c r="G11" s="24">
        <v>3.87</v>
      </c>
      <c r="H11" s="208">
        <v>3.32</v>
      </c>
      <c r="I11" s="208">
        <v>4.86</v>
      </c>
      <c r="J11" s="208">
        <v>5.07</v>
      </c>
      <c r="K11" s="24">
        <v>4.3</v>
      </c>
      <c r="L11" s="24">
        <v>4.06</v>
      </c>
      <c r="M11" s="208">
        <v>4.66</v>
      </c>
      <c r="N11" s="24">
        <v>4.06</v>
      </c>
      <c r="O11" s="24" t="s">
        <v>26</v>
      </c>
      <c r="P11" s="24" t="s">
        <v>26</v>
      </c>
      <c r="Q11" s="176">
        <f t="shared" si="1"/>
        <v>4.181</v>
      </c>
      <c r="R11" s="23">
        <v>6.0</v>
      </c>
    </row>
    <row r="12">
      <c r="A12" s="20"/>
      <c r="B12" s="21"/>
      <c r="C12" s="22">
        <v>6.0</v>
      </c>
      <c r="D12" s="134" t="s">
        <v>337</v>
      </c>
      <c r="E12" s="24">
        <v>4.17</v>
      </c>
      <c r="F12" s="24">
        <v>2.87</v>
      </c>
      <c r="G12" s="24">
        <v>3.96</v>
      </c>
      <c r="H12" s="208">
        <v>3.42</v>
      </c>
      <c r="I12" s="208">
        <v>4.61</v>
      </c>
      <c r="J12" s="208">
        <v>5.15</v>
      </c>
      <c r="K12" s="24">
        <v>4.25</v>
      </c>
      <c r="L12" s="24">
        <v>4.16</v>
      </c>
      <c r="M12" s="208">
        <v>4.59</v>
      </c>
      <c r="N12" s="24">
        <v>3.8</v>
      </c>
      <c r="O12" s="24" t="s">
        <v>26</v>
      </c>
      <c r="P12" s="24" t="s">
        <v>26</v>
      </c>
      <c r="Q12" s="176">
        <f t="shared" si="1"/>
        <v>4.098</v>
      </c>
      <c r="R12" s="23">
        <v>6.0</v>
      </c>
    </row>
    <row r="13">
      <c r="A13" s="20"/>
      <c r="B13" s="21"/>
      <c r="C13" s="22">
        <v>7.0</v>
      </c>
      <c r="D13" s="134" t="s">
        <v>338</v>
      </c>
      <c r="E13" s="24">
        <v>4.94</v>
      </c>
      <c r="F13" s="24">
        <v>2.47</v>
      </c>
      <c r="G13" s="24">
        <v>3.85</v>
      </c>
      <c r="H13" s="209">
        <v>4.0</v>
      </c>
      <c r="I13" s="208">
        <v>3.87</v>
      </c>
      <c r="J13" s="208">
        <v>4.88</v>
      </c>
      <c r="K13" s="24">
        <v>4.28</v>
      </c>
      <c r="L13" s="24">
        <v>4.03</v>
      </c>
      <c r="M13" s="208">
        <v>4.23</v>
      </c>
      <c r="N13" s="24">
        <v>4.22</v>
      </c>
      <c r="O13" s="24" t="s">
        <v>26</v>
      </c>
      <c r="P13" s="24" t="s">
        <v>26</v>
      </c>
      <c r="Q13" s="176">
        <f t="shared" si="1"/>
        <v>4.077</v>
      </c>
      <c r="R13" s="23">
        <v>6.0</v>
      </c>
    </row>
    <row r="14">
      <c r="A14" s="20"/>
      <c r="B14" s="27"/>
      <c r="C14" s="22">
        <v>8.0</v>
      </c>
      <c r="D14" s="134" t="s">
        <v>339</v>
      </c>
      <c r="E14" s="24">
        <v>4.59</v>
      </c>
      <c r="F14" s="24">
        <v>2.89</v>
      </c>
      <c r="G14" s="24">
        <v>3.78</v>
      </c>
      <c r="H14" s="208">
        <v>3.84</v>
      </c>
      <c r="I14" s="208">
        <v>3.76</v>
      </c>
      <c r="J14" s="208">
        <v>4.96</v>
      </c>
      <c r="K14" s="24">
        <v>4.21</v>
      </c>
      <c r="L14" s="24">
        <v>4.01</v>
      </c>
      <c r="M14" s="208">
        <v>4.65</v>
      </c>
      <c r="N14" s="24">
        <v>4.07</v>
      </c>
      <c r="O14" s="24" t="s">
        <v>26</v>
      </c>
      <c r="P14" s="24" t="s">
        <v>26</v>
      </c>
      <c r="Q14" s="176">
        <f t="shared" si="1"/>
        <v>4.076</v>
      </c>
      <c r="R14" s="23">
        <v>6.0</v>
      </c>
    </row>
    <row r="15">
      <c r="A15" s="20"/>
      <c r="B15" s="15" t="s">
        <v>33</v>
      </c>
      <c r="C15" s="16">
        <v>1.0</v>
      </c>
      <c r="D15" s="133" t="s">
        <v>332</v>
      </c>
      <c r="E15" s="28">
        <v>33.0</v>
      </c>
      <c r="F15" s="114">
        <v>46.0</v>
      </c>
      <c r="G15" s="28">
        <v>35.0</v>
      </c>
      <c r="H15" s="89">
        <v>65.0</v>
      </c>
      <c r="I15" s="89">
        <v>40.0</v>
      </c>
      <c r="J15" s="89">
        <v>21.0</v>
      </c>
      <c r="K15" s="114">
        <v>32.0</v>
      </c>
      <c r="L15" s="28">
        <v>20.0</v>
      </c>
      <c r="M15" s="89">
        <v>48.0</v>
      </c>
      <c r="N15" s="92">
        <v>17.0</v>
      </c>
      <c r="O15" s="28">
        <v>26.0</v>
      </c>
      <c r="P15" s="28">
        <v>24.0</v>
      </c>
      <c r="Q15" s="178">
        <f t="shared" si="1"/>
        <v>33.91666667</v>
      </c>
      <c r="R15" s="17">
        <v>50.0</v>
      </c>
    </row>
    <row r="16">
      <c r="A16" s="20"/>
      <c r="B16" s="21"/>
      <c r="C16" s="22">
        <v>2.0</v>
      </c>
      <c r="D16" s="134" t="s">
        <v>333</v>
      </c>
      <c r="E16" s="30">
        <v>33.0</v>
      </c>
      <c r="F16" s="91">
        <v>37.0</v>
      </c>
      <c r="G16" s="30">
        <v>35.0</v>
      </c>
      <c r="H16" s="208">
        <v>72.0</v>
      </c>
      <c r="I16" s="208">
        <v>40.0</v>
      </c>
      <c r="J16" s="208">
        <v>5.0</v>
      </c>
      <c r="K16" s="91">
        <v>17.0</v>
      </c>
      <c r="L16" s="30">
        <v>19.0</v>
      </c>
      <c r="M16" s="208">
        <v>18.0</v>
      </c>
      <c r="N16" s="30">
        <v>24.0</v>
      </c>
      <c r="O16" s="30">
        <v>33.0</v>
      </c>
      <c r="P16" s="30">
        <v>24.0</v>
      </c>
      <c r="Q16" s="179">
        <f t="shared" si="1"/>
        <v>29.75</v>
      </c>
      <c r="R16" s="23">
        <v>50.0</v>
      </c>
    </row>
    <row r="17">
      <c r="A17" s="20"/>
      <c r="B17" s="21"/>
      <c r="C17" s="22">
        <v>3.0</v>
      </c>
      <c r="D17" s="134" t="s">
        <v>334</v>
      </c>
      <c r="E17" s="30">
        <v>25.0</v>
      </c>
      <c r="F17" s="91">
        <v>41.0</v>
      </c>
      <c r="G17" s="30">
        <v>42.0</v>
      </c>
      <c r="H17" s="208">
        <v>34.0</v>
      </c>
      <c r="I17" s="208">
        <v>37.0</v>
      </c>
      <c r="J17" s="208">
        <v>11.0</v>
      </c>
      <c r="K17" s="91">
        <v>25.0</v>
      </c>
      <c r="L17" s="30">
        <v>12.0</v>
      </c>
      <c r="M17" s="208">
        <v>16.0</v>
      </c>
      <c r="N17" s="30">
        <v>11.0</v>
      </c>
      <c r="O17" s="30">
        <v>36.0</v>
      </c>
      <c r="P17" s="30">
        <v>21.0</v>
      </c>
      <c r="Q17" s="179">
        <f t="shared" si="1"/>
        <v>25.91666667</v>
      </c>
      <c r="R17" s="23">
        <v>50.0</v>
      </c>
    </row>
    <row r="18">
      <c r="A18" s="20"/>
      <c r="B18" s="21"/>
      <c r="C18" s="22">
        <v>4.0</v>
      </c>
      <c r="D18" s="53" t="s">
        <v>335</v>
      </c>
      <c r="E18" s="30">
        <v>33.0</v>
      </c>
      <c r="F18" s="91">
        <v>45.0</v>
      </c>
      <c r="G18" s="30">
        <v>32.0</v>
      </c>
      <c r="H18" s="208">
        <v>25.0</v>
      </c>
      <c r="I18" s="208">
        <v>26.0</v>
      </c>
      <c r="J18" s="208">
        <v>16.0</v>
      </c>
      <c r="K18" s="91">
        <v>23.0</v>
      </c>
      <c r="L18" s="30">
        <v>21.0</v>
      </c>
      <c r="M18" s="208">
        <v>24.0</v>
      </c>
      <c r="N18" s="30">
        <v>30.0</v>
      </c>
      <c r="O18" s="30">
        <v>43.0</v>
      </c>
      <c r="P18" s="30">
        <v>25.0</v>
      </c>
      <c r="Q18" s="179">
        <f t="shared" si="1"/>
        <v>28.58333333</v>
      </c>
      <c r="R18" s="23">
        <v>50.0</v>
      </c>
    </row>
    <row r="19">
      <c r="A19" s="20"/>
      <c r="B19" s="21"/>
      <c r="C19" s="22">
        <v>5.0</v>
      </c>
      <c r="D19" s="134" t="s">
        <v>336</v>
      </c>
      <c r="E19" s="30">
        <v>26.0</v>
      </c>
      <c r="F19" s="91">
        <v>40.0</v>
      </c>
      <c r="G19" s="30">
        <v>53.0</v>
      </c>
      <c r="H19" s="208">
        <v>12.0</v>
      </c>
      <c r="I19" s="208">
        <v>23.0</v>
      </c>
      <c r="J19" s="208">
        <v>32.0</v>
      </c>
      <c r="K19" s="91">
        <v>29.0</v>
      </c>
      <c r="L19" s="30">
        <v>12.0</v>
      </c>
      <c r="M19" s="208">
        <v>21.0</v>
      </c>
      <c r="N19" s="30">
        <v>58.0</v>
      </c>
      <c r="O19" s="30">
        <v>33.0</v>
      </c>
      <c r="P19" s="30">
        <v>24.0</v>
      </c>
      <c r="Q19" s="179">
        <f t="shared" si="1"/>
        <v>30.25</v>
      </c>
      <c r="R19" s="23">
        <v>50.0</v>
      </c>
    </row>
    <row r="20">
      <c r="A20" s="20"/>
      <c r="B20" s="21"/>
      <c r="C20" s="22">
        <v>6.0</v>
      </c>
      <c r="D20" s="134" t="s">
        <v>337</v>
      </c>
      <c r="E20" s="30">
        <v>24.0</v>
      </c>
      <c r="F20" s="91">
        <v>53.0</v>
      </c>
      <c r="G20" s="30">
        <v>50.0</v>
      </c>
      <c r="H20" s="208">
        <v>47.0</v>
      </c>
      <c r="I20" s="208">
        <v>30.0</v>
      </c>
      <c r="J20" s="208">
        <v>34.0</v>
      </c>
      <c r="K20" s="91">
        <v>21.0</v>
      </c>
      <c r="L20" s="30">
        <v>24.0</v>
      </c>
      <c r="M20" s="208">
        <v>18.0</v>
      </c>
      <c r="N20" s="30">
        <v>42.0</v>
      </c>
      <c r="O20" s="30">
        <v>34.0</v>
      </c>
      <c r="P20" s="30">
        <v>19.0</v>
      </c>
      <c r="Q20" s="179">
        <f t="shared" si="1"/>
        <v>33</v>
      </c>
      <c r="R20" s="23">
        <v>50.0</v>
      </c>
    </row>
    <row r="21" ht="15.75" customHeight="1">
      <c r="A21" s="20"/>
      <c r="B21" s="21"/>
      <c r="C21" s="22">
        <v>7.0</v>
      </c>
      <c r="D21" s="134" t="s">
        <v>338</v>
      </c>
      <c r="E21" s="30">
        <v>32.0</v>
      </c>
      <c r="F21" s="91">
        <v>21.0</v>
      </c>
      <c r="G21" s="30">
        <v>34.0</v>
      </c>
      <c r="H21" s="208">
        <v>37.0</v>
      </c>
      <c r="I21" s="208">
        <v>25.0</v>
      </c>
      <c r="J21" s="208">
        <v>25.0</v>
      </c>
      <c r="K21" s="91">
        <v>25.0</v>
      </c>
      <c r="L21" s="30">
        <v>18.0</v>
      </c>
      <c r="M21" s="208">
        <v>21.0</v>
      </c>
      <c r="N21" s="30">
        <v>15.0</v>
      </c>
      <c r="O21" s="30">
        <v>49.0</v>
      </c>
      <c r="P21" s="30">
        <v>28.0</v>
      </c>
      <c r="Q21" s="179">
        <f t="shared" si="1"/>
        <v>27.5</v>
      </c>
      <c r="R21" s="23">
        <v>50.0</v>
      </c>
    </row>
    <row r="22" ht="15.75" customHeight="1">
      <c r="A22" s="20"/>
      <c r="B22" s="27"/>
      <c r="C22" s="22">
        <v>8.0</v>
      </c>
      <c r="D22" s="134" t="s">
        <v>339</v>
      </c>
      <c r="E22" s="30">
        <v>39.0</v>
      </c>
      <c r="F22" s="91">
        <v>54.0</v>
      </c>
      <c r="G22" s="30">
        <v>33.0</v>
      </c>
      <c r="H22" s="208">
        <v>50.0</v>
      </c>
      <c r="I22" s="208">
        <v>25.0</v>
      </c>
      <c r="J22" s="208">
        <v>30.0</v>
      </c>
      <c r="K22" s="91">
        <v>24.0</v>
      </c>
      <c r="L22" s="30">
        <v>23.0</v>
      </c>
      <c r="M22" s="208">
        <v>30.0</v>
      </c>
      <c r="N22" s="30">
        <v>17.0</v>
      </c>
      <c r="O22" s="30">
        <v>32.0</v>
      </c>
      <c r="P22" s="30">
        <v>6.0</v>
      </c>
      <c r="Q22" s="179">
        <f t="shared" si="1"/>
        <v>30.25</v>
      </c>
      <c r="R22" s="23">
        <v>50.0</v>
      </c>
    </row>
    <row r="23" ht="15.75" customHeight="1">
      <c r="A23" s="20"/>
      <c r="B23" s="15" t="s">
        <v>34</v>
      </c>
      <c r="C23" s="16">
        <v>1.0</v>
      </c>
      <c r="D23" s="133" t="s">
        <v>332</v>
      </c>
      <c r="E23" s="18">
        <v>8.08</v>
      </c>
      <c r="F23" s="18">
        <v>8.17</v>
      </c>
      <c r="G23" s="18">
        <v>7.61</v>
      </c>
      <c r="H23" s="89">
        <v>6.71</v>
      </c>
      <c r="I23" s="89">
        <v>7.28</v>
      </c>
      <c r="J23" s="89">
        <v>7.02</v>
      </c>
      <c r="K23" s="18">
        <v>7.05</v>
      </c>
      <c r="L23" s="90">
        <v>6.95</v>
      </c>
      <c r="M23" s="89">
        <v>7.21</v>
      </c>
      <c r="N23" s="18">
        <v>7.16</v>
      </c>
      <c r="O23" s="90" t="s">
        <v>26</v>
      </c>
      <c r="P23" s="90" t="s">
        <v>26</v>
      </c>
      <c r="Q23" s="174">
        <f t="shared" si="1"/>
        <v>7.324</v>
      </c>
      <c r="R23" s="65" t="s">
        <v>177</v>
      </c>
    </row>
    <row r="24" ht="15.75" customHeight="1">
      <c r="A24" s="20"/>
      <c r="B24" s="21"/>
      <c r="C24" s="22">
        <v>2.0</v>
      </c>
      <c r="D24" s="134" t="s">
        <v>333</v>
      </c>
      <c r="E24" s="24">
        <v>8.1</v>
      </c>
      <c r="F24" s="24">
        <v>8.14</v>
      </c>
      <c r="G24" s="24">
        <v>7.8</v>
      </c>
      <c r="H24" s="208">
        <v>6.74</v>
      </c>
      <c r="I24" s="208">
        <v>7.41</v>
      </c>
      <c r="J24" s="208">
        <v>7.11</v>
      </c>
      <c r="K24" s="24">
        <v>7.06</v>
      </c>
      <c r="L24" s="24">
        <v>6.97</v>
      </c>
      <c r="M24" s="208">
        <v>7.16</v>
      </c>
      <c r="N24" s="24">
        <v>7.23</v>
      </c>
      <c r="O24" s="24" t="s">
        <v>26</v>
      </c>
      <c r="P24" s="24" t="s">
        <v>26</v>
      </c>
      <c r="Q24" s="176">
        <f t="shared" si="1"/>
        <v>7.372</v>
      </c>
      <c r="R24" s="66" t="s">
        <v>177</v>
      </c>
    </row>
    <row r="25" ht="15.75" customHeight="1">
      <c r="A25" s="20"/>
      <c r="B25" s="21"/>
      <c r="C25" s="22">
        <v>3.0</v>
      </c>
      <c r="D25" s="134" t="s">
        <v>334</v>
      </c>
      <c r="E25" s="24">
        <v>8.03</v>
      </c>
      <c r="F25" s="24">
        <v>8.16</v>
      </c>
      <c r="G25" s="24">
        <v>7.77</v>
      </c>
      <c r="H25" s="208">
        <v>6.75</v>
      </c>
      <c r="I25" s="208">
        <v>7.35</v>
      </c>
      <c r="J25" s="208">
        <v>7.08</v>
      </c>
      <c r="K25" s="24">
        <v>7.01</v>
      </c>
      <c r="L25" s="24">
        <v>6.99</v>
      </c>
      <c r="M25" s="208">
        <v>7.23</v>
      </c>
      <c r="N25" s="24">
        <v>7.15</v>
      </c>
      <c r="O25" s="24" t="s">
        <v>26</v>
      </c>
      <c r="P25" s="24" t="s">
        <v>26</v>
      </c>
      <c r="Q25" s="176">
        <f t="shared" si="1"/>
        <v>7.352</v>
      </c>
      <c r="R25" s="66" t="s">
        <v>177</v>
      </c>
    </row>
    <row r="26" ht="15.75" customHeight="1">
      <c r="A26" s="20"/>
      <c r="B26" s="21"/>
      <c r="C26" s="22">
        <v>4.0</v>
      </c>
      <c r="D26" s="53" t="s">
        <v>335</v>
      </c>
      <c r="E26" s="24">
        <v>8.07</v>
      </c>
      <c r="F26" s="24">
        <v>8.18</v>
      </c>
      <c r="G26" s="24">
        <v>7.81</v>
      </c>
      <c r="H26" s="208">
        <v>6.72</v>
      </c>
      <c r="I26" s="208">
        <v>7.25</v>
      </c>
      <c r="J26" s="208">
        <v>7.05</v>
      </c>
      <c r="K26" s="24">
        <v>7.03</v>
      </c>
      <c r="L26" s="24">
        <v>7.0</v>
      </c>
      <c r="M26" s="209">
        <v>7.2</v>
      </c>
      <c r="N26" s="24">
        <v>7.21</v>
      </c>
      <c r="O26" s="24" t="s">
        <v>26</v>
      </c>
      <c r="P26" s="24" t="s">
        <v>26</v>
      </c>
      <c r="Q26" s="176">
        <f t="shared" si="1"/>
        <v>7.352</v>
      </c>
      <c r="R26" s="66" t="s">
        <v>177</v>
      </c>
    </row>
    <row r="27" ht="15.75" customHeight="1">
      <c r="A27" s="20"/>
      <c r="B27" s="21"/>
      <c r="C27" s="22">
        <v>5.0</v>
      </c>
      <c r="D27" s="134" t="s">
        <v>336</v>
      </c>
      <c r="E27" s="24">
        <v>8.09</v>
      </c>
      <c r="F27" s="24">
        <v>8.19</v>
      </c>
      <c r="G27" s="24">
        <v>7.67</v>
      </c>
      <c r="H27" s="208">
        <v>6.75</v>
      </c>
      <c r="I27" s="208">
        <v>7.23</v>
      </c>
      <c r="J27" s="208">
        <v>6.96</v>
      </c>
      <c r="K27" s="24">
        <v>7.06</v>
      </c>
      <c r="L27" s="24">
        <v>6.99</v>
      </c>
      <c r="M27" s="208">
        <v>7.18</v>
      </c>
      <c r="N27" s="24">
        <v>7.1</v>
      </c>
      <c r="O27" s="24" t="s">
        <v>26</v>
      </c>
      <c r="P27" s="24" t="s">
        <v>26</v>
      </c>
      <c r="Q27" s="176">
        <f t="shared" si="1"/>
        <v>7.322</v>
      </c>
      <c r="R27" s="66" t="s">
        <v>177</v>
      </c>
    </row>
    <row r="28" ht="15.75" customHeight="1">
      <c r="A28" s="20"/>
      <c r="B28" s="21"/>
      <c r="C28" s="22">
        <v>6.0</v>
      </c>
      <c r="D28" s="134" t="s">
        <v>337</v>
      </c>
      <c r="E28" s="24">
        <v>8.05</v>
      </c>
      <c r="F28" s="24">
        <v>8.14</v>
      </c>
      <c r="G28" s="24">
        <v>7.87</v>
      </c>
      <c r="H28" s="208">
        <v>7.76</v>
      </c>
      <c r="I28" s="208">
        <v>7.31</v>
      </c>
      <c r="J28" s="208">
        <v>7.04</v>
      </c>
      <c r="K28" s="24">
        <v>7.05</v>
      </c>
      <c r="L28" s="24">
        <v>7.01</v>
      </c>
      <c r="M28" s="208">
        <v>7.13</v>
      </c>
      <c r="N28" s="24">
        <v>7.05</v>
      </c>
      <c r="O28" s="24" t="s">
        <v>26</v>
      </c>
      <c r="P28" s="24" t="s">
        <v>26</v>
      </c>
      <c r="Q28" s="176">
        <f t="shared" si="1"/>
        <v>7.441</v>
      </c>
      <c r="R28" s="66" t="s">
        <v>177</v>
      </c>
    </row>
    <row r="29" ht="15.75" customHeight="1">
      <c r="A29" s="20"/>
      <c r="B29" s="21"/>
      <c r="C29" s="22">
        <v>7.0</v>
      </c>
      <c r="D29" s="134" t="s">
        <v>338</v>
      </c>
      <c r="E29" s="24">
        <v>8.1</v>
      </c>
      <c r="F29" s="24">
        <v>8.17</v>
      </c>
      <c r="G29" s="24">
        <v>7.9</v>
      </c>
      <c r="H29" s="208">
        <v>6.75</v>
      </c>
      <c r="I29" s="208">
        <v>7.18</v>
      </c>
      <c r="J29" s="208">
        <v>6.98</v>
      </c>
      <c r="K29" s="24">
        <v>7.04</v>
      </c>
      <c r="L29" s="24">
        <v>7.0</v>
      </c>
      <c r="M29" s="209">
        <v>7.2</v>
      </c>
      <c r="N29" s="24">
        <v>7.08</v>
      </c>
      <c r="O29" s="24" t="s">
        <v>26</v>
      </c>
      <c r="P29" s="24" t="s">
        <v>26</v>
      </c>
      <c r="Q29" s="176">
        <f t="shared" si="1"/>
        <v>7.34</v>
      </c>
      <c r="R29" s="66" t="s">
        <v>177</v>
      </c>
    </row>
    <row r="30" ht="15.75" customHeight="1">
      <c r="A30" s="20"/>
      <c r="B30" s="27"/>
      <c r="C30" s="22">
        <v>8.0</v>
      </c>
      <c r="D30" s="134" t="s">
        <v>339</v>
      </c>
      <c r="E30" s="24">
        <v>8.09</v>
      </c>
      <c r="F30" s="24">
        <v>8.13</v>
      </c>
      <c r="G30" s="24">
        <v>7.86</v>
      </c>
      <c r="H30" s="208">
        <v>6.73</v>
      </c>
      <c r="I30" s="208">
        <v>7.27</v>
      </c>
      <c r="J30" s="208">
        <v>6.91</v>
      </c>
      <c r="K30" s="24">
        <v>7.05</v>
      </c>
      <c r="L30" s="24">
        <v>6.98</v>
      </c>
      <c r="M30" s="208">
        <v>7.16</v>
      </c>
      <c r="N30" s="24">
        <v>7.24</v>
      </c>
      <c r="O30" s="24" t="s">
        <v>26</v>
      </c>
      <c r="P30" s="24" t="s">
        <v>26</v>
      </c>
      <c r="Q30" s="176">
        <f t="shared" si="1"/>
        <v>7.342</v>
      </c>
      <c r="R30" s="66" t="s">
        <v>177</v>
      </c>
    </row>
    <row r="31" ht="15.75" customHeight="1">
      <c r="A31" s="20"/>
      <c r="B31" s="15" t="s">
        <v>340</v>
      </c>
      <c r="C31" s="16">
        <v>1.0</v>
      </c>
      <c r="D31" s="133" t="s">
        <v>332</v>
      </c>
      <c r="E31" s="18">
        <v>28.88</v>
      </c>
      <c r="F31" s="18">
        <v>29.9</v>
      </c>
      <c r="G31" s="18">
        <v>31.4</v>
      </c>
      <c r="H31" s="90">
        <v>29.45</v>
      </c>
      <c r="I31" s="90">
        <v>32.2</v>
      </c>
      <c r="J31" s="90">
        <v>29.6</v>
      </c>
      <c r="K31" s="18">
        <v>29.1</v>
      </c>
      <c r="L31" s="90">
        <v>34.1</v>
      </c>
      <c r="M31" s="90">
        <v>30.6</v>
      </c>
      <c r="N31" s="18">
        <v>31.4</v>
      </c>
      <c r="O31" s="90" t="s">
        <v>26</v>
      </c>
      <c r="P31" s="90" t="s">
        <v>26</v>
      </c>
      <c r="Q31" s="174">
        <f t="shared" si="1"/>
        <v>30.663</v>
      </c>
      <c r="R31" s="18" t="s">
        <v>179</v>
      </c>
    </row>
    <row r="32" ht="15.75" customHeight="1">
      <c r="A32" s="20"/>
      <c r="B32" s="21"/>
      <c r="C32" s="22">
        <v>2.0</v>
      </c>
      <c r="D32" s="134" t="s">
        <v>333</v>
      </c>
      <c r="E32" s="24">
        <v>29.03</v>
      </c>
      <c r="F32" s="24">
        <v>29.93</v>
      </c>
      <c r="G32" s="24">
        <v>31.5</v>
      </c>
      <c r="H32" s="209">
        <v>29.73</v>
      </c>
      <c r="I32" s="209">
        <v>32.3</v>
      </c>
      <c r="J32" s="208">
        <v>29.68</v>
      </c>
      <c r="K32" s="24">
        <v>29.2</v>
      </c>
      <c r="L32" s="24">
        <v>34.55</v>
      </c>
      <c r="M32" s="209">
        <v>30.8</v>
      </c>
      <c r="N32" s="24">
        <v>31.7</v>
      </c>
      <c r="O32" s="24" t="s">
        <v>26</v>
      </c>
      <c r="P32" s="24" t="s">
        <v>26</v>
      </c>
      <c r="Q32" s="176">
        <f t="shared" si="1"/>
        <v>30.842</v>
      </c>
      <c r="R32" s="24" t="s">
        <v>179</v>
      </c>
    </row>
    <row r="33" ht="15.75" customHeight="1">
      <c r="A33" s="20"/>
      <c r="B33" s="21"/>
      <c r="C33" s="22">
        <v>3.0</v>
      </c>
      <c r="D33" s="134" t="s">
        <v>334</v>
      </c>
      <c r="E33" s="24">
        <v>28.7</v>
      </c>
      <c r="F33" s="24">
        <v>30.0</v>
      </c>
      <c r="G33" s="24">
        <v>30.7</v>
      </c>
      <c r="H33" s="209">
        <v>30.3</v>
      </c>
      <c r="I33" s="209">
        <v>32.23</v>
      </c>
      <c r="J33" s="209">
        <v>29.9</v>
      </c>
      <c r="K33" s="24">
        <v>29.0</v>
      </c>
      <c r="L33" s="24">
        <v>34.6</v>
      </c>
      <c r="M33" s="209">
        <v>30.5</v>
      </c>
      <c r="N33" s="24">
        <v>31.6</v>
      </c>
      <c r="O33" s="24" t="s">
        <v>26</v>
      </c>
      <c r="P33" s="24" t="s">
        <v>26</v>
      </c>
      <c r="Q33" s="176">
        <f t="shared" si="1"/>
        <v>30.753</v>
      </c>
      <c r="R33" s="24" t="s">
        <v>179</v>
      </c>
    </row>
    <row r="34" ht="15.75" customHeight="1">
      <c r="A34" s="20"/>
      <c r="B34" s="21"/>
      <c r="C34" s="22">
        <v>4.0</v>
      </c>
      <c r="D34" s="53" t="s">
        <v>335</v>
      </c>
      <c r="E34" s="24">
        <v>28.68</v>
      </c>
      <c r="F34" s="24">
        <v>30.1</v>
      </c>
      <c r="G34" s="24">
        <v>31.0</v>
      </c>
      <c r="H34" s="209">
        <v>30.26</v>
      </c>
      <c r="I34" s="209">
        <v>32.18</v>
      </c>
      <c r="J34" s="209">
        <v>30.0</v>
      </c>
      <c r="K34" s="24">
        <v>29.1</v>
      </c>
      <c r="L34" s="24">
        <v>34.85</v>
      </c>
      <c r="M34" s="208">
        <v>30.48</v>
      </c>
      <c r="N34" s="24">
        <v>31.5</v>
      </c>
      <c r="O34" s="24" t="s">
        <v>26</v>
      </c>
      <c r="P34" s="24" t="s">
        <v>26</v>
      </c>
      <c r="Q34" s="176">
        <f t="shared" si="1"/>
        <v>30.815</v>
      </c>
      <c r="R34" s="24" t="s">
        <v>179</v>
      </c>
    </row>
    <row r="35" ht="15.75" customHeight="1">
      <c r="A35" s="20"/>
      <c r="B35" s="21"/>
      <c r="C35" s="22">
        <v>5.0</v>
      </c>
      <c r="D35" s="134" t="s">
        <v>336</v>
      </c>
      <c r="E35" s="24">
        <v>28.9</v>
      </c>
      <c r="F35" s="24">
        <v>30.13</v>
      </c>
      <c r="G35" s="24">
        <v>30.8</v>
      </c>
      <c r="H35" s="209">
        <v>29.68</v>
      </c>
      <c r="I35" s="209">
        <v>31.1</v>
      </c>
      <c r="J35" s="209">
        <v>29.8</v>
      </c>
      <c r="K35" s="24">
        <v>28.8</v>
      </c>
      <c r="L35" s="24">
        <v>34.88</v>
      </c>
      <c r="M35" s="208">
        <v>28.38</v>
      </c>
      <c r="N35" s="24">
        <v>31.4</v>
      </c>
      <c r="O35" s="24" t="s">
        <v>26</v>
      </c>
      <c r="P35" s="24" t="s">
        <v>26</v>
      </c>
      <c r="Q35" s="176">
        <f t="shared" si="1"/>
        <v>30.387</v>
      </c>
      <c r="R35" s="24" t="s">
        <v>179</v>
      </c>
    </row>
    <row r="36" ht="15.75" customHeight="1">
      <c r="A36" s="20"/>
      <c r="B36" s="21"/>
      <c r="C36" s="22">
        <v>6.0</v>
      </c>
      <c r="D36" s="134" t="s">
        <v>337</v>
      </c>
      <c r="E36" s="24">
        <v>28.87</v>
      </c>
      <c r="F36" s="24">
        <v>29.3</v>
      </c>
      <c r="G36" s="24">
        <v>30.8</v>
      </c>
      <c r="H36" s="209">
        <v>30.2</v>
      </c>
      <c r="I36" s="209">
        <v>31.1</v>
      </c>
      <c r="J36" s="208">
        <v>29.75</v>
      </c>
      <c r="K36" s="24">
        <v>28.7</v>
      </c>
      <c r="L36" s="24">
        <v>34.9</v>
      </c>
      <c r="M36" s="208">
        <v>29.88</v>
      </c>
      <c r="N36" s="24">
        <v>31.5</v>
      </c>
      <c r="O36" s="24" t="s">
        <v>26</v>
      </c>
      <c r="P36" s="24" t="s">
        <v>26</v>
      </c>
      <c r="Q36" s="176">
        <f t="shared" si="1"/>
        <v>30.5</v>
      </c>
      <c r="R36" s="24" t="s">
        <v>179</v>
      </c>
    </row>
    <row r="37" ht="15.75" customHeight="1">
      <c r="A37" s="20"/>
      <c r="B37" s="21"/>
      <c r="C37" s="22">
        <v>7.0</v>
      </c>
      <c r="D37" s="134" t="s">
        <v>338</v>
      </c>
      <c r="E37" s="24">
        <v>28.4</v>
      </c>
      <c r="F37" s="24">
        <v>29.4</v>
      </c>
      <c r="G37" s="24">
        <v>30.7</v>
      </c>
      <c r="H37" s="209">
        <v>28.22</v>
      </c>
      <c r="I37" s="209">
        <v>32.2</v>
      </c>
      <c r="J37" s="208">
        <v>30.18</v>
      </c>
      <c r="K37" s="24">
        <v>29.0</v>
      </c>
      <c r="L37" s="24">
        <v>34.91</v>
      </c>
      <c r="M37" s="208">
        <v>30.15</v>
      </c>
      <c r="N37" s="24">
        <v>31.3</v>
      </c>
      <c r="O37" s="24" t="s">
        <v>26</v>
      </c>
      <c r="P37" s="24" t="s">
        <v>26</v>
      </c>
      <c r="Q37" s="176">
        <f t="shared" si="1"/>
        <v>30.446</v>
      </c>
      <c r="R37" s="24" t="s">
        <v>179</v>
      </c>
    </row>
    <row r="38" ht="15.75" customHeight="1">
      <c r="A38" s="20"/>
      <c r="B38" s="27"/>
      <c r="C38" s="22">
        <v>8.0</v>
      </c>
      <c r="D38" s="134" t="s">
        <v>339</v>
      </c>
      <c r="E38" s="24">
        <v>28.5</v>
      </c>
      <c r="F38" s="24">
        <v>29.73</v>
      </c>
      <c r="G38" s="24">
        <v>30.6</v>
      </c>
      <c r="H38" s="209">
        <v>30.63</v>
      </c>
      <c r="I38" s="209">
        <v>32.1</v>
      </c>
      <c r="J38" s="208">
        <v>30.01</v>
      </c>
      <c r="K38" s="24">
        <v>29.1</v>
      </c>
      <c r="L38" s="24">
        <v>34.87</v>
      </c>
      <c r="M38" s="208">
        <v>30.4</v>
      </c>
      <c r="N38" s="24">
        <v>31.4</v>
      </c>
      <c r="O38" s="24" t="s">
        <v>26</v>
      </c>
      <c r="P38" s="24" t="s">
        <v>26</v>
      </c>
      <c r="Q38" s="176">
        <f t="shared" si="1"/>
        <v>30.734</v>
      </c>
      <c r="R38" s="24" t="s">
        <v>179</v>
      </c>
    </row>
    <row r="39" ht="15.75" customHeight="1">
      <c r="A39" s="20"/>
      <c r="B39" s="15" t="s">
        <v>38</v>
      </c>
      <c r="C39" s="16">
        <v>1.0</v>
      </c>
      <c r="D39" s="133" t="s">
        <v>332</v>
      </c>
      <c r="E39" s="28">
        <v>3.0</v>
      </c>
      <c r="F39" s="28">
        <v>3.0</v>
      </c>
      <c r="G39" s="28">
        <v>3.0</v>
      </c>
      <c r="H39" s="89">
        <v>3.0</v>
      </c>
      <c r="I39" s="89">
        <v>3.0</v>
      </c>
      <c r="J39" s="89">
        <v>3.0</v>
      </c>
      <c r="K39" s="28">
        <v>5.0</v>
      </c>
      <c r="L39" s="28">
        <v>5.0</v>
      </c>
      <c r="M39" s="89">
        <v>5.0</v>
      </c>
      <c r="N39" s="28">
        <v>5.0</v>
      </c>
      <c r="O39" s="28">
        <v>5.0</v>
      </c>
      <c r="P39" s="28">
        <v>3.0</v>
      </c>
      <c r="Q39" s="178">
        <f t="shared" si="1"/>
        <v>3.833333333</v>
      </c>
      <c r="R39" s="28">
        <v>50.0</v>
      </c>
    </row>
    <row r="40" ht="15.75" customHeight="1">
      <c r="A40" s="20"/>
      <c r="B40" s="21"/>
      <c r="C40" s="22">
        <v>2.0</v>
      </c>
      <c r="D40" s="134" t="s">
        <v>333</v>
      </c>
      <c r="E40" s="30">
        <v>5.0</v>
      </c>
      <c r="F40" s="30">
        <v>3.0</v>
      </c>
      <c r="G40" s="30">
        <v>3.0</v>
      </c>
      <c r="H40" s="105">
        <v>3.0</v>
      </c>
      <c r="I40" s="208">
        <v>3.0</v>
      </c>
      <c r="J40" s="208">
        <v>3.0</v>
      </c>
      <c r="K40" s="30">
        <v>5.0</v>
      </c>
      <c r="L40" s="30">
        <v>5.0</v>
      </c>
      <c r="M40" s="208">
        <v>5.0</v>
      </c>
      <c r="N40" s="30">
        <v>5.0</v>
      </c>
      <c r="O40" s="30">
        <v>5.0</v>
      </c>
      <c r="P40" s="30">
        <v>3.0</v>
      </c>
      <c r="Q40" s="179">
        <f t="shared" si="1"/>
        <v>4</v>
      </c>
      <c r="R40" s="30">
        <v>50.0</v>
      </c>
    </row>
    <row r="41" ht="15.75" customHeight="1">
      <c r="A41" s="20"/>
      <c r="B41" s="21"/>
      <c r="C41" s="22">
        <v>3.0</v>
      </c>
      <c r="D41" s="134" t="s">
        <v>334</v>
      </c>
      <c r="E41" s="30">
        <v>5.0</v>
      </c>
      <c r="F41" s="30">
        <v>5.0</v>
      </c>
      <c r="G41" s="30">
        <v>3.0</v>
      </c>
      <c r="H41" s="30">
        <v>3.0</v>
      </c>
      <c r="I41" s="208">
        <v>3.0</v>
      </c>
      <c r="J41" s="208">
        <v>3.0</v>
      </c>
      <c r="K41" s="30">
        <v>5.0</v>
      </c>
      <c r="L41" s="30">
        <v>5.0</v>
      </c>
      <c r="M41" s="208">
        <v>5.0</v>
      </c>
      <c r="N41" s="30">
        <v>5.0</v>
      </c>
      <c r="O41" s="30">
        <v>5.0</v>
      </c>
      <c r="P41" s="30">
        <v>3.0</v>
      </c>
      <c r="Q41" s="179">
        <f t="shared" si="1"/>
        <v>4.166666667</v>
      </c>
      <c r="R41" s="30">
        <v>50.0</v>
      </c>
    </row>
    <row r="42" ht="15.75" customHeight="1">
      <c r="A42" s="20"/>
      <c r="B42" s="21"/>
      <c r="C42" s="22">
        <v>4.0</v>
      </c>
      <c r="D42" s="53" t="s">
        <v>335</v>
      </c>
      <c r="E42" s="30">
        <v>5.0</v>
      </c>
      <c r="F42" s="30">
        <v>3.0</v>
      </c>
      <c r="G42" s="30">
        <v>5.0</v>
      </c>
      <c r="H42" s="30">
        <v>3.0</v>
      </c>
      <c r="I42" s="208">
        <v>3.0</v>
      </c>
      <c r="J42" s="208">
        <v>3.0</v>
      </c>
      <c r="K42" s="30">
        <v>5.0</v>
      </c>
      <c r="L42" s="30">
        <v>5.0</v>
      </c>
      <c r="M42" s="208">
        <v>5.0</v>
      </c>
      <c r="N42" s="30">
        <v>3.0</v>
      </c>
      <c r="O42" s="30">
        <v>5.0</v>
      </c>
      <c r="P42" s="30">
        <v>3.0</v>
      </c>
      <c r="Q42" s="179">
        <f t="shared" si="1"/>
        <v>4</v>
      </c>
      <c r="R42" s="30">
        <v>50.0</v>
      </c>
    </row>
    <row r="43" ht="15.75" customHeight="1">
      <c r="A43" s="20"/>
      <c r="B43" s="21"/>
      <c r="C43" s="22">
        <v>5.0</v>
      </c>
      <c r="D43" s="134" t="s">
        <v>336</v>
      </c>
      <c r="E43" s="30">
        <v>10.0</v>
      </c>
      <c r="F43" s="30">
        <v>3.0</v>
      </c>
      <c r="G43" s="30">
        <v>5.0</v>
      </c>
      <c r="H43" s="30">
        <v>5.0</v>
      </c>
      <c r="I43" s="208">
        <v>3.0</v>
      </c>
      <c r="J43" s="208">
        <v>3.0</v>
      </c>
      <c r="K43" s="30">
        <v>5.0</v>
      </c>
      <c r="L43" s="30">
        <v>5.0</v>
      </c>
      <c r="M43" s="208">
        <v>5.0</v>
      </c>
      <c r="N43" s="30">
        <v>3.0</v>
      </c>
      <c r="O43" s="30">
        <v>5.0</v>
      </c>
      <c r="P43" s="30">
        <v>3.0</v>
      </c>
      <c r="Q43" s="179">
        <f t="shared" si="1"/>
        <v>4.583333333</v>
      </c>
      <c r="R43" s="30">
        <v>50.0</v>
      </c>
    </row>
    <row r="44" ht="15.75" customHeight="1">
      <c r="A44" s="20"/>
      <c r="B44" s="21"/>
      <c r="C44" s="22">
        <v>6.0</v>
      </c>
      <c r="D44" s="134" t="s">
        <v>337</v>
      </c>
      <c r="E44" s="30">
        <v>10.0</v>
      </c>
      <c r="F44" s="30">
        <v>3.0</v>
      </c>
      <c r="G44" s="30">
        <v>3.0</v>
      </c>
      <c r="H44" s="30">
        <v>5.0</v>
      </c>
      <c r="I44" s="208">
        <v>3.0</v>
      </c>
      <c r="J44" s="208">
        <v>3.0</v>
      </c>
      <c r="K44" s="30">
        <v>5.0</v>
      </c>
      <c r="L44" s="30">
        <v>5.0</v>
      </c>
      <c r="M44" s="208">
        <v>5.0</v>
      </c>
      <c r="N44" s="30">
        <v>3.0</v>
      </c>
      <c r="O44" s="30">
        <v>5.0</v>
      </c>
      <c r="P44" s="30">
        <v>3.0</v>
      </c>
      <c r="Q44" s="179">
        <f t="shared" si="1"/>
        <v>4.416666667</v>
      </c>
      <c r="R44" s="30">
        <v>50.0</v>
      </c>
    </row>
    <row r="45" ht="15.75" customHeight="1">
      <c r="A45" s="20"/>
      <c r="B45" s="21"/>
      <c r="C45" s="22">
        <v>7.0</v>
      </c>
      <c r="D45" s="134" t="s">
        <v>338</v>
      </c>
      <c r="E45" s="30">
        <v>10.0</v>
      </c>
      <c r="F45" s="30">
        <v>3.0</v>
      </c>
      <c r="G45" s="30">
        <v>3.0</v>
      </c>
      <c r="H45" s="30">
        <v>3.0</v>
      </c>
      <c r="I45" s="208">
        <v>3.0</v>
      </c>
      <c r="J45" s="208">
        <v>3.0</v>
      </c>
      <c r="K45" s="30">
        <v>5.0</v>
      </c>
      <c r="L45" s="30">
        <v>5.0</v>
      </c>
      <c r="M45" s="208">
        <v>5.0</v>
      </c>
      <c r="N45" s="30">
        <v>3.0</v>
      </c>
      <c r="O45" s="30">
        <v>5.0</v>
      </c>
      <c r="P45" s="30">
        <v>3.0</v>
      </c>
      <c r="Q45" s="179">
        <f t="shared" si="1"/>
        <v>4.25</v>
      </c>
      <c r="R45" s="30">
        <v>50.0</v>
      </c>
    </row>
    <row r="46" ht="15.75" customHeight="1">
      <c r="A46" s="20"/>
      <c r="B46" s="27"/>
      <c r="C46" s="22">
        <v>8.0</v>
      </c>
      <c r="D46" s="134" t="s">
        <v>339</v>
      </c>
      <c r="E46" s="30">
        <v>10.0</v>
      </c>
      <c r="F46" s="30">
        <v>3.0</v>
      </c>
      <c r="G46" s="30">
        <v>5.0</v>
      </c>
      <c r="H46" s="30">
        <v>3.0</v>
      </c>
      <c r="I46" s="208">
        <v>3.0</v>
      </c>
      <c r="J46" s="208">
        <v>3.0</v>
      </c>
      <c r="K46" s="30">
        <v>5.0</v>
      </c>
      <c r="L46" s="30">
        <v>5.0</v>
      </c>
      <c r="M46" s="208">
        <v>5.0</v>
      </c>
      <c r="N46" s="30">
        <v>5.0</v>
      </c>
      <c r="O46" s="30">
        <v>5.0</v>
      </c>
      <c r="P46" s="30">
        <v>3.0</v>
      </c>
      <c r="Q46" s="179">
        <f t="shared" si="1"/>
        <v>4.583333333</v>
      </c>
      <c r="R46" s="30">
        <v>50.0</v>
      </c>
    </row>
    <row r="47" ht="15.75" customHeight="1">
      <c r="A47" s="20"/>
      <c r="B47" s="15" t="s">
        <v>40</v>
      </c>
      <c r="C47" s="16">
        <v>1.0</v>
      </c>
      <c r="D47" s="133" t="s">
        <v>332</v>
      </c>
      <c r="E47" s="28">
        <v>3500.0</v>
      </c>
      <c r="F47" s="114">
        <v>79.0</v>
      </c>
      <c r="G47" s="145">
        <v>7.8</v>
      </c>
      <c r="H47" s="92">
        <v>13.0</v>
      </c>
      <c r="I47" s="89">
        <v>40.0</v>
      </c>
      <c r="J47" s="89">
        <v>79.0</v>
      </c>
      <c r="K47" s="93">
        <v>9200.0</v>
      </c>
      <c r="L47" s="33">
        <v>130.0</v>
      </c>
      <c r="M47" s="89">
        <v>240.0</v>
      </c>
      <c r="N47" s="33">
        <v>920.0</v>
      </c>
      <c r="O47" s="92">
        <v>9200.0</v>
      </c>
      <c r="P47" s="28">
        <v>17.0</v>
      </c>
      <c r="Q47" s="197">
        <f t="shared" ref="Q47:Q54" si="2">GEOMEAN(E47,F47,G47,H47,I47,J47,K47,L47,M47,N47,O47,P47)</f>
        <v>198.129403</v>
      </c>
      <c r="R47" s="17">
        <v>100.0</v>
      </c>
    </row>
    <row r="48" ht="15.75" customHeight="1">
      <c r="A48" s="20"/>
      <c r="B48" s="21"/>
      <c r="C48" s="22">
        <v>2.0</v>
      </c>
      <c r="D48" s="134" t="s">
        <v>333</v>
      </c>
      <c r="E48" s="30">
        <v>9200.0</v>
      </c>
      <c r="F48" s="37">
        <v>1600.0</v>
      </c>
      <c r="G48" s="30">
        <v>130.0</v>
      </c>
      <c r="H48" s="249">
        <v>12.0</v>
      </c>
      <c r="I48" s="208">
        <v>94.0</v>
      </c>
      <c r="J48" s="208">
        <v>27.0</v>
      </c>
      <c r="K48" s="213">
        <v>5400.0</v>
      </c>
      <c r="L48" s="34">
        <v>220.0</v>
      </c>
      <c r="M48" s="208">
        <v>240.0</v>
      </c>
      <c r="N48" s="34">
        <v>3500.0</v>
      </c>
      <c r="O48" s="30">
        <v>16000.0</v>
      </c>
      <c r="P48" s="147">
        <v>7.8</v>
      </c>
      <c r="Q48" s="198">
        <f t="shared" si="2"/>
        <v>373.0235019</v>
      </c>
      <c r="R48" s="23">
        <v>100.0</v>
      </c>
    </row>
    <row r="49" ht="15.75" customHeight="1">
      <c r="A49" s="20"/>
      <c r="B49" s="21"/>
      <c r="C49" s="22">
        <v>3.0</v>
      </c>
      <c r="D49" s="134" t="s">
        <v>334</v>
      </c>
      <c r="E49" s="30">
        <v>5400.0</v>
      </c>
      <c r="F49" s="37">
        <v>240.0</v>
      </c>
      <c r="G49" s="30">
        <v>79.0</v>
      </c>
      <c r="H49" s="230">
        <v>7.8</v>
      </c>
      <c r="I49" s="208">
        <v>130.0</v>
      </c>
      <c r="J49" s="208">
        <v>79.0</v>
      </c>
      <c r="K49" s="213">
        <v>1700.0</v>
      </c>
      <c r="L49" s="34">
        <v>49.0</v>
      </c>
      <c r="M49" s="208">
        <v>130.0</v>
      </c>
      <c r="N49" s="34">
        <v>2200.0</v>
      </c>
      <c r="O49" s="30">
        <v>240.0</v>
      </c>
      <c r="P49" s="30">
        <v>23.0</v>
      </c>
      <c r="Q49" s="198">
        <f t="shared" si="2"/>
        <v>178.9522944</v>
      </c>
      <c r="R49" s="23">
        <v>100.0</v>
      </c>
    </row>
    <row r="50" ht="15.75" customHeight="1">
      <c r="A50" s="20"/>
      <c r="B50" s="21"/>
      <c r="C50" s="22">
        <v>4.0</v>
      </c>
      <c r="D50" s="53" t="s">
        <v>335</v>
      </c>
      <c r="E50" s="30">
        <v>350.0</v>
      </c>
      <c r="F50" s="37">
        <v>1600.0</v>
      </c>
      <c r="G50" s="30">
        <v>350.0</v>
      </c>
      <c r="H50" s="249">
        <v>4.0</v>
      </c>
      <c r="I50" s="208">
        <v>22.0</v>
      </c>
      <c r="J50" s="208">
        <v>23.0</v>
      </c>
      <c r="K50" s="213">
        <v>24000.0</v>
      </c>
      <c r="L50" s="34">
        <v>23.0</v>
      </c>
      <c r="M50" s="208">
        <v>240.0</v>
      </c>
      <c r="N50" s="34">
        <v>33.0</v>
      </c>
      <c r="O50" s="30">
        <v>350.0</v>
      </c>
      <c r="P50" s="147">
        <v>7.8</v>
      </c>
      <c r="Q50" s="198">
        <f t="shared" si="2"/>
        <v>113.8346449</v>
      </c>
      <c r="R50" s="23">
        <v>100.0</v>
      </c>
    </row>
    <row r="51" ht="15.75" customHeight="1">
      <c r="A51" s="20"/>
      <c r="B51" s="21"/>
      <c r="C51" s="22">
        <v>5.0</v>
      </c>
      <c r="D51" s="134" t="s">
        <v>336</v>
      </c>
      <c r="E51" s="30">
        <v>16000.0</v>
      </c>
      <c r="F51" s="37">
        <v>70.0</v>
      </c>
      <c r="G51" s="30">
        <v>33.0</v>
      </c>
      <c r="H51" s="230">
        <v>4.5</v>
      </c>
      <c r="I51" s="208">
        <v>130.0</v>
      </c>
      <c r="J51" s="208">
        <v>460.0</v>
      </c>
      <c r="K51" s="213">
        <v>5400.0</v>
      </c>
      <c r="L51" s="34">
        <v>540.0</v>
      </c>
      <c r="M51" s="208">
        <v>21.0</v>
      </c>
      <c r="N51" s="34">
        <v>2400.0</v>
      </c>
      <c r="O51" s="30">
        <v>5400.0</v>
      </c>
      <c r="P51" s="30">
        <v>11.0</v>
      </c>
      <c r="Q51" s="198">
        <f t="shared" si="2"/>
        <v>257.9610762</v>
      </c>
      <c r="R51" s="23">
        <v>100.0</v>
      </c>
    </row>
    <row r="52" ht="15.75" customHeight="1">
      <c r="A52" s="20"/>
      <c r="B52" s="21"/>
      <c r="C52" s="22">
        <v>6.0</v>
      </c>
      <c r="D52" s="134" t="s">
        <v>337</v>
      </c>
      <c r="E52" s="30">
        <v>24000.0</v>
      </c>
      <c r="F52" s="91">
        <v>14.0</v>
      </c>
      <c r="G52" s="147">
        <v>4.5</v>
      </c>
      <c r="H52" s="249">
        <v>240.0</v>
      </c>
      <c r="I52" s="208">
        <v>240.0</v>
      </c>
      <c r="J52" s="213">
        <v>1600.0</v>
      </c>
      <c r="K52" s="213">
        <v>2400.0</v>
      </c>
      <c r="L52" s="34">
        <v>350.0</v>
      </c>
      <c r="M52" s="208">
        <v>11.0</v>
      </c>
      <c r="N52" s="34">
        <v>2400.0</v>
      </c>
      <c r="O52" s="30">
        <v>170.0</v>
      </c>
      <c r="P52" s="30">
        <v>13.0</v>
      </c>
      <c r="Q52" s="198">
        <f t="shared" si="2"/>
        <v>208.7040188</v>
      </c>
      <c r="R52" s="23">
        <v>100.0</v>
      </c>
    </row>
    <row r="53" ht="15.75" customHeight="1">
      <c r="A53" s="20"/>
      <c r="B53" s="21"/>
      <c r="C53" s="22">
        <v>7.0</v>
      </c>
      <c r="D53" s="134" t="s">
        <v>338</v>
      </c>
      <c r="E53" s="30">
        <v>3500.0</v>
      </c>
      <c r="F53" s="37">
        <v>22.0</v>
      </c>
      <c r="G53" s="30">
        <v>13.0</v>
      </c>
      <c r="H53" s="249">
        <v>33.0</v>
      </c>
      <c r="I53" s="208">
        <v>350.0</v>
      </c>
      <c r="J53" s="213">
        <v>1600.0</v>
      </c>
      <c r="K53" s="208">
        <v>700.0</v>
      </c>
      <c r="L53" s="34">
        <v>250.0</v>
      </c>
      <c r="M53" s="208">
        <v>49.0</v>
      </c>
      <c r="N53" s="34">
        <v>12.0</v>
      </c>
      <c r="O53" s="30">
        <v>3500.0</v>
      </c>
      <c r="P53" s="147">
        <v>7.8</v>
      </c>
      <c r="Q53" s="198">
        <f t="shared" si="2"/>
        <v>138.9876373</v>
      </c>
      <c r="R53" s="23">
        <v>100.0</v>
      </c>
    </row>
    <row r="54" ht="15.75" customHeight="1">
      <c r="A54" s="20"/>
      <c r="B54" s="27"/>
      <c r="C54" s="22">
        <v>8.0</v>
      </c>
      <c r="D54" s="134" t="s">
        <v>339</v>
      </c>
      <c r="E54" s="30">
        <v>9200.0</v>
      </c>
      <c r="F54" s="91">
        <v>14.0</v>
      </c>
      <c r="G54" s="147">
        <v>9.3</v>
      </c>
      <c r="H54" s="249">
        <v>540.0</v>
      </c>
      <c r="I54" s="208">
        <v>240.0</v>
      </c>
      <c r="J54" s="208">
        <v>540.0</v>
      </c>
      <c r="K54" s="208">
        <v>920.0</v>
      </c>
      <c r="L54" s="30">
        <v>240.0</v>
      </c>
      <c r="M54" s="208">
        <v>14.0</v>
      </c>
      <c r="N54" s="34">
        <v>540.0</v>
      </c>
      <c r="O54" s="30">
        <v>130.0</v>
      </c>
      <c r="P54" s="147">
        <v>4.5</v>
      </c>
      <c r="Q54" s="198">
        <f t="shared" si="2"/>
        <v>144.3520177</v>
      </c>
      <c r="R54" s="23">
        <v>100.0</v>
      </c>
    </row>
    <row r="55" ht="15.75" customHeight="1">
      <c r="A55" s="20"/>
      <c r="B55" s="15" t="s">
        <v>341</v>
      </c>
      <c r="C55" s="16">
        <v>1.0</v>
      </c>
      <c r="D55" s="133" t="s">
        <v>332</v>
      </c>
      <c r="E55" s="40" t="s">
        <v>42</v>
      </c>
      <c r="F55" s="40" t="s">
        <v>42</v>
      </c>
      <c r="G55" s="40" t="s">
        <v>42</v>
      </c>
      <c r="H55" s="96">
        <v>0.1</v>
      </c>
      <c r="I55" s="89" t="s">
        <v>42</v>
      </c>
      <c r="J55" s="89" t="s">
        <v>42</v>
      </c>
      <c r="K55" s="114">
        <v>0.097</v>
      </c>
      <c r="L55" s="114">
        <v>0.418</v>
      </c>
      <c r="M55" s="89" t="s">
        <v>42</v>
      </c>
      <c r="N55" s="89" t="s">
        <v>42</v>
      </c>
      <c r="O55" s="40">
        <v>0.126</v>
      </c>
      <c r="P55" s="89" t="s">
        <v>42</v>
      </c>
      <c r="Q55" s="185">
        <f>AVERAGE(E55,0.045,0.045,H55,I55,J55,0.045,0.045,0.045,N55,O55,P55)</f>
        <v>0.06442857143</v>
      </c>
      <c r="R55" s="17">
        <v>10.0</v>
      </c>
    </row>
    <row r="56" ht="16.5" customHeight="1">
      <c r="A56" s="20"/>
      <c r="B56" s="21"/>
      <c r="C56" s="22">
        <v>2.0</v>
      </c>
      <c r="D56" s="134" t="s">
        <v>333</v>
      </c>
      <c r="E56" s="24" t="s">
        <v>42</v>
      </c>
      <c r="F56" s="24" t="s">
        <v>42</v>
      </c>
      <c r="G56" s="24" t="s">
        <v>42</v>
      </c>
      <c r="H56" s="208" t="s">
        <v>42</v>
      </c>
      <c r="I56" s="208" t="s">
        <v>42</v>
      </c>
      <c r="J56" s="208" t="s">
        <v>42</v>
      </c>
      <c r="K56" s="91">
        <v>0.085</v>
      </c>
      <c r="L56" s="91">
        <v>0.266</v>
      </c>
      <c r="M56" s="208" t="s">
        <v>42</v>
      </c>
      <c r="N56" s="208" t="s">
        <v>42</v>
      </c>
      <c r="O56" s="43">
        <v>0.091</v>
      </c>
      <c r="P56" s="208" t="s">
        <v>42</v>
      </c>
      <c r="Q56" s="187">
        <f>AVERAGE(E56:P56)</f>
        <v>0.1473333333</v>
      </c>
      <c r="R56" s="23">
        <v>10.0</v>
      </c>
    </row>
    <row r="57" ht="15.75" customHeight="1">
      <c r="A57" s="20"/>
      <c r="B57" s="21"/>
      <c r="C57" s="22">
        <v>3.0</v>
      </c>
      <c r="D57" s="134" t="s">
        <v>334</v>
      </c>
      <c r="E57" s="24" t="s">
        <v>42</v>
      </c>
      <c r="F57" s="43">
        <v>0.253</v>
      </c>
      <c r="G57" s="24">
        <v>0.114</v>
      </c>
      <c r="H57" s="208" t="s">
        <v>42</v>
      </c>
      <c r="I57" s="208" t="s">
        <v>42</v>
      </c>
      <c r="J57" s="208" t="s">
        <v>42</v>
      </c>
      <c r="K57" s="91" t="s">
        <v>42</v>
      </c>
      <c r="L57" s="43" t="s">
        <v>42</v>
      </c>
      <c r="M57" s="208" t="s">
        <v>42</v>
      </c>
      <c r="N57" s="208" t="s">
        <v>42</v>
      </c>
      <c r="O57" s="43">
        <v>0.286</v>
      </c>
      <c r="P57" s="208" t="s">
        <v>42</v>
      </c>
      <c r="Q57" s="187">
        <f>AVERAGE(E57,0.045,0.045,H57,I57,J57,K57,L57,M57,N57,O57,P57)</f>
        <v>0.1253333333</v>
      </c>
      <c r="R57" s="23">
        <v>10.0</v>
      </c>
    </row>
    <row r="58" ht="15.75" customHeight="1">
      <c r="A58" s="20"/>
      <c r="B58" s="21"/>
      <c r="C58" s="22">
        <v>4.0</v>
      </c>
      <c r="D58" s="53" t="s">
        <v>335</v>
      </c>
      <c r="E58" s="24" t="s">
        <v>42</v>
      </c>
      <c r="F58" s="43">
        <v>0.213</v>
      </c>
      <c r="G58" s="24">
        <v>0.08</v>
      </c>
      <c r="H58" s="208">
        <v>0.035</v>
      </c>
      <c r="I58" s="208" t="s">
        <v>42</v>
      </c>
      <c r="J58" s="208" t="s">
        <v>42</v>
      </c>
      <c r="K58" s="91" t="s">
        <v>42</v>
      </c>
      <c r="L58" s="43" t="s">
        <v>42</v>
      </c>
      <c r="M58" s="211" t="s">
        <v>42</v>
      </c>
      <c r="N58" s="208" t="s">
        <v>42</v>
      </c>
      <c r="O58" s="208" t="s">
        <v>42</v>
      </c>
      <c r="P58" s="208" t="s">
        <v>42</v>
      </c>
      <c r="Q58" s="187">
        <f>AVERAGE(E58,0.045,0.045,H58,I58,J58,0.045,L58,M58,N58,O58,P58)</f>
        <v>0.0425</v>
      </c>
      <c r="R58" s="23">
        <v>10.0</v>
      </c>
    </row>
    <row r="59" ht="15.75" customHeight="1">
      <c r="A59" s="20"/>
      <c r="B59" s="21"/>
      <c r="C59" s="22">
        <v>5.0</v>
      </c>
      <c r="D59" s="134" t="s">
        <v>336</v>
      </c>
      <c r="E59" s="24" t="s">
        <v>42</v>
      </c>
      <c r="F59" s="43">
        <v>0.256</v>
      </c>
      <c r="G59" s="24">
        <v>0.148</v>
      </c>
      <c r="H59" s="208" t="s">
        <v>42</v>
      </c>
      <c r="I59" s="208" t="s">
        <v>42</v>
      </c>
      <c r="J59" s="208" t="s">
        <v>42</v>
      </c>
      <c r="K59" s="91" t="s">
        <v>42</v>
      </c>
      <c r="L59" s="91">
        <v>0.238</v>
      </c>
      <c r="M59" s="208" t="s">
        <v>42</v>
      </c>
      <c r="N59" s="208" t="s">
        <v>42</v>
      </c>
      <c r="O59" s="208" t="s">
        <v>42</v>
      </c>
      <c r="P59" s="208" t="s">
        <v>42</v>
      </c>
      <c r="Q59" s="187">
        <f t="shared" ref="Q59:Q60" si="3">AVERAGE(E59,0.045,0.045,H59,I59,J59,K59,0.045,0.045,N59,O59,P59)</f>
        <v>0.045</v>
      </c>
      <c r="R59" s="23">
        <v>10.0</v>
      </c>
    </row>
    <row r="60" ht="15.75" customHeight="1">
      <c r="A60" s="20"/>
      <c r="B60" s="21"/>
      <c r="C60" s="22">
        <v>6.0</v>
      </c>
      <c r="D60" s="134" t="s">
        <v>337</v>
      </c>
      <c r="E60" s="24" t="s">
        <v>42</v>
      </c>
      <c r="F60" s="43">
        <v>0.163</v>
      </c>
      <c r="G60" s="24" t="s">
        <v>42</v>
      </c>
      <c r="H60" s="208" t="s">
        <v>42</v>
      </c>
      <c r="I60" s="208" t="s">
        <v>42</v>
      </c>
      <c r="J60" s="208" t="s">
        <v>42</v>
      </c>
      <c r="K60" s="91" t="s">
        <v>42</v>
      </c>
      <c r="L60" s="91">
        <v>0.178</v>
      </c>
      <c r="M60" s="208" t="s">
        <v>42</v>
      </c>
      <c r="N60" s="208" t="s">
        <v>42</v>
      </c>
      <c r="O60" s="208">
        <v>0.457</v>
      </c>
      <c r="P60" s="43">
        <v>0.052</v>
      </c>
      <c r="Q60" s="187">
        <f t="shared" si="3"/>
        <v>0.1148333333</v>
      </c>
      <c r="R60" s="23">
        <v>10.0</v>
      </c>
    </row>
    <row r="61" ht="15.75" customHeight="1">
      <c r="A61" s="20"/>
      <c r="B61" s="21"/>
      <c r="C61" s="22">
        <v>7.0</v>
      </c>
      <c r="D61" s="134" t="s">
        <v>338</v>
      </c>
      <c r="E61" s="24" t="s">
        <v>42</v>
      </c>
      <c r="F61" s="43">
        <v>0.245</v>
      </c>
      <c r="G61" s="24">
        <v>0.097</v>
      </c>
      <c r="H61" s="208" t="s">
        <v>42</v>
      </c>
      <c r="I61" s="208" t="s">
        <v>42</v>
      </c>
      <c r="J61" s="208" t="s">
        <v>42</v>
      </c>
      <c r="K61" s="91" t="s">
        <v>42</v>
      </c>
      <c r="L61" s="43">
        <v>0.062</v>
      </c>
      <c r="M61" s="211" t="s">
        <v>42</v>
      </c>
      <c r="N61" s="208" t="s">
        <v>42</v>
      </c>
      <c r="O61" s="208" t="s">
        <v>42</v>
      </c>
      <c r="P61" s="43">
        <v>0.104</v>
      </c>
      <c r="Q61" s="187">
        <f>AVERAGE(E61,0.045,0.045,H61,I61,J61,K61,L61,M61,N61,O61,P61)</f>
        <v>0.064</v>
      </c>
      <c r="R61" s="23">
        <v>10.0</v>
      </c>
    </row>
    <row r="62" ht="15.75" customHeight="1">
      <c r="A62" s="20"/>
      <c r="B62" s="27"/>
      <c r="C62" s="22">
        <v>8.0</v>
      </c>
      <c r="D62" s="134" t="s">
        <v>339</v>
      </c>
      <c r="E62" s="24" t="s">
        <v>42</v>
      </c>
      <c r="F62" s="43">
        <v>0.217</v>
      </c>
      <c r="G62" s="24" t="s">
        <v>42</v>
      </c>
      <c r="H62" s="208" t="s">
        <v>42</v>
      </c>
      <c r="I62" s="208" t="s">
        <v>42</v>
      </c>
      <c r="J62" s="208" t="s">
        <v>42</v>
      </c>
      <c r="K62" s="91" t="s">
        <v>42</v>
      </c>
      <c r="L62" s="43">
        <v>0.25</v>
      </c>
      <c r="M62" s="208" t="s">
        <v>42</v>
      </c>
      <c r="N62" s="208" t="s">
        <v>42</v>
      </c>
      <c r="O62" s="208" t="s">
        <v>42</v>
      </c>
      <c r="P62" s="208" t="s">
        <v>42</v>
      </c>
      <c r="Q62" s="187">
        <f>AVERAGE(0.045,0.045,G62,H62,I62,J62,K62,L62,M62,N62,O62,P62)</f>
        <v>0.1133333333</v>
      </c>
      <c r="R62" s="23">
        <v>10.0</v>
      </c>
    </row>
    <row r="63" ht="15.75" customHeight="1">
      <c r="A63" s="20"/>
      <c r="B63" s="15" t="s">
        <v>342</v>
      </c>
      <c r="C63" s="16">
        <v>1.0</v>
      </c>
      <c r="D63" s="133" t="s">
        <v>332</v>
      </c>
      <c r="E63" s="18" t="s">
        <v>206</v>
      </c>
      <c r="F63" s="18" t="s">
        <v>206</v>
      </c>
      <c r="G63" s="18" t="s">
        <v>206</v>
      </c>
      <c r="H63" s="89">
        <v>0.026</v>
      </c>
      <c r="I63" s="89" t="s">
        <v>206</v>
      </c>
      <c r="J63" s="89">
        <v>0.027</v>
      </c>
      <c r="K63" s="114">
        <v>0.064</v>
      </c>
      <c r="L63" s="40">
        <v>0.049</v>
      </c>
      <c r="M63" s="89">
        <v>0.023</v>
      </c>
      <c r="N63" s="40">
        <v>0.026</v>
      </c>
      <c r="O63" s="40">
        <v>0.022</v>
      </c>
      <c r="P63" s="40" t="s">
        <v>273</v>
      </c>
      <c r="Q63" s="185">
        <f>AVERAGE(0.025,F63,0.025,H63,I63,J63,0.025,L63,M63,N63,O63,P63)</f>
        <v>0.02755555556</v>
      </c>
      <c r="R63" s="17">
        <v>0.5</v>
      </c>
    </row>
    <row r="64" ht="15.75" customHeight="1">
      <c r="A64" s="20"/>
      <c r="B64" s="21"/>
      <c r="C64" s="22">
        <v>2.0</v>
      </c>
      <c r="D64" s="134" t="s">
        <v>333</v>
      </c>
      <c r="E64" s="24" t="s">
        <v>206</v>
      </c>
      <c r="F64" s="24" t="s">
        <v>206</v>
      </c>
      <c r="G64" s="24" t="s">
        <v>206</v>
      </c>
      <c r="H64" s="208">
        <v>0.038</v>
      </c>
      <c r="I64" s="208">
        <v>0.036</v>
      </c>
      <c r="J64" s="208">
        <v>0.029</v>
      </c>
      <c r="K64" s="91">
        <v>0.067</v>
      </c>
      <c r="L64" s="43">
        <v>0.026</v>
      </c>
      <c r="M64" s="208">
        <v>0.025</v>
      </c>
      <c r="N64" s="43">
        <v>0.031</v>
      </c>
      <c r="O64" s="43">
        <v>0.034</v>
      </c>
      <c r="P64" s="43" t="s">
        <v>273</v>
      </c>
      <c r="Q64" s="187">
        <f t="shared" ref="Q64:Q65" si="4">AVERAGE(0.025,F64,0.025,H64,I64,J64,K64,L64,M64,N64,O64,P64)</f>
        <v>0.0336</v>
      </c>
      <c r="R64" s="23">
        <v>0.5</v>
      </c>
    </row>
    <row r="65" ht="15.75" customHeight="1">
      <c r="A65" s="20"/>
      <c r="B65" s="21"/>
      <c r="C65" s="22">
        <v>3.0</v>
      </c>
      <c r="D65" s="134" t="s">
        <v>334</v>
      </c>
      <c r="E65" s="24" t="s">
        <v>206</v>
      </c>
      <c r="F65" s="43">
        <v>0.046</v>
      </c>
      <c r="G65" s="43">
        <v>0.046</v>
      </c>
      <c r="H65" s="208" t="s">
        <v>206</v>
      </c>
      <c r="I65" s="208" t="s">
        <v>206</v>
      </c>
      <c r="J65" s="208">
        <v>0.037</v>
      </c>
      <c r="K65" s="91">
        <v>0.085</v>
      </c>
      <c r="L65" s="43">
        <v>0.022</v>
      </c>
      <c r="M65" s="208">
        <v>0.026</v>
      </c>
      <c r="N65" s="43">
        <v>0.031</v>
      </c>
      <c r="O65" s="43">
        <v>0.032</v>
      </c>
      <c r="P65" s="43" t="s">
        <v>273</v>
      </c>
      <c r="Q65" s="187">
        <f t="shared" si="4"/>
        <v>0.03655555556</v>
      </c>
      <c r="R65" s="23">
        <v>0.5</v>
      </c>
    </row>
    <row r="66" ht="15.75" customHeight="1">
      <c r="A66" s="20"/>
      <c r="B66" s="21"/>
      <c r="C66" s="22">
        <v>4.0</v>
      </c>
      <c r="D66" s="53" t="s">
        <v>335</v>
      </c>
      <c r="E66" s="24" t="s">
        <v>206</v>
      </c>
      <c r="F66" s="24" t="s">
        <v>206</v>
      </c>
      <c r="G66" s="43">
        <v>0.036</v>
      </c>
      <c r="H66" s="208">
        <v>0.034</v>
      </c>
      <c r="I66" s="208">
        <v>0.034</v>
      </c>
      <c r="J66" s="208">
        <v>0.037</v>
      </c>
      <c r="K66" s="91">
        <v>0.106</v>
      </c>
      <c r="L66" s="43">
        <v>0.193</v>
      </c>
      <c r="M66" s="208">
        <v>0.026</v>
      </c>
      <c r="N66" s="43">
        <v>0.033</v>
      </c>
      <c r="O66" s="43">
        <v>0.027</v>
      </c>
      <c r="P66" s="43" t="s">
        <v>273</v>
      </c>
      <c r="Q66" s="187">
        <f t="shared" ref="Q66:Q67" si="5">AVERAGE(0.025,F66,0.025,H66,I66,J66,0.025,L66,M66,N66,O66,P66)</f>
        <v>0.0459</v>
      </c>
      <c r="R66" s="23">
        <v>0.5</v>
      </c>
    </row>
    <row r="67" ht="15.75" customHeight="1">
      <c r="A67" s="20"/>
      <c r="B67" s="21"/>
      <c r="C67" s="22">
        <v>5.0</v>
      </c>
      <c r="D67" s="134" t="s">
        <v>336</v>
      </c>
      <c r="E67" s="24" t="s">
        <v>206</v>
      </c>
      <c r="F67" s="91">
        <v>0.039</v>
      </c>
      <c r="G67" s="43">
        <v>0.044</v>
      </c>
      <c r="H67" s="208" t="s">
        <v>206</v>
      </c>
      <c r="I67" s="208" t="s">
        <v>206</v>
      </c>
      <c r="J67" s="208">
        <v>0.029</v>
      </c>
      <c r="K67" s="43">
        <v>0.093</v>
      </c>
      <c r="L67" s="43">
        <v>0.024</v>
      </c>
      <c r="M67" s="208">
        <v>0.023</v>
      </c>
      <c r="N67" s="43">
        <v>0.023</v>
      </c>
      <c r="O67" s="43">
        <v>0.026</v>
      </c>
      <c r="P67" s="43" t="s">
        <v>273</v>
      </c>
      <c r="Q67" s="187">
        <f t="shared" si="5"/>
        <v>0.02655555556</v>
      </c>
      <c r="R67" s="23">
        <v>0.5</v>
      </c>
    </row>
    <row r="68" ht="15.75" customHeight="1">
      <c r="A68" s="20"/>
      <c r="B68" s="21"/>
      <c r="C68" s="22">
        <v>6.0</v>
      </c>
      <c r="D68" s="134" t="s">
        <v>337</v>
      </c>
      <c r="E68" s="24" t="s">
        <v>206</v>
      </c>
      <c r="F68" s="24" t="s">
        <v>206</v>
      </c>
      <c r="G68" s="43">
        <v>0.028</v>
      </c>
      <c r="H68" s="208">
        <v>0.049</v>
      </c>
      <c r="I68" s="208" t="s">
        <v>206</v>
      </c>
      <c r="J68" s="208">
        <v>0.026</v>
      </c>
      <c r="K68" s="91" t="s">
        <v>206</v>
      </c>
      <c r="L68" s="43">
        <v>0.027</v>
      </c>
      <c r="M68" s="208">
        <v>0.052</v>
      </c>
      <c r="N68" s="43">
        <v>0.033</v>
      </c>
      <c r="O68" s="43">
        <v>0.026</v>
      </c>
      <c r="P68" s="43" t="s">
        <v>273</v>
      </c>
      <c r="Q68" s="187">
        <f>AVERAGE(0.025,F68,0.025,H68,I68,J68,K68,L68,M68,N68,O68,P68)</f>
        <v>0.032875</v>
      </c>
      <c r="R68" s="23">
        <v>0.5</v>
      </c>
    </row>
    <row r="69" ht="15.75" customHeight="1">
      <c r="A69" s="20"/>
      <c r="B69" s="21"/>
      <c r="C69" s="22">
        <v>7.0</v>
      </c>
      <c r="D69" s="134" t="s">
        <v>338</v>
      </c>
      <c r="E69" s="24" t="s">
        <v>206</v>
      </c>
      <c r="F69" s="24" t="s">
        <v>206</v>
      </c>
      <c r="G69" s="43">
        <v>0.028</v>
      </c>
      <c r="H69" s="208">
        <v>0.026</v>
      </c>
      <c r="I69" s="208">
        <v>0.026</v>
      </c>
      <c r="J69" s="208">
        <v>0.034</v>
      </c>
      <c r="K69" s="91">
        <v>0.064</v>
      </c>
      <c r="L69" s="43">
        <v>0.043</v>
      </c>
      <c r="M69" s="208">
        <v>0.034</v>
      </c>
      <c r="N69" s="43">
        <v>0.047</v>
      </c>
      <c r="O69" s="43">
        <v>0.024</v>
      </c>
      <c r="P69" s="43" t="s">
        <v>273</v>
      </c>
      <c r="Q69" s="187">
        <f>AVERAGE(0.025,F69,0.025,H69,I69,J69,0.025,L69,M69,N69,O69,P69)</f>
        <v>0.0309</v>
      </c>
      <c r="R69" s="23">
        <v>0.5</v>
      </c>
    </row>
    <row r="70" ht="15.75" customHeight="1">
      <c r="A70" s="20"/>
      <c r="B70" s="27"/>
      <c r="C70" s="22">
        <v>8.0</v>
      </c>
      <c r="D70" s="134" t="s">
        <v>339</v>
      </c>
      <c r="E70" s="24" t="s">
        <v>206</v>
      </c>
      <c r="F70" s="91">
        <v>0.049</v>
      </c>
      <c r="G70" s="43">
        <v>0.028</v>
      </c>
      <c r="H70" s="208">
        <v>0.031</v>
      </c>
      <c r="I70" s="208">
        <v>0.026</v>
      </c>
      <c r="J70" s="208">
        <v>0.035</v>
      </c>
      <c r="K70" s="91">
        <v>0.067</v>
      </c>
      <c r="L70" s="43">
        <v>0.031</v>
      </c>
      <c r="M70" s="208">
        <v>0.032</v>
      </c>
      <c r="N70" s="43">
        <v>0.033</v>
      </c>
      <c r="O70" s="43">
        <v>0.031</v>
      </c>
      <c r="P70" s="43" t="s">
        <v>273</v>
      </c>
      <c r="Q70" s="187">
        <f>AVERAGE(0.025,F70,G70,H70,I70,J70,0.025,L70,M70,N70,O70,P70)</f>
        <v>0.03145454545</v>
      </c>
      <c r="R70" s="23">
        <v>0.5</v>
      </c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17"/>
      <c r="M71" s="117"/>
      <c r="N71" s="100"/>
      <c r="O71" s="100"/>
      <c r="P71" s="100"/>
    </row>
    <row r="72" ht="15.75" customHeight="1">
      <c r="A72" s="97" t="s">
        <v>47</v>
      </c>
      <c r="D72" s="100"/>
      <c r="E72" s="100"/>
      <c r="F72" s="100"/>
      <c r="G72" s="100"/>
      <c r="H72" s="100"/>
      <c r="I72" s="100"/>
      <c r="J72" s="100"/>
      <c r="K72" s="100"/>
      <c r="L72" s="117"/>
      <c r="M72" s="117"/>
      <c r="N72" s="100"/>
      <c r="O72" s="100"/>
      <c r="P72" s="100"/>
    </row>
    <row r="73" ht="9.0" customHeight="1">
      <c r="D73" s="100"/>
      <c r="E73" s="100"/>
      <c r="F73" s="100"/>
      <c r="G73" s="100"/>
      <c r="H73" s="100"/>
      <c r="I73" s="100"/>
      <c r="J73" s="100"/>
      <c r="K73" s="100"/>
      <c r="L73" s="117"/>
      <c r="M73" s="117"/>
      <c r="N73" s="100"/>
      <c r="O73" s="100"/>
      <c r="P73" s="100"/>
    </row>
    <row r="74" ht="13.5" customHeight="1">
      <c r="A74" s="215"/>
      <c r="I74" s="100"/>
      <c r="J74" s="100"/>
      <c r="K74" s="100"/>
      <c r="L74" s="117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0.5" customHeight="1">
      <c r="A75" s="207"/>
      <c r="B75" s="207"/>
      <c r="C75" s="20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3:B30"/>
    <mergeCell ref="B31:B38"/>
    <mergeCell ref="B39:B46"/>
    <mergeCell ref="B47:B54"/>
    <mergeCell ref="B55:B62"/>
    <mergeCell ref="B63:B70"/>
    <mergeCell ref="A72:C73"/>
    <mergeCell ref="A74:H74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43"/>
    <col customWidth="1" min="3" max="3" width="8.43"/>
    <col customWidth="1" min="4" max="4" width="12.43"/>
    <col customWidth="1" min="5" max="5" width="14.14"/>
    <col customWidth="1" min="6" max="6" width="11.86"/>
    <col customWidth="1" min="7" max="7" width="12.43"/>
    <col customWidth="1" min="8" max="8" width="12.14"/>
    <col customWidth="1" min="9" max="9" width="12.0"/>
    <col customWidth="1" min="10" max="10" width="9.0"/>
    <col customWidth="1" min="11" max="11" width="17.86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>
      <c r="A4" s="250" t="s">
        <v>3</v>
      </c>
      <c r="B4" s="251" t="s">
        <v>4</v>
      </c>
      <c r="C4" s="251" t="s">
        <v>5</v>
      </c>
      <c r="D4" s="252" t="s">
        <v>343</v>
      </c>
      <c r="E4" s="253"/>
      <c r="F4" s="251" t="s">
        <v>344</v>
      </c>
      <c r="G4" s="251" t="s">
        <v>345</v>
      </c>
      <c r="H4" s="251" t="s">
        <v>346</v>
      </c>
      <c r="I4" s="251" t="s">
        <v>347</v>
      </c>
      <c r="J4" s="251" t="s">
        <v>348</v>
      </c>
      <c r="K4" s="251" t="s">
        <v>349</v>
      </c>
    </row>
    <row r="5">
      <c r="A5" s="254"/>
      <c r="B5" s="27"/>
      <c r="C5" s="27"/>
      <c r="D5" s="8" t="s">
        <v>350</v>
      </c>
      <c r="E5" s="172" t="s">
        <v>351</v>
      </c>
      <c r="F5" s="27"/>
      <c r="G5" s="27"/>
      <c r="H5" s="27"/>
      <c r="I5" s="27"/>
      <c r="J5" s="27"/>
      <c r="K5" s="27"/>
    </row>
    <row r="6">
      <c r="A6" s="10" t="s">
        <v>352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>
      <c r="A7" s="13" t="s">
        <v>353</v>
      </c>
      <c r="B7" s="11"/>
      <c r="C7" s="11"/>
      <c r="D7" s="11"/>
      <c r="E7" s="11"/>
      <c r="F7" s="11"/>
      <c r="G7" s="11"/>
      <c r="H7" s="11"/>
      <c r="I7" s="11"/>
      <c r="J7" s="11"/>
      <c r="K7" s="12"/>
    </row>
    <row r="8">
      <c r="A8" s="86" t="s">
        <v>23</v>
      </c>
      <c r="B8" s="48" t="s">
        <v>354</v>
      </c>
      <c r="C8" s="87">
        <v>1.0</v>
      </c>
      <c r="D8" s="189">
        <v>14.66669</v>
      </c>
      <c r="E8" s="189">
        <v>120.84239</v>
      </c>
      <c r="F8" s="114">
        <v>1.3</v>
      </c>
      <c r="G8" s="114">
        <v>0.2</v>
      </c>
      <c r="H8" s="114">
        <v>0.3</v>
      </c>
      <c r="I8" s="114">
        <v>0.2</v>
      </c>
      <c r="J8" s="114">
        <f t="shared" ref="J8:J16" si="1">AVERAGE(F8:I8)</f>
        <v>0.5</v>
      </c>
      <c r="K8" s="149">
        <v>9.6</v>
      </c>
    </row>
    <row r="9">
      <c r="A9" s="20"/>
      <c r="B9" s="21"/>
      <c r="C9" s="22">
        <v>2.0</v>
      </c>
      <c r="D9" s="190">
        <v>14.67756</v>
      </c>
      <c r="E9" s="190">
        <v>120.76119</v>
      </c>
      <c r="F9" s="91">
        <v>1.3</v>
      </c>
      <c r="G9" s="91">
        <v>0.2</v>
      </c>
      <c r="H9" s="91">
        <v>0.2</v>
      </c>
      <c r="I9" s="91">
        <v>0.3</v>
      </c>
      <c r="J9" s="91">
        <f t="shared" si="1"/>
        <v>0.5</v>
      </c>
      <c r="K9" s="23">
        <v>9.6</v>
      </c>
    </row>
    <row r="10">
      <c r="A10" s="20"/>
      <c r="B10" s="21"/>
      <c r="C10" s="22">
        <v>3.0</v>
      </c>
      <c r="D10" s="190">
        <v>14.67142</v>
      </c>
      <c r="E10" s="190">
        <v>120.62481</v>
      </c>
      <c r="F10" s="91">
        <v>2.4</v>
      </c>
      <c r="G10" s="91">
        <v>0.2</v>
      </c>
      <c r="H10" s="91">
        <v>0.2</v>
      </c>
      <c r="I10" s="91">
        <v>0.3</v>
      </c>
      <c r="J10" s="91">
        <f t="shared" si="1"/>
        <v>0.775</v>
      </c>
      <c r="K10" s="23">
        <v>9.6</v>
      </c>
    </row>
    <row r="11">
      <c r="A11" s="20"/>
      <c r="B11" s="21"/>
      <c r="C11" s="22">
        <v>4.0</v>
      </c>
      <c r="D11" s="190">
        <v>14.57836</v>
      </c>
      <c r="E11" s="190">
        <v>120.63139</v>
      </c>
      <c r="F11" s="91">
        <v>1.7</v>
      </c>
      <c r="G11" s="91">
        <v>0.4</v>
      </c>
      <c r="H11" s="91">
        <v>0.3</v>
      </c>
      <c r="I11" s="91">
        <v>0.3</v>
      </c>
      <c r="J11" s="91">
        <f t="shared" si="1"/>
        <v>0.675</v>
      </c>
      <c r="K11" s="23">
        <v>9.6</v>
      </c>
    </row>
    <row r="12">
      <c r="A12" s="20"/>
      <c r="B12" s="21"/>
      <c r="C12" s="22">
        <v>5.0</v>
      </c>
      <c r="D12" s="190">
        <v>14.4525</v>
      </c>
      <c r="E12" s="190">
        <v>120.62608</v>
      </c>
      <c r="F12" s="147">
        <v>2.0</v>
      </c>
      <c r="G12" s="91">
        <v>0.2</v>
      </c>
      <c r="H12" s="91">
        <v>0.2</v>
      </c>
      <c r="I12" s="91">
        <v>0.3</v>
      </c>
      <c r="J12" s="147">
        <f t="shared" si="1"/>
        <v>0.675</v>
      </c>
      <c r="K12" s="23">
        <v>9.6</v>
      </c>
    </row>
    <row r="13">
      <c r="A13" s="20"/>
      <c r="B13" s="21"/>
      <c r="C13" s="22">
        <v>6.0</v>
      </c>
      <c r="D13" s="190">
        <v>14.45306</v>
      </c>
      <c r="E13" s="190">
        <v>120.75489</v>
      </c>
      <c r="F13" s="91">
        <v>1.9</v>
      </c>
      <c r="G13" s="91">
        <v>0.2</v>
      </c>
      <c r="H13" s="91">
        <v>0.2</v>
      </c>
      <c r="I13" s="91">
        <v>0.3</v>
      </c>
      <c r="J13" s="91">
        <f t="shared" si="1"/>
        <v>0.65</v>
      </c>
      <c r="K13" s="23">
        <v>9.6</v>
      </c>
    </row>
    <row r="14">
      <c r="A14" s="20"/>
      <c r="B14" s="21"/>
      <c r="C14" s="22">
        <v>7.0</v>
      </c>
      <c r="D14" s="190">
        <v>14.46786</v>
      </c>
      <c r="E14" s="190">
        <v>120.841107</v>
      </c>
      <c r="F14" s="147">
        <v>1.0</v>
      </c>
      <c r="G14" s="91">
        <v>0.1</v>
      </c>
      <c r="H14" s="91">
        <v>0.2</v>
      </c>
      <c r="I14" s="91">
        <v>0.2</v>
      </c>
      <c r="J14" s="147">
        <f t="shared" si="1"/>
        <v>0.375</v>
      </c>
      <c r="K14" s="23">
        <v>9.6</v>
      </c>
    </row>
    <row r="15">
      <c r="A15" s="20"/>
      <c r="B15" s="21"/>
      <c r="C15" s="22">
        <v>8.0</v>
      </c>
      <c r="D15" s="190">
        <v>14.58444</v>
      </c>
      <c r="E15" s="190">
        <v>120.76211</v>
      </c>
      <c r="F15" s="91">
        <v>1.9</v>
      </c>
      <c r="G15" s="91">
        <v>0.2</v>
      </c>
      <c r="H15" s="91">
        <v>0.2</v>
      </c>
      <c r="I15" s="91">
        <v>0.3</v>
      </c>
      <c r="J15" s="91">
        <f t="shared" si="1"/>
        <v>0.65</v>
      </c>
      <c r="K15" s="23">
        <v>9.6</v>
      </c>
    </row>
    <row r="16">
      <c r="A16" s="20"/>
      <c r="B16" s="27"/>
      <c r="C16" s="22">
        <v>9.0</v>
      </c>
      <c r="D16" s="190">
        <v>14.590809</v>
      </c>
      <c r="E16" s="190">
        <v>120.847296</v>
      </c>
      <c r="F16" s="91">
        <v>2.3</v>
      </c>
      <c r="G16" s="91">
        <v>0.3</v>
      </c>
      <c r="H16" s="91">
        <v>0.2</v>
      </c>
      <c r="I16" s="91">
        <v>0.3</v>
      </c>
      <c r="J16" s="91">
        <f t="shared" si="1"/>
        <v>0.775</v>
      </c>
      <c r="K16" s="23">
        <v>9.6</v>
      </c>
    </row>
    <row r="17">
      <c r="A17" s="20"/>
      <c r="B17" s="15" t="s">
        <v>355</v>
      </c>
      <c r="C17" s="16">
        <v>1.0</v>
      </c>
      <c r="D17" s="189">
        <v>14.66669</v>
      </c>
      <c r="E17" s="189">
        <v>120.84239</v>
      </c>
      <c r="F17" s="114" t="s">
        <v>70</v>
      </c>
      <c r="G17" s="114" t="s">
        <v>356</v>
      </c>
      <c r="H17" s="114" t="s">
        <v>356</v>
      </c>
      <c r="I17" s="114" t="s">
        <v>356</v>
      </c>
      <c r="J17" s="114" t="s">
        <v>70</v>
      </c>
      <c r="K17" s="17">
        <v>370.0</v>
      </c>
    </row>
    <row r="18">
      <c r="A18" s="20"/>
      <c r="B18" s="21"/>
      <c r="C18" s="22">
        <v>2.0</v>
      </c>
      <c r="D18" s="190">
        <v>14.67756</v>
      </c>
      <c r="E18" s="190">
        <v>120.76119</v>
      </c>
      <c r="F18" s="91" t="s">
        <v>70</v>
      </c>
      <c r="G18" s="91" t="s">
        <v>356</v>
      </c>
      <c r="H18" s="91" t="s">
        <v>356</v>
      </c>
      <c r="I18" s="91" t="s">
        <v>356</v>
      </c>
      <c r="J18" s="91" t="s">
        <v>70</v>
      </c>
      <c r="K18" s="23">
        <v>370.0</v>
      </c>
    </row>
    <row r="19">
      <c r="A19" s="20"/>
      <c r="B19" s="21"/>
      <c r="C19" s="22">
        <v>3.0</v>
      </c>
      <c r="D19" s="190">
        <v>14.67142</v>
      </c>
      <c r="E19" s="190">
        <v>120.62481</v>
      </c>
      <c r="F19" s="91" t="s">
        <v>70</v>
      </c>
      <c r="G19" s="91" t="s">
        <v>356</v>
      </c>
      <c r="H19" s="91" t="s">
        <v>356</v>
      </c>
      <c r="I19" s="91" t="s">
        <v>356</v>
      </c>
      <c r="J19" s="91" t="s">
        <v>70</v>
      </c>
      <c r="K19" s="23">
        <v>370.0</v>
      </c>
    </row>
    <row r="20">
      <c r="A20" s="20"/>
      <c r="B20" s="21"/>
      <c r="C20" s="22">
        <v>4.0</v>
      </c>
      <c r="D20" s="190">
        <v>14.57836</v>
      </c>
      <c r="E20" s="190">
        <v>120.63139</v>
      </c>
      <c r="F20" s="91" t="s">
        <v>70</v>
      </c>
      <c r="G20" s="91" t="s">
        <v>356</v>
      </c>
      <c r="H20" s="91" t="s">
        <v>356</v>
      </c>
      <c r="I20" s="91" t="s">
        <v>356</v>
      </c>
      <c r="J20" s="91" t="s">
        <v>70</v>
      </c>
      <c r="K20" s="23">
        <v>370.0</v>
      </c>
    </row>
    <row r="21" ht="15.75" customHeight="1">
      <c r="A21" s="20"/>
      <c r="B21" s="21"/>
      <c r="C21" s="22">
        <v>5.0</v>
      </c>
      <c r="D21" s="190">
        <v>14.4525</v>
      </c>
      <c r="E21" s="190">
        <v>120.62608</v>
      </c>
      <c r="F21" s="91" t="s">
        <v>70</v>
      </c>
      <c r="G21" s="91" t="s">
        <v>356</v>
      </c>
      <c r="H21" s="91" t="s">
        <v>356</v>
      </c>
      <c r="I21" s="91" t="s">
        <v>356</v>
      </c>
      <c r="J21" s="91" t="s">
        <v>70</v>
      </c>
      <c r="K21" s="23">
        <v>370.0</v>
      </c>
    </row>
    <row r="22" ht="15.75" customHeight="1">
      <c r="A22" s="20"/>
      <c r="B22" s="21"/>
      <c r="C22" s="22">
        <v>6.0</v>
      </c>
      <c r="D22" s="190">
        <v>14.45306</v>
      </c>
      <c r="E22" s="190">
        <v>120.75489</v>
      </c>
      <c r="F22" s="91" t="s">
        <v>70</v>
      </c>
      <c r="G22" s="91" t="s">
        <v>356</v>
      </c>
      <c r="H22" s="91" t="s">
        <v>356</v>
      </c>
      <c r="I22" s="91" t="s">
        <v>356</v>
      </c>
      <c r="J22" s="91" t="s">
        <v>70</v>
      </c>
      <c r="K22" s="23">
        <v>370.0</v>
      </c>
    </row>
    <row r="23" ht="15.75" customHeight="1">
      <c r="A23" s="20"/>
      <c r="B23" s="21"/>
      <c r="C23" s="22">
        <v>7.0</v>
      </c>
      <c r="D23" s="190">
        <v>14.46786</v>
      </c>
      <c r="E23" s="190">
        <v>120.841107</v>
      </c>
      <c r="F23" s="91" t="s">
        <v>70</v>
      </c>
      <c r="G23" s="91" t="s">
        <v>356</v>
      </c>
      <c r="H23" s="91" t="s">
        <v>356</v>
      </c>
      <c r="I23" s="91" t="s">
        <v>356</v>
      </c>
      <c r="J23" s="91" t="s">
        <v>70</v>
      </c>
      <c r="K23" s="23">
        <v>370.0</v>
      </c>
    </row>
    <row r="24" ht="15.75" customHeight="1">
      <c r="A24" s="20"/>
      <c r="B24" s="21"/>
      <c r="C24" s="22">
        <v>8.0</v>
      </c>
      <c r="D24" s="190">
        <v>14.58444</v>
      </c>
      <c r="E24" s="190">
        <v>120.76211</v>
      </c>
      <c r="F24" s="91" t="s">
        <v>70</v>
      </c>
      <c r="G24" s="91" t="s">
        <v>356</v>
      </c>
      <c r="H24" s="91" t="s">
        <v>356</v>
      </c>
      <c r="I24" s="91" t="s">
        <v>356</v>
      </c>
      <c r="J24" s="91" t="s">
        <v>70</v>
      </c>
      <c r="K24" s="23">
        <v>370.0</v>
      </c>
    </row>
    <row r="25" ht="15.75" customHeight="1">
      <c r="A25" s="20"/>
      <c r="B25" s="27"/>
      <c r="C25" s="22">
        <v>9.0</v>
      </c>
      <c r="D25" s="190">
        <v>14.590809</v>
      </c>
      <c r="E25" s="190">
        <v>120.847296</v>
      </c>
      <c r="F25" s="91" t="s">
        <v>70</v>
      </c>
      <c r="G25" s="91" t="s">
        <v>356</v>
      </c>
      <c r="H25" s="91" t="s">
        <v>356</v>
      </c>
      <c r="I25" s="91" t="s">
        <v>356</v>
      </c>
      <c r="J25" s="91" t="s">
        <v>70</v>
      </c>
      <c r="K25" s="23">
        <v>370.0</v>
      </c>
    </row>
    <row r="26" ht="15.75" customHeight="1">
      <c r="A26" s="20"/>
      <c r="B26" s="15" t="s">
        <v>357</v>
      </c>
      <c r="C26" s="16">
        <v>1.0</v>
      </c>
      <c r="D26" s="189">
        <v>14.66669</v>
      </c>
      <c r="E26" s="189">
        <v>120.84239</v>
      </c>
      <c r="F26" s="114">
        <v>9.6</v>
      </c>
      <c r="G26" s="145">
        <v>7.0</v>
      </c>
      <c r="H26" s="114">
        <v>33.0</v>
      </c>
      <c r="I26" s="114">
        <v>4.7</v>
      </c>
      <c r="J26" s="114">
        <f t="shared" ref="J26:J34" si="2">AVERAGE(F26:I26)</f>
        <v>13.575</v>
      </c>
      <c r="K26" s="65">
        <v>218.0</v>
      </c>
    </row>
    <row r="27" ht="15.75" customHeight="1">
      <c r="A27" s="20"/>
      <c r="B27" s="21"/>
      <c r="C27" s="22">
        <v>2.0</v>
      </c>
      <c r="D27" s="190">
        <v>14.67756</v>
      </c>
      <c r="E27" s="190">
        <v>120.76119</v>
      </c>
      <c r="F27" s="91">
        <v>4.9</v>
      </c>
      <c r="G27" s="91">
        <v>5.1</v>
      </c>
      <c r="H27" s="91">
        <v>3.9</v>
      </c>
      <c r="I27" s="91">
        <v>3.9</v>
      </c>
      <c r="J27" s="91">
        <f t="shared" si="2"/>
        <v>4.45</v>
      </c>
      <c r="K27" s="66">
        <v>218.0</v>
      </c>
    </row>
    <row r="28" ht="15.75" customHeight="1">
      <c r="A28" s="20"/>
      <c r="B28" s="21"/>
      <c r="C28" s="22">
        <v>3.0</v>
      </c>
      <c r="D28" s="190">
        <v>14.67142</v>
      </c>
      <c r="E28" s="190">
        <v>120.62481</v>
      </c>
      <c r="F28" s="91">
        <v>4.3</v>
      </c>
      <c r="G28" s="91">
        <v>2.7</v>
      </c>
      <c r="H28" s="91">
        <v>3.7</v>
      </c>
      <c r="I28" s="91">
        <v>2.1</v>
      </c>
      <c r="J28" s="91">
        <f t="shared" si="2"/>
        <v>3.2</v>
      </c>
      <c r="K28" s="66">
        <v>218.0</v>
      </c>
    </row>
    <row r="29" ht="15.75" customHeight="1">
      <c r="A29" s="20"/>
      <c r="B29" s="21"/>
      <c r="C29" s="22">
        <v>4.0</v>
      </c>
      <c r="D29" s="190">
        <v>14.57836</v>
      </c>
      <c r="E29" s="190">
        <v>120.63139</v>
      </c>
      <c r="F29" s="91">
        <v>4.1</v>
      </c>
      <c r="G29" s="91">
        <v>3.3</v>
      </c>
      <c r="H29" s="91">
        <v>5.1</v>
      </c>
      <c r="I29" s="91">
        <v>3.7</v>
      </c>
      <c r="J29" s="91">
        <f t="shared" si="2"/>
        <v>4.05</v>
      </c>
      <c r="K29" s="66">
        <v>218.0</v>
      </c>
    </row>
    <row r="30" ht="15.75" customHeight="1">
      <c r="A30" s="20"/>
      <c r="B30" s="21"/>
      <c r="C30" s="22">
        <v>5.0</v>
      </c>
      <c r="D30" s="190">
        <v>14.4525</v>
      </c>
      <c r="E30" s="190">
        <v>120.62608</v>
      </c>
      <c r="F30" s="91">
        <v>10.0</v>
      </c>
      <c r="G30" s="91">
        <v>5.2</v>
      </c>
      <c r="H30" s="91">
        <v>5.9</v>
      </c>
      <c r="I30" s="147">
        <v>4.0</v>
      </c>
      <c r="J30" s="91">
        <f t="shared" si="2"/>
        <v>6.275</v>
      </c>
      <c r="K30" s="66">
        <v>218.0</v>
      </c>
    </row>
    <row r="31" ht="15.75" customHeight="1">
      <c r="A31" s="20"/>
      <c r="B31" s="21"/>
      <c r="C31" s="22">
        <v>6.0</v>
      </c>
      <c r="D31" s="190">
        <v>14.45306</v>
      </c>
      <c r="E31" s="190">
        <v>120.75489</v>
      </c>
      <c r="F31" s="91">
        <v>7.9</v>
      </c>
      <c r="G31" s="91">
        <v>4.2</v>
      </c>
      <c r="H31" s="91">
        <v>4.2</v>
      </c>
      <c r="I31" s="91">
        <v>3.6</v>
      </c>
      <c r="J31" s="91">
        <f t="shared" si="2"/>
        <v>4.975</v>
      </c>
      <c r="K31" s="66">
        <v>218.0</v>
      </c>
    </row>
    <row r="32" ht="15.75" customHeight="1">
      <c r="A32" s="20"/>
      <c r="B32" s="21"/>
      <c r="C32" s="22">
        <v>7.0</v>
      </c>
      <c r="D32" s="190">
        <v>14.46786</v>
      </c>
      <c r="E32" s="190">
        <v>120.841107</v>
      </c>
      <c r="F32" s="91">
        <v>8.6</v>
      </c>
      <c r="G32" s="91">
        <v>4.5</v>
      </c>
      <c r="H32" s="91">
        <v>24.0</v>
      </c>
      <c r="I32" s="147">
        <v>4.0</v>
      </c>
      <c r="J32" s="91">
        <f t="shared" si="2"/>
        <v>10.275</v>
      </c>
      <c r="K32" s="66">
        <v>218.0</v>
      </c>
    </row>
    <row r="33" ht="15.75" customHeight="1">
      <c r="A33" s="20"/>
      <c r="B33" s="21"/>
      <c r="C33" s="22">
        <v>8.0</v>
      </c>
      <c r="D33" s="190">
        <v>14.58444</v>
      </c>
      <c r="E33" s="190">
        <v>120.76211</v>
      </c>
      <c r="F33" s="91">
        <v>12.0</v>
      </c>
      <c r="G33" s="91">
        <v>5.5</v>
      </c>
      <c r="H33" s="91">
        <v>3.0</v>
      </c>
      <c r="I33" s="91">
        <v>4.6</v>
      </c>
      <c r="J33" s="91">
        <f t="shared" si="2"/>
        <v>6.275</v>
      </c>
      <c r="K33" s="66">
        <v>218.0</v>
      </c>
    </row>
    <row r="34" ht="15.75" customHeight="1">
      <c r="A34" s="20"/>
      <c r="B34" s="27"/>
      <c r="C34" s="22">
        <v>9.0</v>
      </c>
      <c r="D34" s="190">
        <v>14.590809</v>
      </c>
      <c r="E34" s="190">
        <v>120.847296</v>
      </c>
      <c r="F34" s="91">
        <v>21.0</v>
      </c>
      <c r="G34" s="91">
        <v>8.1</v>
      </c>
      <c r="H34" s="91">
        <v>14.0</v>
      </c>
      <c r="I34" s="91">
        <v>6.5</v>
      </c>
      <c r="J34" s="91">
        <f t="shared" si="2"/>
        <v>12.4</v>
      </c>
      <c r="K34" s="66">
        <v>218.0</v>
      </c>
    </row>
    <row r="35" ht="15.75" customHeight="1">
      <c r="A35" s="100"/>
      <c r="B35" s="100"/>
      <c r="C35" s="100"/>
      <c r="D35" s="100"/>
      <c r="E35" s="100"/>
      <c r="F35" s="100"/>
      <c r="G35" s="100"/>
      <c r="H35" s="100"/>
      <c r="I35" s="100"/>
    </row>
    <row r="36" ht="15.75" customHeight="1">
      <c r="A36" s="97" t="s">
        <v>197</v>
      </c>
      <c r="D36" s="97"/>
      <c r="E36" s="100"/>
      <c r="F36" s="100"/>
      <c r="G36" s="100"/>
      <c r="H36" s="100"/>
      <c r="I36" s="100"/>
    </row>
    <row r="37" ht="15.75" customHeight="1">
      <c r="D37" s="97"/>
      <c r="E37" s="100"/>
      <c r="F37" s="100"/>
      <c r="G37" s="100"/>
      <c r="H37" s="100"/>
      <c r="I37" s="100"/>
    </row>
    <row r="38" ht="15.75" customHeight="1">
      <c r="A38" s="107" t="s">
        <v>358</v>
      </c>
      <c r="F38" s="84"/>
      <c r="G38" s="84"/>
      <c r="H38" s="84"/>
      <c r="I38" s="84"/>
    </row>
    <row r="39" ht="15.75" customHeight="1">
      <c r="F39" s="84"/>
      <c r="G39" s="84"/>
      <c r="H39" s="84"/>
      <c r="I39" s="84"/>
    </row>
    <row r="40" ht="15.75" customHeight="1">
      <c r="F40" s="84"/>
      <c r="G40" s="84"/>
      <c r="H40" s="84"/>
      <c r="I40" s="84"/>
    </row>
    <row r="41" ht="15.75" customHeight="1">
      <c r="F41" s="84"/>
      <c r="G41" s="84"/>
      <c r="H41" s="84"/>
      <c r="I41" s="84"/>
    </row>
    <row r="42" ht="15.75" customHeight="1">
      <c r="F42" s="84"/>
      <c r="G42" s="84"/>
      <c r="H42" s="84"/>
      <c r="I42" s="84"/>
    </row>
    <row r="43" ht="15.75" customHeight="1">
      <c r="F43" s="84"/>
      <c r="G43" s="84"/>
      <c r="H43" s="84"/>
      <c r="I43" s="84"/>
    </row>
    <row r="44" ht="15.75" customHeight="1">
      <c r="F44" s="84"/>
      <c r="G44" s="84"/>
      <c r="H44" s="84"/>
      <c r="I44" s="84"/>
    </row>
    <row r="45" ht="15.75" customHeight="1">
      <c r="F45" s="84"/>
      <c r="G45" s="84"/>
      <c r="H45" s="84"/>
      <c r="I45" s="84"/>
    </row>
    <row r="46" ht="15.75" customHeight="1">
      <c r="F46" s="84"/>
      <c r="G46" s="84"/>
      <c r="H46" s="84"/>
      <c r="I46" s="84"/>
    </row>
    <row r="47" ht="15.75" customHeight="1">
      <c r="F47" s="84"/>
      <c r="G47" s="84"/>
      <c r="H47" s="84"/>
      <c r="I47" s="84"/>
    </row>
    <row r="48" ht="15.75" customHeight="1">
      <c r="F48" s="84"/>
      <c r="G48" s="84"/>
      <c r="H48" s="84"/>
      <c r="I48" s="84"/>
    </row>
    <row r="49" ht="15.75" customHeight="1">
      <c r="F49" s="84"/>
      <c r="G49" s="84"/>
      <c r="H49" s="84"/>
      <c r="I49" s="84"/>
    </row>
    <row r="50" ht="15.75" customHeight="1">
      <c r="F50" s="84"/>
      <c r="G50" s="84"/>
      <c r="H50" s="84"/>
      <c r="I50" s="84"/>
    </row>
    <row r="51" ht="15.75" customHeight="1">
      <c r="F51" s="84"/>
      <c r="G51" s="84"/>
      <c r="H51" s="84"/>
      <c r="I51" s="84"/>
    </row>
    <row r="52" ht="15.75" customHeight="1">
      <c r="F52" s="84"/>
      <c r="G52" s="84"/>
      <c r="H52" s="84"/>
      <c r="I52" s="84"/>
    </row>
    <row r="53" ht="15.75" customHeight="1">
      <c r="F53" s="84"/>
      <c r="G53" s="84"/>
      <c r="H53" s="84"/>
      <c r="I53" s="84"/>
    </row>
    <row r="54" ht="15.75" customHeight="1">
      <c r="F54" s="84"/>
      <c r="G54" s="84"/>
      <c r="H54" s="84"/>
      <c r="I54" s="84"/>
    </row>
    <row r="55" ht="15.75" customHeight="1">
      <c r="F55" s="84"/>
      <c r="G55" s="84"/>
      <c r="H55" s="84"/>
      <c r="I55" s="84"/>
    </row>
    <row r="56" ht="15.75" customHeight="1">
      <c r="F56" s="84"/>
      <c r="G56" s="84"/>
      <c r="H56" s="84"/>
      <c r="I56" s="84"/>
    </row>
    <row r="57" ht="15.75" customHeight="1">
      <c r="F57" s="84"/>
      <c r="G57" s="84"/>
      <c r="H57" s="84"/>
      <c r="I57" s="84"/>
    </row>
    <row r="58" ht="15.75" customHeight="1">
      <c r="F58" s="84"/>
      <c r="G58" s="84"/>
      <c r="H58" s="84"/>
      <c r="I58" s="84"/>
    </row>
    <row r="59" ht="15.75" customHeight="1">
      <c r="F59" s="84"/>
      <c r="G59" s="84"/>
      <c r="H59" s="84"/>
      <c r="I59" s="84"/>
    </row>
    <row r="60" ht="15.75" customHeight="1">
      <c r="F60" s="84"/>
      <c r="G60" s="84"/>
      <c r="H60" s="84"/>
      <c r="I60" s="84"/>
    </row>
    <row r="61" ht="15.75" customHeight="1">
      <c r="F61" s="84"/>
      <c r="G61" s="84"/>
      <c r="H61" s="84"/>
      <c r="I61" s="84"/>
    </row>
    <row r="62" ht="15.75" customHeight="1">
      <c r="F62" s="84"/>
      <c r="G62" s="84"/>
      <c r="H62" s="84"/>
      <c r="I62" s="84"/>
    </row>
    <row r="63" ht="15.75" customHeight="1">
      <c r="F63" s="84"/>
      <c r="G63" s="84"/>
      <c r="H63" s="84"/>
      <c r="I63" s="84"/>
    </row>
    <row r="64" ht="15.75" customHeight="1">
      <c r="F64" s="84"/>
      <c r="G64" s="84"/>
      <c r="H64" s="84"/>
      <c r="I64" s="84"/>
    </row>
    <row r="65" ht="15.75" customHeight="1">
      <c r="F65" s="84"/>
      <c r="G65" s="84"/>
      <c r="H65" s="84"/>
      <c r="I65" s="84"/>
    </row>
    <row r="66" ht="15.75" customHeight="1">
      <c r="F66" s="84"/>
      <c r="G66" s="84"/>
      <c r="H66" s="84"/>
      <c r="I66" s="84"/>
    </row>
    <row r="67" ht="15.75" customHeight="1">
      <c r="F67" s="84"/>
      <c r="G67" s="84"/>
      <c r="H67" s="84"/>
      <c r="I67" s="84"/>
    </row>
    <row r="68" ht="15.75" customHeight="1">
      <c r="F68" s="84"/>
      <c r="G68" s="84"/>
      <c r="H68" s="84"/>
      <c r="I68" s="84"/>
    </row>
    <row r="69" ht="15.75" customHeight="1">
      <c r="F69" s="84"/>
      <c r="G69" s="84"/>
      <c r="H69" s="84"/>
      <c r="I69" s="84"/>
    </row>
    <row r="70" ht="15.75" customHeight="1">
      <c r="F70" s="84"/>
      <c r="G70" s="84"/>
      <c r="H70" s="84"/>
      <c r="I70" s="84"/>
    </row>
    <row r="71" ht="15.75" customHeight="1">
      <c r="F71" s="84"/>
      <c r="G71" s="84"/>
      <c r="H71" s="84"/>
      <c r="I71" s="84"/>
    </row>
    <row r="72" ht="15.75" customHeight="1">
      <c r="F72" s="84"/>
      <c r="G72" s="84"/>
      <c r="H72" s="84"/>
      <c r="I72" s="84"/>
    </row>
    <row r="73" ht="15.75" customHeight="1">
      <c r="F73" s="84"/>
      <c r="G73" s="84"/>
      <c r="H73" s="84"/>
      <c r="I73" s="84"/>
    </row>
    <row r="74" ht="15.75" customHeight="1">
      <c r="F74" s="84"/>
      <c r="G74" s="84"/>
      <c r="H74" s="84"/>
      <c r="I74" s="84"/>
    </row>
    <row r="75" ht="15.75" customHeight="1">
      <c r="F75" s="84"/>
      <c r="G75" s="84"/>
      <c r="H75" s="84"/>
      <c r="I75" s="84"/>
    </row>
    <row r="76" ht="15.75" customHeight="1">
      <c r="F76" s="84"/>
      <c r="G76" s="84"/>
      <c r="H76" s="84"/>
      <c r="I76" s="84"/>
    </row>
    <row r="77" ht="15.75" customHeight="1">
      <c r="F77" s="84"/>
      <c r="G77" s="84"/>
      <c r="H77" s="84"/>
      <c r="I77" s="84"/>
    </row>
    <row r="78" ht="15.75" customHeight="1">
      <c r="F78" s="84"/>
      <c r="G78" s="84"/>
      <c r="H78" s="84"/>
      <c r="I78" s="84"/>
    </row>
    <row r="79" ht="15.75" customHeight="1">
      <c r="F79" s="84"/>
      <c r="G79" s="84"/>
      <c r="H79" s="84"/>
      <c r="I79" s="84"/>
    </row>
    <row r="80" ht="15.75" customHeight="1">
      <c r="F80" s="84"/>
      <c r="G80" s="84"/>
      <c r="H80" s="84"/>
      <c r="I80" s="84"/>
    </row>
    <row r="81" ht="15.75" customHeight="1">
      <c r="F81" s="84"/>
      <c r="G81" s="84"/>
      <c r="H81" s="84"/>
      <c r="I81" s="84"/>
    </row>
    <row r="82" ht="15.75" customHeight="1">
      <c r="F82" s="84"/>
      <c r="G82" s="84"/>
      <c r="H82" s="84"/>
      <c r="I82" s="84"/>
    </row>
    <row r="83" ht="15.75" customHeight="1">
      <c r="F83" s="84"/>
      <c r="G83" s="84"/>
      <c r="H83" s="84"/>
      <c r="I83" s="84"/>
    </row>
    <row r="84" ht="15.75" customHeight="1">
      <c r="F84" s="84"/>
      <c r="G84" s="84"/>
      <c r="H84" s="84"/>
      <c r="I84" s="84"/>
    </row>
    <row r="85" ht="15.75" customHeight="1">
      <c r="F85" s="84"/>
      <c r="G85" s="84"/>
      <c r="H85" s="84"/>
      <c r="I85" s="84"/>
    </row>
    <row r="86" ht="15.75" customHeight="1">
      <c r="F86" s="84"/>
      <c r="G86" s="84"/>
      <c r="H86" s="84"/>
      <c r="I86" s="84"/>
    </row>
    <row r="87" ht="15.75" customHeight="1">
      <c r="F87" s="84"/>
      <c r="G87" s="84"/>
      <c r="H87" s="84"/>
      <c r="I87" s="84"/>
    </row>
    <row r="88" ht="15.75" customHeight="1">
      <c r="F88" s="84"/>
      <c r="G88" s="84"/>
      <c r="H88" s="84"/>
      <c r="I88" s="84"/>
    </row>
    <row r="89" ht="15.75" customHeight="1">
      <c r="F89" s="84"/>
      <c r="G89" s="84"/>
      <c r="H89" s="84"/>
      <c r="I89" s="84"/>
    </row>
    <row r="90" ht="15.75" customHeight="1">
      <c r="F90" s="84"/>
      <c r="G90" s="84"/>
      <c r="H90" s="84"/>
      <c r="I90" s="84"/>
    </row>
    <row r="91" ht="15.75" customHeight="1">
      <c r="F91" s="84"/>
      <c r="G91" s="84"/>
      <c r="H91" s="84"/>
      <c r="I91" s="84"/>
    </row>
    <row r="92" ht="15.75" customHeight="1">
      <c r="F92" s="84"/>
      <c r="G92" s="84"/>
      <c r="H92" s="84"/>
      <c r="I92" s="84"/>
    </row>
    <row r="93" ht="15.75" customHeight="1">
      <c r="F93" s="84"/>
      <c r="G93" s="84"/>
      <c r="H93" s="84"/>
      <c r="I93" s="84"/>
    </row>
    <row r="94" ht="15.75" customHeight="1">
      <c r="F94" s="84"/>
      <c r="G94" s="84"/>
      <c r="H94" s="84"/>
      <c r="I94" s="84"/>
    </row>
    <row r="95" ht="15.75" customHeight="1">
      <c r="F95" s="84"/>
      <c r="G95" s="84"/>
      <c r="H95" s="84"/>
      <c r="I95" s="84"/>
    </row>
    <row r="96" ht="15.75" customHeight="1">
      <c r="F96" s="84"/>
      <c r="G96" s="84"/>
      <c r="H96" s="84"/>
      <c r="I96" s="84"/>
    </row>
    <row r="97" ht="15.75" customHeight="1">
      <c r="F97" s="84"/>
      <c r="G97" s="84"/>
      <c r="H97" s="84"/>
      <c r="I97" s="84"/>
    </row>
    <row r="98" ht="15.75" customHeight="1">
      <c r="F98" s="84"/>
      <c r="G98" s="84"/>
      <c r="H98" s="84"/>
      <c r="I98" s="84"/>
    </row>
    <row r="99" ht="15.75" customHeight="1">
      <c r="F99" s="84"/>
      <c r="G99" s="84"/>
      <c r="H99" s="84"/>
      <c r="I99" s="84"/>
    </row>
    <row r="100" ht="15.75" customHeight="1">
      <c r="F100" s="84"/>
      <c r="G100" s="84"/>
      <c r="H100" s="84"/>
      <c r="I100" s="84"/>
    </row>
    <row r="101" ht="15.75" customHeight="1">
      <c r="F101" s="84"/>
      <c r="G101" s="84"/>
      <c r="H101" s="84"/>
      <c r="I101" s="84"/>
    </row>
    <row r="102" ht="15.75" customHeight="1">
      <c r="F102" s="84"/>
      <c r="G102" s="84"/>
      <c r="H102" s="84"/>
      <c r="I102" s="84"/>
    </row>
    <row r="103" ht="15.75" customHeight="1">
      <c r="F103" s="84"/>
      <c r="G103" s="84"/>
      <c r="H103" s="84"/>
      <c r="I103" s="84"/>
    </row>
    <row r="104" ht="15.75" customHeight="1">
      <c r="F104" s="84"/>
      <c r="G104" s="84"/>
      <c r="H104" s="84"/>
      <c r="I104" s="84"/>
    </row>
    <row r="105" ht="15.75" customHeight="1">
      <c r="F105" s="84"/>
      <c r="G105" s="84"/>
      <c r="H105" s="84"/>
      <c r="I105" s="84"/>
    </row>
    <row r="106" ht="15.75" customHeight="1">
      <c r="F106" s="84"/>
      <c r="G106" s="84"/>
      <c r="H106" s="84"/>
      <c r="I106" s="84"/>
    </row>
    <row r="107" ht="15.75" customHeight="1">
      <c r="F107" s="84"/>
      <c r="G107" s="84"/>
      <c r="H107" s="84"/>
      <c r="I107" s="84"/>
    </row>
    <row r="108" ht="15.75" customHeight="1">
      <c r="F108" s="84"/>
      <c r="G108" s="84"/>
      <c r="H108" s="84"/>
      <c r="I108" s="84"/>
    </row>
    <row r="109" ht="15.75" customHeight="1">
      <c r="F109" s="84"/>
      <c r="G109" s="84"/>
      <c r="H109" s="84"/>
      <c r="I109" s="84"/>
    </row>
    <row r="110" ht="15.75" customHeight="1">
      <c r="F110" s="84"/>
      <c r="G110" s="84"/>
      <c r="H110" s="84"/>
      <c r="I110" s="84"/>
    </row>
    <row r="111" ht="15.75" customHeight="1">
      <c r="F111" s="84"/>
      <c r="G111" s="84"/>
      <c r="H111" s="84"/>
      <c r="I111" s="84"/>
    </row>
    <row r="112" ht="15.75" customHeight="1">
      <c r="F112" s="84"/>
      <c r="G112" s="84"/>
      <c r="H112" s="84"/>
      <c r="I112" s="84"/>
    </row>
    <row r="113" ht="15.75" customHeight="1">
      <c r="F113" s="84"/>
      <c r="G113" s="84"/>
      <c r="H113" s="84"/>
      <c r="I113" s="84"/>
    </row>
    <row r="114" ht="15.75" customHeight="1">
      <c r="F114" s="84"/>
      <c r="G114" s="84"/>
      <c r="H114" s="84"/>
      <c r="I114" s="84"/>
    </row>
    <row r="115" ht="15.75" customHeight="1">
      <c r="F115" s="84"/>
      <c r="G115" s="84"/>
      <c r="H115" s="84"/>
      <c r="I115" s="84"/>
    </row>
    <row r="116" ht="15.75" customHeight="1">
      <c r="F116" s="84"/>
      <c r="G116" s="84"/>
      <c r="H116" s="84"/>
      <c r="I116" s="84"/>
    </row>
    <row r="117" ht="15.75" customHeight="1">
      <c r="F117" s="84"/>
      <c r="G117" s="84"/>
      <c r="H117" s="84"/>
      <c r="I117" s="84"/>
    </row>
    <row r="118" ht="15.75" customHeight="1">
      <c r="F118" s="84"/>
      <c r="G118" s="84"/>
      <c r="H118" s="84"/>
      <c r="I118" s="84"/>
    </row>
    <row r="119" ht="15.75" customHeight="1">
      <c r="F119" s="84"/>
      <c r="G119" s="84"/>
      <c r="H119" s="84"/>
      <c r="I119" s="84"/>
    </row>
    <row r="120" ht="15.75" customHeight="1">
      <c r="F120" s="84"/>
      <c r="G120" s="84"/>
      <c r="H120" s="84"/>
      <c r="I120" s="84"/>
    </row>
    <row r="121" ht="15.75" customHeight="1">
      <c r="F121" s="84"/>
      <c r="G121" s="84"/>
      <c r="H121" s="84"/>
      <c r="I121" s="84"/>
    </row>
    <row r="122" ht="15.75" customHeight="1">
      <c r="F122" s="84"/>
      <c r="G122" s="84"/>
      <c r="H122" s="84"/>
      <c r="I122" s="84"/>
    </row>
    <row r="123" ht="15.75" customHeight="1">
      <c r="F123" s="84"/>
      <c r="G123" s="84"/>
      <c r="H123" s="84"/>
      <c r="I123" s="84"/>
    </row>
    <row r="124" ht="15.75" customHeight="1">
      <c r="F124" s="84"/>
      <c r="G124" s="84"/>
      <c r="H124" s="84"/>
      <c r="I124" s="84"/>
    </row>
    <row r="125" ht="15.75" customHeight="1">
      <c r="F125" s="84"/>
      <c r="G125" s="84"/>
      <c r="H125" s="84"/>
      <c r="I125" s="84"/>
    </row>
    <row r="126" ht="15.75" customHeight="1">
      <c r="F126" s="84"/>
      <c r="G126" s="84"/>
      <c r="H126" s="84"/>
      <c r="I126" s="84"/>
    </row>
    <row r="127" ht="15.75" customHeight="1">
      <c r="F127" s="84"/>
      <c r="G127" s="84"/>
      <c r="H127" s="84"/>
      <c r="I127" s="84"/>
    </row>
    <row r="128" ht="15.75" customHeight="1">
      <c r="F128" s="84"/>
      <c r="G128" s="84"/>
      <c r="H128" s="84"/>
      <c r="I128" s="84"/>
    </row>
    <row r="129" ht="15.75" customHeight="1">
      <c r="F129" s="84"/>
      <c r="G129" s="84"/>
      <c r="H129" s="84"/>
      <c r="I129" s="84"/>
    </row>
    <row r="130" ht="15.75" customHeight="1">
      <c r="F130" s="84"/>
      <c r="G130" s="84"/>
      <c r="H130" s="84"/>
      <c r="I130" s="84"/>
    </row>
    <row r="131" ht="15.75" customHeight="1">
      <c r="F131" s="84"/>
      <c r="G131" s="84"/>
      <c r="H131" s="84"/>
      <c r="I131" s="84"/>
    </row>
    <row r="132" ht="15.75" customHeight="1">
      <c r="F132" s="84"/>
      <c r="G132" s="84"/>
      <c r="H132" s="84"/>
      <c r="I132" s="84"/>
    </row>
    <row r="133" ht="15.75" customHeight="1">
      <c r="F133" s="84"/>
      <c r="G133" s="84"/>
      <c r="H133" s="84"/>
      <c r="I133" s="84"/>
    </row>
    <row r="134" ht="15.75" customHeight="1">
      <c r="F134" s="84"/>
      <c r="G134" s="84"/>
      <c r="H134" s="84"/>
      <c r="I134" s="84"/>
    </row>
    <row r="135" ht="15.75" customHeight="1">
      <c r="F135" s="84"/>
      <c r="G135" s="84"/>
      <c r="H135" s="84"/>
      <c r="I135" s="84"/>
    </row>
    <row r="136" ht="15.75" customHeight="1">
      <c r="F136" s="84"/>
      <c r="G136" s="84"/>
      <c r="H136" s="84"/>
      <c r="I136" s="84"/>
    </row>
    <row r="137" ht="15.75" customHeight="1">
      <c r="F137" s="84"/>
      <c r="G137" s="84"/>
      <c r="H137" s="84"/>
      <c r="I137" s="84"/>
    </row>
    <row r="138" ht="15.75" customHeight="1">
      <c r="F138" s="84"/>
      <c r="G138" s="84"/>
      <c r="H138" s="84"/>
      <c r="I138" s="84"/>
    </row>
    <row r="139" ht="15.75" customHeight="1">
      <c r="F139" s="84"/>
      <c r="G139" s="84"/>
      <c r="H139" s="84"/>
      <c r="I139" s="84"/>
    </row>
    <row r="140" ht="15.75" customHeight="1">
      <c r="F140" s="84"/>
      <c r="G140" s="84"/>
      <c r="H140" s="84"/>
      <c r="I140" s="84"/>
    </row>
    <row r="141" ht="15.75" customHeight="1">
      <c r="F141" s="84"/>
      <c r="G141" s="84"/>
      <c r="H141" s="84"/>
      <c r="I141" s="84"/>
    </row>
    <row r="142" ht="15.75" customHeight="1">
      <c r="F142" s="84"/>
      <c r="G142" s="84"/>
      <c r="H142" s="84"/>
      <c r="I142" s="84"/>
    </row>
    <row r="143" ht="15.75" customHeight="1">
      <c r="F143" s="84"/>
      <c r="G143" s="84"/>
      <c r="H143" s="84"/>
      <c r="I143" s="84"/>
    </row>
    <row r="144" ht="15.75" customHeight="1">
      <c r="F144" s="84"/>
      <c r="G144" s="84"/>
      <c r="H144" s="84"/>
      <c r="I144" s="84"/>
    </row>
    <row r="145" ht="15.75" customHeight="1">
      <c r="F145" s="84"/>
      <c r="G145" s="84"/>
      <c r="H145" s="84"/>
      <c r="I145" s="84"/>
    </row>
    <row r="146" ht="15.75" customHeight="1">
      <c r="F146" s="84"/>
      <c r="G146" s="84"/>
      <c r="H146" s="84"/>
      <c r="I146" s="84"/>
    </row>
    <row r="147" ht="15.75" customHeight="1">
      <c r="F147" s="84"/>
      <c r="G147" s="84"/>
      <c r="H147" s="84"/>
      <c r="I147" s="84"/>
    </row>
    <row r="148" ht="15.75" customHeight="1">
      <c r="F148" s="84"/>
      <c r="G148" s="84"/>
      <c r="H148" s="84"/>
      <c r="I148" s="84"/>
    </row>
    <row r="149" ht="15.75" customHeight="1">
      <c r="F149" s="84"/>
      <c r="G149" s="84"/>
      <c r="H149" s="84"/>
      <c r="I149" s="84"/>
    </row>
    <row r="150" ht="15.75" customHeight="1">
      <c r="F150" s="84"/>
      <c r="G150" s="84"/>
      <c r="H150" s="84"/>
      <c r="I150" s="84"/>
    </row>
    <row r="151" ht="15.75" customHeight="1">
      <c r="F151" s="84"/>
      <c r="G151" s="84"/>
      <c r="H151" s="84"/>
      <c r="I151" s="84"/>
    </row>
    <row r="152" ht="15.75" customHeight="1">
      <c r="F152" s="84"/>
      <c r="G152" s="84"/>
      <c r="H152" s="84"/>
      <c r="I152" s="84"/>
    </row>
    <row r="153" ht="15.75" customHeight="1">
      <c r="F153" s="84"/>
      <c r="G153" s="84"/>
      <c r="H153" s="84"/>
      <c r="I153" s="84"/>
    </row>
    <row r="154" ht="15.75" customHeight="1">
      <c r="F154" s="84"/>
      <c r="G154" s="84"/>
      <c r="H154" s="84"/>
      <c r="I154" s="84"/>
    </row>
    <row r="155" ht="15.75" customHeight="1">
      <c r="F155" s="84"/>
      <c r="G155" s="84"/>
      <c r="H155" s="84"/>
      <c r="I155" s="84"/>
    </row>
    <row r="156" ht="15.75" customHeight="1">
      <c r="F156" s="84"/>
      <c r="G156" s="84"/>
      <c r="H156" s="84"/>
      <c r="I156" s="84"/>
    </row>
    <row r="157" ht="15.75" customHeight="1">
      <c r="F157" s="84"/>
      <c r="G157" s="84"/>
      <c r="H157" s="84"/>
      <c r="I157" s="84"/>
    </row>
    <row r="158" ht="15.75" customHeight="1">
      <c r="F158" s="84"/>
      <c r="G158" s="84"/>
      <c r="H158" s="84"/>
      <c r="I158" s="84"/>
    </row>
    <row r="159" ht="15.75" customHeight="1">
      <c r="F159" s="84"/>
      <c r="G159" s="84"/>
      <c r="H159" s="84"/>
      <c r="I159" s="84"/>
    </row>
    <row r="160" ht="15.75" customHeight="1">
      <c r="F160" s="84"/>
      <c r="G160" s="84"/>
      <c r="H160" s="84"/>
      <c r="I160" s="84"/>
    </row>
    <row r="161" ht="15.75" customHeight="1">
      <c r="F161" s="84"/>
      <c r="G161" s="84"/>
      <c r="H161" s="84"/>
      <c r="I161" s="84"/>
    </row>
    <row r="162" ht="15.75" customHeight="1">
      <c r="F162" s="84"/>
      <c r="G162" s="84"/>
      <c r="H162" s="84"/>
      <c r="I162" s="84"/>
    </row>
    <row r="163" ht="15.75" customHeight="1">
      <c r="F163" s="84"/>
      <c r="G163" s="84"/>
      <c r="H163" s="84"/>
      <c r="I163" s="84"/>
    </row>
    <row r="164" ht="15.75" customHeight="1">
      <c r="F164" s="84"/>
      <c r="G164" s="84"/>
      <c r="H164" s="84"/>
      <c r="I164" s="84"/>
    </row>
    <row r="165" ht="15.75" customHeight="1">
      <c r="F165" s="84"/>
      <c r="G165" s="84"/>
      <c r="H165" s="84"/>
      <c r="I165" s="84"/>
    </row>
    <row r="166" ht="15.75" customHeight="1">
      <c r="F166" s="84"/>
      <c r="G166" s="84"/>
      <c r="H166" s="84"/>
      <c r="I166" s="84"/>
    </row>
    <row r="167" ht="15.75" customHeight="1">
      <c r="F167" s="84"/>
      <c r="G167" s="84"/>
      <c r="H167" s="84"/>
      <c r="I167" s="84"/>
    </row>
    <row r="168" ht="15.75" customHeight="1">
      <c r="F168" s="84"/>
      <c r="G168" s="84"/>
      <c r="H168" s="84"/>
      <c r="I168" s="84"/>
    </row>
    <row r="169" ht="15.75" customHeight="1">
      <c r="F169" s="84"/>
      <c r="G169" s="84"/>
      <c r="H169" s="84"/>
      <c r="I169" s="84"/>
    </row>
    <row r="170" ht="15.75" customHeight="1">
      <c r="F170" s="84"/>
      <c r="G170" s="84"/>
      <c r="H170" s="84"/>
      <c r="I170" s="84"/>
    </row>
    <row r="171" ht="15.75" customHeight="1">
      <c r="F171" s="84"/>
      <c r="G171" s="84"/>
      <c r="H171" s="84"/>
      <c r="I171" s="84"/>
    </row>
    <row r="172" ht="15.75" customHeight="1">
      <c r="F172" s="84"/>
      <c r="G172" s="84"/>
      <c r="H172" s="84"/>
      <c r="I172" s="84"/>
    </row>
    <row r="173" ht="15.75" customHeight="1">
      <c r="F173" s="84"/>
      <c r="G173" s="84"/>
      <c r="H173" s="84"/>
      <c r="I173" s="84"/>
    </row>
    <row r="174" ht="15.75" customHeight="1">
      <c r="F174" s="84"/>
      <c r="G174" s="84"/>
      <c r="H174" s="84"/>
      <c r="I174" s="84"/>
    </row>
    <row r="175" ht="15.75" customHeight="1">
      <c r="F175" s="84"/>
      <c r="G175" s="84"/>
      <c r="H175" s="84"/>
      <c r="I175" s="84"/>
    </row>
    <row r="176" ht="15.75" customHeight="1">
      <c r="F176" s="84"/>
      <c r="G176" s="84"/>
      <c r="H176" s="84"/>
      <c r="I176" s="84"/>
    </row>
    <row r="177" ht="15.75" customHeight="1">
      <c r="F177" s="84"/>
      <c r="G177" s="84"/>
      <c r="H177" s="84"/>
      <c r="I177" s="84"/>
    </row>
    <row r="178" ht="15.75" customHeight="1">
      <c r="F178" s="84"/>
      <c r="G178" s="84"/>
      <c r="H178" s="84"/>
      <c r="I178" s="84"/>
    </row>
    <row r="179" ht="15.75" customHeight="1">
      <c r="F179" s="84"/>
      <c r="G179" s="84"/>
      <c r="H179" s="84"/>
      <c r="I179" s="84"/>
    </row>
    <row r="180" ht="15.75" customHeight="1">
      <c r="F180" s="84"/>
      <c r="G180" s="84"/>
      <c r="H180" s="84"/>
      <c r="I180" s="84"/>
    </row>
    <row r="181" ht="15.75" customHeight="1">
      <c r="F181" s="84"/>
      <c r="G181" s="84"/>
      <c r="H181" s="84"/>
      <c r="I181" s="84"/>
    </row>
    <row r="182" ht="15.75" customHeight="1">
      <c r="F182" s="84"/>
      <c r="G182" s="84"/>
      <c r="H182" s="84"/>
      <c r="I182" s="84"/>
    </row>
    <row r="183" ht="15.75" customHeight="1">
      <c r="F183" s="84"/>
      <c r="G183" s="84"/>
      <c r="H183" s="84"/>
      <c r="I183" s="84"/>
    </row>
    <row r="184" ht="15.75" customHeight="1">
      <c r="F184" s="84"/>
      <c r="G184" s="84"/>
      <c r="H184" s="84"/>
      <c r="I184" s="84"/>
    </row>
    <row r="185" ht="15.75" customHeight="1">
      <c r="F185" s="84"/>
      <c r="G185" s="84"/>
      <c r="H185" s="84"/>
      <c r="I185" s="84"/>
    </row>
    <row r="186" ht="15.75" customHeight="1">
      <c r="F186" s="84"/>
      <c r="G186" s="84"/>
      <c r="H186" s="84"/>
      <c r="I186" s="84"/>
    </row>
    <row r="187" ht="15.75" customHeight="1">
      <c r="F187" s="84"/>
      <c r="G187" s="84"/>
      <c r="H187" s="84"/>
      <c r="I187" s="84"/>
    </row>
    <row r="188" ht="15.75" customHeight="1">
      <c r="F188" s="84"/>
      <c r="G188" s="84"/>
      <c r="H188" s="84"/>
      <c r="I188" s="84"/>
    </row>
    <row r="189" ht="15.75" customHeight="1">
      <c r="F189" s="84"/>
      <c r="G189" s="84"/>
      <c r="H189" s="84"/>
      <c r="I189" s="84"/>
    </row>
    <row r="190" ht="15.75" customHeight="1">
      <c r="F190" s="84"/>
      <c r="G190" s="84"/>
      <c r="H190" s="84"/>
      <c r="I190" s="84"/>
    </row>
    <row r="191" ht="15.75" customHeight="1">
      <c r="F191" s="84"/>
      <c r="G191" s="84"/>
      <c r="H191" s="84"/>
      <c r="I191" s="84"/>
    </row>
    <row r="192" ht="15.75" customHeight="1">
      <c r="F192" s="84"/>
      <c r="G192" s="84"/>
      <c r="H192" s="84"/>
      <c r="I192" s="84"/>
    </row>
    <row r="193" ht="15.75" customHeight="1">
      <c r="F193" s="84"/>
      <c r="G193" s="84"/>
      <c r="H193" s="84"/>
      <c r="I193" s="84"/>
    </row>
    <row r="194" ht="15.75" customHeight="1">
      <c r="F194" s="84"/>
      <c r="G194" s="84"/>
      <c r="H194" s="84"/>
      <c r="I194" s="84"/>
    </row>
    <row r="195" ht="15.75" customHeight="1">
      <c r="F195" s="84"/>
      <c r="G195" s="84"/>
      <c r="H195" s="84"/>
      <c r="I195" s="84"/>
    </row>
    <row r="196" ht="15.75" customHeight="1">
      <c r="F196" s="84"/>
      <c r="G196" s="84"/>
      <c r="H196" s="84"/>
      <c r="I196" s="84"/>
    </row>
    <row r="197" ht="15.75" customHeight="1">
      <c r="F197" s="84"/>
      <c r="G197" s="84"/>
      <c r="H197" s="84"/>
      <c r="I197" s="84"/>
    </row>
    <row r="198" ht="15.75" customHeight="1">
      <c r="F198" s="84"/>
      <c r="G198" s="84"/>
      <c r="H198" s="84"/>
      <c r="I198" s="84"/>
    </row>
    <row r="199" ht="15.75" customHeight="1">
      <c r="F199" s="84"/>
      <c r="G199" s="84"/>
      <c r="H199" s="84"/>
      <c r="I199" s="84"/>
    </row>
    <row r="200" ht="15.75" customHeight="1">
      <c r="F200" s="84"/>
      <c r="G200" s="84"/>
      <c r="H200" s="84"/>
      <c r="I200" s="84"/>
    </row>
    <row r="201" ht="15.75" customHeight="1">
      <c r="F201" s="84"/>
      <c r="G201" s="84"/>
      <c r="H201" s="84"/>
      <c r="I201" s="84"/>
    </row>
    <row r="202" ht="15.75" customHeight="1">
      <c r="F202" s="84"/>
      <c r="G202" s="84"/>
      <c r="H202" s="84"/>
      <c r="I202" s="84"/>
    </row>
    <row r="203" ht="15.75" customHeight="1">
      <c r="F203" s="84"/>
      <c r="G203" s="84"/>
      <c r="H203" s="84"/>
      <c r="I203" s="84"/>
    </row>
    <row r="204" ht="15.75" customHeight="1">
      <c r="F204" s="84"/>
      <c r="G204" s="84"/>
      <c r="H204" s="84"/>
      <c r="I204" s="84"/>
    </row>
    <row r="205" ht="15.75" customHeight="1">
      <c r="F205" s="84"/>
      <c r="G205" s="84"/>
      <c r="H205" s="84"/>
      <c r="I205" s="84"/>
    </row>
    <row r="206" ht="15.75" customHeight="1">
      <c r="F206" s="84"/>
      <c r="G206" s="84"/>
      <c r="H206" s="84"/>
      <c r="I206" s="84"/>
    </row>
    <row r="207" ht="15.75" customHeight="1">
      <c r="F207" s="84"/>
      <c r="G207" s="84"/>
      <c r="H207" s="84"/>
      <c r="I207" s="84"/>
    </row>
    <row r="208" ht="15.75" customHeight="1">
      <c r="F208" s="84"/>
      <c r="G208" s="84"/>
      <c r="H208" s="84"/>
      <c r="I208" s="84"/>
    </row>
    <row r="209" ht="15.75" customHeight="1">
      <c r="F209" s="84"/>
      <c r="G209" s="84"/>
      <c r="H209" s="84"/>
      <c r="I209" s="84"/>
    </row>
    <row r="210" ht="15.75" customHeight="1">
      <c r="F210" s="84"/>
      <c r="G210" s="84"/>
      <c r="H210" s="84"/>
      <c r="I210" s="84"/>
    </row>
    <row r="211" ht="15.75" customHeight="1">
      <c r="F211" s="84"/>
      <c r="G211" s="84"/>
      <c r="H211" s="84"/>
      <c r="I211" s="84"/>
    </row>
    <row r="212" ht="15.75" customHeight="1">
      <c r="F212" s="84"/>
      <c r="G212" s="84"/>
      <c r="H212" s="84"/>
      <c r="I212" s="84"/>
    </row>
    <row r="213" ht="15.75" customHeight="1">
      <c r="F213" s="84"/>
      <c r="G213" s="84"/>
      <c r="H213" s="84"/>
      <c r="I213" s="84"/>
    </row>
    <row r="214" ht="15.75" customHeight="1">
      <c r="F214" s="84"/>
      <c r="G214" s="84"/>
      <c r="H214" s="84"/>
      <c r="I214" s="84"/>
    </row>
    <row r="215" ht="15.75" customHeight="1">
      <c r="F215" s="84"/>
      <c r="G215" s="84"/>
      <c r="H215" s="84"/>
      <c r="I215" s="84"/>
    </row>
    <row r="216" ht="15.75" customHeight="1">
      <c r="F216" s="84"/>
      <c r="G216" s="84"/>
      <c r="H216" s="84"/>
      <c r="I216" s="84"/>
    </row>
    <row r="217" ht="15.75" customHeight="1">
      <c r="F217" s="84"/>
      <c r="G217" s="84"/>
      <c r="H217" s="84"/>
      <c r="I217" s="84"/>
    </row>
    <row r="218" ht="15.75" customHeight="1">
      <c r="F218" s="84"/>
      <c r="G218" s="84"/>
      <c r="H218" s="84"/>
      <c r="I218" s="84"/>
    </row>
    <row r="219" ht="15.75" customHeight="1">
      <c r="F219" s="84"/>
      <c r="G219" s="84"/>
      <c r="H219" s="84"/>
      <c r="I219" s="84"/>
    </row>
    <row r="220" ht="15.75" customHeight="1">
      <c r="F220" s="84"/>
      <c r="G220" s="84"/>
      <c r="H220" s="84"/>
      <c r="I220" s="84"/>
    </row>
    <row r="221" ht="15.75" customHeight="1">
      <c r="F221" s="84"/>
      <c r="G221" s="84"/>
      <c r="H221" s="84"/>
      <c r="I221" s="84"/>
    </row>
    <row r="222" ht="15.75" customHeight="1">
      <c r="F222" s="84"/>
      <c r="G222" s="84"/>
      <c r="H222" s="84"/>
      <c r="I222" s="84"/>
    </row>
    <row r="223" ht="15.75" customHeight="1">
      <c r="F223" s="84"/>
      <c r="G223" s="84"/>
      <c r="H223" s="84"/>
      <c r="I223" s="84"/>
    </row>
    <row r="224" ht="15.75" customHeight="1">
      <c r="F224" s="84"/>
      <c r="G224" s="84"/>
      <c r="H224" s="84"/>
      <c r="I224" s="84"/>
    </row>
    <row r="225" ht="15.75" customHeight="1">
      <c r="F225" s="84"/>
      <c r="G225" s="84"/>
      <c r="H225" s="84"/>
      <c r="I225" s="84"/>
    </row>
    <row r="226" ht="15.75" customHeight="1">
      <c r="F226" s="84"/>
      <c r="G226" s="84"/>
      <c r="H226" s="84"/>
      <c r="I226" s="84"/>
    </row>
    <row r="227" ht="15.75" customHeight="1">
      <c r="F227" s="84"/>
      <c r="G227" s="84"/>
      <c r="H227" s="84"/>
      <c r="I227" s="84"/>
    </row>
    <row r="228" ht="15.75" customHeight="1">
      <c r="F228" s="84"/>
      <c r="G228" s="84"/>
      <c r="H228" s="84"/>
      <c r="I228" s="84"/>
    </row>
    <row r="229" ht="15.75" customHeight="1">
      <c r="F229" s="84"/>
      <c r="G229" s="84"/>
      <c r="H229" s="84"/>
      <c r="I229" s="84"/>
    </row>
    <row r="230" ht="15.75" customHeight="1">
      <c r="F230" s="84"/>
      <c r="G230" s="84"/>
      <c r="H230" s="84"/>
      <c r="I230" s="84"/>
    </row>
    <row r="231" ht="15.75" customHeight="1">
      <c r="F231" s="84"/>
      <c r="G231" s="84"/>
      <c r="H231" s="84"/>
      <c r="I231" s="84"/>
    </row>
    <row r="232" ht="15.75" customHeight="1">
      <c r="F232" s="84"/>
      <c r="G232" s="84"/>
      <c r="H232" s="84"/>
      <c r="I232" s="84"/>
    </row>
    <row r="233" ht="15.75" customHeight="1">
      <c r="F233" s="84"/>
      <c r="G233" s="84"/>
      <c r="H233" s="84"/>
      <c r="I233" s="84"/>
    </row>
    <row r="234" ht="15.75" customHeight="1">
      <c r="F234" s="84"/>
      <c r="G234" s="84"/>
      <c r="H234" s="84"/>
      <c r="I234" s="84"/>
    </row>
    <row r="235" ht="15.75" customHeight="1">
      <c r="F235" s="84"/>
      <c r="G235" s="84"/>
      <c r="H235" s="84"/>
      <c r="I235" s="84"/>
    </row>
    <row r="236" ht="15.75" customHeight="1">
      <c r="F236" s="84"/>
      <c r="G236" s="84"/>
      <c r="H236" s="84"/>
      <c r="I236" s="84"/>
    </row>
    <row r="237" ht="15.75" customHeight="1">
      <c r="F237" s="84"/>
      <c r="G237" s="84"/>
      <c r="H237" s="84"/>
      <c r="I237" s="84"/>
    </row>
    <row r="238" ht="15.75" customHeight="1">
      <c r="F238" s="84"/>
      <c r="G238" s="84"/>
      <c r="H238" s="84"/>
      <c r="I238" s="84"/>
    </row>
    <row r="239" ht="15.75" customHeight="1">
      <c r="F239" s="84"/>
      <c r="G239" s="84"/>
      <c r="H239" s="84"/>
      <c r="I239" s="84"/>
    </row>
    <row r="240" ht="15.75" customHeight="1">
      <c r="F240" s="84"/>
      <c r="G240" s="84"/>
      <c r="H240" s="84"/>
      <c r="I240" s="84"/>
    </row>
    <row r="241" ht="15.75" customHeight="1">
      <c r="F241" s="84"/>
      <c r="G241" s="84"/>
      <c r="H241" s="84"/>
      <c r="I241" s="84"/>
    </row>
    <row r="242" ht="15.75" customHeight="1">
      <c r="F242" s="84"/>
      <c r="G242" s="84"/>
      <c r="H242" s="84"/>
      <c r="I242" s="84"/>
    </row>
    <row r="243" ht="15.75" customHeight="1">
      <c r="F243" s="84"/>
      <c r="G243" s="84"/>
      <c r="H243" s="84"/>
      <c r="I243" s="84"/>
    </row>
    <row r="244" ht="15.75" customHeight="1">
      <c r="F244" s="84"/>
      <c r="G244" s="84"/>
      <c r="H244" s="84"/>
      <c r="I244" s="84"/>
    </row>
    <row r="245" ht="15.75" customHeight="1">
      <c r="F245" s="84"/>
      <c r="G245" s="84"/>
      <c r="H245" s="84"/>
      <c r="I245" s="84"/>
    </row>
    <row r="246" ht="15.75" customHeight="1">
      <c r="F246" s="84"/>
      <c r="G246" s="84"/>
      <c r="H246" s="84"/>
      <c r="I246" s="84"/>
    </row>
    <row r="247" ht="15.75" customHeight="1">
      <c r="F247" s="84"/>
      <c r="G247" s="84"/>
      <c r="H247" s="84"/>
      <c r="I247" s="84"/>
    </row>
    <row r="248" ht="15.75" customHeight="1">
      <c r="F248" s="84"/>
      <c r="G248" s="84"/>
      <c r="H248" s="84"/>
      <c r="I248" s="84"/>
    </row>
    <row r="249" ht="15.75" customHeight="1">
      <c r="F249" s="84"/>
      <c r="G249" s="84"/>
      <c r="H249" s="84"/>
      <c r="I249" s="84"/>
    </row>
    <row r="250" ht="15.75" customHeight="1">
      <c r="F250" s="84"/>
      <c r="G250" s="84"/>
      <c r="H250" s="84"/>
      <c r="I250" s="84"/>
    </row>
    <row r="251" ht="15.75" customHeight="1">
      <c r="F251" s="84"/>
      <c r="G251" s="84"/>
      <c r="H251" s="84"/>
      <c r="I251" s="84"/>
    </row>
    <row r="252" ht="15.75" customHeight="1">
      <c r="F252" s="84"/>
      <c r="G252" s="84"/>
      <c r="H252" s="84"/>
      <c r="I252" s="84"/>
    </row>
    <row r="253" ht="15.75" customHeight="1">
      <c r="F253" s="84"/>
      <c r="G253" s="84"/>
      <c r="H253" s="84"/>
      <c r="I253" s="84"/>
    </row>
    <row r="254" ht="15.75" customHeight="1">
      <c r="F254" s="84"/>
      <c r="G254" s="84"/>
      <c r="H254" s="84"/>
      <c r="I254" s="84"/>
    </row>
    <row r="255" ht="15.75" customHeight="1">
      <c r="F255" s="84"/>
      <c r="G255" s="84"/>
      <c r="H255" s="84"/>
      <c r="I255" s="84"/>
    </row>
    <row r="256" ht="15.75" customHeight="1">
      <c r="F256" s="84"/>
      <c r="G256" s="84"/>
      <c r="H256" s="84"/>
      <c r="I256" s="84"/>
    </row>
    <row r="257" ht="15.75" customHeight="1">
      <c r="F257" s="84"/>
      <c r="G257" s="84"/>
      <c r="H257" s="84"/>
      <c r="I257" s="84"/>
    </row>
    <row r="258" ht="15.75" customHeight="1">
      <c r="F258" s="84"/>
      <c r="G258" s="84"/>
      <c r="H258" s="84"/>
      <c r="I258" s="84"/>
    </row>
    <row r="259" ht="15.75" customHeight="1">
      <c r="F259" s="84"/>
      <c r="G259" s="84"/>
      <c r="H259" s="84"/>
      <c r="I259" s="84"/>
    </row>
    <row r="260" ht="15.75" customHeight="1">
      <c r="F260" s="84"/>
      <c r="G260" s="84"/>
      <c r="H260" s="84"/>
      <c r="I260" s="84"/>
    </row>
    <row r="261" ht="15.75" customHeight="1">
      <c r="F261" s="84"/>
      <c r="G261" s="84"/>
      <c r="H261" s="84"/>
      <c r="I261" s="84"/>
    </row>
    <row r="262" ht="15.75" customHeight="1">
      <c r="F262" s="84"/>
      <c r="G262" s="84"/>
      <c r="H262" s="84"/>
      <c r="I262" s="84"/>
    </row>
    <row r="263" ht="15.75" customHeight="1">
      <c r="F263" s="84"/>
      <c r="G263" s="84"/>
      <c r="H263" s="84"/>
      <c r="I263" s="84"/>
    </row>
    <row r="264" ht="15.75" customHeight="1">
      <c r="F264" s="84"/>
      <c r="G264" s="84"/>
      <c r="H264" s="84"/>
      <c r="I264" s="84"/>
    </row>
    <row r="265" ht="15.75" customHeight="1">
      <c r="F265" s="84"/>
      <c r="G265" s="84"/>
      <c r="H265" s="84"/>
      <c r="I265" s="84"/>
    </row>
    <row r="266" ht="15.75" customHeight="1">
      <c r="F266" s="84"/>
      <c r="G266" s="84"/>
      <c r="H266" s="84"/>
      <c r="I266" s="84"/>
    </row>
    <row r="267" ht="15.75" customHeight="1">
      <c r="F267" s="84"/>
      <c r="G267" s="84"/>
      <c r="H267" s="84"/>
      <c r="I267" s="84"/>
    </row>
    <row r="268" ht="15.75" customHeight="1">
      <c r="F268" s="84"/>
      <c r="G268" s="84"/>
      <c r="H268" s="84"/>
      <c r="I268" s="84"/>
    </row>
    <row r="269" ht="15.75" customHeight="1">
      <c r="F269" s="84"/>
      <c r="G269" s="84"/>
      <c r="H269" s="84"/>
      <c r="I269" s="84"/>
    </row>
    <row r="270" ht="15.75" customHeight="1">
      <c r="F270" s="84"/>
      <c r="G270" s="84"/>
      <c r="H270" s="84"/>
      <c r="I270" s="84"/>
    </row>
    <row r="271" ht="15.75" customHeight="1">
      <c r="F271" s="84"/>
      <c r="G271" s="84"/>
      <c r="H271" s="84"/>
      <c r="I271" s="84"/>
    </row>
    <row r="272" ht="15.75" customHeight="1">
      <c r="F272" s="84"/>
      <c r="G272" s="84"/>
      <c r="H272" s="84"/>
      <c r="I272" s="84"/>
    </row>
    <row r="273" ht="15.75" customHeight="1">
      <c r="F273" s="84"/>
      <c r="G273" s="84"/>
      <c r="H273" s="84"/>
      <c r="I273" s="84"/>
    </row>
    <row r="274" ht="15.75" customHeight="1">
      <c r="F274" s="84"/>
      <c r="G274" s="84"/>
      <c r="H274" s="84"/>
      <c r="I274" s="84"/>
    </row>
    <row r="275" ht="15.75" customHeight="1">
      <c r="F275" s="84"/>
      <c r="G275" s="84"/>
      <c r="H275" s="84"/>
      <c r="I275" s="84"/>
    </row>
    <row r="276" ht="15.75" customHeight="1">
      <c r="F276" s="84"/>
      <c r="G276" s="84"/>
      <c r="H276" s="84"/>
      <c r="I276" s="84"/>
    </row>
    <row r="277" ht="15.75" customHeight="1">
      <c r="F277" s="84"/>
      <c r="G277" s="84"/>
      <c r="H277" s="84"/>
      <c r="I277" s="84"/>
    </row>
    <row r="278" ht="15.75" customHeight="1">
      <c r="F278" s="84"/>
      <c r="G278" s="84"/>
      <c r="H278" s="84"/>
      <c r="I278" s="84"/>
    </row>
    <row r="279" ht="15.75" customHeight="1">
      <c r="F279" s="84"/>
      <c r="G279" s="84"/>
      <c r="H279" s="84"/>
      <c r="I279" s="84"/>
    </row>
    <row r="280" ht="15.75" customHeight="1">
      <c r="F280" s="84"/>
      <c r="G280" s="84"/>
      <c r="H280" s="84"/>
      <c r="I280" s="84"/>
    </row>
    <row r="281" ht="15.75" customHeight="1">
      <c r="F281" s="84"/>
      <c r="G281" s="84"/>
      <c r="H281" s="84"/>
      <c r="I281" s="84"/>
    </row>
    <row r="282" ht="15.75" customHeight="1">
      <c r="F282" s="84"/>
      <c r="G282" s="84"/>
      <c r="H282" s="84"/>
      <c r="I282" s="84"/>
    </row>
    <row r="283" ht="15.75" customHeight="1">
      <c r="F283" s="84"/>
      <c r="G283" s="84"/>
      <c r="H283" s="84"/>
      <c r="I283" s="84"/>
    </row>
    <row r="284" ht="15.75" customHeight="1">
      <c r="F284" s="84"/>
      <c r="G284" s="84"/>
      <c r="H284" s="84"/>
      <c r="I284" s="84"/>
    </row>
    <row r="285" ht="15.75" customHeight="1">
      <c r="F285" s="84"/>
      <c r="G285" s="84"/>
      <c r="H285" s="84"/>
      <c r="I285" s="84"/>
    </row>
    <row r="286" ht="15.75" customHeight="1">
      <c r="F286" s="84"/>
      <c r="G286" s="84"/>
      <c r="H286" s="84"/>
      <c r="I286" s="84"/>
    </row>
    <row r="287" ht="15.75" customHeight="1">
      <c r="F287" s="84"/>
      <c r="G287" s="84"/>
      <c r="H287" s="84"/>
      <c r="I287" s="84"/>
    </row>
    <row r="288" ht="15.75" customHeight="1">
      <c r="F288" s="84"/>
      <c r="G288" s="84"/>
      <c r="H288" s="84"/>
      <c r="I288" s="84"/>
    </row>
    <row r="289" ht="15.75" customHeight="1">
      <c r="F289" s="84"/>
      <c r="G289" s="84"/>
      <c r="H289" s="84"/>
      <c r="I289" s="84"/>
    </row>
    <row r="290" ht="15.75" customHeight="1">
      <c r="F290" s="84"/>
      <c r="G290" s="84"/>
      <c r="H290" s="84"/>
      <c r="I290" s="84"/>
    </row>
    <row r="291" ht="15.75" customHeight="1">
      <c r="F291" s="84"/>
      <c r="G291" s="84"/>
      <c r="H291" s="84"/>
      <c r="I291" s="84"/>
    </row>
    <row r="292" ht="15.75" customHeight="1">
      <c r="F292" s="84"/>
      <c r="G292" s="84"/>
      <c r="H292" s="84"/>
      <c r="I292" s="84"/>
    </row>
    <row r="293" ht="15.75" customHeight="1">
      <c r="F293" s="84"/>
      <c r="G293" s="84"/>
      <c r="H293" s="84"/>
      <c r="I293" s="84"/>
    </row>
    <row r="294" ht="15.75" customHeight="1">
      <c r="F294" s="84"/>
      <c r="G294" s="84"/>
      <c r="H294" s="84"/>
      <c r="I294" s="84"/>
    </row>
    <row r="295" ht="15.75" customHeight="1">
      <c r="F295" s="84"/>
      <c r="G295" s="84"/>
      <c r="H295" s="84"/>
      <c r="I295" s="84"/>
    </row>
    <row r="296" ht="15.75" customHeight="1">
      <c r="F296" s="84"/>
      <c r="G296" s="84"/>
      <c r="H296" s="84"/>
      <c r="I296" s="84"/>
    </row>
    <row r="297" ht="15.75" customHeight="1">
      <c r="F297" s="84"/>
      <c r="G297" s="84"/>
      <c r="H297" s="84"/>
      <c r="I297" s="84"/>
    </row>
    <row r="298" ht="15.75" customHeight="1">
      <c r="F298" s="84"/>
      <c r="G298" s="84"/>
      <c r="H298" s="84"/>
      <c r="I298" s="84"/>
    </row>
    <row r="299" ht="15.75" customHeight="1">
      <c r="F299" s="84"/>
      <c r="G299" s="84"/>
      <c r="H299" s="84"/>
      <c r="I299" s="84"/>
    </row>
    <row r="300" ht="15.75" customHeight="1">
      <c r="F300" s="84"/>
      <c r="G300" s="84"/>
      <c r="H300" s="84"/>
      <c r="I300" s="84"/>
    </row>
    <row r="301" ht="15.75" customHeight="1">
      <c r="F301" s="84"/>
      <c r="G301" s="84"/>
      <c r="H301" s="84"/>
      <c r="I301" s="84"/>
    </row>
    <row r="302" ht="15.75" customHeight="1">
      <c r="F302" s="84"/>
      <c r="G302" s="84"/>
      <c r="H302" s="84"/>
      <c r="I302" s="84"/>
    </row>
    <row r="303" ht="15.75" customHeight="1">
      <c r="F303" s="84"/>
      <c r="G303" s="84"/>
      <c r="H303" s="84"/>
      <c r="I303" s="84"/>
    </row>
    <row r="304" ht="15.75" customHeight="1">
      <c r="F304" s="84"/>
      <c r="G304" s="84"/>
      <c r="H304" s="84"/>
      <c r="I304" s="84"/>
    </row>
    <row r="305" ht="15.75" customHeight="1">
      <c r="F305" s="84"/>
      <c r="G305" s="84"/>
      <c r="H305" s="84"/>
      <c r="I305" s="84"/>
    </row>
    <row r="306" ht="15.75" customHeight="1">
      <c r="F306" s="84"/>
      <c r="G306" s="84"/>
      <c r="H306" s="84"/>
      <c r="I306" s="84"/>
    </row>
    <row r="307" ht="15.75" customHeight="1">
      <c r="F307" s="84"/>
      <c r="G307" s="84"/>
      <c r="H307" s="84"/>
      <c r="I307" s="84"/>
    </row>
    <row r="308" ht="15.75" customHeight="1">
      <c r="F308" s="84"/>
      <c r="G308" s="84"/>
      <c r="H308" s="84"/>
      <c r="I308" s="84"/>
    </row>
    <row r="309" ht="15.75" customHeight="1">
      <c r="F309" s="84"/>
      <c r="G309" s="84"/>
      <c r="H309" s="84"/>
      <c r="I309" s="84"/>
    </row>
    <row r="310" ht="15.75" customHeight="1">
      <c r="F310" s="84"/>
      <c r="G310" s="84"/>
      <c r="H310" s="84"/>
      <c r="I310" s="84"/>
    </row>
    <row r="311" ht="15.75" customHeight="1">
      <c r="F311" s="84"/>
      <c r="G311" s="84"/>
      <c r="H311" s="84"/>
      <c r="I311" s="84"/>
    </row>
    <row r="312" ht="15.75" customHeight="1">
      <c r="F312" s="84"/>
      <c r="G312" s="84"/>
      <c r="H312" s="84"/>
      <c r="I312" s="84"/>
    </row>
    <row r="313" ht="15.75" customHeight="1">
      <c r="F313" s="84"/>
      <c r="G313" s="84"/>
      <c r="H313" s="84"/>
      <c r="I313" s="84"/>
    </row>
    <row r="314" ht="15.75" customHeight="1">
      <c r="F314" s="84"/>
      <c r="G314" s="84"/>
      <c r="H314" s="84"/>
      <c r="I314" s="84"/>
    </row>
    <row r="315" ht="15.75" customHeight="1">
      <c r="F315" s="84"/>
      <c r="G315" s="84"/>
      <c r="H315" s="84"/>
      <c r="I315" s="84"/>
    </row>
    <row r="316" ht="15.75" customHeight="1">
      <c r="F316" s="84"/>
      <c r="G316" s="84"/>
      <c r="H316" s="84"/>
      <c r="I316" s="84"/>
    </row>
    <row r="317" ht="15.75" customHeight="1">
      <c r="F317" s="84"/>
      <c r="G317" s="84"/>
      <c r="H317" s="84"/>
      <c r="I317" s="84"/>
    </row>
    <row r="318" ht="15.75" customHeight="1">
      <c r="F318" s="84"/>
      <c r="G318" s="84"/>
      <c r="H318" s="84"/>
      <c r="I318" s="84"/>
    </row>
    <row r="319" ht="15.75" customHeight="1">
      <c r="F319" s="84"/>
      <c r="G319" s="84"/>
      <c r="H319" s="84"/>
      <c r="I319" s="84"/>
    </row>
    <row r="320" ht="15.75" customHeight="1">
      <c r="F320" s="84"/>
      <c r="G320" s="84"/>
      <c r="H320" s="84"/>
      <c r="I320" s="84"/>
    </row>
    <row r="321" ht="15.75" customHeight="1">
      <c r="F321" s="84"/>
      <c r="G321" s="84"/>
      <c r="H321" s="84"/>
      <c r="I321" s="84"/>
    </row>
    <row r="322" ht="15.75" customHeight="1">
      <c r="F322" s="84"/>
      <c r="G322" s="84"/>
      <c r="H322" s="84"/>
      <c r="I322" s="84"/>
    </row>
    <row r="323" ht="15.75" customHeight="1">
      <c r="F323" s="84"/>
      <c r="G323" s="84"/>
      <c r="H323" s="84"/>
      <c r="I323" s="84"/>
    </row>
    <row r="324" ht="15.75" customHeight="1">
      <c r="F324" s="84"/>
      <c r="G324" s="84"/>
      <c r="H324" s="84"/>
      <c r="I324" s="84"/>
    </row>
    <row r="325" ht="15.75" customHeight="1">
      <c r="F325" s="84"/>
      <c r="G325" s="84"/>
      <c r="H325" s="84"/>
      <c r="I325" s="84"/>
    </row>
    <row r="326" ht="15.75" customHeight="1">
      <c r="F326" s="84"/>
      <c r="G326" s="84"/>
      <c r="H326" s="84"/>
      <c r="I326" s="84"/>
    </row>
    <row r="327" ht="15.75" customHeight="1">
      <c r="F327" s="84"/>
      <c r="G327" s="84"/>
      <c r="H327" s="84"/>
      <c r="I327" s="84"/>
    </row>
    <row r="328" ht="15.75" customHeight="1">
      <c r="F328" s="84"/>
      <c r="G328" s="84"/>
      <c r="H328" s="84"/>
      <c r="I328" s="84"/>
    </row>
    <row r="329" ht="15.75" customHeight="1">
      <c r="F329" s="84"/>
      <c r="G329" s="84"/>
      <c r="H329" s="84"/>
      <c r="I329" s="84"/>
    </row>
    <row r="330" ht="15.75" customHeight="1">
      <c r="F330" s="84"/>
      <c r="G330" s="84"/>
      <c r="H330" s="84"/>
      <c r="I330" s="84"/>
    </row>
    <row r="331" ht="15.75" customHeight="1">
      <c r="F331" s="84"/>
      <c r="G331" s="84"/>
      <c r="H331" s="84"/>
      <c r="I331" s="84"/>
    </row>
    <row r="332" ht="15.75" customHeight="1">
      <c r="F332" s="84"/>
      <c r="G332" s="84"/>
      <c r="H332" s="84"/>
      <c r="I332" s="84"/>
    </row>
    <row r="333" ht="15.75" customHeight="1">
      <c r="F333" s="84"/>
      <c r="G333" s="84"/>
      <c r="H333" s="84"/>
      <c r="I333" s="84"/>
    </row>
    <row r="334" ht="15.75" customHeight="1">
      <c r="F334" s="84"/>
      <c r="G334" s="84"/>
      <c r="H334" s="84"/>
      <c r="I334" s="84"/>
    </row>
    <row r="335" ht="15.75" customHeight="1">
      <c r="F335" s="84"/>
      <c r="G335" s="84"/>
      <c r="H335" s="84"/>
      <c r="I335" s="84"/>
    </row>
    <row r="336" ht="15.75" customHeight="1">
      <c r="F336" s="84"/>
      <c r="G336" s="84"/>
      <c r="H336" s="84"/>
      <c r="I336" s="84"/>
    </row>
    <row r="337" ht="15.75" customHeight="1">
      <c r="F337" s="84"/>
      <c r="G337" s="84"/>
      <c r="H337" s="84"/>
      <c r="I337" s="84"/>
    </row>
    <row r="338" ht="15.75" customHeight="1">
      <c r="F338" s="84"/>
      <c r="G338" s="84"/>
      <c r="H338" s="84"/>
      <c r="I338" s="84"/>
    </row>
    <row r="339" ht="15.75" customHeight="1">
      <c r="F339" s="84"/>
      <c r="G339" s="84"/>
      <c r="H339" s="84"/>
      <c r="I339" s="84"/>
    </row>
    <row r="340" ht="15.75" customHeight="1">
      <c r="F340" s="84"/>
      <c r="G340" s="84"/>
      <c r="H340" s="84"/>
      <c r="I340" s="84"/>
    </row>
    <row r="341" ht="15.75" customHeight="1">
      <c r="F341" s="84"/>
      <c r="G341" s="84"/>
      <c r="H341" s="84"/>
      <c r="I341" s="84"/>
    </row>
    <row r="342" ht="15.75" customHeight="1">
      <c r="F342" s="84"/>
      <c r="G342" s="84"/>
      <c r="H342" s="84"/>
      <c r="I342" s="84"/>
    </row>
    <row r="343" ht="15.75" customHeight="1">
      <c r="F343" s="84"/>
      <c r="G343" s="84"/>
      <c r="H343" s="84"/>
      <c r="I343" s="84"/>
    </row>
    <row r="344" ht="15.75" customHeight="1">
      <c r="F344" s="84"/>
      <c r="G344" s="84"/>
      <c r="H344" s="84"/>
      <c r="I344" s="84"/>
    </row>
    <row r="345" ht="15.75" customHeight="1">
      <c r="F345" s="84"/>
      <c r="G345" s="84"/>
      <c r="H345" s="84"/>
      <c r="I345" s="84"/>
    </row>
    <row r="346" ht="15.75" customHeight="1">
      <c r="F346" s="84"/>
      <c r="G346" s="84"/>
      <c r="H346" s="84"/>
      <c r="I346" s="84"/>
    </row>
    <row r="347" ht="15.75" customHeight="1">
      <c r="F347" s="84"/>
      <c r="G347" s="84"/>
      <c r="H347" s="84"/>
      <c r="I347" s="84"/>
    </row>
    <row r="348" ht="15.75" customHeight="1">
      <c r="F348" s="84"/>
      <c r="G348" s="84"/>
      <c r="H348" s="84"/>
      <c r="I348" s="84"/>
    </row>
    <row r="349" ht="15.75" customHeight="1">
      <c r="F349" s="84"/>
      <c r="G349" s="84"/>
      <c r="H349" s="84"/>
      <c r="I349" s="84"/>
    </row>
    <row r="350" ht="15.75" customHeight="1">
      <c r="F350" s="84"/>
      <c r="G350" s="84"/>
      <c r="H350" s="84"/>
      <c r="I350" s="84"/>
    </row>
    <row r="351" ht="15.75" customHeight="1">
      <c r="F351" s="84"/>
      <c r="G351" s="84"/>
      <c r="H351" s="84"/>
      <c r="I351" s="84"/>
    </row>
    <row r="352" ht="15.75" customHeight="1">
      <c r="F352" s="84"/>
      <c r="G352" s="84"/>
      <c r="H352" s="84"/>
      <c r="I352" s="84"/>
    </row>
    <row r="353" ht="15.75" customHeight="1">
      <c r="F353" s="84"/>
      <c r="G353" s="84"/>
      <c r="H353" s="84"/>
      <c r="I353" s="84"/>
    </row>
    <row r="354" ht="15.75" customHeight="1">
      <c r="F354" s="84"/>
      <c r="G354" s="84"/>
      <c r="H354" s="84"/>
      <c r="I354" s="84"/>
    </row>
    <row r="355" ht="15.75" customHeight="1">
      <c r="F355" s="84"/>
      <c r="G355" s="84"/>
      <c r="H355" s="84"/>
      <c r="I355" s="84"/>
    </row>
    <row r="356" ht="15.75" customHeight="1">
      <c r="F356" s="84"/>
      <c r="G356" s="84"/>
      <c r="H356" s="84"/>
      <c r="I356" s="84"/>
    </row>
    <row r="357" ht="15.75" customHeight="1">
      <c r="F357" s="84"/>
      <c r="G357" s="84"/>
      <c r="H357" s="84"/>
      <c r="I357" s="84"/>
    </row>
    <row r="358" ht="15.75" customHeight="1">
      <c r="F358" s="84"/>
      <c r="G358" s="84"/>
      <c r="H358" s="84"/>
      <c r="I358" s="84"/>
    </row>
    <row r="359" ht="15.75" customHeight="1">
      <c r="F359" s="84"/>
      <c r="G359" s="84"/>
      <c r="H359" s="84"/>
      <c r="I359" s="84"/>
    </row>
    <row r="360" ht="15.75" customHeight="1">
      <c r="F360" s="84"/>
      <c r="G360" s="84"/>
      <c r="H360" s="84"/>
      <c r="I360" s="84"/>
    </row>
    <row r="361" ht="15.75" customHeight="1">
      <c r="F361" s="84"/>
      <c r="G361" s="84"/>
      <c r="H361" s="84"/>
      <c r="I361" s="84"/>
    </row>
    <row r="362" ht="15.75" customHeight="1">
      <c r="F362" s="84"/>
      <c r="G362" s="84"/>
      <c r="H362" s="84"/>
      <c r="I362" s="84"/>
    </row>
    <row r="363" ht="15.75" customHeight="1">
      <c r="F363" s="84"/>
      <c r="G363" s="84"/>
      <c r="H363" s="84"/>
      <c r="I363" s="84"/>
    </row>
    <row r="364" ht="15.75" customHeight="1">
      <c r="F364" s="84"/>
      <c r="G364" s="84"/>
      <c r="H364" s="84"/>
      <c r="I364" s="84"/>
    </row>
    <row r="365" ht="15.75" customHeight="1">
      <c r="F365" s="84"/>
      <c r="G365" s="84"/>
      <c r="H365" s="84"/>
      <c r="I365" s="84"/>
    </row>
    <row r="366" ht="15.75" customHeight="1">
      <c r="F366" s="84"/>
      <c r="G366" s="84"/>
      <c r="H366" s="84"/>
      <c r="I366" s="84"/>
    </row>
    <row r="367" ht="15.75" customHeight="1">
      <c r="F367" s="84"/>
      <c r="G367" s="84"/>
      <c r="H367" s="84"/>
      <c r="I367" s="84"/>
    </row>
    <row r="368" ht="15.75" customHeight="1">
      <c r="F368" s="84"/>
      <c r="G368" s="84"/>
      <c r="H368" s="84"/>
      <c r="I368" s="84"/>
    </row>
    <row r="369" ht="15.75" customHeight="1">
      <c r="F369" s="84"/>
      <c r="G369" s="84"/>
      <c r="H369" s="84"/>
      <c r="I369" s="84"/>
    </row>
    <row r="370" ht="15.75" customHeight="1">
      <c r="F370" s="84"/>
      <c r="G370" s="84"/>
      <c r="H370" s="84"/>
      <c r="I370" s="84"/>
    </row>
    <row r="371" ht="15.75" customHeight="1">
      <c r="F371" s="84"/>
      <c r="G371" s="84"/>
      <c r="H371" s="84"/>
      <c r="I371" s="84"/>
    </row>
    <row r="372" ht="15.75" customHeight="1">
      <c r="F372" s="84"/>
      <c r="G372" s="84"/>
      <c r="H372" s="84"/>
      <c r="I372" s="84"/>
    </row>
    <row r="373" ht="15.75" customHeight="1">
      <c r="F373" s="84"/>
      <c r="G373" s="84"/>
      <c r="H373" s="84"/>
      <c r="I373" s="84"/>
    </row>
    <row r="374" ht="15.75" customHeight="1">
      <c r="F374" s="84"/>
      <c r="G374" s="84"/>
      <c r="H374" s="84"/>
      <c r="I374" s="84"/>
    </row>
    <row r="375" ht="15.75" customHeight="1">
      <c r="F375" s="84"/>
      <c r="G375" s="84"/>
      <c r="H375" s="84"/>
      <c r="I375" s="84"/>
    </row>
    <row r="376" ht="15.75" customHeight="1">
      <c r="F376" s="84"/>
      <c r="G376" s="84"/>
      <c r="H376" s="84"/>
      <c r="I376" s="84"/>
    </row>
    <row r="377" ht="15.75" customHeight="1">
      <c r="F377" s="84"/>
      <c r="G377" s="84"/>
      <c r="H377" s="84"/>
      <c r="I377" s="84"/>
    </row>
    <row r="378" ht="15.75" customHeight="1">
      <c r="F378" s="84"/>
      <c r="G378" s="84"/>
      <c r="H378" s="84"/>
      <c r="I378" s="84"/>
    </row>
    <row r="379" ht="15.75" customHeight="1">
      <c r="F379" s="84"/>
      <c r="G379" s="84"/>
      <c r="H379" s="84"/>
      <c r="I379" s="84"/>
    </row>
    <row r="380" ht="15.75" customHeight="1">
      <c r="F380" s="84"/>
      <c r="G380" s="84"/>
      <c r="H380" s="84"/>
      <c r="I380" s="84"/>
    </row>
    <row r="381" ht="15.75" customHeight="1">
      <c r="F381" s="84"/>
      <c r="G381" s="84"/>
      <c r="H381" s="84"/>
      <c r="I381" s="84"/>
    </row>
    <row r="382" ht="15.75" customHeight="1">
      <c r="F382" s="84"/>
      <c r="G382" s="84"/>
      <c r="H382" s="84"/>
      <c r="I382" s="84"/>
    </row>
    <row r="383" ht="15.75" customHeight="1">
      <c r="F383" s="84"/>
      <c r="G383" s="84"/>
      <c r="H383" s="84"/>
      <c r="I383" s="84"/>
    </row>
    <row r="384" ht="15.75" customHeight="1">
      <c r="F384" s="84"/>
      <c r="G384" s="84"/>
      <c r="H384" s="84"/>
      <c r="I384" s="84"/>
    </row>
    <row r="385" ht="15.75" customHeight="1">
      <c r="F385" s="84"/>
      <c r="G385" s="84"/>
      <c r="H385" s="84"/>
      <c r="I385" s="84"/>
    </row>
    <row r="386" ht="15.75" customHeight="1">
      <c r="F386" s="84"/>
      <c r="G386" s="84"/>
      <c r="H386" s="84"/>
      <c r="I386" s="84"/>
    </row>
    <row r="387" ht="15.75" customHeight="1">
      <c r="F387" s="84"/>
      <c r="G387" s="84"/>
      <c r="H387" s="84"/>
      <c r="I387" s="84"/>
    </row>
    <row r="388" ht="15.75" customHeight="1">
      <c r="F388" s="84"/>
      <c r="G388" s="84"/>
      <c r="H388" s="84"/>
      <c r="I388" s="84"/>
    </row>
    <row r="389" ht="15.75" customHeight="1">
      <c r="F389" s="84"/>
      <c r="G389" s="84"/>
      <c r="H389" s="84"/>
      <c r="I389" s="84"/>
    </row>
    <row r="390" ht="15.75" customHeight="1">
      <c r="F390" s="84"/>
      <c r="G390" s="84"/>
      <c r="H390" s="84"/>
      <c r="I390" s="84"/>
    </row>
    <row r="391" ht="15.75" customHeight="1">
      <c r="F391" s="84"/>
      <c r="G391" s="84"/>
      <c r="H391" s="84"/>
      <c r="I391" s="84"/>
    </row>
    <row r="392" ht="15.75" customHeight="1">
      <c r="F392" s="84"/>
      <c r="G392" s="84"/>
      <c r="H392" s="84"/>
      <c r="I392" s="84"/>
    </row>
    <row r="393" ht="15.75" customHeight="1">
      <c r="F393" s="84"/>
      <c r="G393" s="84"/>
      <c r="H393" s="84"/>
      <c r="I393" s="84"/>
    </row>
    <row r="394" ht="15.75" customHeight="1">
      <c r="F394" s="84"/>
      <c r="G394" s="84"/>
      <c r="H394" s="84"/>
      <c r="I394" s="84"/>
    </row>
    <row r="395" ht="15.75" customHeight="1">
      <c r="F395" s="84"/>
      <c r="G395" s="84"/>
      <c r="H395" s="84"/>
      <c r="I395" s="84"/>
    </row>
    <row r="396" ht="15.75" customHeight="1">
      <c r="F396" s="84"/>
      <c r="G396" s="84"/>
      <c r="H396" s="84"/>
      <c r="I396" s="84"/>
    </row>
    <row r="397" ht="15.75" customHeight="1">
      <c r="F397" s="84"/>
      <c r="G397" s="84"/>
      <c r="H397" s="84"/>
      <c r="I397" s="84"/>
    </row>
    <row r="398" ht="15.75" customHeight="1">
      <c r="F398" s="84"/>
      <c r="G398" s="84"/>
      <c r="H398" s="84"/>
      <c r="I398" s="84"/>
    </row>
    <row r="399" ht="15.75" customHeight="1">
      <c r="F399" s="84"/>
      <c r="G399" s="84"/>
      <c r="H399" s="84"/>
      <c r="I399" s="84"/>
    </row>
    <row r="400" ht="15.75" customHeight="1">
      <c r="F400" s="84"/>
      <c r="G400" s="84"/>
      <c r="H400" s="84"/>
      <c r="I400" s="84"/>
    </row>
    <row r="401" ht="15.75" customHeight="1">
      <c r="F401" s="84"/>
      <c r="G401" s="84"/>
      <c r="H401" s="84"/>
      <c r="I401" s="84"/>
    </row>
    <row r="402" ht="15.75" customHeight="1">
      <c r="F402" s="84"/>
      <c r="G402" s="84"/>
      <c r="H402" s="84"/>
      <c r="I402" s="84"/>
    </row>
    <row r="403" ht="15.75" customHeight="1">
      <c r="F403" s="84"/>
      <c r="G403" s="84"/>
      <c r="H403" s="84"/>
      <c r="I403" s="84"/>
    </row>
    <row r="404" ht="15.75" customHeight="1">
      <c r="F404" s="84"/>
      <c r="G404" s="84"/>
      <c r="H404" s="84"/>
      <c r="I404" s="84"/>
    </row>
    <row r="405" ht="15.75" customHeight="1">
      <c r="F405" s="84"/>
      <c r="G405" s="84"/>
      <c r="H405" s="84"/>
      <c r="I405" s="84"/>
    </row>
    <row r="406" ht="15.75" customHeight="1">
      <c r="F406" s="84"/>
      <c r="G406" s="84"/>
      <c r="H406" s="84"/>
      <c r="I406" s="84"/>
    </row>
    <row r="407" ht="15.75" customHeight="1">
      <c r="F407" s="84"/>
      <c r="G407" s="84"/>
      <c r="H407" s="84"/>
      <c r="I407" s="84"/>
    </row>
    <row r="408" ht="15.75" customHeight="1">
      <c r="F408" s="84"/>
      <c r="G408" s="84"/>
      <c r="H408" s="84"/>
      <c r="I408" s="84"/>
    </row>
    <row r="409" ht="15.75" customHeight="1">
      <c r="F409" s="84"/>
      <c r="G409" s="84"/>
      <c r="H409" s="84"/>
      <c r="I409" s="84"/>
    </row>
    <row r="410" ht="15.75" customHeight="1">
      <c r="F410" s="84"/>
      <c r="G410" s="84"/>
      <c r="H410" s="84"/>
      <c r="I410" s="84"/>
    </row>
    <row r="411" ht="15.75" customHeight="1">
      <c r="F411" s="84"/>
      <c r="G411" s="84"/>
      <c r="H411" s="84"/>
      <c r="I411" s="84"/>
    </row>
    <row r="412" ht="15.75" customHeight="1">
      <c r="F412" s="84"/>
      <c r="G412" s="84"/>
      <c r="H412" s="84"/>
      <c r="I412" s="84"/>
    </row>
    <row r="413" ht="15.75" customHeight="1">
      <c r="F413" s="84"/>
      <c r="G413" s="84"/>
      <c r="H413" s="84"/>
      <c r="I413" s="84"/>
    </row>
    <row r="414" ht="15.75" customHeight="1">
      <c r="F414" s="84"/>
      <c r="G414" s="84"/>
      <c r="H414" s="84"/>
      <c r="I414" s="84"/>
    </row>
    <row r="415" ht="15.75" customHeight="1">
      <c r="F415" s="84"/>
      <c r="G415" s="84"/>
      <c r="H415" s="84"/>
      <c r="I415" s="84"/>
    </row>
    <row r="416" ht="15.75" customHeight="1">
      <c r="F416" s="84"/>
      <c r="G416" s="84"/>
      <c r="H416" s="84"/>
      <c r="I416" s="84"/>
    </row>
    <row r="417" ht="15.75" customHeight="1">
      <c r="F417" s="84"/>
      <c r="G417" s="84"/>
      <c r="H417" s="84"/>
      <c r="I417" s="84"/>
    </row>
    <row r="418" ht="15.75" customHeight="1">
      <c r="F418" s="84"/>
      <c r="G418" s="84"/>
      <c r="H418" s="84"/>
      <c r="I418" s="84"/>
    </row>
    <row r="419" ht="15.75" customHeight="1">
      <c r="F419" s="84"/>
      <c r="G419" s="84"/>
      <c r="H419" s="84"/>
      <c r="I419" s="84"/>
    </row>
    <row r="420" ht="15.75" customHeight="1">
      <c r="F420" s="84"/>
      <c r="G420" s="84"/>
      <c r="H420" s="84"/>
      <c r="I420" s="84"/>
    </row>
    <row r="421" ht="15.75" customHeight="1">
      <c r="F421" s="84"/>
      <c r="G421" s="84"/>
      <c r="H421" s="84"/>
      <c r="I421" s="84"/>
    </row>
    <row r="422" ht="15.75" customHeight="1">
      <c r="F422" s="84"/>
      <c r="G422" s="84"/>
      <c r="H422" s="84"/>
      <c r="I422" s="84"/>
    </row>
    <row r="423" ht="15.75" customHeight="1">
      <c r="F423" s="84"/>
      <c r="G423" s="84"/>
      <c r="H423" s="84"/>
      <c r="I423" s="84"/>
    </row>
    <row r="424" ht="15.75" customHeight="1">
      <c r="F424" s="84"/>
      <c r="G424" s="84"/>
      <c r="H424" s="84"/>
      <c r="I424" s="84"/>
    </row>
    <row r="425" ht="15.75" customHeight="1">
      <c r="F425" s="84"/>
      <c r="G425" s="84"/>
      <c r="H425" s="84"/>
      <c r="I425" s="84"/>
    </row>
    <row r="426" ht="15.75" customHeight="1">
      <c r="F426" s="84"/>
      <c r="G426" s="84"/>
      <c r="H426" s="84"/>
      <c r="I426" s="84"/>
    </row>
    <row r="427" ht="15.75" customHeight="1">
      <c r="F427" s="84"/>
      <c r="G427" s="84"/>
      <c r="H427" s="84"/>
      <c r="I427" s="84"/>
    </row>
    <row r="428" ht="15.75" customHeight="1">
      <c r="F428" s="84"/>
      <c r="G428" s="84"/>
      <c r="H428" s="84"/>
      <c r="I428" s="84"/>
    </row>
    <row r="429" ht="15.75" customHeight="1">
      <c r="F429" s="84"/>
      <c r="G429" s="84"/>
      <c r="H429" s="84"/>
      <c r="I429" s="84"/>
    </row>
    <row r="430" ht="15.75" customHeight="1">
      <c r="F430" s="84"/>
      <c r="G430" s="84"/>
      <c r="H430" s="84"/>
      <c r="I430" s="84"/>
    </row>
    <row r="431" ht="15.75" customHeight="1">
      <c r="F431" s="84"/>
      <c r="G431" s="84"/>
      <c r="H431" s="84"/>
      <c r="I431" s="84"/>
    </row>
    <row r="432" ht="15.75" customHeight="1">
      <c r="F432" s="84"/>
      <c r="G432" s="84"/>
      <c r="H432" s="84"/>
      <c r="I432" s="84"/>
    </row>
    <row r="433" ht="15.75" customHeight="1">
      <c r="F433" s="84"/>
      <c r="G433" s="84"/>
      <c r="H433" s="84"/>
      <c r="I433" s="84"/>
    </row>
    <row r="434" ht="15.75" customHeight="1">
      <c r="F434" s="84"/>
      <c r="G434" s="84"/>
      <c r="H434" s="84"/>
      <c r="I434" s="84"/>
    </row>
    <row r="435" ht="15.75" customHeight="1">
      <c r="F435" s="84"/>
      <c r="G435" s="84"/>
      <c r="H435" s="84"/>
      <c r="I435" s="84"/>
    </row>
    <row r="436" ht="15.75" customHeight="1">
      <c r="F436" s="84"/>
      <c r="G436" s="84"/>
      <c r="H436" s="84"/>
      <c r="I436" s="84"/>
    </row>
    <row r="437" ht="15.75" customHeight="1">
      <c r="F437" s="84"/>
      <c r="G437" s="84"/>
      <c r="H437" s="84"/>
      <c r="I437" s="84"/>
    </row>
    <row r="438" ht="15.75" customHeight="1">
      <c r="F438" s="84"/>
      <c r="G438" s="84"/>
      <c r="H438" s="84"/>
      <c r="I438" s="84"/>
    </row>
    <row r="439" ht="15.75" customHeight="1">
      <c r="F439" s="84"/>
      <c r="G439" s="84"/>
      <c r="H439" s="84"/>
      <c r="I439" s="84"/>
    </row>
    <row r="440" ht="15.75" customHeight="1">
      <c r="F440" s="84"/>
      <c r="G440" s="84"/>
      <c r="H440" s="84"/>
      <c r="I440" s="84"/>
    </row>
    <row r="441" ht="15.75" customHeight="1">
      <c r="F441" s="84"/>
      <c r="G441" s="84"/>
      <c r="H441" s="84"/>
      <c r="I441" s="84"/>
    </row>
    <row r="442" ht="15.75" customHeight="1">
      <c r="F442" s="84"/>
      <c r="G442" s="84"/>
      <c r="H442" s="84"/>
      <c r="I442" s="84"/>
    </row>
    <row r="443" ht="15.75" customHeight="1">
      <c r="F443" s="84"/>
      <c r="G443" s="84"/>
      <c r="H443" s="84"/>
      <c r="I443" s="84"/>
    </row>
    <row r="444" ht="15.75" customHeight="1">
      <c r="F444" s="84"/>
      <c r="G444" s="84"/>
      <c r="H444" s="84"/>
      <c r="I444" s="84"/>
    </row>
    <row r="445" ht="15.75" customHeight="1">
      <c r="F445" s="84"/>
      <c r="G445" s="84"/>
      <c r="H445" s="84"/>
      <c r="I445" s="84"/>
    </row>
    <row r="446" ht="15.75" customHeight="1">
      <c r="F446" s="84"/>
      <c r="G446" s="84"/>
      <c r="H446" s="84"/>
      <c r="I446" s="84"/>
    </row>
    <row r="447" ht="15.75" customHeight="1">
      <c r="F447" s="84"/>
      <c r="G447" s="84"/>
      <c r="H447" s="84"/>
      <c r="I447" s="84"/>
    </row>
    <row r="448" ht="15.75" customHeight="1">
      <c r="F448" s="84"/>
      <c r="G448" s="84"/>
      <c r="H448" s="84"/>
      <c r="I448" s="84"/>
    </row>
    <row r="449" ht="15.75" customHeight="1">
      <c r="F449" s="84"/>
      <c r="G449" s="84"/>
      <c r="H449" s="84"/>
      <c r="I449" s="84"/>
    </row>
    <row r="450" ht="15.75" customHeight="1">
      <c r="F450" s="84"/>
      <c r="G450" s="84"/>
      <c r="H450" s="84"/>
      <c r="I450" s="84"/>
    </row>
    <row r="451" ht="15.75" customHeight="1">
      <c r="F451" s="84"/>
      <c r="G451" s="84"/>
      <c r="H451" s="84"/>
      <c r="I451" s="84"/>
    </row>
    <row r="452" ht="15.75" customHeight="1">
      <c r="F452" s="84"/>
      <c r="G452" s="84"/>
      <c r="H452" s="84"/>
      <c r="I452" s="84"/>
    </row>
    <row r="453" ht="15.75" customHeight="1">
      <c r="F453" s="84"/>
      <c r="G453" s="84"/>
      <c r="H453" s="84"/>
      <c r="I453" s="84"/>
    </row>
    <row r="454" ht="15.75" customHeight="1">
      <c r="F454" s="84"/>
      <c r="G454" s="84"/>
      <c r="H454" s="84"/>
      <c r="I454" s="84"/>
    </row>
    <row r="455" ht="15.75" customHeight="1">
      <c r="F455" s="84"/>
      <c r="G455" s="84"/>
      <c r="H455" s="84"/>
      <c r="I455" s="84"/>
    </row>
    <row r="456" ht="15.75" customHeight="1">
      <c r="F456" s="84"/>
      <c r="G456" s="84"/>
      <c r="H456" s="84"/>
      <c r="I456" s="84"/>
    </row>
    <row r="457" ht="15.75" customHeight="1">
      <c r="F457" s="84"/>
      <c r="G457" s="84"/>
      <c r="H457" s="84"/>
      <c r="I457" s="84"/>
    </row>
    <row r="458" ht="15.75" customHeight="1">
      <c r="F458" s="84"/>
      <c r="G458" s="84"/>
      <c r="H458" s="84"/>
      <c r="I458" s="84"/>
    </row>
    <row r="459" ht="15.75" customHeight="1">
      <c r="F459" s="84"/>
      <c r="G459" s="84"/>
      <c r="H459" s="84"/>
      <c r="I459" s="84"/>
    </row>
    <row r="460" ht="15.75" customHeight="1">
      <c r="F460" s="84"/>
      <c r="G460" s="84"/>
      <c r="H460" s="84"/>
      <c r="I460" s="84"/>
    </row>
    <row r="461" ht="15.75" customHeight="1">
      <c r="F461" s="84"/>
      <c r="G461" s="84"/>
      <c r="H461" s="84"/>
      <c r="I461" s="84"/>
    </row>
    <row r="462" ht="15.75" customHeight="1">
      <c r="F462" s="84"/>
      <c r="G462" s="84"/>
      <c r="H462" s="84"/>
      <c r="I462" s="84"/>
    </row>
    <row r="463" ht="15.75" customHeight="1">
      <c r="F463" s="84"/>
      <c r="G463" s="84"/>
      <c r="H463" s="84"/>
      <c r="I463" s="84"/>
    </row>
    <row r="464" ht="15.75" customHeight="1">
      <c r="F464" s="84"/>
      <c r="G464" s="84"/>
      <c r="H464" s="84"/>
      <c r="I464" s="84"/>
    </row>
    <row r="465" ht="15.75" customHeight="1">
      <c r="F465" s="84"/>
      <c r="G465" s="84"/>
      <c r="H465" s="84"/>
      <c r="I465" s="84"/>
    </row>
    <row r="466" ht="15.75" customHeight="1">
      <c r="F466" s="84"/>
      <c r="G466" s="84"/>
      <c r="H466" s="84"/>
      <c r="I466" s="84"/>
    </row>
    <row r="467" ht="15.75" customHeight="1">
      <c r="F467" s="84"/>
      <c r="G467" s="84"/>
      <c r="H467" s="84"/>
      <c r="I467" s="84"/>
    </row>
    <row r="468" ht="15.75" customHeight="1">
      <c r="F468" s="84"/>
      <c r="G468" s="84"/>
      <c r="H468" s="84"/>
      <c r="I468" s="84"/>
    </row>
    <row r="469" ht="15.75" customHeight="1">
      <c r="F469" s="84"/>
      <c r="G469" s="84"/>
      <c r="H469" s="84"/>
      <c r="I469" s="84"/>
    </row>
    <row r="470" ht="15.75" customHeight="1">
      <c r="F470" s="84"/>
      <c r="G470" s="84"/>
      <c r="H470" s="84"/>
      <c r="I470" s="84"/>
    </row>
    <row r="471" ht="15.75" customHeight="1">
      <c r="F471" s="84"/>
      <c r="G471" s="84"/>
      <c r="H471" s="84"/>
      <c r="I471" s="84"/>
    </row>
    <row r="472" ht="15.75" customHeight="1">
      <c r="F472" s="84"/>
      <c r="G472" s="84"/>
      <c r="H472" s="84"/>
      <c r="I472" s="84"/>
    </row>
    <row r="473" ht="15.75" customHeight="1">
      <c r="F473" s="84"/>
      <c r="G473" s="84"/>
      <c r="H473" s="84"/>
      <c r="I473" s="84"/>
    </row>
    <row r="474" ht="15.75" customHeight="1">
      <c r="F474" s="84"/>
      <c r="G474" s="84"/>
      <c r="H474" s="84"/>
      <c r="I474" s="84"/>
    </row>
    <row r="475" ht="15.75" customHeight="1">
      <c r="F475" s="84"/>
      <c r="G475" s="84"/>
      <c r="H475" s="84"/>
      <c r="I475" s="84"/>
    </row>
    <row r="476" ht="15.75" customHeight="1">
      <c r="F476" s="84"/>
      <c r="G476" s="84"/>
      <c r="H476" s="84"/>
      <c r="I476" s="84"/>
    </row>
    <row r="477" ht="15.75" customHeight="1">
      <c r="F477" s="84"/>
      <c r="G477" s="84"/>
      <c r="H477" s="84"/>
      <c r="I477" s="84"/>
    </row>
    <row r="478" ht="15.75" customHeight="1">
      <c r="F478" s="84"/>
      <c r="G478" s="84"/>
      <c r="H478" s="84"/>
      <c r="I478" s="84"/>
    </row>
    <row r="479" ht="15.75" customHeight="1">
      <c r="F479" s="84"/>
      <c r="G479" s="84"/>
      <c r="H479" s="84"/>
      <c r="I479" s="84"/>
    </row>
    <row r="480" ht="15.75" customHeight="1">
      <c r="F480" s="84"/>
      <c r="G480" s="84"/>
      <c r="H480" s="84"/>
      <c r="I480" s="84"/>
    </row>
    <row r="481" ht="15.75" customHeight="1">
      <c r="F481" s="84"/>
      <c r="G481" s="84"/>
      <c r="H481" s="84"/>
      <c r="I481" s="84"/>
    </row>
    <row r="482" ht="15.75" customHeight="1">
      <c r="F482" s="84"/>
      <c r="G482" s="84"/>
      <c r="H482" s="84"/>
      <c r="I482" s="84"/>
    </row>
    <row r="483" ht="15.75" customHeight="1">
      <c r="F483" s="84"/>
      <c r="G483" s="84"/>
      <c r="H483" s="84"/>
      <c r="I483" s="84"/>
    </row>
    <row r="484" ht="15.75" customHeight="1">
      <c r="F484" s="84"/>
      <c r="G484" s="84"/>
      <c r="H484" s="84"/>
      <c r="I484" s="84"/>
    </row>
    <row r="485" ht="15.75" customHeight="1">
      <c r="F485" s="84"/>
      <c r="G485" s="84"/>
      <c r="H485" s="84"/>
      <c r="I485" s="84"/>
    </row>
    <row r="486" ht="15.75" customHeight="1">
      <c r="F486" s="84"/>
      <c r="G486" s="84"/>
      <c r="H486" s="84"/>
      <c r="I486" s="84"/>
    </row>
    <row r="487" ht="15.75" customHeight="1">
      <c r="F487" s="84"/>
      <c r="G487" s="84"/>
      <c r="H487" s="84"/>
      <c r="I487" s="84"/>
    </row>
    <row r="488" ht="15.75" customHeight="1">
      <c r="F488" s="84"/>
      <c r="G488" s="84"/>
      <c r="H488" s="84"/>
      <c r="I488" s="84"/>
    </row>
    <row r="489" ht="15.75" customHeight="1">
      <c r="F489" s="84"/>
      <c r="G489" s="84"/>
      <c r="H489" s="84"/>
      <c r="I489" s="84"/>
    </row>
    <row r="490" ht="15.75" customHeight="1">
      <c r="F490" s="84"/>
      <c r="G490" s="84"/>
      <c r="H490" s="84"/>
      <c r="I490" s="84"/>
    </row>
    <row r="491" ht="15.75" customHeight="1">
      <c r="F491" s="84"/>
      <c r="G491" s="84"/>
      <c r="H491" s="84"/>
      <c r="I491" s="84"/>
    </row>
    <row r="492" ht="15.75" customHeight="1">
      <c r="F492" s="84"/>
      <c r="G492" s="84"/>
      <c r="H492" s="84"/>
      <c r="I492" s="84"/>
    </row>
    <row r="493" ht="15.75" customHeight="1">
      <c r="F493" s="84"/>
      <c r="G493" s="84"/>
      <c r="H493" s="84"/>
      <c r="I493" s="84"/>
    </row>
    <row r="494" ht="15.75" customHeight="1">
      <c r="F494" s="84"/>
      <c r="G494" s="84"/>
      <c r="H494" s="84"/>
      <c r="I494" s="84"/>
    </row>
    <row r="495" ht="15.75" customHeight="1">
      <c r="F495" s="84"/>
      <c r="G495" s="84"/>
      <c r="H495" s="84"/>
      <c r="I495" s="84"/>
    </row>
    <row r="496" ht="15.75" customHeight="1">
      <c r="F496" s="84"/>
      <c r="G496" s="84"/>
      <c r="H496" s="84"/>
      <c r="I496" s="84"/>
    </row>
    <row r="497" ht="15.75" customHeight="1">
      <c r="F497" s="84"/>
      <c r="G497" s="84"/>
      <c r="H497" s="84"/>
      <c r="I497" s="84"/>
    </row>
    <row r="498" ht="15.75" customHeight="1">
      <c r="F498" s="84"/>
      <c r="G498" s="84"/>
      <c r="H498" s="84"/>
      <c r="I498" s="84"/>
    </row>
    <row r="499" ht="15.75" customHeight="1">
      <c r="F499" s="84"/>
      <c r="G499" s="84"/>
      <c r="H499" s="84"/>
      <c r="I499" s="84"/>
    </row>
    <row r="500" ht="15.75" customHeight="1">
      <c r="F500" s="84"/>
      <c r="G500" s="84"/>
      <c r="H500" s="84"/>
      <c r="I500" s="84"/>
    </row>
    <row r="501" ht="15.75" customHeight="1">
      <c r="F501" s="84"/>
      <c r="G501" s="84"/>
      <c r="H501" s="84"/>
      <c r="I501" s="84"/>
    </row>
    <row r="502" ht="15.75" customHeight="1">
      <c r="F502" s="84"/>
      <c r="G502" s="84"/>
      <c r="H502" s="84"/>
      <c r="I502" s="84"/>
    </row>
    <row r="503" ht="15.75" customHeight="1">
      <c r="F503" s="84"/>
      <c r="G503" s="84"/>
      <c r="H503" s="84"/>
      <c r="I503" s="84"/>
    </row>
    <row r="504" ht="15.75" customHeight="1">
      <c r="F504" s="84"/>
      <c r="G504" s="84"/>
      <c r="H504" s="84"/>
      <c r="I504" s="84"/>
    </row>
    <row r="505" ht="15.75" customHeight="1">
      <c r="F505" s="84"/>
      <c r="G505" s="84"/>
      <c r="H505" s="84"/>
      <c r="I505" s="84"/>
    </row>
    <row r="506" ht="15.75" customHeight="1">
      <c r="F506" s="84"/>
      <c r="G506" s="84"/>
      <c r="H506" s="84"/>
      <c r="I506" s="84"/>
    </row>
    <row r="507" ht="15.75" customHeight="1">
      <c r="F507" s="84"/>
      <c r="G507" s="84"/>
      <c r="H507" s="84"/>
      <c r="I507" s="84"/>
    </row>
    <row r="508" ht="15.75" customHeight="1">
      <c r="F508" s="84"/>
      <c r="G508" s="84"/>
      <c r="H508" s="84"/>
      <c r="I508" s="84"/>
    </row>
    <row r="509" ht="15.75" customHeight="1">
      <c r="F509" s="84"/>
      <c r="G509" s="84"/>
      <c r="H509" s="84"/>
      <c r="I509" s="84"/>
    </row>
    <row r="510" ht="15.75" customHeight="1">
      <c r="F510" s="84"/>
      <c r="G510" s="84"/>
      <c r="H510" s="84"/>
      <c r="I510" s="84"/>
    </row>
    <row r="511" ht="15.75" customHeight="1">
      <c r="F511" s="84"/>
      <c r="G511" s="84"/>
      <c r="H511" s="84"/>
      <c r="I511" s="84"/>
    </row>
    <row r="512" ht="15.75" customHeight="1">
      <c r="F512" s="84"/>
      <c r="G512" s="84"/>
      <c r="H512" s="84"/>
      <c r="I512" s="84"/>
    </row>
    <row r="513" ht="15.75" customHeight="1">
      <c r="F513" s="84"/>
      <c r="G513" s="84"/>
      <c r="H513" s="84"/>
      <c r="I513" s="84"/>
    </row>
    <row r="514" ht="15.75" customHeight="1">
      <c r="F514" s="84"/>
      <c r="G514" s="84"/>
      <c r="H514" s="84"/>
      <c r="I514" s="84"/>
    </row>
    <row r="515" ht="15.75" customHeight="1">
      <c r="F515" s="84"/>
      <c r="G515" s="84"/>
      <c r="H515" s="84"/>
      <c r="I515" s="84"/>
    </row>
    <row r="516" ht="15.75" customHeight="1">
      <c r="F516" s="84"/>
      <c r="G516" s="84"/>
      <c r="H516" s="84"/>
      <c r="I516" s="84"/>
    </row>
    <row r="517" ht="15.75" customHeight="1">
      <c r="F517" s="84"/>
      <c r="G517" s="84"/>
      <c r="H517" s="84"/>
      <c r="I517" s="84"/>
    </row>
    <row r="518" ht="15.75" customHeight="1">
      <c r="F518" s="84"/>
      <c r="G518" s="84"/>
      <c r="H518" s="84"/>
      <c r="I518" s="84"/>
    </row>
    <row r="519" ht="15.75" customHeight="1">
      <c r="F519" s="84"/>
      <c r="G519" s="84"/>
      <c r="H519" s="84"/>
      <c r="I519" s="84"/>
    </row>
    <row r="520" ht="15.75" customHeight="1">
      <c r="F520" s="84"/>
      <c r="G520" s="84"/>
      <c r="H520" s="84"/>
      <c r="I520" s="84"/>
    </row>
    <row r="521" ht="15.75" customHeight="1">
      <c r="F521" s="84"/>
      <c r="G521" s="84"/>
      <c r="H521" s="84"/>
      <c r="I521" s="84"/>
    </row>
    <row r="522" ht="15.75" customHeight="1">
      <c r="F522" s="84"/>
      <c r="G522" s="84"/>
      <c r="H522" s="84"/>
      <c r="I522" s="84"/>
    </row>
    <row r="523" ht="15.75" customHeight="1">
      <c r="F523" s="84"/>
      <c r="G523" s="84"/>
      <c r="H523" s="84"/>
      <c r="I523" s="84"/>
    </row>
    <row r="524" ht="15.75" customHeight="1">
      <c r="F524" s="84"/>
      <c r="G524" s="84"/>
      <c r="H524" s="84"/>
      <c r="I524" s="84"/>
    </row>
    <row r="525" ht="15.75" customHeight="1">
      <c r="F525" s="84"/>
      <c r="G525" s="84"/>
      <c r="H525" s="84"/>
      <c r="I525" s="84"/>
    </row>
    <row r="526" ht="15.75" customHeight="1">
      <c r="F526" s="84"/>
      <c r="G526" s="84"/>
      <c r="H526" s="84"/>
      <c r="I526" s="84"/>
    </row>
    <row r="527" ht="15.75" customHeight="1">
      <c r="F527" s="84"/>
      <c r="G527" s="84"/>
      <c r="H527" s="84"/>
      <c r="I527" s="84"/>
    </row>
    <row r="528" ht="15.75" customHeight="1">
      <c r="F528" s="84"/>
      <c r="G528" s="84"/>
      <c r="H528" s="84"/>
      <c r="I528" s="84"/>
    </row>
    <row r="529" ht="15.75" customHeight="1">
      <c r="F529" s="84"/>
      <c r="G529" s="84"/>
      <c r="H529" s="84"/>
      <c r="I529" s="84"/>
    </row>
    <row r="530" ht="15.75" customHeight="1">
      <c r="F530" s="84"/>
      <c r="G530" s="84"/>
      <c r="H530" s="84"/>
      <c r="I530" s="84"/>
    </row>
    <row r="531" ht="15.75" customHeight="1">
      <c r="F531" s="84"/>
      <c r="G531" s="84"/>
      <c r="H531" s="84"/>
      <c r="I531" s="84"/>
    </row>
    <row r="532" ht="15.75" customHeight="1">
      <c r="F532" s="84"/>
      <c r="G532" s="84"/>
      <c r="H532" s="84"/>
      <c r="I532" s="84"/>
    </row>
    <row r="533" ht="15.75" customHeight="1">
      <c r="F533" s="84"/>
      <c r="G533" s="84"/>
      <c r="H533" s="84"/>
      <c r="I533" s="84"/>
    </row>
    <row r="534" ht="15.75" customHeight="1">
      <c r="F534" s="84"/>
      <c r="G534" s="84"/>
      <c r="H534" s="84"/>
      <c r="I534" s="84"/>
    </row>
    <row r="535" ht="15.75" customHeight="1">
      <c r="F535" s="84"/>
      <c r="G535" s="84"/>
      <c r="H535" s="84"/>
      <c r="I535" s="84"/>
    </row>
    <row r="536" ht="15.75" customHeight="1">
      <c r="F536" s="84"/>
      <c r="G536" s="84"/>
      <c r="H536" s="84"/>
      <c r="I536" s="84"/>
    </row>
    <row r="537" ht="15.75" customHeight="1">
      <c r="F537" s="84"/>
      <c r="G537" s="84"/>
      <c r="H537" s="84"/>
      <c r="I537" s="84"/>
    </row>
    <row r="538" ht="15.75" customHeight="1">
      <c r="F538" s="84"/>
      <c r="G538" s="84"/>
      <c r="H538" s="84"/>
      <c r="I538" s="84"/>
    </row>
    <row r="539" ht="15.75" customHeight="1">
      <c r="F539" s="84"/>
      <c r="G539" s="84"/>
      <c r="H539" s="84"/>
      <c r="I539" s="84"/>
    </row>
    <row r="540" ht="15.75" customHeight="1">
      <c r="F540" s="84"/>
      <c r="G540" s="84"/>
      <c r="H540" s="84"/>
      <c r="I540" s="84"/>
    </row>
    <row r="541" ht="15.75" customHeight="1">
      <c r="F541" s="84"/>
      <c r="G541" s="84"/>
      <c r="H541" s="84"/>
      <c r="I541" s="84"/>
    </row>
    <row r="542" ht="15.75" customHeight="1">
      <c r="F542" s="84"/>
      <c r="G542" s="84"/>
      <c r="H542" s="84"/>
      <c r="I542" s="84"/>
    </row>
    <row r="543" ht="15.75" customHeight="1">
      <c r="F543" s="84"/>
      <c r="G543" s="84"/>
      <c r="H543" s="84"/>
      <c r="I543" s="84"/>
    </row>
    <row r="544" ht="15.75" customHeight="1">
      <c r="F544" s="84"/>
      <c r="G544" s="84"/>
      <c r="H544" s="84"/>
      <c r="I544" s="84"/>
    </row>
    <row r="545" ht="15.75" customHeight="1">
      <c r="F545" s="84"/>
      <c r="G545" s="84"/>
      <c r="H545" s="84"/>
      <c r="I545" s="84"/>
    </row>
    <row r="546" ht="15.75" customHeight="1">
      <c r="F546" s="84"/>
      <c r="G546" s="84"/>
      <c r="H546" s="84"/>
      <c r="I546" s="84"/>
    </row>
    <row r="547" ht="15.75" customHeight="1">
      <c r="F547" s="84"/>
      <c r="G547" s="84"/>
      <c r="H547" s="84"/>
      <c r="I547" s="84"/>
    </row>
    <row r="548" ht="15.75" customHeight="1">
      <c r="F548" s="84"/>
      <c r="G548" s="84"/>
      <c r="H548" s="84"/>
      <c r="I548" s="84"/>
    </row>
    <row r="549" ht="15.75" customHeight="1">
      <c r="F549" s="84"/>
      <c r="G549" s="84"/>
      <c r="H549" s="84"/>
      <c r="I549" s="84"/>
    </row>
    <row r="550" ht="15.75" customHeight="1">
      <c r="F550" s="84"/>
      <c r="G550" s="84"/>
      <c r="H550" s="84"/>
      <c r="I550" s="84"/>
    </row>
    <row r="551" ht="15.75" customHeight="1">
      <c r="F551" s="84"/>
      <c r="G551" s="84"/>
      <c r="H551" s="84"/>
      <c r="I551" s="84"/>
    </row>
    <row r="552" ht="15.75" customHeight="1">
      <c r="F552" s="84"/>
      <c r="G552" s="84"/>
      <c r="H552" s="84"/>
      <c r="I552" s="84"/>
    </row>
    <row r="553" ht="15.75" customHeight="1">
      <c r="F553" s="84"/>
      <c r="G553" s="84"/>
      <c r="H553" s="84"/>
      <c r="I553" s="84"/>
    </row>
    <row r="554" ht="15.75" customHeight="1">
      <c r="F554" s="84"/>
      <c r="G554" s="84"/>
      <c r="H554" s="84"/>
      <c r="I554" s="84"/>
    </row>
    <row r="555" ht="15.75" customHeight="1">
      <c r="F555" s="84"/>
      <c r="G555" s="84"/>
      <c r="H555" s="84"/>
      <c r="I555" s="84"/>
    </row>
    <row r="556" ht="15.75" customHeight="1">
      <c r="F556" s="84"/>
      <c r="G556" s="84"/>
      <c r="H556" s="84"/>
      <c r="I556" s="84"/>
    </row>
    <row r="557" ht="15.75" customHeight="1">
      <c r="F557" s="84"/>
      <c r="G557" s="84"/>
      <c r="H557" s="84"/>
      <c r="I557" s="84"/>
    </row>
    <row r="558" ht="15.75" customHeight="1">
      <c r="F558" s="84"/>
      <c r="G558" s="84"/>
      <c r="H558" s="84"/>
      <c r="I558" s="84"/>
    </row>
    <row r="559" ht="15.75" customHeight="1">
      <c r="F559" s="84"/>
      <c r="G559" s="84"/>
      <c r="H559" s="84"/>
      <c r="I559" s="84"/>
    </row>
    <row r="560" ht="15.75" customHeight="1">
      <c r="F560" s="84"/>
      <c r="G560" s="84"/>
      <c r="H560" s="84"/>
      <c r="I560" s="84"/>
    </row>
    <row r="561" ht="15.75" customHeight="1">
      <c r="F561" s="84"/>
      <c r="G561" s="84"/>
      <c r="H561" s="84"/>
      <c r="I561" s="84"/>
    </row>
    <row r="562" ht="15.75" customHeight="1">
      <c r="F562" s="84"/>
      <c r="G562" s="84"/>
      <c r="H562" s="84"/>
      <c r="I562" s="84"/>
    </row>
    <row r="563" ht="15.75" customHeight="1">
      <c r="F563" s="84"/>
      <c r="G563" s="84"/>
      <c r="H563" s="84"/>
      <c r="I563" s="84"/>
    </row>
    <row r="564" ht="15.75" customHeight="1">
      <c r="F564" s="84"/>
      <c r="G564" s="84"/>
      <c r="H564" s="84"/>
      <c r="I564" s="84"/>
    </row>
    <row r="565" ht="15.75" customHeight="1">
      <c r="F565" s="84"/>
      <c r="G565" s="84"/>
      <c r="H565" s="84"/>
      <c r="I565" s="84"/>
    </row>
    <row r="566" ht="15.75" customHeight="1">
      <c r="F566" s="84"/>
      <c r="G566" s="84"/>
      <c r="H566" s="84"/>
      <c r="I566" s="84"/>
    </row>
    <row r="567" ht="15.75" customHeight="1">
      <c r="F567" s="84"/>
      <c r="G567" s="84"/>
      <c r="H567" s="84"/>
      <c r="I567" s="84"/>
    </row>
    <row r="568" ht="15.75" customHeight="1">
      <c r="F568" s="84"/>
      <c r="G568" s="84"/>
      <c r="H568" s="84"/>
      <c r="I568" s="84"/>
    </row>
    <row r="569" ht="15.75" customHeight="1">
      <c r="F569" s="84"/>
      <c r="G569" s="84"/>
      <c r="H569" s="84"/>
      <c r="I569" s="84"/>
    </row>
    <row r="570" ht="15.75" customHeight="1">
      <c r="F570" s="84"/>
      <c r="G570" s="84"/>
      <c r="H570" s="84"/>
      <c r="I570" s="84"/>
    </row>
    <row r="571" ht="15.75" customHeight="1">
      <c r="F571" s="84"/>
      <c r="G571" s="84"/>
      <c r="H571" s="84"/>
      <c r="I571" s="84"/>
    </row>
    <row r="572" ht="15.75" customHeight="1">
      <c r="F572" s="84"/>
      <c r="G572" s="84"/>
      <c r="H572" s="84"/>
      <c r="I572" s="84"/>
    </row>
    <row r="573" ht="15.75" customHeight="1">
      <c r="F573" s="84"/>
      <c r="G573" s="84"/>
      <c r="H573" s="84"/>
      <c r="I573" s="84"/>
    </row>
    <row r="574" ht="15.75" customHeight="1">
      <c r="F574" s="84"/>
      <c r="G574" s="84"/>
      <c r="H574" s="84"/>
      <c r="I574" s="84"/>
    </row>
    <row r="575" ht="15.75" customHeight="1">
      <c r="F575" s="84"/>
      <c r="G575" s="84"/>
      <c r="H575" s="84"/>
      <c r="I575" s="84"/>
    </row>
    <row r="576" ht="15.75" customHeight="1">
      <c r="F576" s="84"/>
      <c r="G576" s="84"/>
      <c r="H576" s="84"/>
      <c r="I576" s="84"/>
    </row>
    <row r="577" ht="15.75" customHeight="1">
      <c r="F577" s="84"/>
      <c r="G577" s="84"/>
      <c r="H577" s="84"/>
      <c r="I577" s="84"/>
    </row>
    <row r="578" ht="15.75" customHeight="1">
      <c r="F578" s="84"/>
      <c r="G578" s="84"/>
      <c r="H578" s="84"/>
      <c r="I578" s="84"/>
    </row>
    <row r="579" ht="15.75" customHeight="1">
      <c r="F579" s="84"/>
      <c r="G579" s="84"/>
      <c r="H579" s="84"/>
      <c r="I579" s="84"/>
    </row>
    <row r="580" ht="15.75" customHeight="1">
      <c r="F580" s="84"/>
      <c r="G580" s="84"/>
      <c r="H580" s="84"/>
      <c r="I580" s="84"/>
    </row>
    <row r="581" ht="15.75" customHeight="1">
      <c r="F581" s="84"/>
      <c r="G581" s="84"/>
      <c r="H581" s="84"/>
      <c r="I581" s="84"/>
    </row>
    <row r="582" ht="15.75" customHeight="1">
      <c r="F582" s="84"/>
      <c r="G582" s="84"/>
      <c r="H582" s="84"/>
      <c r="I582" s="84"/>
    </row>
    <row r="583" ht="15.75" customHeight="1">
      <c r="F583" s="84"/>
      <c r="G583" s="84"/>
      <c r="H583" s="84"/>
      <c r="I583" s="84"/>
    </row>
    <row r="584" ht="15.75" customHeight="1">
      <c r="F584" s="84"/>
      <c r="G584" s="84"/>
      <c r="H584" s="84"/>
      <c r="I584" s="84"/>
    </row>
    <row r="585" ht="15.75" customHeight="1">
      <c r="F585" s="84"/>
      <c r="G585" s="84"/>
      <c r="H585" s="84"/>
      <c r="I585" s="84"/>
    </row>
    <row r="586" ht="15.75" customHeight="1">
      <c r="F586" s="84"/>
      <c r="G586" s="84"/>
      <c r="H586" s="84"/>
      <c r="I586" s="84"/>
    </row>
    <row r="587" ht="15.75" customHeight="1">
      <c r="F587" s="84"/>
      <c r="G587" s="84"/>
      <c r="H587" s="84"/>
      <c r="I587" s="84"/>
    </row>
    <row r="588" ht="15.75" customHeight="1">
      <c r="F588" s="84"/>
      <c r="G588" s="84"/>
      <c r="H588" s="84"/>
      <c r="I588" s="84"/>
    </row>
    <row r="589" ht="15.75" customHeight="1">
      <c r="F589" s="84"/>
      <c r="G589" s="84"/>
      <c r="H589" s="84"/>
      <c r="I589" s="84"/>
    </row>
    <row r="590" ht="15.75" customHeight="1">
      <c r="F590" s="84"/>
      <c r="G590" s="84"/>
      <c r="H590" s="84"/>
      <c r="I590" s="84"/>
    </row>
    <row r="591" ht="15.75" customHeight="1">
      <c r="F591" s="84"/>
      <c r="G591" s="84"/>
      <c r="H591" s="84"/>
      <c r="I591" s="84"/>
    </row>
    <row r="592" ht="15.75" customHeight="1">
      <c r="F592" s="84"/>
      <c r="G592" s="84"/>
      <c r="H592" s="84"/>
      <c r="I592" s="84"/>
    </row>
    <row r="593" ht="15.75" customHeight="1">
      <c r="F593" s="84"/>
      <c r="G593" s="84"/>
      <c r="H593" s="84"/>
      <c r="I593" s="84"/>
    </row>
    <row r="594" ht="15.75" customHeight="1">
      <c r="F594" s="84"/>
      <c r="G594" s="84"/>
      <c r="H594" s="84"/>
      <c r="I594" s="84"/>
    </row>
    <row r="595" ht="15.75" customHeight="1">
      <c r="F595" s="84"/>
      <c r="G595" s="84"/>
      <c r="H595" s="84"/>
      <c r="I595" s="84"/>
    </row>
    <row r="596" ht="15.75" customHeight="1">
      <c r="F596" s="84"/>
      <c r="G596" s="84"/>
      <c r="H596" s="84"/>
      <c r="I596" s="84"/>
    </row>
    <row r="597" ht="15.75" customHeight="1">
      <c r="F597" s="84"/>
      <c r="G597" s="84"/>
      <c r="H597" s="84"/>
      <c r="I597" s="84"/>
    </row>
    <row r="598" ht="15.75" customHeight="1">
      <c r="F598" s="84"/>
      <c r="G598" s="84"/>
      <c r="H598" s="84"/>
      <c r="I598" s="84"/>
    </row>
    <row r="599" ht="15.75" customHeight="1">
      <c r="F599" s="84"/>
      <c r="G599" s="84"/>
      <c r="H599" s="84"/>
      <c r="I599" s="84"/>
    </row>
    <row r="600" ht="15.75" customHeight="1">
      <c r="F600" s="84"/>
      <c r="G600" s="84"/>
      <c r="H600" s="84"/>
      <c r="I600" s="84"/>
    </row>
    <row r="601" ht="15.75" customHeight="1">
      <c r="F601" s="84"/>
      <c r="G601" s="84"/>
      <c r="H601" s="84"/>
      <c r="I601" s="84"/>
    </row>
    <row r="602" ht="15.75" customHeight="1">
      <c r="F602" s="84"/>
      <c r="G602" s="84"/>
      <c r="H602" s="84"/>
      <c r="I602" s="84"/>
    </row>
    <row r="603" ht="15.75" customHeight="1">
      <c r="F603" s="84"/>
      <c r="G603" s="84"/>
      <c r="H603" s="84"/>
      <c r="I603" s="84"/>
    </row>
    <row r="604" ht="15.75" customHeight="1">
      <c r="F604" s="84"/>
      <c r="G604" s="84"/>
      <c r="H604" s="84"/>
      <c r="I604" s="84"/>
    </row>
    <row r="605" ht="15.75" customHeight="1">
      <c r="F605" s="84"/>
      <c r="G605" s="84"/>
      <c r="H605" s="84"/>
      <c r="I605" s="84"/>
    </row>
    <row r="606" ht="15.75" customHeight="1">
      <c r="F606" s="84"/>
      <c r="G606" s="84"/>
      <c r="H606" s="84"/>
      <c r="I606" s="84"/>
    </row>
    <row r="607" ht="15.75" customHeight="1">
      <c r="F607" s="84"/>
      <c r="G607" s="84"/>
      <c r="H607" s="84"/>
      <c r="I607" s="84"/>
    </row>
    <row r="608" ht="15.75" customHeight="1">
      <c r="F608" s="84"/>
      <c r="G608" s="84"/>
      <c r="H608" s="84"/>
      <c r="I608" s="84"/>
    </row>
    <row r="609" ht="15.75" customHeight="1">
      <c r="F609" s="84"/>
      <c r="G609" s="84"/>
      <c r="H609" s="84"/>
      <c r="I609" s="84"/>
    </row>
    <row r="610" ht="15.75" customHeight="1">
      <c r="F610" s="84"/>
      <c r="G610" s="84"/>
      <c r="H610" s="84"/>
      <c r="I610" s="84"/>
    </row>
    <row r="611" ht="15.75" customHeight="1">
      <c r="F611" s="84"/>
      <c r="G611" s="84"/>
      <c r="H611" s="84"/>
      <c r="I611" s="84"/>
    </row>
    <row r="612" ht="15.75" customHeight="1">
      <c r="F612" s="84"/>
      <c r="G612" s="84"/>
      <c r="H612" s="84"/>
      <c r="I612" s="84"/>
    </row>
    <row r="613" ht="15.75" customHeight="1">
      <c r="F613" s="84"/>
      <c r="G613" s="84"/>
      <c r="H613" s="84"/>
      <c r="I613" s="84"/>
    </row>
    <row r="614" ht="15.75" customHeight="1">
      <c r="F614" s="84"/>
      <c r="G614" s="84"/>
      <c r="H614" s="84"/>
      <c r="I614" s="84"/>
    </row>
    <row r="615" ht="15.75" customHeight="1">
      <c r="F615" s="84"/>
      <c r="G615" s="84"/>
      <c r="H615" s="84"/>
      <c r="I615" s="84"/>
    </row>
    <row r="616" ht="15.75" customHeight="1">
      <c r="F616" s="84"/>
      <c r="G616" s="84"/>
      <c r="H616" s="84"/>
      <c r="I616" s="84"/>
    </row>
    <row r="617" ht="15.75" customHeight="1">
      <c r="F617" s="84"/>
      <c r="G617" s="84"/>
      <c r="H617" s="84"/>
      <c r="I617" s="84"/>
    </row>
    <row r="618" ht="15.75" customHeight="1">
      <c r="F618" s="84"/>
      <c r="G618" s="84"/>
      <c r="H618" s="84"/>
      <c r="I618" s="84"/>
    </row>
    <row r="619" ht="15.75" customHeight="1">
      <c r="F619" s="84"/>
      <c r="G619" s="84"/>
      <c r="H619" s="84"/>
      <c r="I619" s="84"/>
    </row>
    <row r="620" ht="15.75" customHeight="1">
      <c r="F620" s="84"/>
      <c r="G620" s="84"/>
      <c r="H620" s="84"/>
      <c r="I620" s="84"/>
    </row>
    <row r="621" ht="15.75" customHeight="1">
      <c r="F621" s="84"/>
      <c r="G621" s="84"/>
      <c r="H621" s="84"/>
      <c r="I621" s="84"/>
    </row>
    <row r="622" ht="15.75" customHeight="1">
      <c r="F622" s="84"/>
      <c r="G622" s="84"/>
      <c r="H622" s="84"/>
      <c r="I622" s="84"/>
    </row>
    <row r="623" ht="15.75" customHeight="1">
      <c r="F623" s="84"/>
      <c r="G623" s="84"/>
      <c r="H623" s="84"/>
      <c r="I623" s="84"/>
    </row>
    <row r="624" ht="15.75" customHeight="1">
      <c r="F624" s="84"/>
      <c r="G624" s="84"/>
      <c r="H624" s="84"/>
      <c r="I624" s="84"/>
    </row>
    <row r="625" ht="15.75" customHeight="1">
      <c r="F625" s="84"/>
      <c r="G625" s="84"/>
      <c r="H625" s="84"/>
      <c r="I625" s="84"/>
    </row>
    <row r="626" ht="15.75" customHeight="1">
      <c r="F626" s="84"/>
      <c r="G626" s="84"/>
      <c r="H626" s="84"/>
      <c r="I626" s="84"/>
    </row>
    <row r="627" ht="15.75" customHeight="1">
      <c r="F627" s="84"/>
      <c r="G627" s="84"/>
      <c r="H627" s="84"/>
      <c r="I627" s="84"/>
    </row>
    <row r="628" ht="15.75" customHeight="1">
      <c r="F628" s="84"/>
      <c r="G628" s="84"/>
      <c r="H628" s="84"/>
      <c r="I628" s="84"/>
    </row>
    <row r="629" ht="15.75" customHeight="1">
      <c r="F629" s="84"/>
      <c r="G629" s="84"/>
      <c r="H629" s="84"/>
      <c r="I629" s="84"/>
    </row>
    <row r="630" ht="15.75" customHeight="1">
      <c r="F630" s="84"/>
      <c r="G630" s="84"/>
      <c r="H630" s="84"/>
      <c r="I630" s="84"/>
    </row>
    <row r="631" ht="15.75" customHeight="1">
      <c r="F631" s="84"/>
      <c r="G631" s="84"/>
      <c r="H631" s="84"/>
      <c r="I631" s="84"/>
    </row>
    <row r="632" ht="15.75" customHeight="1">
      <c r="F632" s="84"/>
      <c r="G632" s="84"/>
      <c r="H632" s="84"/>
      <c r="I632" s="84"/>
    </row>
    <row r="633" ht="15.75" customHeight="1">
      <c r="F633" s="84"/>
      <c r="G633" s="84"/>
      <c r="H633" s="84"/>
      <c r="I633" s="84"/>
    </row>
    <row r="634" ht="15.75" customHeight="1">
      <c r="F634" s="84"/>
      <c r="G634" s="84"/>
      <c r="H634" s="84"/>
      <c r="I634" s="84"/>
    </row>
    <row r="635" ht="15.75" customHeight="1">
      <c r="F635" s="84"/>
      <c r="G635" s="84"/>
      <c r="H635" s="84"/>
      <c r="I635" s="84"/>
    </row>
    <row r="636" ht="15.75" customHeight="1">
      <c r="F636" s="84"/>
      <c r="G636" s="84"/>
      <c r="H636" s="84"/>
      <c r="I636" s="84"/>
    </row>
    <row r="637" ht="15.75" customHeight="1">
      <c r="F637" s="84"/>
      <c r="G637" s="84"/>
      <c r="H637" s="84"/>
      <c r="I637" s="84"/>
    </row>
    <row r="638" ht="15.75" customHeight="1">
      <c r="F638" s="84"/>
      <c r="G638" s="84"/>
      <c r="H638" s="84"/>
      <c r="I638" s="84"/>
    </row>
    <row r="639" ht="15.75" customHeight="1">
      <c r="F639" s="84"/>
      <c r="G639" s="84"/>
      <c r="H639" s="84"/>
      <c r="I639" s="84"/>
    </row>
    <row r="640" ht="15.75" customHeight="1">
      <c r="F640" s="84"/>
      <c r="G640" s="84"/>
      <c r="H640" s="84"/>
      <c r="I640" s="84"/>
    </row>
    <row r="641" ht="15.75" customHeight="1">
      <c r="F641" s="84"/>
      <c r="G641" s="84"/>
      <c r="H641" s="84"/>
      <c r="I641" s="84"/>
    </row>
    <row r="642" ht="15.75" customHeight="1">
      <c r="F642" s="84"/>
      <c r="G642" s="84"/>
      <c r="H642" s="84"/>
      <c r="I642" s="84"/>
    </row>
    <row r="643" ht="15.75" customHeight="1">
      <c r="F643" s="84"/>
      <c r="G643" s="84"/>
      <c r="H643" s="84"/>
      <c r="I643" s="84"/>
    </row>
    <row r="644" ht="15.75" customHeight="1">
      <c r="F644" s="84"/>
      <c r="G644" s="84"/>
      <c r="H644" s="84"/>
      <c r="I644" s="84"/>
    </row>
    <row r="645" ht="15.75" customHeight="1">
      <c r="F645" s="84"/>
      <c r="G645" s="84"/>
      <c r="H645" s="84"/>
      <c r="I645" s="84"/>
    </row>
    <row r="646" ht="15.75" customHeight="1">
      <c r="F646" s="84"/>
      <c r="G646" s="84"/>
      <c r="H646" s="84"/>
      <c r="I646" s="84"/>
    </row>
    <row r="647" ht="15.75" customHeight="1">
      <c r="F647" s="84"/>
      <c r="G647" s="84"/>
      <c r="H647" s="84"/>
      <c r="I647" s="84"/>
    </row>
    <row r="648" ht="15.75" customHeight="1">
      <c r="F648" s="84"/>
      <c r="G648" s="84"/>
      <c r="H648" s="84"/>
      <c r="I648" s="84"/>
    </row>
    <row r="649" ht="15.75" customHeight="1">
      <c r="F649" s="84"/>
      <c r="G649" s="84"/>
      <c r="H649" s="84"/>
      <c r="I649" s="84"/>
    </row>
    <row r="650" ht="15.75" customHeight="1">
      <c r="F650" s="84"/>
      <c r="G650" s="84"/>
      <c r="H650" s="84"/>
      <c r="I650" s="84"/>
    </row>
    <row r="651" ht="15.75" customHeight="1">
      <c r="F651" s="84"/>
      <c r="G651" s="84"/>
      <c r="H651" s="84"/>
      <c r="I651" s="84"/>
    </row>
    <row r="652" ht="15.75" customHeight="1">
      <c r="F652" s="84"/>
      <c r="G652" s="84"/>
      <c r="H652" s="84"/>
      <c r="I652" s="84"/>
    </row>
    <row r="653" ht="15.75" customHeight="1">
      <c r="F653" s="84"/>
      <c r="G653" s="84"/>
      <c r="H653" s="84"/>
      <c r="I653" s="84"/>
    </row>
    <row r="654" ht="15.75" customHeight="1">
      <c r="F654" s="84"/>
      <c r="G654" s="84"/>
      <c r="H654" s="84"/>
      <c r="I654" s="84"/>
    </row>
    <row r="655" ht="15.75" customHeight="1">
      <c r="F655" s="84"/>
      <c r="G655" s="84"/>
      <c r="H655" s="84"/>
      <c r="I655" s="84"/>
    </row>
    <row r="656" ht="15.75" customHeight="1">
      <c r="F656" s="84"/>
      <c r="G656" s="84"/>
      <c r="H656" s="84"/>
      <c r="I656" s="84"/>
    </row>
    <row r="657" ht="15.75" customHeight="1">
      <c r="F657" s="84"/>
      <c r="G657" s="84"/>
      <c r="H657" s="84"/>
      <c r="I657" s="84"/>
    </row>
    <row r="658" ht="15.75" customHeight="1">
      <c r="F658" s="84"/>
      <c r="G658" s="84"/>
      <c r="H658" s="84"/>
      <c r="I658" s="84"/>
    </row>
    <row r="659" ht="15.75" customHeight="1">
      <c r="F659" s="84"/>
      <c r="G659" s="84"/>
      <c r="H659" s="84"/>
      <c r="I659" s="84"/>
    </row>
    <row r="660" ht="15.75" customHeight="1">
      <c r="F660" s="84"/>
      <c r="G660" s="84"/>
      <c r="H660" s="84"/>
      <c r="I660" s="84"/>
    </row>
    <row r="661" ht="15.75" customHeight="1">
      <c r="F661" s="84"/>
      <c r="G661" s="84"/>
      <c r="H661" s="84"/>
      <c r="I661" s="84"/>
    </row>
    <row r="662" ht="15.75" customHeight="1">
      <c r="F662" s="84"/>
      <c r="G662" s="84"/>
      <c r="H662" s="84"/>
      <c r="I662" s="84"/>
    </row>
    <row r="663" ht="15.75" customHeight="1">
      <c r="F663" s="84"/>
      <c r="G663" s="84"/>
      <c r="H663" s="84"/>
      <c r="I663" s="84"/>
    </row>
    <row r="664" ht="15.75" customHeight="1">
      <c r="F664" s="84"/>
      <c r="G664" s="84"/>
      <c r="H664" s="84"/>
      <c r="I664" s="84"/>
    </row>
    <row r="665" ht="15.75" customHeight="1">
      <c r="F665" s="84"/>
      <c r="G665" s="84"/>
      <c r="H665" s="84"/>
      <c r="I665" s="84"/>
    </row>
    <row r="666" ht="15.75" customHeight="1">
      <c r="F666" s="84"/>
      <c r="G666" s="84"/>
      <c r="H666" s="84"/>
      <c r="I666" s="84"/>
    </row>
    <row r="667" ht="15.75" customHeight="1">
      <c r="F667" s="84"/>
      <c r="G667" s="84"/>
      <c r="H667" s="84"/>
      <c r="I667" s="84"/>
    </row>
    <row r="668" ht="15.75" customHeight="1">
      <c r="F668" s="84"/>
      <c r="G668" s="84"/>
      <c r="H668" s="84"/>
      <c r="I668" s="84"/>
    </row>
    <row r="669" ht="15.75" customHeight="1">
      <c r="F669" s="84"/>
      <c r="G669" s="84"/>
      <c r="H669" s="84"/>
      <c r="I669" s="84"/>
    </row>
    <row r="670" ht="15.75" customHeight="1">
      <c r="F670" s="84"/>
      <c r="G670" s="84"/>
      <c r="H670" s="84"/>
      <c r="I670" s="84"/>
    </row>
    <row r="671" ht="15.75" customHeight="1">
      <c r="F671" s="84"/>
      <c r="G671" s="84"/>
      <c r="H671" s="84"/>
      <c r="I671" s="84"/>
    </row>
    <row r="672" ht="15.75" customHeight="1">
      <c r="F672" s="84"/>
      <c r="G672" s="84"/>
      <c r="H672" s="84"/>
      <c r="I672" s="84"/>
    </row>
    <row r="673" ht="15.75" customHeight="1">
      <c r="F673" s="84"/>
      <c r="G673" s="84"/>
      <c r="H673" s="84"/>
      <c r="I673" s="84"/>
    </row>
    <row r="674" ht="15.75" customHeight="1">
      <c r="F674" s="84"/>
      <c r="G674" s="84"/>
      <c r="H674" s="84"/>
      <c r="I674" s="84"/>
    </row>
    <row r="675" ht="15.75" customHeight="1">
      <c r="F675" s="84"/>
      <c r="G675" s="84"/>
      <c r="H675" s="84"/>
      <c r="I675" s="84"/>
    </row>
    <row r="676" ht="15.75" customHeight="1">
      <c r="F676" s="84"/>
      <c r="G676" s="84"/>
      <c r="H676" s="84"/>
      <c r="I676" s="84"/>
    </row>
    <row r="677" ht="15.75" customHeight="1">
      <c r="F677" s="84"/>
      <c r="G677" s="84"/>
      <c r="H677" s="84"/>
      <c r="I677" s="84"/>
    </row>
    <row r="678" ht="15.75" customHeight="1">
      <c r="F678" s="84"/>
      <c r="G678" s="84"/>
      <c r="H678" s="84"/>
      <c r="I678" s="84"/>
    </row>
    <row r="679" ht="15.75" customHeight="1">
      <c r="F679" s="84"/>
      <c r="G679" s="84"/>
      <c r="H679" s="84"/>
      <c r="I679" s="84"/>
    </row>
    <row r="680" ht="15.75" customHeight="1">
      <c r="F680" s="84"/>
      <c r="G680" s="84"/>
      <c r="H680" s="84"/>
      <c r="I680" s="84"/>
    </row>
    <row r="681" ht="15.75" customHeight="1">
      <c r="F681" s="84"/>
      <c r="G681" s="84"/>
      <c r="H681" s="84"/>
      <c r="I681" s="84"/>
    </row>
    <row r="682" ht="15.75" customHeight="1">
      <c r="F682" s="84"/>
      <c r="G682" s="84"/>
      <c r="H682" s="84"/>
      <c r="I682" s="84"/>
    </row>
    <row r="683" ht="15.75" customHeight="1">
      <c r="F683" s="84"/>
      <c r="G683" s="84"/>
      <c r="H683" s="84"/>
      <c r="I683" s="84"/>
    </row>
    <row r="684" ht="15.75" customHeight="1">
      <c r="F684" s="84"/>
      <c r="G684" s="84"/>
      <c r="H684" s="84"/>
      <c r="I684" s="84"/>
    </row>
    <row r="685" ht="15.75" customHeight="1">
      <c r="F685" s="84"/>
      <c r="G685" s="84"/>
      <c r="H685" s="84"/>
      <c r="I685" s="84"/>
    </row>
    <row r="686" ht="15.75" customHeight="1">
      <c r="F686" s="84"/>
      <c r="G686" s="84"/>
      <c r="H686" s="84"/>
      <c r="I686" s="84"/>
    </row>
    <row r="687" ht="15.75" customHeight="1">
      <c r="F687" s="84"/>
      <c r="G687" s="84"/>
      <c r="H687" s="84"/>
      <c r="I687" s="84"/>
    </row>
    <row r="688" ht="15.75" customHeight="1">
      <c r="F688" s="84"/>
      <c r="G688" s="84"/>
      <c r="H688" s="84"/>
      <c r="I688" s="84"/>
    </row>
    <row r="689" ht="15.75" customHeight="1">
      <c r="F689" s="84"/>
      <c r="G689" s="84"/>
      <c r="H689" s="84"/>
      <c r="I689" s="84"/>
    </row>
    <row r="690" ht="15.75" customHeight="1">
      <c r="F690" s="84"/>
      <c r="G690" s="84"/>
      <c r="H690" s="84"/>
      <c r="I690" s="84"/>
    </row>
    <row r="691" ht="15.75" customHeight="1">
      <c r="F691" s="84"/>
      <c r="G691" s="84"/>
      <c r="H691" s="84"/>
      <c r="I691" s="84"/>
    </row>
    <row r="692" ht="15.75" customHeight="1">
      <c r="F692" s="84"/>
      <c r="G692" s="84"/>
      <c r="H692" s="84"/>
      <c r="I692" s="84"/>
    </row>
    <row r="693" ht="15.75" customHeight="1">
      <c r="F693" s="84"/>
      <c r="G693" s="84"/>
      <c r="H693" s="84"/>
      <c r="I693" s="84"/>
    </row>
    <row r="694" ht="15.75" customHeight="1">
      <c r="F694" s="84"/>
      <c r="G694" s="84"/>
      <c r="H694" s="84"/>
      <c r="I694" s="84"/>
    </row>
    <row r="695" ht="15.75" customHeight="1">
      <c r="F695" s="84"/>
      <c r="G695" s="84"/>
      <c r="H695" s="84"/>
      <c r="I695" s="84"/>
    </row>
    <row r="696" ht="15.75" customHeight="1">
      <c r="F696" s="84"/>
      <c r="G696" s="84"/>
      <c r="H696" s="84"/>
      <c r="I696" s="84"/>
    </row>
    <row r="697" ht="15.75" customHeight="1">
      <c r="F697" s="84"/>
      <c r="G697" s="84"/>
      <c r="H697" s="84"/>
      <c r="I697" s="84"/>
    </row>
    <row r="698" ht="15.75" customHeight="1">
      <c r="F698" s="84"/>
      <c r="G698" s="84"/>
      <c r="H698" s="84"/>
      <c r="I698" s="84"/>
    </row>
    <row r="699" ht="15.75" customHeight="1">
      <c r="F699" s="84"/>
      <c r="G699" s="84"/>
      <c r="H699" s="84"/>
      <c r="I699" s="84"/>
    </row>
    <row r="700" ht="15.75" customHeight="1">
      <c r="F700" s="84"/>
      <c r="G700" s="84"/>
      <c r="H700" s="84"/>
      <c r="I700" s="84"/>
    </row>
    <row r="701" ht="15.75" customHeight="1">
      <c r="F701" s="84"/>
      <c r="G701" s="84"/>
      <c r="H701" s="84"/>
      <c r="I701" s="84"/>
    </row>
    <row r="702" ht="15.75" customHeight="1">
      <c r="F702" s="84"/>
      <c r="G702" s="84"/>
      <c r="H702" s="84"/>
      <c r="I702" s="84"/>
    </row>
    <row r="703" ht="15.75" customHeight="1">
      <c r="F703" s="84"/>
      <c r="G703" s="84"/>
      <c r="H703" s="84"/>
      <c r="I703" s="84"/>
    </row>
    <row r="704" ht="15.75" customHeight="1">
      <c r="F704" s="84"/>
      <c r="G704" s="84"/>
      <c r="H704" s="84"/>
      <c r="I704" s="84"/>
    </row>
    <row r="705" ht="15.75" customHeight="1">
      <c r="F705" s="84"/>
      <c r="G705" s="84"/>
      <c r="H705" s="84"/>
      <c r="I705" s="84"/>
    </row>
    <row r="706" ht="15.75" customHeight="1">
      <c r="F706" s="84"/>
      <c r="G706" s="84"/>
      <c r="H706" s="84"/>
      <c r="I706" s="84"/>
    </row>
    <row r="707" ht="15.75" customHeight="1">
      <c r="F707" s="84"/>
      <c r="G707" s="84"/>
      <c r="H707" s="84"/>
      <c r="I707" s="84"/>
    </row>
    <row r="708" ht="15.75" customHeight="1">
      <c r="F708" s="84"/>
      <c r="G708" s="84"/>
      <c r="H708" s="84"/>
      <c r="I708" s="84"/>
    </row>
    <row r="709" ht="15.75" customHeight="1">
      <c r="F709" s="84"/>
      <c r="G709" s="84"/>
      <c r="H709" s="84"/>
      <c r="I709" s="84"/>
    </row>
    <row r="710" ht="15.75" customHeight="1">
      <c r="F710" s="84"/>
      <c r="G710" s="84"/>
      <c r="H710" s="84"/>
      <c r="I710" s="84"/>
    </row>
    <row r="711" ht="15.75" customHeight="1">
      <c r="F711" s="84"/>
      <c r="G711" s="84"/>
      <c r="H711" s="84"/>
      <c r="I711" s="84"/>
    </row>
    <row r="712" ht="15.75" customHeight="1">
      <c r="F712" s="84"/>
      <c r="G712" s="84"/>
      <c r="H712" s="84"/>
      <c r="I712" s="84"/>
    </row>
    <row r="713" ht="15.75" customHeight="1">
      <c r="F713" s="84"/>
      <c r="G713" s="84"/>
      <c r="H713" s="84"/>
      <c r="I713" s="84"/>
    </row>
    <row r="714" ht="15.75" customHeight="1">
      <c r="F714" s="84"/>
      <c r="G714" s="84"/>
      <c r="H714" s="84"/>
      <c r="I714" s="84"/>
    </row>
    <row r="715" ht="15.75" customHeight="1">
      <c r="F715" s="84"/>
      <c r="G715" s="84"/>
      <c r="H715" s="84"/>
      <c r="I715" s="84"/>
    </row>
    <row r="716" ht="15.75" customHeight="1">
      <c r="F716" s="84"/>
      <c r="G716" s="84"/>
      <c r="H716" s="84"/>
      <c r="I716" s="84"/>
    </row>
    <row r="717" ht="15.75" customHeight="1">
      <c r="F717" s="84"/>
      <c r="G717" s="84"/>
      <c r="H717" s="84"/>
      <c r="I717" s="84"/>
    </row>
    <row r="718" ht="15.75" customHeight="1">
      <c r="F718" s="84"/>
      <c r="G718" s="84"/>
      <c r="H718" s="84"/>
      <c r="I718" s="84"/>
    </row>
    <row r="719" ht="15.75" customHeight="1">
      <c r="F719" s="84"/>
      <c r="G719" s="84"/>
      <c r="H719" s="84"/>
      <c r="I719" s="84"/>
    </row>
    <row r="720" ht="15.75" customHeight="1">
      <c r="F720" s="84"/>
      <c r="G720" s="84"/>
      <c r="H720" s="84"/>
      <c r="I720" s="84"/>
    </row>
    <row r="721" ht="15.75" customHeight="1">
      <c r="F721" s="84"/>
      <c r="G721" s="84"/>
      <c r="H721" s="84"/>
      <c r="I721" s="84"/>
    </row>
    <row r="722" ht="15.75" customHeight="1">
      <c r="F722" s="84"/>
      <c r="G722" s="84"/>
      <c r="H722" s="84"/>
      <c r="I722" s="84"/>
    </row>
    <row r="723" ht="15.75" customHeight="1">
      <c r="F723" s="84"/>
      <c r="G723" s="84"/>
      <c r="H723" s="84"/>
      <c r="I723" s="84"/>
    </row>
    <row r="724" ht="15.75" customHeight="1">
      <c r="F724" s="84"/>
      <c r="G724" s="84"/>
      <c r="H724" s="84"/>
      <c r="I724" s="84"/>
    </row>
    <row r="725" ht="15.75" customHeight="1">
      <c r="F725" s="84"/>
      <c r="G725" s="84"/>
      <c r="H725" s="84"/>
      <c r="I725" s="84"/>
    </row>
    <row r="726" ht="15.75" customHeight="1">
      <c r="F726" s="84"/>
      <c r="G726" s="84"/>
      <c r="H726" s="84"/>
      <c r="I726" s="84"/>
    </row>
    <row r="727" ht="15.75" customHeight="1">
      <c r="F727" s="84"/>
      <c r="G727" s="84"/>
      <c r="H727" s="84"/>
      <c r="I727" s="84"/>
    </row>
    <row r="728" ht="15.75" customHeight="1">
      <c r="F728" s="84"/>
      <c r="G728" s="84"/>
      <c r="H728" s="84"/>
      <c r="I728" s="84"/>
    </row>
    <row r="729" ht="15.75" customHeight="1">
      <c r="F729" s="84"/>
      <c r="G729" s="84"/>
      <c r="H729" s="84"/>
      <c r="I729" s="84"/>
    </row>
    <row r="730" ht="15.75" customHeight="1">
      <c r="F730" s="84"/>
      <c r="G730" s="84"/>
      <c r="H730" s="84"/>
      <c r="I730" s="84"/>
    </row>
    <row r="731" ht="15.75" customHeight="1">
      <c r="F731" s="84"/>
      <c r="G731" s="84"/>
      <c r="H731" s="84"/>
      <c r="I731" s="84"/>
    </row>
    <row r="732" ht="15.75" customHeight="1">
      <c r="F732" s="84"/>
      <c r="G732" s="84"/>
      <c r="H732" s="84"/>
      <c r="I732" s="84"/>
    </row>
    <row r="733" ht="15.75" customHeight="1">
      <c r="F733" s="84"/>
      <c r="G733" s="84"/>
      <c r="H733" s="84"/>
      <c r="I733" s="84"/>
    </row>
    <row r="734" ht="15.75" customHeight="1">
      <c r="F734" s="84"/>
      <c r="G734" s="84"/>
      <c r="H734" s="84"/>
      <c r="I734" s="84"/>
    </row>
    <row r="735" ht="15.75" customHeight="1">
      <c r="F735" s="84"/>
      <c r="G735" s="84"/>
      <c r="H735" s="84"/>
      <c r="I735" s="84"/>
    </row>
    <row r="736" ht="15.75" customHeight="1">
      <c r="F736" s="84"/>
      <c r="G736" s="84"/>
      <c r="H736" s="84"/>
      <c r="I736" s="84"/>
    </row>
    <row r="737" ht="15.75" customHeight="1">
      <c r="F737" s="84"/>
      <c r="G737" s="84"/>
      <c r="H737" s="84"/>
      <c r="I737" s="84"/>
    </row>
    <row r="738" ht="15.75" customHeight="1">
      <c r="F738" s="84"/>
      <c r="G738" s="84"/>
      <c r="H738" s="84"/>
      <c r="I738" s="84"/>
    </row>
    <row r="739" ht="15.75" customHeight="1">
      <c r="F739" s="84"/>
      <c r="G739" s="84"/>
      <c r="H739" s="84"/>
      <c r="I739" s="84"/>
    </row>
    <row r="740" ht="15.75" customHeight="1">
      <c r="F740" s="84"/>
      <c r="G740" s="84"/>
      <c r="H740" s="84"/>
      <c r="I740" s="84"/>
    </row>
    <row r="741" ht="15.75" customHeight="1">
      <c r="F741" s="84"/>
      <c r="G741" s="84"/>
      <c r="H741" s="84"/>
      <c r="I741" s="84"/>
    </row>
    <row r="742" ht="15.75" customHeight="1">
      <c r="F742" s="84"/>
      <c r="G742" s="84"/>
      <c r="H742" s="84"/>
      <c r="I742" s="84"/>
    </row>
    <row r="743" ht="15.75" customHeight="1">
      <c r="F743" s="84"/>
      <c r="G743" s="84"/>
      <c r="H743" s="84"/>
      <c r="I743" s="84"/>
    </row>
    <row r="744" ht="15.75" customHeight="1">
      <c r="F744" s="84"/>
      <c r="G744" s="84"/>
      <c r="H744" s="84"/>
      <c r="I744" s="84"/>
    </row>
    <row r="745" ht="15.75" customHeight="1">
      <c r="F745" s="84"/>
      <c r="G745" s="84"/>
      <c r="H745" s="84"/>
      <c r="I745" s="84"/>
    </row>
    <row r="746" ht="15.75" customHeight="1">
      <c r="F746" s="84"/>
      <c r="G746" s="84"/>
      <c r="H746" s="84"/>
      <c r="I746" s="84"/>
    </row>
    <row r="747" ht="15.75" customHeight="1">
      <c r="F747" s="84"/>
      <c r="G747" s="84"/>
      <c r="H747" s="84"/>
      <c r="I747" s="84"/>
    </row>
    <row r="748" ht="15.75" customHeight="1">
      <c r="F748" s="84"/>
      <c r="G748" s="84"/>
      <c r="H748" s="84"/>
      <c r="I748" s="84"/>
    </row>
    <row r="749" ht="15.75" customHeight="1">
      <c r="F749" s="84"/>
      <c r="G749" s="84"/>
      <c r="H749" s="84"/>
      <c r="I749" s="84"/>
    </row>
    <row r="750" ht="15.75" customHeight="1">
      <c r="F750" s="84"/>
      <c r="G750" s="84"/>
      <c r="H750" s="84"/>
      <c r="I750" s="84"/>
    </row>
    <row r="751" ht="15.75" customHeight="1">
      <c r="F751" s="84"/>
      <c r="G751" s="84"/>
      <c r="H751" s="84"/>
      <c r="I751" s="84"/>
    </row>
    <row r="752" ht="15.75" customHeight="1">
      <c r="F752" s="84"/>
      <c r="G752" s="84"/>
      <c r="H752" s="84"/>
      <c r="I752" s="84"/>
    </row>
    <row r="753" ht="15.75" customHeight="1">
      <c r="F753" s="84"/>
      <c r="G753" s="84"/>
      <c r="H753" s="84"/>
      <c r="I753" s="84"/>
    </row>
    <row r="754" ht="15.75" customHeight="1">
      <c r="F754" s="84"/>
      <c r="G754" s="84"/>
      <c r="H754" s="84"/>
      <c r="I754" s="84"/>
    </row>
    <row r="755" ht="15.75" customHeight="1">
      <c r="F755" s="84"/>
      <c r="G755" s="84"/>
      <c r="H755" s="84"/>
      <c r="I755" s="84"/>
    </row>
    <row r="756" ht="15.75" customHeight="1">
      <c r="F756" s="84"/>
      <c r="G756" s="84"/>
      <c r="H756" s="84"/>
      <c r="I756" s="84"/>
    </row>
    <row r="757" ht="15.75" customHeight="1">
      <c r="F757" s="84"/>
      <c r="G757" s="84"/>
      <c r="H757" s="84"/>
      <c r="I757" s="84"/>
    </row>
    <row r="758" ht="15.75" customHeight="1">
      <c r="F758" s="84"/>
      <c r="G758" s="84"/>
      <c r="H758" s="84"/>
      <c r="I758" s="84"/>
    </row>
    <row r="759" ht="15.75" customHeight="1">
      <c r="F759" s="84"/>
      <c r="G759" s="84"/>
      <c r="H759" s="84"/>
      <c r="I759" s="84"/>
    </row>
    <row r="760" ht="15.75" customHeight="1">
      <c r="F760" s="84"/>
      <c r="G760" s="84"/>
      <c r="H760" s="84"/>
      <c r="I760" s="84"/>
    </row>
    <row r="761" ht="15.75" customHeight="1">
      <c r="F761" s="84"/>
      <c r="G761" s="84"/>
      <c r="H761" s="84"/>
      <c r="I761" s="84"/>
    </row>
    <row r="762" ht="15.75" customHeight="1">
      <c r="F762" s="84"/>
      <c r="G762" s="84"/>
      <c r="H762" s="84"/>
      <c r="I762" s="84"/>
    </row>
    <row r="763" ht="15.75" customHeight="1">
      <c r="F763" s="84"/>
      <c r="G763" s="84"/>
      <c r="H763" s="84"/>
      <c r="I763" s="84"/>
    </row>
    <row r="764" ht="15.75" customHeight="1">
      <c r="F764" s="84"/>
      <c r="G764" s="84"/>
      <c r="H764" s="84"/>
      <c r="I764" s="84"/>
    </row>
    <row r="765" ht="15.75" customHeight="1">
      <c r="F765" s="84"/>
      <c r="G765" s="84"/>
      <c r="H765" s="84"/>
      <c r="I765" s="84"/>
    </row>
    <row r="766" ht="15.75" customHeight="1">
      <c r="F766" s="84"/>
      <c r="G766" s="84"/>
      <c r="H766" s="84"/>
      <c r="I766" s="84"/>
    </row>
    <row r="767" ht="15.75" customHeight="1">
      <c r="F767" s="84"/>
      <c r="G767" s="84"/>
      <c r="H767" s="84"/>
      <c r="I767" s="84"/>
    </row>
    <row r="768" ht="15.75" customHeight="1">
      <c r="F768" s="84"/>
      <c r="G768" s="84"/>
      <c r="H768" s="84"/>
      <c r="I768" s="84"/>
    </row>
    <row r="769" ht="15.75" customHeight="1">
      <c r="F769" s="84"/>
      <c r="G769" s="84"/>
      <c r="H769" s="84"/>
      <c r="I769" s="84"/>
    </row>
    <row r="770" ht="15.75" customHeight="1">
      <c r="F770" s="84"/>
      <c r="G770" s="84"/>
      <c r="H770" s="84"/>
      <c r="I770" s="84"/>
    </row>
    <row r="771" ht="15.75" customHeight="1">
      <c r="F771" s="84"/>
      <c r="G771" s="84"/>
      <c r="H771" s="84"/>
      <c r="I771" s="84"/>
    </row>
    <row r="772" ht="15.75" customHeight="1">
      <c r="F772" s="84"/>
      <c r="G772" s="84"/>
      <c r="H772" s="84"/>
      <c r="I772" s="84"/>
    </row>
    <row r="773" ht="15.75" customHeight="1">
      <c r="F773" s="84"/>
      <c r="G773" s="84"/>
      <c r="H773" s="84"/>
      <c r="I773" s="84"/>
    </row>
    <row r="774" ht="15.75" customHeight="1">
      <c r="F774" s="84"/>
      <c r="G774" s="84"/>
      <c r="H774" s="84"/>
      <c r="I774" s="84"/>
    </row>
    <row r="775" ht="15.75" customHeight="1">
      <c r="F775" s="84"/>
      <c r="G775" s="84"/>
      <c r="H775" s="84"/>
      <c r="I775" s="84"/>
    </row>
    <row r="776" ht="15.75" customHeight="1">
      <c r="F776" s="84"/>
      <c r="G776" s="84"/>
      <c r="H776" s="84"/>
      <c r="I776" s="84"/>
    </row>
    <row r="777" ht="15.75" customHeight="1">
      <c r="F777" s="84"/>
      <c r="G777" s="84"/>
      <c r="H777" s="84"/>
      <c r="I777" s="84"/>
    </row>
    <row r="778" ht="15.75" customHeight="1">
      <c r="F778" s="84"/>
      <c r="G778" s="84"/>
      <c r="H778" s="84"/>
      <c r="I778" s="84"/>
    </row>
    <row r="779" ht="15.75" customHeight="1">
      <c r="F779" s="84"/>
      <c r="G779" s="84"/>
      <c r="H779" s="84"/>
      <c r="I779" s="84"/>
    </row>
    <row r="780" ht="15.75" customHeight="1">
      <c r="F780" s="84"/>
      <c r="G780" s="84"/>
      <c r="H780" s="84"/>
      <c r="I780" s="84"/>
    </row>
    <row r="781" ht="15.75" customHeight="1">
      <c r="F781" s="84"/>
      <c r="G781" s="84"/>
      <c r="H781" s="84"/>
      <c r="I781" s="84"/>
    </row>
    <row r="782" ht="15.75" customHeight="1">
      <c r="F782" s="84"/>
      <c r="G782" s="84"/>
      <c r="H782" s="84"/>
      <c r="I782" s="84"/>
    </row>
    <row r="783" ht="15.75" customHeight="1">
      <c r="F783" s="84"/>
      <c r="G783" s="84"/>
      <c r="H783" s="84"/>
      <c r="I783" s="84"/>
    </row>
    <row r="784" ht="15.75" customHeight="1">
      <c r="F784" s="84"/>
      <c r="G784" s="84"/>
      <c r="H784" s="84"/>
      <c r="I784" s="84"/>
    </row>
    <row r="785" ht="15.75" customHeight="1">
      <c r="F785" s="84"/>
      <c r="G785" s="84"/>
      <c r="H785" s="84"/>
      <c r="I785" s="84"/>
    </row>
    <row r="786" ht="15.75" customHeight="1">
      <c r="F786" s="84"/>
      <c r="G786" s="84"/>
      <c r="H786" s="84"/>
      <c r="I786" s="84"/>
    </row>
    <row r="787" ht="15.75" customHeight="1">
      <c r="F787" s="84"/>
      <c r="G787" s="84"/>
      <c r="H787" s="84"/>
      <c r="I787" s="84"/>
    </row>
    <row r="788" ht="15.75" customHeight="1">
      <c r="F788" s="84"/>
      <c r="G788" s="84"/>
      <c r="H788" s="84"/>
      <c r="I788" s="84"/>
    </row>
    <row r="789" ht="15.75" customHeight="1">
      <c r="F789" s="84"/>
      <c r="G789" s="84"/>
      <c r="H789" s="84"/>
      <c r="I789" s="84"/>
    </row>
    <row r="790" ht="15.75" customHeight="1">
      <c r="F790" s="84"/>
      <c r="G790" s="84"/>
      <c r="H790" s="84"/>
      <c r="I790" s="84"/>
    </row>
    <row r="791" ht="15.75" customHeight="1">
      <c r="F791" s="84"/>
      <c r="G791" s="84"/>
      <c r="H791" s="84"/>
      <c r="I791" s="84"/>
    </row>
    <row r="792" ht="15.75" customHeight="1">
      <c r="F792" s="84"/>
      <c r="G792" s="84"/>
      <c r="H792" s="84"/>
      <c r="I792" s="84"/>
    </row>
    <row r="793" ht="15.75" customHeight="1">
      <c r="F793" s="84"/>
      <c r="G793" s="84"/>
      <c r="H793" s="84"/>
      <c r="I793" s="84"/>
    </row>
    <row r="794" ht="15.75" customHeight="1">
      <c r="F794" s="84"/>
      <c r="G794" s="84"/>
      <c r="H794" s="84"/>
      <c r="I794" s="84"/>
    </row>
    <row r="795" ht="15.75" customHeight="1">
      <c r="F795" s="84"/>
      <c r="G795" s="84"/>
      <c r="H795" s="84"/>
      <c r="I795" s="84"/>
    </row>
    <row r="796" ht="15.75" customHeight="1">
      <c r="F796" s="84"/>
      <c r="G796" s="84"/>
      <c r="H796" s="84"/>
      <c r="I796" s="84"/>
    </row>
    <row r="797" ht="15.75" customHeight="1">
      <c r="F797" s="84"/>
      <c r="G797" s="84"/>
      <c r="H797" s="84"/>
      <c r="I797" s="84"/>
    </row>
    <row r="798" ht="15.75" customHeight="1">
      <c r="F798" s="84"/>
      <c r="G798" s="84"/>
      <c r="H798" s="84"/>
      <c r="I798" s="84"/>
    </row>
    <row r="799" ht="15.75" customHeight="1">
      <c r="F799" s="84"/>
      <c r="G799" s="84"/>
      <c r="H799" s="84"/>
      <c r="I799" s="84"/>
    </row>
    <row r="800" ht="15.75" customHeight="1">
      <c r="F800" s="84"/>
      <c r="G800" s="84"/>
      <c r="H800" s="84"/>
      <c r="I800" s="84"/>
    </row>
    <row r="801" ht="15.75" customHeight="1">
      <c r="F801" s="84"/>
      <c r="G801" s="84"/>
      <c r="H801" s="84"/>
      <c r="I801" s="84"/>
    </row>
    <row r="802" ht="15.75" customHeight="1">
      <c r="F802" s="84"/>
      <c r="G802" s="84"/>
      <c r="H802" s="84"/>
      <c r="I802" s="84"/>
    </row>
    <row r="803" ht="15.75" customHeight="1">
      <c r="F803" s="84"/>
      <c r="G803" s="84"/>
      <c r="H803" s="84"/>
      <c r="I803" s="84"/>
    </row>
    <row r="804" ht="15.75" customHeight="1">
      <c r="F804" s="84"/>
      <c r="G804" s="84"/>
      <c r="H804" s="84"/>
      <c r="I804" s="84"/>
    </row>
    <row r="805" ht="15.75" customHeight="1">
      <c r="F805" s="84"/>
      <c r="G805" s="84"/>
      <c r="H805" s="84"/>
      <c r="I805" s="84"/>
    </row>
    <row r="806" ht="15.75" customHeight="1">
      <c r="F806" s="84"/>
      <c r="G806" s="84"/>
      <c r="H806" s="84"/>
      <c r="I806" s="84"/>
    </row>
    <row r="807" ht="15.75" customHeight="1">
      <c r="F807" s="84"/>
      <c r="G807" s="84"/>
      <c r="H807" s="84"/>
      <c r="I807" s="84"/>
    </row>
    <row r="808" ht="15.75" customHeight="1">
      <c r="F808" s="84"/>
      <c r="G808" s="84"/>
      <c r="H808" s="84"/>
      <c r="I808" s="84"/>
    </row>
    <row r="809" ht="15.75" customHeight="1">
      <c r="F809" s="84"/>
      <c r="G809" s="84"/>
      <c r="H809" s="84"/>
      <c r="I809" s="84"/>
    </row>
    <row r="810" ht="15.75" customHeight="1">
      <c r="F810" s="84"/>
      <c r="G810" s="84"/>
      <c r="H810" s="84"/>
      <c r="I810" s="84"/>
    </row>
    <row r="811" ht="15.75" customHeight="1">
      <c r="F811" s="84"/>
      <c r="G811" s="84"/>
      <c r="H811" s="84"/>
      <c r="I811" s="84"/>
    </row>
    <row r="812" ht="15.75" customHeight="1">
      <c r="F812" s="84"/>
      <c r="G812" s="84"/>
      <c r="H812" s="84"/>
      <c r="I812" s="84"/>
    </row>
    <row r="813" ht="15.75" customHeight="1">
      <c r="F813" s="84"/>
      <c r="G813" s="84"/>
      <c r="H813" s="84"/>
      <c r="I813" s="84"/>
    </row>
    <row r="814" ht="15.75" customHeight="1">
      <c r="F814" s="84"/>
      <c r="G814" s="84"/>
      <c r="H814" s="84"/>
      <c r="I814" s="84"/>
    </row>
    <row r="815" ht="15.75" customHeight="1">
      <c r="F815" s="84"/>
      <c r="G815" s="84"/>
      <c r="H815" s="84"/>
      <c r="I815" s="84"/>
    </row>
    <row r="816" ht="15.75" customHeight="1">
      <c r="F816" s="84"/>
      <c r="G816" s="84"/>
      <c r="H816" s="84"/>
      <c r="I816" s="84"/>
    </row>
    <row r="817" ht="15.75" customHeight="1">
      <c r="F817" s="84"/>
      <c r="G817" s="84"/>
      <c r="H817" s="84"/>
      <c r="I817" s="84"/>
    </row>
    <row r="818" ht="15.75" customHeight="1">
      <c r="F818" s="84"/>
      <c r="G818" s="84"/>
      <c r="H818" s="84"/>
      <c r="I818" s="84"/>
    </row>
    <row r="819" ht="15.75" customHeight="1">
      <c r="F819" s="84"/>
      <c r="G819" s="84"/>
      <c r="H819" s="84"/>
      <c r="I819" s="84"/>
    </row>
    <row r="820" ht="15.75" customHeight="1">
      <c r="F820" s="84"/>
      <c r="G820" s="84"/>
      <c r="H820" s="84"/>
      <c r="I820" s="84"/>
    </row>
    <row r="821" ht="15.75" customHeight="1">
      <c r="F821" s="84"/>
      <c r="G821" s="84"/>
      <c r="H821" s="84"/>
      <c r="I821" s="84"/>
    </row>
    <row r="822" ht="15.75" customHeight="1">
      <c r="F822" s="84"/>
      <c r="G822" s="84"/>
      <c r="H822" s="84"/>
      <c r="I822" s="84"/>
    </row>
    <row r="823" ht="15.75" customHeight="1">
      <c r="F823" s="84"/>
      <c r="G823" s="84"/>
      <c r="H823" s="84"/>
      <c r="I823" s="84"/>
    </row>
    <row r="824" ht="15.75" customHeight="1">
      <c r="F824" s="84"/>
      <c r="G824" s="84"/>
      <c r="H824" s="84"/>
      <c r="I824" s="84"/>
    </row>
    <row r="825" ht="15.75" customHeight="1">
      <c r="F825" s="84"/>
      <c r="G825" s="84"/>
      <c r="H825" s="84"/>
      <c r="I825" s="84"/>
    </row>
    <row r="826" ht="15.75" customHeight="1">
      <c r="F826" s="84"/>
      <c r="G826" s="84"/>
      <c r="H826" s="84"/>
      <c r="I826" s="84"/>
    </row>
    <row r="827" ht="15.75" customHeight="1">
      <c r="F827" s="84"/>
      <c r="G827" s="84"/>
      <c r="H827" s="84"/>
      <c r="I827" s="84"/>
    </row>
    <row r="828" ht="15.75" customHeight="1">
      <c r="F828" s="84"/>
      <c r="G828" s="84"/>
      <c r="H828" s="84"/>
      <c r="I828" s="84"/>
    </row>
    <row r="829" ht="15.75" customHeight="1">
      <c r="F829" s="84"/>
      <c r="G829" s="84"/>
      <c r="H829" s="84"/>
      <c r="I829" s="84"/>
    </row>
    <row r="830" ht="15.75" customHeight="1">
      <c r="F830" s="84"/>
      <c r="G830" s="84"/>
      <c r="H830" s="84"/>
      <c r="I830" s="84"/>
    </row>
    <row r="831" ht="15.75" customHeight="1">
      <c r="F831" s="84"/>
      <c r="G831" s="84"/>
      <c r="H831" s="84"/>
      <c r="I831" s="84"/>
    </row>
    <row r="832" ht="15.75" customHeight="1">
      <c r="F832" s="84"/>
      <c r="G832" s="84"/>
      <c r="H832" s="84"/>
      <c r="I832" s="84"/>
    </row>
    <row r="833" ht="15.75" customHeight="1">
      <c r="F833" s="84"/>
      <c r="G833" s="84"/>
      <c r="H833" s="84"/>
      <c r="I833" s="84"/>
    </row>
    <row r="834" ht="15.75" customHeight="1">
      <c r="F834" s="84"/>
      <c r="G834" s="84"/>
      <c r="H834" s="84"/>
      <c r="I834" s="84"/>
    </row>
    <row r="835" ht="15.75" customHeight="1">
      <c r="F835" s="84"/>
      <c r="G835" s="84"/>
      <c r="H835" s="84"/>
      <c r="I835" s="84"/>
    </row>
    <row r="836" ht="15.75" customHeight="1">
      <c r="F836" s="84"/>
      <c r="G836" s="84"/>
      <c r="H836" s="84"/>
      <c r="I836" s="84"/>
    </row>
    <row r="837" ht="15.75" customHeight="1">
      <c r="F837" s="84"/>
      <c r="G837" s="84"/>
      <c r="H837" s="84"/>
      <c r="I837" s="84"/>
    </row>
    <row r="838" ht="15.75" customHeight="1">
      <c r="F838" s="84"/>
      <c r="G838" s="84"/>
      <c r="H838" s="84"/>
      <c r="I838" s="84"/>
    </row>
    <row r="839" ht="15.75" customHeight="1">
      <c r="F839" s="84"/>
      <c r="G839" s="84"/>
      <c r="H839" s="84"/>
      <c r="I839" s="84"/>
    </row>
    <row r="840" ht="15.75" customHeight="1">
      <c r="F840" s="84"/>
      <c r="G840" s="84"/>
      <c r="H840" s="84"/>
      <c r="I840" s="84"/>
    </row>
    <row r="841" ht="15.75" customHeight="1">
      <c r="F841" s="84"/>
      <c r="G841" s="84"/>
      <c r="H841" s="84"/>
      <c r="I841" s="84"/>
    </row>
    <row r="842" ht="15.75" customHeight="1">
      <c r="F842" s="84"/>
      <c r="G842" s="84"/>
      <c r="H842" s="84"/>
      <c r="I842" s="84"/>
    </row>
    <row r="843" ht="15.75" customHeight="1">
      <c r="F843" s="84"/>
      <c r="G843" s="84"/>
      <c r="H843" s="84"/>
      <c r="I843" s="84"/>
    </row>
    <row r="844" ht="15.75" customHeight="1">
      <c r="F844" s="84"/>
      <c r="G844" s="84"/>
      <c r="H844" s="84"/>
      <c r="I844" s="84"/>
    </row>
    <row r="845" ht="15.75" customHeight="1">
      <c r="F845" s="84"/>
      <c r="G845" s="84"/>
      <c r="H845" s="84"/>
      <c r="I845" s="84"/>
    </row>
    <row r="846" ht="15.75" customHeight="1">
      <c r="F846" s="84"/>
      <c r="G846" s="84"/>
      <c r="H846" s="84"/>
      <c r="I846" s="84"/>
    </row>
    <row r="847" ht="15.75" customHeight="1">
      <c r="F847" s="84"/>
      <c r="G847" s="84"/>
      <c r="H847" s="84"/>
      <c r="I847" s="84"/>
    </row>
    <row r="848" ht="15.75" customHeight="1">
      <c r="F848" s="84"/>
      <c r="G848" s="84"/>
      <c r="H848" s="84"/>
      <c r="I848" s="84"/>
    </row>
    <row r="849" ht="15.75" customHeight="1">
      <c r="F849" s="84"/>
      <c r="G849" s="84"/>
      <c r="H849" s="84"/>
      <c r="I849" s="84"/>
    </row>
    <row r="850" ht="15.75" customHeight="1">
      <c r="F850" s="84"/>
      <c r="G850" s="84"/>
      <c r="H850" s="84"/>
      <c r="I850" s="84"/>
    </row>
    <row r="851" ht="15.75" customHeight="1">
      <c r="F851" s="84"/>
      <c r="G851" s="84"/>
      <c r="H851" s="84"/>
      <c r="I851" s="84"/>
    </row>
    <row r="852" ht="15.75" customHeight="1">
      <c r="F852" s="84"/>
      <c r="G852" s="84"/>
      <c r="H852" s="84"/>
      <c r="I852" s="84"/>
    </row>
    <row r="853" ht="15.75" customHeight="1">
      <c r="F853" s="84"/>
      <c r="G853" s="84"/>
      <c r="H853" s="84"/>
      <c r="I853" s="84"/>
    </row>
    <row r="854" ht="15.75" customHeight="1">
      <c r="F854" s="84"/>
      <c r="G854" s="84"/>
      <c r="H854" s="84"/>
      <c r="I854" s="84"/>
    </row>
    <row r="855" ht="15.75" customHeight="1">
      <c r="F855" s="84"/>
      <c r="G855" s="84"/>
      <c r="H855" s="84"/>
      <c r="I855" s="84"/>
    </row>
    <row r="856" ht="15.75" customHeight="1">
      <c r="F856" s="84"/>
      <c r="G856" s="84"/>
      <c r="H856" s="84"/>
      <c r="I856" s="84"/>
    </row>
    <row r="857" ht="15.75" customHeight="1">
      <c r="F857" s="84"/>
      <c r="G857" s="84"/>
      <c r="H857" s="84"/>
      <c r="I857" s="84"/>
    </row>
    <row r="858" ht="15.75" customHeight="1">
      <c r="F858" s="84"/>
      <c r="G858" s="84"/>
      <c r="H858" s="84"/>
      <c r="I858" s="84"/>
    </row>
    <row r="859" ht="15.75" customHeight="1">
      <c r="F859" s="84"/>
      <c r="G859" s="84"/>
      <c r="H859" s="84"/>
      <c r="I859" s="84"/>
    </row>
    <row r="860" ht="15.75" customHeight="1">
      <c r="F860" s="84"/>
      <c r="G860" s="84"/>
      <c r="H860" s="84"/>
      <c r="I860" s="84"/>
    </row>
    <row r="861" ht="15.75" customHeight="1">
      <c r="F861" s="84"/>
      <c r="G861" s="84"/>
      <c r="H861" s="84"/>
      <c r="I861" s="84"/>
    </row>
    <row r="862" ht="15.75" customHeight="1">
      <c r="F862" s="84"/>
      <c r="G862" s="84"/>
      <c r="H862" s="84"/>
      <c r="I862" s="84"/>
    </row>
    <row r="863" ht="15.75" customHeight="1">
      <c r="F863" s="84"/>
      <c r="G863" s="84"/>
      <c r="H863" s="84"/>
      <c r="I863" s="84"/>
    </row>
    <row r="864" ht="15.75" customHeight="1">
      <c r="F864" s="84"/>
      <c r="G864" s="84"/>
      <c r="H864" s="84"/>
      <c r="I864" s="84"/>
    </row>
    <row r="865" ht="15.75" customHeight="1">
      <c r="F865" s="84"/>
      <c r="G865" s="84"/>
      <c r="H865" s="84"/>
      <c r="I865" s="84"/>
    </row>
    <row r="866" ht="15.75" customHeight="1">
      <c r="F866" s="84"/>
      <c r="G866" s="84"/>
      <c r="H866" s="84"/>
      <c r="I866" s="84"/>
    </row>
    <row r="867" ht="15.75" customHeight="1">
      <c r="F867" s="84"/>
      <c r="G867" s="84"/>
      <c r="H867" s="84"/>
      <c r="I867" s="84"/>
    </row>
    <row r="868" ht="15.75" customHeight="1">
      <c r="F868" s="84"/>
      <c r="G868" s="84"/>
      <c r="H868" s="84"/>
      <c r="I868" s="84"/>
    </row>
    <row r="869" ht="15.75" customHeight="1">
      <c r="F869" s="84"/>
      <c r="G869" s="84"/>
      <c r="H869" s="84"/>
      <c r="I869" s="84"/>
    </row>
    <row r="870" ht="15.75" customHeight="1">
      <c r="F870" s="84"/>
      <c r="G870" s="84"/>
      <c r="H870" s="84"/>
      <c r="I870" s="84"/>
    </row>
    <row r="871" ht="15.75" customHeight="1">
      <c r="F871" s="84"/>
      <c r="G871" s="84"/>
      <c r="H871" s="84"/>
      <c r="I871" s="84"/>
    </row>
    <row r="872" ht="15.75" customHeight="1">
      <c r="F872" s="84"/>
      <c r="G872" s="84"/>
      <c r="H872" s="84"/>
      <c r="I872" s="84"/>
    </row>
    <row r="873" ht="15.75" customHeight="1">
      <c r="F873" s="84"/>
      <c r="G873" s="84"/>
      <c r="H873" s="84"/>
      <c r="I873" s="84"/>
    </row>
    <row r="874" ht="15.75" customHeight="1">
      <c r="F874" s="84"/>
      <c r="G874" s="84"/>
      <c r="H874" s="84"/>
      <c r="I874" s="84"/>
    </row>
    <row r="875" ht="15.75" customHeight="1">
      <c r="F875" s="84"/>
      <c r="G875" s="84"/>
      <c r="H875" s="84"/>
      <c r="I875" s="84"/>
    </row>
    <row r="876" ht="15.75" customHeight="1">
      <c r="F876" s="84"/>
      <c r="G876" s="84"/>
      <c r="H876" s="84"/>
      <c r="I876" s="84"/>
    </row>
    <row r="877" ht="15.75" customHeight="1">
      <c r="F877" s="84"/>
      <c r="G877" s="84"/>
      <c r="H877" s="84"/>
      <c r="I877" s="84"/>
    </row>
    <row r="878" ht="15.75" customHeight="1">
      <c r="F878" s="84"/>
      <c r="G878" s="84"/>
      <c r="H878" s="84"/>
      <c r="I878" s="84"/>
    </row>
    <row r="879" ht="15.75" customHeight="1">
      <c r="F879" s="84"/>
      <c r="G879" s="84"/>
      <c r="H879" s="84"/>
      <c r="I879" s="84"/>
    </row>
    <row r="880" ht="15.75" customHeight="1">
      <c r="F880" s="84"/>
      <c r="G880" s="84"/>
      <c r="H880" s="84"/>
      <c r="I880" s="84"/>
    </row>
    <row r="881" ht="15.75" customHeight="1">
      <c r="F881" s="84"/>
      <c r="G881" s="84"/>
      <c r="H881" s="84"/>
      <c r="I881" s="84"/>
    </row>
    <row r="882" ht="15.75" customHeight="1">
      <c r="F882" s="84"/>
      <c r="G882" s="84"/>
      <c r="H882" s="84"/>
      <c r="I882" s="84"/>
    </row>
    <row r="883" ht="15.75" customHeight="1">
      <c r="F883" s="84"/>
      <c r="G883" s="84"/>
      <c r="H883" s="84"/>
      <c r="I883" s="84"/>
    </row>
    <row r="884" ht="15.75" customHeight="1">
      <c r="F884" s="84"/>
      <c r="G884" s="84"/>
      <c r="H884" s="84"/>
      <c r="I884" s="84"/>
    </row>
    <row r="885" ht="15.75" customHeight="1">
      <c r="F885" s="84"/>
      <c r="G885" s="84"/>
      <c r="H885" s="84"/>
      <c r="I885" s="84"/>
    </row>
    <row r="886" ht="15.75" customHeight="1">
      <c r="F886" s="84"/>
      <c r="G886" s="84"/>
      <c r="H886" s="84"/>
      <c r="I886" s="84"/>
    </row>
    <row r="887" ht="15.75" customHeight="1">
      <c r="F887" s="84"/>
      <c r="G887" s="84"/>
      <c r="H887" s="84"/>
      <c r="I887" s="84"/>
    </row>
    <row r="888" ht="15.75" customHeight="1">
      <c r="F888" s="84"/>
      <c r="G888" s="84"/>
      <c r="H888" s="84"/>
      <c r="I888" s="84"/>
    </row>
    <row r="889" ht="15.75" customHeight="1">
      <c r="F889" s="84"/>
      <c r="G889" s="84"/>
      <c r="H889" s="84"/>
      <c r="I889" s="84"/>
    </row>
    <row r="890" ht="15.75" customHeight="1">
      <c r="F890" s="84"/>
      <c r="G890" s="84"/>
      <c r="H890" s="84"/>
      <c r="I890" s="84"/>
    </row>
    <row r="891" ht="15.75" customHeight="1">
      <c r="F891" s="84"/>
      <c r="G891" s="84"/>
      <c r="H891" s="84"/>
      <c r="I891" s="84"/>
    </row>
    <row r="892" ht="15.75" customHeight="1">
      <c r="F892" s="84"/>
      <c r="G892" s="84"/>
      <c r="H892" s="84"/>
      <c r="I892" s="84"/>
    </row>
    <row r="893" ht="15.75" customHeight="1">
      <c r="F893" s="84"/>
      <c r="G893" s="84"/>
      <c r="H893" s="84"/>
      <c r="I893" s="84"/>
    </row>
    <row r="894" ht="15.75" customHeight="1">
      <c r="F894" s="84"/>
      <c r="G894" s="84"/>
      <c r="H894" s="84"/>
      <c r="I894" s="84"/>
    </row>
    <row r="895" ht="15.75" customHeight="1">
      <c r="F895" s="84"/>
      <c r="G895" s="84"/>
      <c r="H895" s="84"/>
      <c r="I895" s="84"/>
    </row>
    <row r="896" ht="15.75" customHeight="1">
      <c r="F896" s="84"/>
      <c r="G896" s="84"/>
      <c r="H896" s="84"/>
      <c r="I896" s="84"/>
    </row>
    <row r="897" ht="15.75" customHeight="1">
      <c r="F897" s="84"/>
      <c r="G897" s="84"/>
      <c r="H897" s="84"/>
      <c r="I897" s="84"/>
    </row>
    <row r="898" ht="15.75" customHeight="1">
      <c r="F898" s="84"/>
      <c r="G898" s="84"/>
      <c r="H898" s="84"/>
      <c r="I898" s="84"/>
    </row>
    <row r="899" ht="15.75" customHeight="1">
      <c r="F899" s="84"/>
      <c r="G899" s="84"/>
      <c r="H899" s="84"/>
      <c r="I899" s="84"/>
    </row>
    <row r="900" ht="15.75" customHeight="1">
      <c r="F900" s="84"/>
      <c r="G900" s="84"/>
      <c r="H900" s="84"/>
      <c r="I900" s="84"/>
    </row>
    <row r="901" ht="15.75" customHeight="1">
      <c r="F901" s="84"/>
      <c r="G901" s="84"/>
      <c r="H901" s="84"/>
      <c r="I901" s="84"/>
    </row>
    <row r="902" ht="15.75" customHeight="1">
      <c r="F902" s="84"/>
      <c r="G902" s="84"/>
      <c r="H902" s="84"/>
      <c r="I902" s="84"/>
    </row>
    <row r="903" ht="15.75" customHeight="1">
      <c r="F903" s="84"/>
      <c r="G903" s="84"/>
      <c r="H903" s="84"/>
      <c r="I903" s="84"/>
    </row>
    <row r="904" ht="15.75" customHeight="1">
      <c r="F904" s="84"/>
      <c r="G904" s="84"/>
      <c r="H904" s="84"/>
      <c r="I904" s="84"/>
    </row>
    <row r="905" ht="15.75" customHeight="1">
      <c r="F905" s="84"/>
      <c r="G905" s="84"/>
      <c r="H905" s="84"/>
      <c r="I905" s="84"/>
    </row>
    <row r="906" ht="15.75" customHeight="1">
      <c r="F906" s="84"/>
      <c r="G906" s="84"/>
      <c r="H906" s="84"/>
      <c r="I906" s="84"/>
    </row>
    <row r="907" ht="15.75" customHeight="1">
      <c r="F907" s="84"/>
      <c r="G907" s="84"/>
      <c r="H907" s="84"/>
      <c r="I907" s="84"/>
    </row>
    <row r="908" ht="15.75" customHeight="1">
      <c r="F908" s="84"/>
      <c r="G908" s="84"/>
      <c r="H908" s="84"/>
      <c r="I908" s="84"/>
    </row>
    <row r="909" ht="15.75" customHeight="1">
      <c r="F909" s="84"/>
      <c r="G909" s="84"/>
      <c r="H909" s="84"/>
      <c r="I909" s="84"/>
    </row>
    <row r="910" ht="15.75" customHeight="1">
      <c r="F910" s="84"/>
      <c r="G910" s="84"/>
      <c r="H910" s="84"/>
      <c r="I910" s="84"/>
    </row>
    <row r="911" ht="15.75" customHeight="1">
      <c r="F911" s="84"/>
      <c r="G911" s="84"/>
      <c r="H911" s="84"/>
      <c r="I911" s="84"/>
    </row>
    <row r="912" ht="15.75" customHeight="1">
      <c r="F912" s="84"/>
      <c r="G912" s="84"/>
      <c r="H912" s="84"/>
      <c r="I912" s="84"/>
    </row>
    <row r="913" ht="15.75" customHeight="1">
      <c r="F913" s="84"/>
      <c r="G913" s="84"/>
      <c r="H913" s="84"/>
      <c r="I913" s="84"/>
    </row>
    <row r="914" ht="15.75" customHeight="1">
      <c r="F914" s="84"/>
      <c r="G914" s="84"/>
      <c r="H914" s="84"/>
      <c r="I914" s="84"/>
    </row>
    <row r="915" ht="15.75" customHeight="1">
      <c r="F915" s="84"/>
      <c r="G915" s="84"/>
      <c r="H915" s="84"/>
      <c r="I915" s="84"/>
    </row>
    <row r="916" ht="15.75" customHeight="1">
      <c r="F916" s="84"/>
      <c r="G916" s="84"/>
      <c r="H916" s="84"/>
      <c r="I916" s="84"/>
    </row>
    <row r="917" ht="15.75" customHeight="1">
      <c r="F917" s="84"/>
      <c r="G917" s="84"/>
      <c r="H917" s="84"/>
      <c r="I917" s="84"/>
    </row>
    <row r="918" ht="15.75" customHeight="1">
      <c r="F918" s="84"/>
      <c r="G918" s="84"/>
      <c r="H918" s="84"/>
      <c r="I918" s="84"/>
    </row>
    <row r="919" ht="15.75" customHeight="1">
      <c r="F919" s="84"/>
      <c r="G919" s="84"/>
      <c r="H919" s="84"/>
      <c r="I919" s="84"/>
    </row>
    <row r="920" ht="15.75" customHeight="1">
      <c r="F920" s="84"/>
      <c r="G920" s="84"/>
      <c r="H920" s="84"/>
      <c r="I920" s="84"/>
    </row>
    <row r="921" ht="15.75" customHeight="1">
      <c r="F921" s="84"/>
      <c r="G921" s="84"/>
      <c r="H921" s="84"/>
      <c r="I921" s="84"/>
    </row>
    <row r="922" ht="15.75" customHeight="1">
      <c r="F922" s="84"/>
      <c r="G922" s="84"/>
      <c r="H922" s="84"/>
      <c r="I922" s="84"/>
    </row>
    <row r="923" ht="15.75" customHeight="1">
      <c r="F923" s="84"/>
      <c r="G923" s="84"/>
      <c r="H923" s="84"/>
      <c r="I923" s="84"/>
    </row>
    <row r="924" ht="15.75" customHeight="1">
      <c r="F924" s="84"/>
      <c r="G924" s="84"/>
      <c r="H924" s="84"/>
      <c r="I924" s="84"/>
    </row>
    <row r="925" ht="15.75" customHeight="1">
      <c r="F925" s="84"/>
      <c r="G925" s="84"/>
      <c r="H925" s="84"/>
      <c r="I925" s="84"/>
    </row>
    <row r="926" ht="15.75" customHeight="1">
      <c r="F926" s="84"/>
      <c r="G926" s="84"/>
      <c r="H926" s="84"/>
      <c r="I926" s="84"/>
    </row>
    <row r="927" ht="15.75" customHeight="1">
      <c r="F927" s="84"/>
      <c r="G927" s="84"/>
      <c r="H927" s="84"/>
      <c r="I927" s="84"/>
    </row>
    <row r="928" ht="15.75" customHeight="1">
      <c r="F928" s="84"/>
      <c r="G928" s="84"/>
      <c r="H928" s="84"/>
      <c r="I928" s="84"/>
    </row>
    <row r="929" ht="15.75" customHeight="1">
      <c r="F929" s="84"/>
      <c r="G929" s="84"/>
      <c r="H929" s="84"/>
      <c r="I929" s="84"/>
    </row>
    <row r="930" ht="15.75" customHeight="1">
      <c r="F930" s="84"/>
      <c r="G930" s="84"/>
      <c r="H930" s="84"/>
      <c r="I930" s="84"/>
    </row>
    <row r="931" ht="15.75" customHeight="1">
      <c r="F931" s="84"/>
      <c r="G931" s="84"/>
      <c r="H931" s="84"/>
      <c r="I931" s="84"/>
    </row>
    <row r="932" ht="15.75" customHeight="1">
      <c r="F932" s="84"/>
      <c r="G932" s="84"/>
      <c r="H932" s="84"/>
      <c r="I932" s="84"/>
    </row>
    <row r="933" ht="15.75" customHeight="1">
      <c r="F933" s="84"/>
      <c r="G933" s="84"/>
      <c r="H933" s="84"/>
      <c r="I933" s="84"/>
    </row>
    <row r="934" ht="15.75" customHeight="1">
      <c r="F934" s="84"/>
      <c r="G934" s="84"/>
      <c r="H934" s="84"/>
      <c r="I934" s="84"/>
    </row>
    <row r="935" ht="15.75" customHeight="1">
      <c r="F935" s="84"/>
      <c r="G935" s="84"/>
      <c r="H935" s="84"/>
      <c r="I935" s="84"/>
    </row>
    <row r="936" ht="15.75" customHeight="1">
      <c r="F936" s="84"/>
      <c r="G936" s="84"/>
      <c r="H936" s="84"/>
      <c r="I936" s="84"/>
    </row>
    <row r="937" ht="15.75" customHeight="1">
      <c r="F937" s="84"/>
      <c r="G937" s="84"/>
      <c r="H937" s="84"/>
      <c r="I937" s="84"/>
    </row>
    <row r="938" ht="15.75" customHeight="1">
      <c r="F938" s="84"/>
      <c r="G938" s="84"/>
      <c r="H938" s="84"/>
      <c r="I938" s="84"/>
    </row>
    <row r="939" ht="15.75" customHeight="1">
      <c r="F939" s="84"/>
      <c r="G939" s="84"/>
      <c r="H939" s="84"/>
      <c r="I939" s="84"/>
    </row>
    <row r="940" ht="15.75" customHeight="1">
      <c r="F940" s="84"/>
      <c r="G940" s="84"/>
      <c r="H940" s="84"/>
      <c r="I940" s="84"/>
    </row>
    <row r="941" ht="15.75" customHeight="1">
      <c r="F941" s="84"/>
      <c r="G941" s="84"/>
      <c r="H941" s="84"/>
      <c r="I941" s="84"/>
    </row>
    <row r="942" ht="15.75" customHeight="1">
      <c r="F942" s="84"/>
      <c r="G942" s="84"/>
      <c r="H942" s="84"/>
      <c r="I942" s="84"/>
    </row>
    <row r="943" ht="15.75" customHeight="1">
      <c r="F943" s="84"/>
      <c r="G943" s="84"/>
      <c r="H943" s="84"/>
      <c r="I943" s="84"/>
    </row>
    <row r="944" ht="15.75" customHeight="1">
      <c r="F944" s="84"/>
      <c r="G944" s="84"/>
      <c r="H944" s="84"/>
      <c r="I944" s="84"/>
    </row>
    <row r="945" ht="15.75" customHeight="1">
      <c r="F945" s="84"/>
      <c r="G945" s="84"/>
      <c r="H945" s="84"/>
      <c r="I945" s="84"/>
    </row>
    <row r="946" ht="15.75" customHeight="1">
      <c r="F946" s="84"/>
      <c r="G946" s="84"/>
      <c r="H946" s="84"/>
      <c r="I946" s="84"/>
    </row>
    <row r="947" ht="15.75" customHeight="1">
      <c r="F947" s="84"/>
      <c r="G947" s="84"/>
      <c r="H947" s="84"/>
      <c r="I947" s="84"/>
    </row>
    <row r="948" ht="15.75" customHeight="1">
      <c r="F948" s="84"/>
      <c r="G948" s="84"/>
      <c r="H948" s="84"/>
      <c r="I948" s="84"/>
    </row>
    <row r="949" ht="15.75" customHeight="1">
      <c r="F949" s="84"/>
      <c r="G949" s="84"/>
      <c r="H949" s="84"/>
      <c r="I949" s="84"/>
    </row>
    <row r="950" ht="15.75" customHeight="1">
      <c r="F950" s="84"/>
      <c r="G950" s="84"/>
      <c r="H950" s="84"/>
      <c r="I950" s="84"/>
    </row>
    <row r="951" ht="15.75" customHeight="1">
      <c r="F951" s="84"/>
      <c r="G951" s="84"/>
      <c r="H951" s="84"/>
      <c r="I951" s="84"/>
    </row>
    <row r="952" ht="15.75" customHeight="1">
      <c r="F952" s="84"/>
      <c r="G952" s="84"/>
      <c r="H952" s="84"/>
      <c r="I952" s="84"/>
    </row>
    <row r="953" ht="15.75" customHeight="1">
      <c r="F953" s="84"/>
      <c r="G953" s="84"/>
      <c r="H953" s="84"/>
      <c r="I953" s="84"/>
    </row>
    <row r="954" ht="15.75" customHeight="1">
      <c r="F954" s="84"/>
      <c r="G954" s="84"/>
      <c r="H954" s="84"/>
      <c r="I954" s="84"/>
    </row>
    <row r="955" ht="15.75" customHeight="1">
      <c r="F955" s="84"/>
      <c r="G955" s="84"/>
      <c r="H955" s="84"/>
      <c r="I955" s="84"/>
    </row>
    <row r="956" ht="15.75" customHeight="1">
      <c r="F956" s="84"/>
      <c r="G956" s="84"/>
      <c r="H956" s="84"/>
      <c r="I956" s="84"/>
    </row>
    <row r="957" ht="15.75" customHeight="1">
      <c r="F957" s="84"/>
      <c r="G957" s="84"/>
      <c r="H957" s="84"/>
      <c r="I957" s="84"/>
    </row>
    <row r="958" ht="15.75" customHeight="1">
      <c r="F958" s="84"/>
      <c r="G958" s="84"/>
      <c r="H958" s="84"/>
      <c r="I958" s="84"/>
    </row>
    <row r="959" ht="15.75" customHeight="1">
      <c r="F959" s="84"/>
      <c r="G959" s="84"/>
      <c r="H959" s="84"/>
      <c r="I959" s="84"/>
    </row>
    <row r="960" ht="15.75" customHeight="1">
      <c r="F960" s="84"/>
      <c r="G960" s="84"/>
      <c r="H960" s="84"/>
      <c r="I960" s="84"/>
    </row>
    <row r="961" ht="15.75" customHeight="1">
      <c r="F961" s="84"/>
      <c r="G961" s="84"/>
      <c r="H961" s="84"/>
      <c r="I961" s="84"/>
    </row>
    <row r="962" ht="15.75" customHeight="1">
      <c r="F962" s="84"/>
      <c r="G962" s="84"/>
      <c r="H962" s="84"/>
      <c r="I962" s="84"/>
    </row>
    <row r="963" ht="15.75" customHeight="1">
      <c r="F963" s="84"/>
      <c r="G963" s="84"/>
      <c r="H963" s="84"/>
      <c r="I963" s="84"/>
    </row>
    <row r="964" ht="15.75" customHeight="1">
      <c r="F964" s="84"/>
      <c r="G964" s="84"/>
      <c r="H964" s="84"/>
      <c r="I964" s="84"/>
    </row>
    <row r="965" ht="15.75" customHeight="1">
      <c r="F965" s="84"/>
      <c r="G965" s="84"/>
      <c r="H965" s="84"/>
      <c r="I965" s="84"/>
    </row>
    <row r="966" ht="15.75" customHeight="1">
      <c r="F966" s="84"/>
      <c r="G966" s="84"/>
      <c r="H966" s="84"/>
      <c r="I966" s="84"/>
    </row>
    <row r="967" ht="15.75" customHeight="1">
      <c r="F967" s="84"/>
      <c r="G967" s="84"/>
      <c r="H967" s="84"/>
      <c r="I967" s="84"/>
    </row>
    <row r="968" ht="15.75" customHeight="1">
      <c r="F968" s="84"/>
      <c r="G968" s="84"/>
      <c r="H968" s="84"/>
      <c r="I968" s="84"/>
    </row>
    <row r="969" ht="15.75" customHeight="1">
      <c r="F969" s="84"/>
      <c r="G969" s="84"/>
      <c r="H969" s="84"/>
      <c r="I969" s="84"/>
    </row>
    <row r="970" ht="15.75" customHeight="1">
      <c r="F970" s="84"/>
      <c r="G970" s="84"/>
      <c r="H970" s="84"/>
      <c r="I970" s="84"/>
    </row>
    <row r="971" ht="15.75" customHeight="1">
      <c r="F971" s="84"/>
      <c r="G971" s="84"/>
      <c r="H971" s="84"/>
      <c r="I971" s="84"/>
    </row>
    <row r="972" ht="15.75" customHeight="1">
      <c r="F972" s="84"/>
      <c r="G972" s="84"/>
      <c r="H972" s="84"/>
      <c r="I972" s="84"/>
    </row>
    <row r="973" ht="15.75" customHeight="1">
      <c r="F973" s="84"/>
      <c r="G973" s="84"/>
      <c r="H973" s="84"/>
      <c r="I973" s="84"/>
    </row>
    <row r="974" ht="15.75" customHeight="1">
      <c r="F974" s="84"/>
      <c r="G974" s="84"/>
      <c r="H974" s="84"/>
      <c r="I974" s="84"/>
    </row>
    <row r="975" ht="15.75" customHeight="1">
      <c r="F975" s="84"/>
      <c r="G975" s="84"/>
      <c r="H975" s="84"/>
      <c r="I975" s="84"/>
    </row>
    <row r="976" ht="15.75" customHeight="1">
      <c r="F976" s="84"/>
      <c r="G976" s="84"/>
      <c r="H976" s="84"/>
      <c r="I976" s="84"/>
    </row>
    <row r="977" ht="15.75" customHeight="1">
      <c r="F977" s="84"/>
      <c r="G977" s="84"/>
      <c r="H977" s="84"/>
      <c r="I977" s="84"/>
    </row>
    <row r="978" ht="15.75" customHeight="1">
      <c r="F978" s="84"/>
      <c r="G978" s="84"/>
      <c r="H978" s="84"/>
      <c r="I978" s="84"/>
    </row>
    <row r="979" ht="15.75" customHeight="1">
      <c r="F979" s="84"/>
      <c r="G979" s="84"/>
      <c r="H979" s="84"/>
      <c r="I979" s="84"/>
    </row>
    <row r="980" ht="15.75" customHeight="1">
      <c r="F980" s="84"/>
      <c r="G980" s="84"/>
      <c r="H980" s="84"/>
      <c r="I980" s="84"/>
    </row>
    <row r="981" ht="15.75" customHeight="1">
      <c r="F981" s="84"/>
      <c r="G981" s="84"/>
      <c r="H981" s="84"/>
      <c r="I981" s="84"/>
    </row>
    <row r="982" ht="15.75" customHeight="1">
      <c r="F982" s="84"/>
      <c r="G982" s="84"/>
      <c r="H982" s="84"/>
      <c r="I982" s="84"/>
    </row>
    <row r="983" ht="15.75" customHeight="1">
      <c r="F983" s="84"/>
      <c r="G983" s="84"/>
      <c r="H983" s="84"/>
      <c r="I983" s="84"/>
    </row>
    <row r="984" ht="15.75" customHeight="1">
      <c r="F984" s="84"/>
      <c r="G984" s="84"/>
      <c r="H984" s="84"/>
      <c r="I984" s="84"/>
    </row>
    <row r="985" ht="15.75" customHeight="1">
      <c r="F985" s="84"/>
      <c r="G985" s="84"/>
      <c r="H985" s="84"/>
      <c r="I985" s="84"/>
    </row>
    <row r="986" ht="15.75" customHeight="1">
      <c r="F986" s="84"/>
      <c r="G986" s="84"/>
      <c r="H986" s="84"/>
      <c r="I986" s="84"/>
    </row>
    <row r="987" ht="15.75" customHeight="1">
      <c r="F987" s="84"/>
      <c r="G987" s="84"/>
      <c r="H987" s="84"/>
      <c r="I987" s="84"/>
    </row>
    <row r="988" ht="15.75" customHeight="1">
      <c r="F988" s="84"/>
      <c r="G988" s="84"/>
      <c r="H988" s="84"/>
      <c r="I988" s="84"/>
    </row>
    <row r="989" ht="15.75" customHeight="1">
      <c r="F989" s="84"/>
      <c r="G989" s="84"/>
      <c r="H989" s="84"/>
      <c r="I989" s="84"/>
    </row>
    <row r="990" ht="15.75" customHeight="1">
      <c r="F990" s="84"/>
      <c r="G990" s="84"/>
      <c r="H990" s="84"/>
      <c r="I990" s="84"/>
    </row>
    <row r="991" ht="15.75" customHeight="1">
      <c r="F991" s="84"/>
      <c r="G991" s="84"/>
      <c r="H991" s="84"/>
      <c r="I991" s="84"/>
    </row>
    <row r="992" ht="15.75" customHeight="1">
      <c r="F992" s="84"/>
      <c r="G992" s="84"/>
      <c r="H992" s="84"/>
      <c r="I992" s="84"/>
    </row>
    <row r="993" ht="15.75" customHeight="1">
      <c r="F993" s="84"/>
      <c r="G993" s="84"/>
      <c r="H993" s="84"/>
      <c r="I993" s="84"/>
    </row>
    <row r="994" ht="15.75" customHeight="1">
      <c r="F994" s="84"/>
      <c r="G994" s="84"/>
      <c r="H994" s="84"/>
      <c r="I994" s="84"/>
    </row>
    <row r="995" ht="15.75" customHeight="1">
      <c r="F995" s="84"/>
      <c r="G995" s="84"/>
      <c r="H995" s="84"/>
      <c r="I995" s="84"/>
    </row>
    <row r="996" ht="15.75" customHeight="1">
      <c r="F996" s="84"/>
      <c r="G996" s="84"/>
      <c r="H996" s="84"/>
      <c r="I996" s="84"/>
    </row>
    <row r="997" ht="15.75" customHeight="1">
      <c r="F997" s="84"/>
      <c r="G997" s="84"/>
      <c r="H997" s="84"/>
      <c r="I997" s="84"/>
    </row>
    <row r="998" ht="15.75" customHeight="1">
      <c r="F998" s="84"/>
      <c r="G998" s="84"/>
      <c r="H998" s="84"/>
      <c r="I998" s="84"/>
    </row>
    <row r="999" ht="15.75" customHeight="1">
      <c r="F999" s="84"/>
      <c r="G999" s="84"/>
      <c r="H999" s="84"/>
      <c r="I999" s="84"/>
    </row>
    <row r="1000" ht="15.75" customHeight="1">
      <c r="F1000" s="84"/>
      <c r="G1000" s="84"/>
      <c r="H1000" s="84"/>
      <c r="I1000" s="84"/>
    </row>
  </sheetData>
  <mergeCells count="20">
    <mergeCell ref="F4:F5"/>
    <mergeCell ref="G4:G5"/>
    <mergeCell ref="B8:B16"/>
    <mergeCell ref="B17:B25"/>
    <mergeCell ref="B26:B34"/>
    <mergeCell ref="A36:C37"/>
    <mergeCell ref="A38:C39"/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2019-02-17T22:18:38Z</dcterms:created>
  <dc:creator>jreme</dc:creator>
</cp:coreProperties>
</file>